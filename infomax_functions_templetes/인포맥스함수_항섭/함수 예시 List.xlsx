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itRepositories\infomax_supabase_bot\infomax_functions_templetes\인포맥스함수_항섭\"/>
    </mc:Choice>
  </mc:AlternateContent>
  <xr:revisionPtr revIDLastSave="0" documentId="13_ncr:1_{48FB0DAE-76F1-488E-91C3-5C40B2675E5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6" i="1"/>
  <c r="F15" i="1"/>
  <c r="F14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<sst xmlns="http://schemas.openxmlformats.org/spreadsheetml/2006/main" count="22" uniqueCount="20">
  <si>
    <t>현재가</t>
  </si>
  <si>
    <t>종목명</t>
  </si>
  <si>
    <t>구분</t>
  </si>
  <si>
    <t>코드</t>
  </si>
  <si>
    <t>삼성전자</t>
  </si>
  <si>
    <t>STK</t>
  </si>
  <si>
    <t>005930</t>
  </si>
  <si>
    <t xml:space="preserve"> ←리얼타임</t>
    <phoneticPr fontId="2" type="noConversion"/>
  </si>
  <si>
    <t xml:space="preserve"> ← 특정일</t>
    <phoneticPr fontId="2" type="noConversion"/>
  </si>
  <si>
    <t>스코티시모기지인베스트먼트</t>
  </si>
  <si>
    <t>FRN</t>
  </si>
  <si>
    <t>LNS:SMT</t>
  </si>
  <si>
    <t>버크셔 해서웨이 B</t>
  </si>
  <si>
    <t>NYS:BRK.B</t>
  </si>
  <si>
    <t>이종통화 종합 GBP</t>
  </si>
  <si>
    <t>FX</t>
  </si>
  <si>
    <t>GBPUSD</t>
  </si>
  <si>
    <t>서울외환(기업용) USDKRW 스팟 (~15:30)</t>
  </si>
  <si>
    <t>USDSP_SMBCC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</si>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</sst>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5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49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1445.5</v>
        <stp/>
        <stp>P</stp>
        <stp>0</stp>
        <stp>FX</stp>
        <stp>USDSP_SMBCC</stp>
        <stp>현재가</stp>
        <stp>20260106</stp>
        <stp/>
        <tr r="F18" s="1"/>
      </tp>
      <tp>
        <v>152300</v>
        <stp/>
        <stp>P</stp>
        <stp>0</stp>
        <stp>STK</stp>
        <stp>N005930</stp>
        <stp>현재가</stp>
        <stp/>
        <stp/>
        <tr r="C4" s="1"/>
      </tp>
      <tp>
        <v>1208</v>
        <stp/>
        <stp>P</stp>
        <stp>0</stp>
        <stp>FRN</stp>
        <stp>LNS:SMT</stp>
        <stp>현재가</stp>
        <stp>20260106</stp>
        <stp/>
        <tr r="F15" s="1"/>
      </tp>
      <tp>
        <v>129300</v>
        <stp/>
        <stp>P</stp>
        <stp>0</stp>
        <stp>STK</stp>
        <stp>N005930</stp>
        <stp>현재가</stp>
        <stp>20260102</stp>
        <stp>Fill=true,Real=true</stp>
        <tr r="C5" s="1"/>
      </tp>
      <tp>
        <v>138900</v>
        <stp/>
        <stp>P</stp>
        <stp>0</stp>
        <stp>STK</stp>
        <stp>005930</stp>
        <stp>현재가</stp>
        <stp>20260106</stp>
        <stp/>
        <tr r="F14" s="1"/>
        <tr r="C7" s="1"/>
      </tp>
      <tp>
        <v>141000</v>
        <stp/>
        <stp>P</stp>
        <stp>0</stp>
        <stp>STK</stp>
        <stp>005930</stp>
        <stp>현재가</stp>
        <stp>20260107</stp>
        <stp/>
        <tr r="C8" s="1"/>
      </tp>
      <tp>
        <v>138100</v>
        <stp/>
        <stp>P</stp>
        <stp>0</stp>
        <stp>STK</stp>
        <stp>005930</stp>
        <stp>현재가</stp>
        <stp>20260105</stp>
        <stp/>
        <tr r="C6" s="1"/>
      </tp>
      <tp>
        <v>499.05</v>
        <stp/>
        <stp>P</stp>
        <stp>0</stp>
        <stp>FRN</stp>
        <stp>NYS:BRK.B</stp>
        <stp>현재가</stp>
        <stp>20260106</stp>
        <stp/>
        <tr r="F1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F18"/>
  <sheetViews>
    <sheetView tabSelected="1" workbookViewId="0">
      <selection activeCell="G6" sqref="G6"/>
    </sheetView>
  </sheetViews>
  <sheetFormatPr defaultRowHeight="16.5" x14ac:dyDescent="0.3"/>
  <cols>
    <col min="3" max="3" width="39.125" bestFit="1" customWidth="1"/>
    <col min="4" max="4" width="11.5" bestFit="1" customWidth="1"/>
    <col min="5" max="5" width="15" bestFit="1" customWidth="1"/>
  </cols>
  <sheetData>
    <row r="3" spans="2:6" x14ac:dyDescent="0.3">
      <c r="B3" s="2"/>
    </row>
    <row r="4" spans="2:6" ht="17.25" x14ac:dyDescent="0.3">
      <c r="C4" s="1">
        <f>_xll.IMDP("STK","N005930","현재가")</f>
        <v>152300</v>
      </c>
      <c r="D4" t="s">
        <v>7</v>
      </c>
    </row>
    <row r="5" spans="2:6" ht="17.25" x14ac:dyDescent="0.3">
      <c r="C5" s="1">
        <f>_xll.IMDP("STK","N005930","현재가","20260102","Fill=true,Real=true")</f>
        <v>129300</v>
      </c>
      <c r="D5" t="s">
        <v>8</v>
      </c>
    </row>
    <row r="6" spans="2:6" x14ac:dyDescent="0.3">
      <c r="C6">
        <f>_xll.IMDP("STK","005930","현재가","20260105")</f>
        <v>138100</v>
      </c>
    </row>
    <row r="7" spans="2:6" x14ac:dyDescent="0.3">
      <c r="C7">
        <f>_xll.IMDP("STK","005930","현재가","20260106")</f>
        <v>138900</v>
      </c>
    </row>
    <row r="8" spans="2:6" x14ac:dyDescent="0.3">
      <c r="C8">
        <f>_xll.IMDP("STK","005930","현재가","20260107")</f>
        <v>141000</v>
      </c>
    </row>
    <row r="13" spans="2:6" x14ac:dyDescent="0.3">
      <c r="C13" s="3" t="s">
        <v>1</v>
      </c>
      <c r="D13" s="3" t="s">
        <v>2</v>
      </c>
      <c r="E13" s="3" t="s">
        <v>3</v>
      </c>
      <c r="F13" s="3" t="s">
        <v>0</v>
      </c>
    </row>
    <row r="14" spans="2:6" x14ac:dyDescent="0.3">
      <c r="C14" s="3" t="s">
        <v>4</v>
      </c>
      <c r="D14" s="3" t="s">
        <v>5</v>
      </c>
      <c r="E14" s="3" t="s">
        <v>6</v>
      </c>
      <c r="F14">
        <f>_xll.IMDP("STK","005930","현재가","20260106")</f>
        <v>138900</v>
      </c>
    </row>
    <row r="15" spans="2:6" x14ac:dyDescent="0.3">
      <c r="C15" s="3" t="s">
        <v>9</v>
      </c>
      <c r="D15" s="3" t="s">
        <v>10</v>
      </c>
      <c r="E15" s="3" t="s">
        <v>11</v>
      </c>
      <c r="F15">
        <f>_xll.IMDP("FRN","LNS:SMT","현재가","20260106")</f>
        <v>1208</v>
      </c>
    </row>
    <row r="16" spans="2:6" x14ac:dyDescent="0.3">
      <c r="C16" s="3" t="s">
        <v>12</v>
      </c>
      <c r="D16" s="3" t="s">
        <v>10</v>
      </c>
      <c r="E16" s="3" t="s">
        <v>13</v>
      </c>
      <c r="F16">
        <f>_xll.IMDP("FRN","NYS:BRK.B","현재가","20260106")</f>
        <v>499.05</v>
      </c>
    </row>
    <row r="17" spans="3:6" x14ac:dyDescent="0.3">
      <c r="C17" s="3" t="s">
        <v>14</v>
      </c>
      <c r="D17" s="3" t="s">
        <v>15</v>
      </c>
      <c r="E17" s="3" t="s">
        <v>16</v>
      </c>
      <c r="F17" t="s">
        <v>19</v>
      </c>
    </row>
    <row r="18" spans="3:6" x14ac:dyDescent="0.3">
      <c r="C18" s="3" t="s">
        <v>17</v>
      </c>
      <c r="D18" s="3" t="s">
        <v>15</v>
      </c>
      <c r="E18" s="3" t="s">
        <v>18</v>
      </c>
      <c r="F18">
        <f>_xll.IMDP("FX","USDSP_SMBCC","현재가","20260106")</f>
        <v>1445.5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2015-06-05T18:19:34Z</dcterms:created>
  <dcterms:modified xsi:type="dcterms:W3CDTF">2026-01-22T06:35:43Z</dcterms:modified>
</cp:coreProperties>
</file>