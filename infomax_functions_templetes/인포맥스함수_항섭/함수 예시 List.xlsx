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_repository\infomax_supabase_bot\infomax_functions_templetes\인포맥스함수_항섭\"/>
    </mc:Choice>
  </mc:AlternateContent>
  <xr:revisionPtr revIDLastSave="0" documentId="13_ncr:1_{8FC9EAD6-0A4E-4BC6-8609-821CC42E40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7" i="1"/>
  <c r="C6" i="1"/>
  <c r="C5" i="1"/>
  <c r="C4" i="1"/>
  <c r="T30" i="1"/>
  <c r="L30" i="1"/>
  <c r="F18" i="1"/>
  <c r="S30" i="1"/>
  <c r="J30" i="1"/>
  <c r="R30" i="1"/>
  <c r="I30" i="1"/>
  <c r="Q30" i="1"/>
  <c r="H30" i="1"/>
  <c r="O30" i="1"/>
  <c r="K30" i="1"/>
  <c r="F16" i="1"/>
  <c r="N30" i="1"/>
  <c r="F30" i="1"/>
  <c r="F15" i="1"/>
  <c r="G30" i="1"/>
  <c r="P30" i="1"/>
  <c r="F14" i="1"/>
  <c r="U30" i="1"/>
  <c r="M30" i="1"/>
</calcChain>
</file>

<file path=xl/sharedStrings.xml><?xml version="1.0" encoding="utf-8"?>
<sst xmlns="http://schemas.openxmlformats.org/spreadsheetml/2006/main" count="88" uniqueCount="66">
  <si>
    <t>현재가</t>
  </si>
  <si>
    <t>종목명</t>
  </si>
  <si>
    <t>구분</t>
  </si>
  <si>
    <t>코드</t>
  </si>
  <si>
    <t>삼성전자</t>
  </si>
  <si>
    <t>STK</t>
  </si>
  <si>
    <t>005930</t>
  </si>
  <si>
    <t xml:space="preserve"> ←리얼타임</t>
    <phoneticPr fontId="2" type="noConversion"/>
  </si>
  <si>
    <t xml:space="preserve"> ← 특정일</t>
    <phoneticPr fontId="2" type="noConversion"/>
  </si>
  <si>
    <t>스코티시모기지인베스트먼트</t>
  </si>
  <si>
    <t>FRN</t>
  </si>
  <si>
    <t>LNS:SMT</t>
  </si>
  <si>
    <t>버크셔 해서웨이 B</t>
  </si>
  <si>
    <t>NYS:BRK.B</t>
  </si>
  <si>
    <t>이종통화 종합 GBP</t>
  </si>
  <si>
    <t>FX</t>
  </si>
  <si>
    <t>GBPUSD</t>
  </si>
  <si>
    <t>서울외환(기업용) USDKRW 스팟 (~15:30)</t>
  </si>
  <si>
    <t>USDSP_SMBCC</t>
  </si>
  <si>
    <t>-</t>
  </si>
  <si>
    <t>IRS KRW (Qr VS Qr 91D CD91) 06개월</t>
  </si>
  <si>
    <t>IRS KRW (Qr VS Qr 91D CD91) 09개월</t>
  </si>
  <si>
    <t>IRS KRW (Qr VS Qr 91D CD91) 01년</t>
  </si>
  <si>
    <t>IRS KRW (Qr VS Qr 91D CD91) 18개월</t>
  </si>
  <si>
    <t>IRS KRW (Qr VS Qr 91D CD91) 02년</t>
  </si>
  <si>
    <t>IRS KRW (Qr VS Qr 91D CD91) 03년</t>
  </si>
  <si>
    <t>IRS KRW (Qr VS Qr 91D CD91) 04년</t>
  </si>
  <si>
    <t>IRS KRW (Qr VS Qr 91D CD91) 25년</t>
  </si>
  <si>
    <t>IRS KRW (Qr VS Qr 91D CD91) 30년</t>
  </si>
  <si>
    <t>IR</t>
  </si>
  <si>
    <t>IRSTP1KRW06M</t>
  </si>
  <si>
    <t>IRSTP1KRW09M</t>
  </si>
  <si>
    <t>IRSTP1KRW01Y</t>
  </si>
  <si>
    <t>IRSTP1KRW18M</t>
  </si>
  <si>
    <t>IRSTP1KRW02Y</t>
  </si>
  <si>
    <t>IRSTP1KRW03Y</t>
  </si>
  <si>
    <t>IRSTP1KRW04Y</t>
  </si>
  <si>
    <t>IRSTP1KRW25Y</t>
  </si>
  <si>
    <t>IRSTP1KRW30Y</t>
  </si>
  <si>
    <t>매수시가</t>
  </si>
  <si>
    <t>매수고가</t>
  </si>
  <si>
    <t>매수저가</t>
  </si>
  <si>
    <t>매수종가</t>
  </si>
  <si>
    <t>매수전일대비</t>
  </si>
  <si>
    <t>매도시가</t>
  </si>
  <si>
    <t>매도고가</t>
  </si>
  <si>
    <t>매도저가</t>
  </si>
  <si>
    <t>매도종가</t>
  </si>
  <si>
    <t>매도전일대비</t>
  </si>
  <si>
    <t>MID시가</t>
  </si>
  <si>
    <t>MID고가</t>
  </si>
  <si>
    <t>MID저가</t>
  </si>
  <si>
    <t>MID종가</t>
  </si>
  <si>
    <t>MID전일대비</t>
  </si>
  <si>
    <t>스프레드</t>
  </si>
  <si>
    <t>RATE_ID</t>
  </si>
  <si>
    <t>MMKT_FIELD_ID</t>
  </si>
  <si>
    <t>DATA_TYPE</t>
  </si>
  <si>
    <t>DATA_ID</t>
  </si>
  <si>
    <t>FIELD_ID</t>
  </si>
  <si>
    <t>CNHUSD3F3L6M</t>
  </si>
  <si>
    <t>MID</t>
  </si>
  <si>
    <t>CRST25USDCNH06M</t>
  </si>
  <si>
    <t>IMDH(Market, Code, Field, StartDay, EndDay, Count, Option)</t>
    <phoneticPr fontId="2" type="noConversion"/>
  </si>
  <si>
    <t>IMDP(Market, Code, Field, Date, Option)</t>
    <phoneticPr fontId="2" type="noConversion"/>
  </si>
  <si>
    <t>IMDT(SchName, Code, Field, Count, SchDate, SchVal1, SchVal2, Option)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</si>
</sst>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AE5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0" xfId="0" applyFont="1"/>
    <xf numFmtId="49" fontId="0" fillId="2" borderId="0" xfId="0" applyNumberFormat="1" applyFill="1"/>
    <xf numFmtId="49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1445.5</v>
        <stp/>
        <stp>P</stp>
        <stp>0</stp>
        <stp>FX</stp>
        <stp>USDSP_SMBCC</stp>
        <stp>현재가</stp>
        <stp>20260106</stp>
        <stp/>
        <tr r="F18" s="1"/>
      </tp>
      <tp>
        <v>151700</v>
        <stp/>
        <stp>P</stp>
        <stp>0</stp>
        <stp>STK</stp>
        <stp>N005930</stp>
        <stp>현재가</stp>
        <stp/>
        <stp/>
        <tr r="C4" s="1"/>
      </tp>
      <tp>
        <v>1208</v>
        <stp/>
        <stp>P</stp>
        <stp>0</stp>
        <stp>FRN</stp>
        <stp>LNS:SMT</stp>
        <stp>현재가</stp>
        <stp>20260106</stp>
        <stp/>
        <tr r="F15" s="1"/>
      </tp>
      <tp>
        <v>2.5000000000000001E-2</v>
        <stp/>
        <stp>P</stp>
        <stp>0</stp>
        <stp>IR</stp>
        <stp>IRSTP1KRW01Y</stp>
        <stp>매도전일대비</stp>
        <stp>20260106</stp>
        <stp/>
        <tr r="O30" s="1"/>
      </tp>
      <tp>
        <v>0.03</v>
        <stp/>
        <stp>P</stp>
        <stp>0</stp>
        <stp>IR</stp>
        <stp>IRSTP1KRW01Y</stp>
        <stp>스프레드</stp>
        <stp>20260106</stp>
        <stp/>
        <tr r="U30" s="1"/>
      </tp>
      <tp>
        <v>2.7250000000000001</v>
        <stp/>
        <stp>P</stp>
        <stp>0</stp>
        <stp>IR</stp>
        <stp>IRSTP1KRW01Y</stp>
        <stp>MID시가</stp>
        <stp>20260106</stp>
        <stp/>
        <tr r="P30" s="1"/>
      </tp>
      <tp>
        <v>2.75</v>
        <stp/>
        <stp>P</stp>
        <stp>0</stp>
        <stp>IR</stp>
        <stp>IRSTP1KRW01Y</stp>
        <stp>MID종가</stp>
        <stp>20260106</stp>
        <stp/>
        <tr r="S30" s="1"/>
      </tp>
      <tp>
        <v>2.7225000000000001</v>
        <stp/>
        <stp>P</stp>
        <stp>0</stp>
        <stp>IR</stp>
        <stp>IRSTP1KRW01Y</stp>
        <stp>MID저가</stp>
        <stp>20260106</stp>
        <stp/>
        <tr r="R30" s="1"/>
      </tp>
      <tp>
        <v>2.75</v>
        <stp/>
        <stp>P</stp>
        <stp>0</stp>
        <stp>IR</stp>
        <stp>IRSTP1KRW01Y</stp>
        <stp>MID고가</stp>
        <stp>20260106</stp>
        <stp/>
        <tr r="Q30" s="1"/>
      </tp>
      <tp>
        <v>129300</v>
        <stp/>
        <stp>P</stp>
        <stp>0</stp>
        <stp>STK</stp>
        <stp>N005930</stp>
        <stp>현재가</stp>
        <stp>20260102</stp>
        <stp>Fill=true,Real=true</stp>
        <tr r="C5" s="1"/>
      </tp>
      <tp>
        <v>138900</v>
        <stp/>
        <stp>P</stp>
        <stp>0</stp>
        <stp>STK</stp>
        <stp>005930</stp>
        <stp>현재가</stp>
        <stp>20260106</stp>
        <stp/>
        <tr r="F14" s="1"/>
        <tr r="C7" s="1"/>
      </tp>
      <tp>
        <v>141000</v>
        <stp/>
        <stp>P</stp>
        <stp>0</stp>
        <stp>STK</stp>
        <stp>005930</stp>
        <stp>현재가</stp>
        <stp>20260107</stp>
        <stp/>
        <tr r="C8" s="1"/>
      </tp>
      <tp>
        <v>138100</v>
        <stp/>
        <stp>P</stp>
        <stp>0</stp>
        <stp>STK</stp>
        <stp>005930</stp>
        <stp>현재가</stp>
        <stp>20260105</stp>
        <stp/>
        <tr r="C6" s="1"/>
      </tp>
      <tp>
        <v>499.05</v>
        <stp/>
        <stp>P</stp>
        <stp>0</stp>
        <stp>FRN</stp>
        <stp>NYS:BRK.B</stp>
        <stp>현재가</stp>
        <stp>20260106</stp>
        <stp/>
        <tr r="F16" s="1"/>
      </tp>
      <tp>
        <v>2.7650000000000001</v>
        <stp/>
        <stp>P</stp>
        <stp>0</stp>
        <stp>IR</stp>
        <stp>IRSTP1KRW01Y</stp>
        <stp>매도고가</stp>
        <stp>20260106</stp>
        <stp/>
        <tr r="L30" s="1"/>
      </tp>
      <tp>
        <v>2.74</v>
        <stp/>
        <stp>P</stp>
        <stp>0</stp>
        <stp>IR</stp>
        <stp>IRSTP1KRW01Y</stp>
        <stp>매도시가</stp>
        <stp>20260106</stp>
        <stp/>
        <tr r="K30" s="1"/>
      </tp>
      <tp>
        <v>2.7650000000000001</v>
        <stp/>
        <stp>P</stp>
        <stp>0</stp>
        <stp>IR</stp>
        <stp>IRSTP1KRW01Y</stp>
        <stp>매도종가</stp>
        <stp>20260106</stp>
        <stp/>
        <tr r="N30" s="1"/>
      </tp>
      <tp>
        <v>2.74</v>
        <stp/>
        <stp>P</stp>
        <stp>0</stp>
        <stp>IR</stp>
        <stp>IRSTP1KRW01Y</stp>
        <stp>매도저가</stp>
        <stp>20260106</stp>
        <stp/>
        <tr r="M30" s="1"/>
      </tp>
      <tp>
        <v>2.7349999999999999</v>
        <stp/>
        <stp>P</stp>
        <stp>0</stp>
        <stp>IR</stp>
        <stp>IRSTP1KRW01Y</stp>
        <stp>매수종가</stp>
        <stp>20260106</stp>
        <stp/>
        <tr r="I30" s="1"/>
      </tp>
      <tp>
        <v>2.7050000000000001</v>
        <stp/>
        <stp>P</stp>
        <stp>0</stp>
        <stp>IR</stp>
        <stp>IRSTP1KRW01Y</stp>
        <stp>매수저가</stp>
        <stp>20260106</stp>
        <stp/>
        <tr r="H30" s="1"/>
      </tp>
      <tp>
        <v>2.71</v>
        <stp/>
        <stp>P</stp>
        <stp>0</stp>
        <stp>IR</stp>
        <stp>IRSTP1KRW01Y</stp>
        <stp>매수시가</stp>
        <stp>20260106</stp>
        <stp/>
        <tr r="F30" s="1"/>
      </tp>
      <tp>
        <v>2.7349999999999999</v>
        <stp/>
        <stp>P</stp>
        <stp>0</stp>
        <stp>IR</stp>
        <stp>IRSTP1KRW01Y</stp>
        <stp>매수고가</stp>
        <stp>20260106</stp>
        <stp/>
        <tr r="G30" s="1"/>
      </tp>
      <tp>
        <v>2.5000000000000001E-2</v>
        <stp/>
        <stp>P</stp>
        <stp>0</stp>
        <stp>IR</stp>
        <stp>IRSTP1KRW01Y</stp>
        <stp>MID전일대비</stp>
        <stp>20260106</stp>
        <stp/>
        <tr r="T30" s="1"/>
      </tp>
      <tp>
        <v>2.5000000000000001E-2</v>
        <stp/>
        <stp>P</stp>
        <stp>0</stp>
        <stp>IR</stp>
        <stp>IRSTP1KRW01Y</stp>
        <stp>매수전일대비</stp>
        <stp>20260106</stp>
        <stp/>
        <tr r="J3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3:U39"/>
  <sheetViews>
    <sheetView tabSelected="1" workbookViewId="0">
      <selection activeCell="D23" sqref="D23"/>
    </sheetView>
  </sheetViews>
  <sheetFormatPr defaultRowHeight="16.5" x14ac:dyDescent="0.3"/>
  <cols>
    <col min="3" max="3" width="39.125" bestFit="1" customWidth="1"/>
    <col min="4" max="5" width="36.625" bestFit="1" customWidth="1"/>
    <col min="6" max="6" width="34.5" bestFit="1" customWidth="1"/>
    <col min="7" max="7" width="36.625" bestFit="1" customWidth="1"/>
    <col min="8" max="12" width="34.5" bestFit="1" customWidth="1"/>
  </cols>
  <sheetData>
    <row r="3" spans="2:6" x14ac:dyDescent="0.3">
      <c r="B3" s="2"/>
    </row>
    <row r="4" spans="2:6" ht="17.25" x14ac:dyDescent="0.3">
      <c r="C4" s="1">
        <f>_xll.IMDP("STK","N005930","현재가")</f>
        <v>151700</v>
      </c>
      <c r="D4" t="s">
        <v>7</v>
      </c>
    </row>
    <row r="5" spans="2:6" ht="17.25" x14ac:dyDescent="0.3">
      <c r="C5" s="1">
        <f>_xll.IMDP("STK","N005930","현재가","20260102","Fill=true,Real=true")</f>
        <v>129300</v>
      </c>
      <c r="D5" t="s">
        <v>8</v>
      </c>
    </row>
    <row r="6" spans="2:6" x14ac:dyDescent="0.3">
      <c r="C6">
        <f>_xll.IMDP("STK","005930","현재가","20260105")</f>
        <v>138100</v>
      </c>
    </row>
    <row r="7" spans="2:6" x14ac:dyDescent="0.3">
      <c r="C7">
        <f>_xll.IMDP("STK","005930","현재가","20260106")</f>
        <v>138900</v>
      </c>
    </row>
    <row r="8" spans="2:6" x14ac:dyDescent="0.3">
      <c r="C8">
        <f>_xll.IMDP("STK","005930","현재가","20260107")</f>
        <v>141000</v>
      </c>
    </row>
    <row r="13" spans="2:6" x14ac:dyDescent="0.3">
      <c r="C13" s="3" t="s">
        <v>1</v>
      </c>
      <c r="D13" s="3" t="s">
        <v>2</v>
      </c>
      <c r="E13" s="3" t="s">
        <v>3</v>
      </c>
      <c r="F13" s="3" t="s">
        <v>0</v>
      </c>
    </row>
    <row r="14" spans="2:6" x14ac:dyDescent="0.3">
      <c r="C14" s="3" t="s">
        <v>4</v>
      </c>
      <c r="D14" s="3" t="s">
        <v>5</v>
      </c>
      <c r="E14" s="3" t="s">
        <v>6</v>
      </c>
      <c r="F14">
        <f>_xll.IMDP("STK","005930","현재가","20260106")</f>
        <v>138900</v>
      </c>
    </row>
    <row r="15" spans="2:6" x14ac:dyDescent="0.3">
      <c r="C15" s="3" t="s">
        <v>9</v>
      </c>
      <c r="D15" s="3" t="s">
        <v>10</v>
      </c>
      <c r="E15" s="3" t="s">
        <v>11</v>
      </c>
      <c r="F15">
        <f>_xll.IMDP("FRN","LNS:SMT","현재가","20260106")</f>
        <v>1208</v>
      </c>
    </row>
    <row r="16" spans="2:6" x14ac:dyDescent="0.3">
      <c r="C16" s="3" t="s">
        <v>12</v>
      </c>
      <c r="D16" s="3" t="s">
        <v>10</v>
      </c>
      <c r="E16" s="3" t="s">
        <v>13</v>
      </c>
      <c r="F16">
        <f>_xll.IMDP("FRN","NYS:BRK.B","현재가","20260106")</f>
        <v>499.05</v>
      </c>
    </row>
    <row r="17" spans="3:21" x14ac:dyDescent="0.3">
      <c r="C17" s="3" t="s">
        <v>14</v>
      </c>
      <c r="D17" s="3" t="s">
        <v>15</v>
      </c>
      <c r="E17" s="3" t="s">
        <v>16</v>
      </c>
      <c r="F17" t="s">
        <v>19</v>
      </c>
    </row>
    <row r="18" spans="3:21" x14ac:dyDescent="0.3">
      <c r="C18" s="3" t="s">
        <v>17</v>
      </c>
      <c r="D18" s="3" t="s">
        <v>15</v>
      </c>
      <c r="E18" s="3" t="s">
        <v>18</v>
      </c>
      <c r="F18">
        <f>_xll.IMDP("FX","USDSP_SMBCC","현재가","20260106")</f>
        <v>1445.5</v>
      </c>
    </row>
    <row r="21" spans="3:21" x14ac:dyDescent="0.3">
      <c r="C21" s="4" t="s">
        <v>1</v>
      </c>
      <c r="D21" s="4" t="s">
        <v>20</v>
      </c>
      <c r="E21" s="4" t="s">
        <v>21</v>
      </c>
      <c r="F21" s="4" t="s">
        <v>22</v>
      </c>
      <c r="G21" s="4" t="s">
        <v>23</v>
      </c>
      <c r="H21" s="4" t="s">
        <v>24</v>
      </c>
      <c r="I21" s="4" t="s">
        <v>25</v>
      </c>
      <c r="J21" s="4" t="s">
        <v>26</v>
      </c>
      <c r="K21" s="4" t="s">
        <v>27</v>
      </c>
      <c r="L21" s="4" t="s">
        <v>28</v>
      </c>
    </row>
    <row r="22" spans="3:21" x14ac:dyDescent="0.3">
      <c r="C22" s="4" t="s">
        <v>2</v>
      </c>
      <c r="D22" s="4" t="s">
        <v>29</v>
      </c>
      <c r="E22" s="4" t="s">
        <v>29</v>
      </c>
      <c r="F22" s="4" t="s">
        <v>29</v>
      </c>
      <c r="G22" s="4" t="s">
        <v>29</v>
      </c>
      <c r="H22" s="4" t="s">
        <v>29</v>
      </c>
      <c r="I22" s="4" t="s">
        <v>29</v>
      </c>
      <c r="J22" s="4" t="s">
        <v>29</v>
      </c>
      <c r="K22" s="4" t="s">
        <v>29</v>
      </c>
      <c r="L22" s="4" t="s">
        <v>29</v>
      </c>
    </row>
    <row r="23" spans="3:21" x14ac:dyDescent="0.3">
      <c r="C23" s="4" t="s">
        <v>3</v>
      </c>
      <c r="D23" s="4" t="s">
        <v>30</v>
      </c>
      <c r="E23" s="4" t="s">
        <v>31</v>
      </c>
      <c r="F23" s="4" t="s">
        <v>32</v>
      </c>
      <c r="G23" s="4" t="s">
        <v>33</v>
      </c>
      <c r="H23" s="4" t="s">
        <v>34</v>
      </c>
      <c r="I23" s="4" t="s">
        <v>35</v>
      </c>
      <c r="J23" s="4" t="s">
        <v>36</v>
      </c>
      <c r="K23" s="4" t="s">
        <v>37</v>
      </c>
      <c r="L23" s="4" t="s">
        <v>38</v>
      </c>
    </row>
    <row r="26" spans="3:21" x14ac:dyDescent="0.3">
      <c r="C26" s="4" t="s">
        <v>0</v>
      </c>
    </row>
    <row r="29" spans="3:21" x14ac:dyDescent="0.3">
      <c r="C29" s="3" t="s">
        <v>1</v>
      </c>
      <c r="D29" s="3" t="s">
        <v>2</v>
      </c>
      <c r="E29" s="3" t="s">
        <v>3</v>
      </c>
      <c r="F29" s="3" t="s">
        <v>39</v>
      </c>
      <c r="G29" s="3" t="s">
        <v>40</v>
      </c>
      <c r="H29" s="3" t="s">
        <v>41</v>
      </c>
      <c r="I29" s="3" t="s">
        <v>42</v>
      </c>
      <c r="J29" s="3" t="s">
        <v>43</v>
      </c>
      <c r="K29" s="3" t="s">
        <v>44</v>
      </c>
      <c r="L29" s="3" t="s">
        <v>45</v>
      </c>
      <c r="M29" s="3" t="s">
        <v>46</v>
      </c>
      <c r="N29" s="3" t="s">
        <v>47</v>
      </c>
      <c r="O29" s="3" t="s">
        <v>48</v>
      </c>
      <c r="P29" s="3" t="s">
        <v>49</v>
      </c>
      <c r="Q29" s="3" t="s">
        <v>50</v>
      </c>
      <c r="R29" s="3" t="s">
        <v>51</v>
      </c>
      <c r="S29" s="3" t="s">
        <v>52</v>
      </c>
      <c r="T29" s="3" t="s">
        <v>53</v>
      </c>
      <c r="U29" s="3" t="s">
        <v>54</v>
      </c>
    </row>
    <row r="30" spans="3:21" x14ac:dyDescent="0.3">
      <c r="C30" s="3" t="s">
        <v>22</v>
      </c>
      <c r="D30" s="3" t="s">
        <v>29</v>
      </c>
      <c r="E30" s="3" t="s">
        <v>32</v>
      </c>
      <c r="F30">
        <f>_xll.IMDP("IR","IRSTP1KRW01Y","매수시가","20260106")</f>
        <v>2.71</v>
      </c>
      <c r="G30">
        <f>_xll.IMDP("IR","IRSTP1KRW01Y","매수고가","20260106")</f>
        <v>2.7349999999999999</v>
      </c>
      <c r="H30">
        <f>_xll.IMDP("IR","IRSTP1KRW01Y","매수저가","20260106")</f>
        <v>2.7050000000000001</v>
      </c>
      <c r="I30">
        <f>_xll.IMDP("IR","IRSTP1KRW01Y","매수종가","20260106")</f>
        <v>2.7349999999999999</v>
      </c>
      <c r="J30">
        <f>_xll.IMDP("IR","IRSTP1KRW01Y","매수전일대비","20260106")</f>
        <v>2.5000000000000001E-2</v>
      </c>
      <c r="K30">
        <f>_xll.IMDP("IR","IRSTP1KRW01Y","매도시가","20260106")</f>
        <v>2.74</v>
      </c>
      <c r="L30">
        <f>_xll.IMDP("IR","IRSTP1KRW01Y","매도고가","20260106")</f>
        <v>2.7650000000000001</v>
      </c>
      <c r="M30">
        <f>_xll.IMDP("IR","IRSTP1KRW01Y","매도저가","20260106")</f>
        <v>2.74</v>
      </c>
      <c r="N30">
        <f>_xll.IMDP("IR","IRSTP1KRW01Y","매도종가","20260106")</f>
        <v>2.7650000000000001</v>
      </c>
      <c r="O30">
        <f>_xll.IMDP("IR","IRSTP1KRW01Y","매도전일대비","20260106")</f>
        <v>2.5000000000000001E-2</v>
      </c>
      <c r="P30">
        <f>_xll.IMDP("IR","IRSTP1KRW01Y","MID시가","20260106")</f>
        <v>2.7250000000000001</v>
      </c>
      <c r="Q30">
        <f>_xll.IMDP("IR","IRSTP1KRW01Y","MID고가","20260106")</f>
        <v>2.75</v>
      </c>
      <c r="R30">
        <f>_xll.IMDP("IR","IRSTP1KRW01Y","MID저가","20260106")</f>
        <v>2.7225000000000001</v>
      </c>
      <c r="S30">
        <f>_xll.IMDP("IR","IRSTP1KRW01Y","MID종가","20260106")</f>
        <v>2.75</v>
      </c>
      <c r="T30">
        <f>_xll.IMDP("IR","IRSTP1KRW01Y","MID전일대비","20260106")</f>
        <v>2.5000000000000001E-2</v>
      </c>
      <c r="U30">
        <f>_xll.IMDP("IR","IRSTP1KRW01Y","스프레드","20260106")</f>
        <v>0.03</v>
      </c>
    </row>
    <row r="33" spans="3:7" x14ac:dyDescent="0.3">
      <c r="C33" t="s">
        <v>55</v>
      </c>
      <c r="D33" t="s">
        <v>56</v>
      </c>
      <c r="E33" t="s">
        <v>57</v>
      </c>
      <c r="F33" t="s">
        <v>58</v>
      </c>
      <c r="G33" t="s">
        <v>59</v>
      </c>
    </row>
    <row r="34" spans="3:7" x14ac:dyDescent="0.3">
      <c r="C34" t="s">
        <v>60</v>
      </c>
      <c r="D34" t="s">
        <v>61</v>
      </c>
      <c r="E34" t="s">
        <v>29</v>
      </c>
      <c r="F34" t="s">
        <v>62</v>
      </c>
      <c r="G34" t="s">
        <v>52</v>
      </c>
    </row>
    <row r="37" spans="3:7" x14ac:dyDescent="0.3">
      <c r="C37" t="s">
        <v>64</v>
      </c>
    </row>
    <row r="38" spans="3:7" x14ac:dyDescent="0.3">
      <c r="C38" t="s">
        <v>63</v>
      </c>
    </row>
    <row r="39" spans="3:7" x14ac:dyDescent="0.3">
      <c r="C39" t="s">
        <v>65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hangseob cho</dc:creator>
  <cp:lastModifiedBy>hangseob cho</cp:lastModifiedBy>
  <dcterms:created xsi:type="dcterms:W3CDTF">2015-06-05T18:19:34Z</dcterms:created>
  <dcterms:modified xsi:type="dcterms:W3CDTF">2026-01-24T05:43:45Z</dcterms:modified>
</cp:coreProperties>
</file>