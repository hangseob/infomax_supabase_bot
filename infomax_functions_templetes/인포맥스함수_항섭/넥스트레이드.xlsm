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infomax_supabase_bot\infomax_functions_templetes\인포맥스함수_항섭\"/>
    </mc:Choice>
  </mc:AlternateContent>
  <xr:revisionPtr revIDLastSave="0" documentId="13_ncr:1_{4B73C605-806B-4F18-A2E7-3D9E91F27789}" xr6:coauthVersionLast="36" xr6:coauthVersionMax="36" xr10:uidLastSave="{00000000-0000-0000-0000-000000000000}"/>
  <bookViews>
    <workbookView xWindow="0" yWindow="0" windowWidth="28800" windowHeight="14205" xr2:uid="{C916E7E1-563E-4FDE-ABBE-63DBEC78237A}"/>
  </bookViews>
  <sheets>
    <sheet name="거래소" sheetId="3" r:id="rId1"/>
    <sheet name="거래소 코드닥 합계" sheetId="1" r:id="rId2"/>
    <sheet name="text복사 거래소 코스닥 합계" sheetId="2" r:id="rId3"/>
    <sheet name="text복사 거래소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" l="1"/>
  <c r="I27" i="1"/>
  <c r="I78" i="1"/>
  <c r="I91" i="1"/>
  <c r="I142" i="1"/>
  <c r="I155" i="1"/>
  <c r="I179" i="1"/>
  <c r="I205" i="1"/>
  <c r="I226" i="1"/>
  <c r="I40" i="1"/>
  <c r="I53" i="1"/>
  <c r="I104" i="1"/>
  <c r="I117" i="1"/>
  <c r="I177" i="1"/>
  <c r="I184" i="1"/>
  <c r="I30" i="1"/>
  <c r="I43" i="1"/>
  <c r="I94" i="1"/>
  <c r="I107" i="1"/>
  <c r="I158" i="1"/>
  <c r="I163" i="1"/>
  <c r="I170" i="1"/>
  <c r="I20" i="1"/>
  <c r="I33" i="1"/>
  <c r="I84" i="1"/>
  <c r="I97" i="1"/>
  <c r="I148" i="1"/>
  <c r="I36" i="1"/>
  <c r="I49" i="1"/>
  <c r="I100" i="1"/>
  <c r="I113" i="1"/>
  <c r="I159" i="1"/>
  <c r="I202" i="1"/>
  <c r="I221" i="1"/>
  <c r="I252" i="1"/>
  <c r="I12" i="1"/>
  <c r="I79" i="1"/>
  <c r="I106" i="1"/>
  <c r="I220" i="1"/>
  <c r="I233" i="1"/>
  <c r="I248" i="1"/>
  <c r="I271" i="1"/>
  <c r="I31" i="1"/>
  <c r="I37" i="1"/>
  <c r="I46" i="1"/>
  <c r="I52" i="1"/>
  <c r="I140" i="1"/>
  <c r="I161" i="1"/>
  <c r="I216" i="1"/>
  <c r="I77" i="1"/>
  <c r="I83" i="1"/>
  <c r="I92" i="1"/>
  <c r="I98" i="1"/>
  <c r="I164" i="1"/>
  <c r="I175" i="1"/>
  <c r="I41" i="1"/>
  <c r="I47" i="1"/>
  <c r="I56" i="1"/>
  <c r="I62" i="1"/>
  <c r="I68" i="1"/>
  <c r="I135" i="1"/>
  <c r="I23" i="1"/>
  <c r="I29" i="1"/>
  <c r="I35" i="1"/>
  <c r="I38" i="1"/>
  <c r="I44" i="1"/>
  <c r="I50" i="1"/>
  <c r="I198" i="1"/>
  <c r="I270" i="1"/>
  <c r="I301" i="1"/>
  <c r="I303" i="1"/>
  <c r="I305" i="1"/>
  <c r="I307" i="1"/>
  <c r="I309" i="1"/>
  <c r="I311" i="1"/>
  <c r="I313" i="1"/>
  <c r="I315" i="1"/>
  <c r="I317" i="1"/>
  <c r="I319" i="1"/>
  <c r="I321" i="1"/>
  <c r="I323" i="1"/>
  <c r="I325" i="1"/>
  <c r="I327" i="1"/>
  <c r="I66" i="1"/>
  <c r="I133" i="1"/>
  <c r="I139" i="1"/>
  <c r="I145" i="1"/>
  <c r="I157" i="1"/>
  <c r="I176" i="1"/>
  <c r="I189" i="1"/>
  <c r="I208" i="1"/>
  <c r="I256" i="1"/>
  <c r="I285" i="1"/>
  <c r="I6" i="1"/>
  <c r="I25" i="1"/>
  <c r="I81" i="1"/>
  <c r="I111" i="1"/>
  <c r="I200" i="1"/>
  <c r="I250" i="1"/>
  <c r="I257" i="1"/>
  <c r="I273" i="1"/>
  <c r="I22" i="1"/>
  <c r="I26" i="1"/>
  <c r="I138" i="1"/>
  <c r="I153" i="1"/>
  <c r="I180" i="1"/>
  <c r="I246" i="1"/>
  <c r="I75" i="1"/>
  <c r="I101" i="1"/>
  <c r="I105" i="1"/>
  <c r="I131" i="1"/>
  <c r="I167" i="1"/>
  <c r="I201" i="1"/>
  <c r="I217" i="1"/>
  <c r="I232" i="1"/>
  <c r="I64" i="1"/>
  <c r="I109" i="1"/>
  <c r="I174" i="1"/>
  <c r="I187" i="1"/>
  <c r="I190" i="1"/>
  <c r="I193" i="1"/>
  <c r="I204" i="1"/>
  <c r="I237" i="1"/>
  <c r="I281" i="1"/>
  <c r="I350" i="1"/>
  <c r="I383" i="1"/>
  <c r="I150" i="1"/>
  <c r="I171" i="1"/>
  <c r="I181" i="1"/>
  <c r="I230" i="1"/>
  <c r="I297" i="1"/>
  <c r="I306" i="1"/>
  <c r="I348" i="1"/>
  <c r="I55" i="1"/>
  <c r="I95" i="1"/>
  <c r="I108" i="1"/>
  <c r="I188" i="1"/>
  <c r="I211" i="1"/>
  <c r="I69" i="1"/>
  <c r="I169" i="1"/>
  <c r="I254" i="1"/>
  <c r="I39" i="1"/>
  <c r="I74" i="1"/>
  <c r="I162" i="1"/>
  <c r="I178" i="1"/>
  <c r="I196" i="1"/>
  <c r="I212" i="1"/>
  <c r="I241" i="1"/>
  <c r="I8" i="1"/>
  <c r="I17" i="1"/>
  <c r="I57" i="1"/>
  <c r="I132" i="1"/>
  <c r="I182" i="1"/>
  <c r="I209" i="1"/>
  <c r="I244" i="1"/>
  <c r="I260" i="1"/>
  <c r="I151" i="1"/>
  <c r="I183" i="1"/>
  <c r="I213" i="1"/>
  <c r="I258" i="1"/>
  <c r="I286" i="1"/>
  <c r="I291" i="1"/>
  <c r="I310" i="1"/>
  <c r="I326" i="1"/>
  <c r="I337" i="1"/>
  <c r="I389" i="1"/>
  <c r="I391" i="1"/>
  <c r="I393" i="1"/>
  <c r="I395" i="1"/>
  <c r="I397" i="1"/>
  <c r="I80" i="1"/>
  <c r="I120" i="1"/>
  <c r="I73" i="1"/>
  <c r="I122" i="1"/>
  <c r="I264" i="1"/>
  <c r="I298" i="1"/>
  <c r="I363" i="1"/>
  <c r="I160" i="1"/>
  <c r="I165" i="1"/>
  <c r="I229" i="1"/>
  <c r="I236" i="1"/>
  <c r="I255" i="1"/>
  <c r="I308" i="1"/>
  <c r="I336" i="1"/>
  <c r="I345" i="1"/>
  <c r="I90" i="1"/>
  <c r="I192" i="1"/>
  <c r="I276" i="1"/>
  <c r="I279" i="1"/>
  <c r="I293" i="1"/>
  <c r="I361" i="1"/>
  <c r="I370" i="1"/>
  <c r="I381" i="1"/>
  <c r="I7" i="1"/>
  <c r="I13" i="1"/>
  <c r="I24" i="1"/>
  <c r="I63" i="1"/>
  <c r="I85" i="1"/>
  <c r="I123" i="1"/>
  <c r="I112" i="1"/>
  <c r="I320" i="1"/>
  <c r="I352" i="1"/>
  <c r="I398" i="1"/>
  <c r="I400" i="1"/>
  <c r="I402" i="1"/>
  <c r="I404" i="1"/>
  <c r="I406" i="1"/>
  <c r="I408" i="1"/>
  <c r="I410" i="1"/>
  <c r="I412" i="1"/>
  <c r="I414" i="1"/>
  <c r="I416" i="1"/>
  <c r="I166" i="1"/>
  <c r="I197" i="1"/>
  <c r="I243" i="1"/>
  <c r="I262" i="1"/>
  <c r="I318" i="1"/>
  <c r="I332" i="1"/>
  <c r="I341" i="1"/>
  <c r="I357" i="1"/>
  <c r="I388" i="1"/>
  <c r="I119" i="1"/>
  <c r="I141" i="1"/>
  <c r="I146" i="1"/>
  <c r="I277" i="1"/>
  <c r="I364" i="1"/>
  <c r="I15" i="1"/>
  <c r="I32" i="1"/>
  <c r="I76" i="1"/>
  <c r="I114" i="1"/>
  <c r="I147" i="1"/>
  <c r="I234" i="1"/>
  <c r="I283" i="1"/>
  <c r="I294" i="1"/>
  <c r="I136" i="1"/>
  <c r="I152" i="1"/>
  <c r="I247" i="1"/>
  <c r="I302" i="1"/>
  <c r="I362" i="1"/>
  <c r="I235" i="1"/>
  <c r="I266" i="1"/>
  <c r="I343" i="1"/>
  <c r="I365" i="1"/>
  <c r="I430" i="1"/>
  <c r="I483" i="1"/>
  <c r="I494" i="1"/>
  <c r="I509" i="1"/>
  <c r="I541" i="1"/>
  <c r="I575" i="1"/>
  <c r="I606" i="1"/>
  <c r="I608" i="1"/>
  <c r="I610" i="1"/>
  <c r="I612" i="1"/>
  <c r="I614" i="1"/>
  <c r="I616" i="1"/>
  <c r="I618" i="1"/>
  <c r="I620" i="1"/>
  <c r="I622" i="1"/>
  <c r="I624" i="1"/>
  <c r="I626" i="1"/>
  <c r="I628" i="1"/>
  <c r="I630" i="1"/>
  <c r="I632" i="1"/>
  <c r="I634" i="1"/>
  <c r="I636" i="1"/>
  <c r="I638" i="1"/>
  <c r="I640" i="1"/>
  <c r="I642" i="1"/>
  <c r="I644" i="1"/>
  <c r="I646" i="1"/>
  <c r="I648" i="1"/>
  <c r="I650" i="1"/>
  <c r="I652" i="1"/>
  <c r="I654" i="1"/>
  <c r="I656" i="1"/>
  <c r="I658" i="1"/>
  <c r="I660" i="1"/>
  <c r="I662" i="1"/>
  <c r="I664" i="1"/>
  <c r="I666" i="1"/>
  <c r="I668" i="1"/>
  <c r="I670" i="1"/>
  <c r="I672" i="1"/>
  <c r="I674" i="1"/>
  <c r="I676" i="1"/>
  <c r="I678" i="1"/>
  <c r="I680" i="1"/>
  <c r="I682" i="1"/>
  <c r="I684" i="1"/>
  <c r="I686" i="1"/>
  <c r="I688" i="1"/>
  <c r="I690" i="1"/>
  <c r="I692" i="1"/>
  <c r="I694" i="1"/>
  <c r="I696" i="1"/>
  <c r="I16" i="1"/>
  <c r="I88" i="1"/>
  <c r="I96" i="1"/>
  <c r="I231" i="1"/>
  <c r="I240" i="1"/>
  <c r="I421" i="1"/>
  <c r="I428" i="1"/>
  <c r="I481" i="1"/>
  <c r="I492" i="1"/>
  <c r="I127" i="1"/>
  <c r="I249" i="1"/>
  <c r="I290" i="1"/>
  <c r="I334" i="1"/>
  <c r="I353" i="1"/>
  <c r="I459" i="1"/>
  <c r="I470" i="1"/>
  <c r="I65" i="1"/>
  <c r="I143" i="1"/>
  <c r="I195" i="1"/>
  <c r="I206" i="1"/>
  <c r="I384" i="1"/>
  <c r="I401" i="1"/>
  <c r="I437" i="1"/>
  <c r="I448" i="1"/>
  <c r="I356" i="1"/>
  <c r="I387" i="1"/>
  <c r="I390" i="1"/>
  <c r="I426" i="1"/>
  <c r="I479" i="1"/>
  <c r="I490" i="1"/>
  <c r="I503" i="1"/>
  <c r="I89" i="1"/>
  <c r="I328" i="1"/>
  <c r="I375" i="1"/>
  <c r="I378" i="1"/>
  <c r="I457" i="1"/>
  <c r="I9" i="1"/>
  <c r="I121" i="1"/>
  <c r="I128" i="1"/>
  <c r="I263" i="1"/>
  <c r="I344" i="1"/>
  <c r="I369" i="1"/>
  <c r="I419" i="1"/>
  <c r="I435" i="1"/>
  <c r="I446" i="1"/>
  <c r="I60" i="1"/>
  <c r="I268" i="1"/>
  <c r="I272" i="1"/>
  <c r="I280" i="1"/>
  <c r="I288" i="1"/>
  <c r="I351" i="1"/>
  <c r="I429" i="1"/>
  <c r="I440" i="1"/>
  <c r="I493" i="1"/>
  <c r="I508" i="1"/>
  <c r="I540" i="1"/>
  <c r="I572" i="1"/>
  <c r="I605" i="1"/>
  <c r="I354" i="1"/>
  <c r="I373" i="1"/>
  <c r="I385" i="1"/>
  <c r="I394" i="1"/>
  <c r="I471" i="1"/>
  <c r="I482" i="1"/>
  <c r="I523" i="1"/>
  <c r="I555" i="1"/>
  <c r="I603" i="1"/>
  <c r="I210" i="1"/>
  <c r="I300" i="1"/>
  <c r="I452" i="1"/>
  <c r="I473" i="1"/>
  <c r="I515" i="1"/>
  <c r="I576" i="1"/>
  <c r="I592" i="1"/>
  <c r="I693" i="1"/>
  <c r="I203" i="1"/>
  <c r="I86" i="1"/>
  <c r="I380" i="1"/>
  <c r="I54" i="1"/>
  <c r="I87" i="1"/>
  <c r="I130" i="1"/>
  <c r="I314" i="1"/>
  <c r="I376" i="1"/>
  <c r="I418" i="1"/>
  <c r="I431" i="1"/>
  <c r="I534" i="1"/>
  <c r="I583" i="1"/>
  <c r="I238" i="1"/>
  <c r="I434" i="1"/>
  <c r="I476" i="1"/>
  <c r="I567" i="1"/>
  <c r="I21" i="1"/>
  <c r="I99" i="1"/>
  <c r="I218" i="1"/>
  <c r="I372" i="1"/>
  <c r="I411" i="1"/>
  <c r="I501" i="1"/>
  <c r="I520" i="1"/>
  <c r="I527" i="1"/>
  <c r="I553" i="1"/>
  <c r="I560" i="1"/>
  <c r="I574" i="1"/>
  <c r="I10" i="1"/>
  <c r="I296" i="1"/>
  <c r="I415" i="1"/>
  <c r="I506" i="1"/>
  <c r="I513" i="1"/>
  <c r="I110" i="1"/>
  <c r="I225" i="1"/>
  <c r="I346" i="1"/>
  <c r="I359" i="1"/>
  <c r="I425" i="1"/>
  <c r="I462" i="1"/>
  <c r="I465" i="1"/>
  <c r="I468" i="1"/>
  <c r="I496" i="1"/>
  <c r="I539" i="1"/>
  <c r="I546" i="1"/>
  <c r="I45" i="1"/>
  <c r="I67" i="1"/>
  <c r="I172" i="1"/>
  <c r="I219" i="1"/>
  <c r="I269" i="1"/>
  <c r="I274" i="1"/>
  <c r="I342" i="1"/>
  <c r="I355" i="1"/>
  <c r="I368" i="1"/>
  <c r="I453" i="1"/>
  <c r="I532" i="1"/>
  <c r="I245" i="1"/>
  <c r="I251" i="1"/>
  <c r="I275" i="1"/>
  <c r="I422" i="1"/>
  <c r="I456" i="1"/>
  <c r="I565" i="1"/>
  <c r="I11" i="1"/>
  <c r="I34" i="1"/>
  <c r="I154" i="1"/>
  <c r="I58" i="1"/>
  <c r="I144" i="1"/>
  <c r="I173" i="1"/>
  <c r="I227" i="1"/>
  <c r="I239" i="1"/>
  <c r="I292" i="1"/>
  <c r="I316" i="1"/>
  <c r="I102" i="1"/>
  <c r="I191" i="1"/>
  <c r="I199" i="1"/>
  <c r="I502" i="1"/>
  <c r="I521" i="1"/>
  <c r="I528" i="1"/>
  <c r="I609" i="1"/>
  <c r="I659" i="1"/>
  <c r="I156" i="1"/>
  <c r="I70" i="1"/>
  <c r="I82" i="1"/>
  <c r="I103" i="1"/>
  <c r="I115" i="1"/>
  <c r="I125" i="1"/>
  <c r="I207" i="1"/>
  <c r="I214" i="1"/>
  <c r="I228" i="1"/>
  <c r="I265" i="1"/>
  <c r="I312" i="1"/>
  <c r="I330" i="1"/>
  <c r="I463" i="1"/>
  <c r="I469" i="1"/>
  <c r="I497" i="1"/>
  <c r="I554" i="1"/>
  <c r="I561" i="1"/>
  <c r="I591" i="1"/>
  <c r="I657" i="1"/>
  <c r="I48" i="1"/>
  <c r="I93" i="1"/>
  <c r="I137" i="1"/>
  <c r="I222" i="1"/>
  <c r="I399" i="1"/>
  <c r="I433" i="1"/>
  <c r="I126" i="1"/>
  <c r="I242" i="1"/>
  <c r="I282" i="1"/>
  <c r="I329" i="1"/>
  <c r="I349" i="1"/>
  <c r="I486" i="1"/>
  <c r="I522" i="1"/>
  <c r="I124" i="1"/>
  <c r="I512" i="1"/>
  <c r="I519" i="1"/>
  <c r="I585" i="1"/>
  <c r="I649" i="1"/>
  <c r="I409" i="1"/>
  <c r="I529" i="1"/>
  <c r="I536" i="1"/>
  <c r="I615" i="1"/>
  <c r="I42" i="1"/>
  <c r="I71" i="1"/>
  <c r="I194" i="1"/>
  <c r="I371" i="1"/>
  <c r="I403" i="1"/>
  <c r="I443" i="1"/>
  <c r="I526" i="1"/>
  <c r="I637" i="1"/>
  <c r="I665" i="1"/>
  <c r="I681" i="1"/>
  <c r="I72" i="1"/>
  <c r="I304" i="1"/>
  <c r="I149" i="1"/>
  <c r="I322" i="1"/>
  <c r="I420" i="1"/>
  <c r="I466" i="1"/>
  <c r="I516" i="1"/>
  <c r="I550" i="1"/>
  <c r="I625" i="1"/>
  <c r="I259" i="1"/>
  <c r="I379" i="1"/>
  <c r="I129" i="1"/>
  <c r="I215" i="1"/>
  <c r="I284" i="1"/>
  <c r="I295" i="1"/>
  <c r="I358" i="1"/>
  <c r="I366" i="1"/>
  <c r="I392" i="1"/>
  <c r="I495" i="1"/>
  <c r="I499" i="1"/>
  <c r="I537" i="1"/>
  <c r="I613" i="1"/>
  <c r="I695" i="1"/>
  <c r="I18" i="1"/>
  <c r="I338" i="1"/>
  <c r="I19" i="1"/>
  <c r="I331" i="1"/>
  <c r="I544" i="1"/>
  <c r="I551" i="1"/>
  <c r="I571" i="1"/>
  <c r="I287" i="1"/>
  <c r="I360" i="1"/>
  <c r="I405" i="1"/>
  <c r="I475" i="1"/>
  <c r="I596" i="1"/>
  <c r="I601" i="1"/>
  <c r="I623" i="1"/>
  <c r="I661" i="1"/>
  <c r="I677" i="1"/>
  <c r="I51" i="1"/>
  <c r="I324" i="1"/>
  <c r="I458" i="1"/>
  <c r="I586" i="1"/>
  <c r="I339" i="1"/>
  <c r="I134" i="1"/>
  <c r="I454" i="1"/>
  <c r="I467" i="1"/>
  <c r="I633" i="1"/>
  <c r="I675" i="1"/>
  <c r="I691" i="1"/>
  <c r="I374" i="1"/>
  <c r="I524" i="1"/>
  <c r="I581" i="1"/>
  <c r="I599" i="1"/>
  <c r="I604" i="1"/>
  <c r="I621" i="1"/>
  <c r="I185" i="1"/>
  <c r="I299" i="1"/>
  <c r="I333" i="1"/>
  <c r="I347" i="1"/>
  <c r="I417" i="1"/>
  <c r="I427" i="1"/>
  <c r="I450" i="1"/>
  <c r="I480" i="1"/>
  <c r="I514" i="1"/>
  <c r="I472" i="1"/>
  <c r="I511" i="1"/>
  <c r="I545" i="1"/>
  <c r="I584" i="1"/>
  <c r="I631" i="1"/>
  <c r="I655" i="1"/>
  <c r="I61" i="1"/>
  <c r="I340" i="1"/>
  <c r="I432" i="1"/>
  <c r="I455" i="1"/>
  <c r="I518" i="1"/>
  <c r="I552" i="1"/>
  <c r="I562" i="1"/>
  <c r="I223" i="1"/>
  <c r="I253" i="1"/>
  <c r="I396" i="1"/>
  <c r="I442" i="1"/>
  <c r="I460" i="1"/>
  <c r="I477" i="1"/>
  <c r="I542" i="1"/>
  <c r="I549" i="1"/>
  <c r="I587" i="1"/>
  <c r="I629" i="1"/>
  <c r="I653" i="1"/>
  <c r="I168" i="1"/>
  <c r="I278" i="1"/>
  <c r="I407" i="1"/>
  <c r="I423" i="1"/>
  <c r="I447" i="1"/>
  <c r="I28" i="1"/>
  <c r="I444" i="1"/>
  <c r="I505" i="1"/>
  <c r="I647" i="1"/>
  <c r="I118" i="1"/>
  <c r="I627" i="1"/>
  <c r="I663" i="1"/>
  <c r="I224" i="1"/>
  <c r="I504" i="1"/>
  <c r="I559" i="1"/>
  <c r="I617" i="1"/>
  <c r="I487" i="1"/>
  <c r="I577" i="1"/>
  <c r="I566" i="1"/>
  <c r="I461" i="1"/>
  <c r="I533" i="1"/>
  <c r="I186" i="1"/>
  <c r="I489" i="1"/>
  <c r="I588" i="1"/>
  <c r="I597" i="1"/>
  <c r="I643" i="1"/>
  <c r="I116" i="1"/>
  <c r="I413" i="1"/>
  <c r="I669" i="1"/>
  <c r="I424" i="1"/>
  <c r="I498" i="1"/>
  <c r="I548" i="1"/>
  <c r="I573" i="1"/>
  <c r="I651" i="1"/>
  <c r="I685" i="1"/>
  <c r="I445" i="1"/>
  <c r="I464" i="1"/>
  <c r="I635" i="1"/>
  <c r="I639" i="1"/>
  <c r="I535" i="1"/>
  <c r="I568" i="1"/>
  <c r="I579" i="1"/>
  <c r="I593" i="1"/>
  <c r="I602" i="1"/>
  <c r="I386" i="1"/>
  <c r="I491" i="1"/>
  <c r="I507" i="1"/>
  <c r="I589" i="1"/>
  <c r="I619" i="1"/>
  <c r="I436" i="1"/>
  <c r="I556" i="1"/>
  <c r="I598" i="1"/>
  <c r="I611" i="1"/>
  <c r="I478" i="1"/>
  <c r="I367" i="1"/>
  <c r="I474" i="1"/>
  <c r="I500" i="1"/>
  <c r="I607" i="1"/>
  <c r="I671" i="1"/>
  <c r="I335" i="1"/>
  <c r="I594" i="1"/>
  <c r="I667" i="1"/>
  <c r="I451" i="1"/>
  <c r="I267" i="1"/>
  <c r="I377" i="1"/>
  <c r="I580" i="1"/>
  <c r="I679" i="1"/>
  <c r="I59" i="1"/>
  <c r="I563" i="1"/>
  <c r="I438" i="1"/>
  <c r="I543" i="1"/>
  <c r="I569" i="1"/>
  <c r="I595" i="1"/>
  <c r="I484" i="1"/>
  <c r="I687" i="1"/>
  <c r="I557" i="1"/>
  <c r="I673" i="1"/>
  <c r="I289" i="1"/>
  <c r="I530" i="1"/>
  <c r="I683" i="1"/>
  <c r="I485" i="1"/>
  <c r="I558" i="1"/>
  <c r="I590" i="1"/>
  <c r="I645" i="1"/>
  <c r="I538" i="1"/>
  <c r="I510" i="1"/>
  <c r="I600" i="1"/>
  <c r="I488" i="1"/>
  <c r="I547" i="1"/>
  <c r="I578" i="1"/>
  <c r="I382" i="1"/>
  <c r="I439" i="1"/>
  <c r="I449" i="1"/>
  <c r="I564" i="1"/>
  <c r="I570" i="1"/>
  <c r="I641" i="1"/>
  <c r="I517" i="1"/>
  <c r="I531" i="1"/>
  <c r="I261" i="1"/>
  <c r="I582" i="1"/>
  <c r="I689" i="1"/>
  <c r="I525" i="1"/>
  <c r="I441" i="1"/>
  <c r="F357" i="3"/>
  <c r="F348" i="3"/>
  <c r="F103" i="3"/>
  <c r="F39" i="3"/>
  <c r="F285" i="3"/>
  <c r="F187" i="3"/>
  <c r="F258" i="3"/>
  <c r="F198" i="3"/>
  <c r="F62" i="3"/>
  <c r="F261" i="3"/>
  <c r="F84" i="3"/>
  <c r="F80" i="3"/>
  <c r="F123" i="3"/>
  <c r="F18" i="3"/>
  <c r="F92" i="3"/>
  <c r="F293" i="3"/>
  <c r="F342" i="1"/>
  <c r="F456" i="1"/>
  <c r="F582" i="1"/>
  <c r="F317" i="1"/>
  <c r="F522" i="1"/>
  <c r="F203" i="1"/>
  <c r="F98" i="1"/>
  <c r="F215" i="1"/>
  <c r="F365" i="1"/>
  <c r="F646" i="1"/>
  <c r="F93" i="1"/>
  <c r="F687" i="1"/>
  <c r="F368" i="1"/>
  <c r="F17" i="1"/>
  <c r="F126" i="1"/>
  <c r="F594" i="1"/>
  <c r="F275" i="1"/>
  <c r="F323" i="1"/>
  <c r="F122" i="1"/>
  <c r="F134" i="1"/>
  <c r="F379" i="1"/>
  <c r="F376" i="3"/>
  <c r="F337" i="3"/>
  <c r="F101" i="3"/>
  <c r="F37" i="3"/>
  <c r="F372" i="3"/>
  <c r="F244" i="3"/>
  <c r="F163" i="3"/>
  <c r="S163" i="3" s="1"/>
  <c r="F208" i="3"/>
  <c r="F139" i="3"/>
  <c r="F110" i="3"/>
  <c r="F365" i="3"/>
  <c r="F6" i="3"/>
  <c r="S103" i="3"/>
  <c r="F225" i="3"/>
  <c r="F694" i="1"/>
  <c r="F488" i="1"/>
  <c r="F9" i="1"/>
  <c r="F222" i="1"/>
  <c r="F554" i="1"/>
  <c r="F235" i="1"/>
  <c r="F483" i="1"/>
  <c r="F599" i="1"/>
  <c r="F397" i="1"/>
  <c r="F14" i="1"/>
  <c r="F542" i="1"/>
  <c r="F52" i="1"/>
  <c r="F400" i="1"/>
  <c r="F49" i="1"/>
  <c r="F319" i="1"/>
  <c r="F626" i="1"/>
  <c r="F307" i="1"/>
  <c r="F579" i="1"/>
  <c r="F186" i="1"/>
  <c r="F518" i="1"/>
  <c r="F28" i="1"/>
  <c r="S342" i="1"/>
  <c r="R456" i="1"/>
  <c r="R582" i="1"/>
  <c r="S317" i="1"/>
  <c r="R522" i="1"/>
  <c r="R203" i="1"/>
  <c r="S98" i="1"/>
  <c r="S215" i="1"/>
  <c r="R365" i="1"/>
  <c r="S646" i="1"/>
  <c r="S93" i="1"/>
  <c r="R687" i="1"/>
  <c r="S368" i="1"/>
  <c r="S17" i="1"/>
  <c r="R126" i="1"/>
  <c r="S594" i="1"/>
  <c r="S275" i="1"/>
  <c r="S323" i="1"/>
  <c r="S122" i="1"/>
  <c r="R134" i="1"/>
  <c r="S379" i="1"/>
  <c r="F359" i="3"/>
  <c r="F314" i="3"/>
  <c r="F99" i="3"/>
  <c r="F35" i="3"/>
  <c r="F179" i="3"/>
  <c r="R179" i="3" s="1"/>
  <c r="F228" i="3"/>
  <c r="F98" i="3"/>
  <c r="F120" i="3"/>
  <c r="F143" i="3"/>
  <c r="S143" i="3" s="1"/>
  <c r="F36" i="3"/>
  <c r="F290" i="3"/>
  <c r="S123" i="3"/>
  <c r="F151" i="1"/>
  <c r="F520" i="1"/>
  <c r="F41" i="1"/>
  <c r="F574" i="1"/>
  <c r="F586" i="1"/>
  <c r="F267" i="1"/>
  <c r="F36" i="1"/>
  <c r="F283" i="1"/>
  <c r="F429" i="1"/>
  <c r="F46" i="1"/>
  <c r="F31" i="1"/>
  <c r="F405" i="1"/>
  <c r="F432" i="1"/>
  <c r="F81" i="1"/>
  <c r="F575" i="1"/>
  <c r="F658" i="1"/>
  <c r="F339" i="1"/>
  <c r="F228" i="1"/>
  <c r="F250" i="1"/>
  <c r="F25" i="1"/>
  <c r="F508" i="1"/>
  <c r="R342" i="1"/>
  <c r="S456" i="1"/>
  <c r="S582" i="1"/>
  <c r="R317" i="1"/>
  <c r="S522" i="1"/>
  <c r="S203" i="1"/>
  <c r="R98" i="1"/>
  <c r="R215" i="1"/>
  <c r="S365" i="1"/>
  <c r="R646" i="1"/>
  <c r="R93" i="1"/>
  <c r="S687" i="1"/>
  <c r="R368" i="1"/>
  <c r="R17" i="1"/>
  <c r="S126" i="1"/>
  <c r="R594" i="1"/>
  <c r="R275" i="1"/>
  <c r="R323" i="1"/>
  <c r="R122" i="1"/>
  <c r="S134" i="1"/>
  <c r="R379" i="1"/>
  <c r="F377" i="3"/>
  <c r="F281" i="3"/>
  <c r="S281" i="3" s="1"/>
  <c r="F97" i="3"/>
  <c r="F33" i="3"/>
  <c r="S376" i="3"/>
  <c r="F212" i="3"/>
  <c r="F158" i="3"/>
  <c r="F102" i="3"/>
  <c r="F298" i="3"/>
  <c r="F124" i="3"/>
  <c r="F28" i="3"/>
  <c r="F241" i="3"/>
  <c r="F32" i="3"/>
  <c r="F66" i="3"/>
  <c r="F230" i="3"/>
  <c r="F503" i="1"/>
  <c r="F552" i="1"/>
  <c r="F73" i="1"/>
  <c r="F255" i="1"/>
  <c r="F618" i="1"/>
  <c r="F299" i="1"/>
  <c r="F613" i="1"/>
  <c r="F284" i="1"/>
  <c r="F461" i="1"/>
  <c r="F78" i="1"/>
  <c r="F544" i="1"/>
  <c r="F22" i="1"/>
  <c r="F464" i="1"/>
  <c r="F113" i="1"/>
  <c r="F288" i="1"/>
  <c r="F690" i="1"/>
  <c r="F371" i="1"/>
  <c r="F357" i="1"/>
  <c r="F314" i="1"/>
  <c r="F57" i="1"/>
  <c r="F221" i="1"/>
  <c r="S694" i="1"/>
  <c r="R488" i="1"/>
  <c r="S9" i="1"/>
  <c r="S222" i="1"/>
  <c r="S554" i="1"/>
  <c r="R235" i="1"/>
  <c r="S483" i="1"/>
  <c r="S599" i="1"/>
  <c r="R397" i="1"/>
  <c r="S14" i="1"/>
  <c r="S542" i="1"/>
  <c r="S52" i="1"/>
  <c r="S400" i="1"/>
  <c r="S49" i="1"/>
  <c r="R319" i="1"/>
  <c r="S626" i="1"/>
  <c r="R307" i="1"/>
  <c r="S579" i="1"/>
  <c r="S186" i="1"/>
  <c r="R518" i="1"/>
  <c r="S28" i="1"/>
  <c r="F360" i="3"/>
  <c r="F316" i="3"/>
  <c r="F95" i="3"/>
  <c r="S95" i="3" s="1"/>
  <c r="F31" i="3"/>
  <c r="R348" i="3"/>
  <c r="F247" i="3"/>
  <c r="F178" i="3"/>
  <c r="F44" i="3"/>
  <c r="F125" i="3"/>
  <c r="R99" i="3"/>
  <c r="F249" i="3"/>
  <c r="F76" i="3"/>
  <c r="F10" i="3"/>
  <c r="F114" i="3"/>
  <c r="F24" i="3"/>
  <c r="F232" i="3"/>
  <c r="F268" i="3"/>
  <c r="F475" i="1"/>
  <c r="F584" i="1"/>
  <c r="F105" i="1"/>
  <c r="F639" i="1"/>
  <c r="F650" i="1"/>
  <c r="F331" i="1"/>
  <c r="F38" i="1"/>
  <c r="F572" i="1"/>
  <c r="F493" i="1"/>
  <c r="F110" i="1"/>
  <c r="F225" i="1"/>
  <c r="F311" i="1"/>
  <c r="F496" i="1"/>
  <c r="F145" i="1"/>
  <c r="F640" i="1"/>
  <c r="F212" i="1"/>
  <c r="F403" i="1"/>
  <c r="F677" i="1"/>
  <c r="F378" i="1"/>
  <c r="F89" i="1"/>
  <c r="F445" i="1"/>
  <c r="R694" i="1"/>
  <c r="S488" i="1"/>
  <c r="R9" i="1"/>
  <c r="R222" i="1"/>
  <c r="R554" i="1"/>
  <c r="S235" i="1"/>
  <c r="R483" i="1"/>
  <c r="R599" i="1"/>
  <c r="S397" i="1"/>
  <c r="R14" i="1"/>
  <c r="R542" i="1"/>
  <c r="R52" i="1"/>
  <c r="R400" i="1"/>
  <c r="R49" i="1"/>
  <c r="S319" i="1"/>
  <c r="R626" i="1"/>
  <c r="S307" i="1"/>
  <c r="R579" i="1"/>
  <c r="R186" i="1"/>
  <c r="S518" i="1"/>
  <c r="R28" i="1"/>
  <c r="R376" i="3"/>
  <c r="F283" i="3"/>
  <c r="F93" i="3"/>
  <c r="F29" i="3"/>
  <c r="F231" i="3"/>
  <c r="F145" i="3"/>
  <c r="S37" i="3"/>
  <c r="F100" i="3"/>
  <c r="F56" i="3"/>
  <c r="R56" i="3" s="1"/>
  <c r="F226" i="3"/>
  <c r="S226" i="3" s="1"/>
  <c r="R31" i="3"/>
  <c r="F141" i="3"/>
  <c r="F7" i="1"/>
  <c r="F667" i="1"/>
  <c r="F616" i="1"/>
  <c r="F137" i="1"/>
  <c r="F384" i="1"/>
  <c r="F682" i="1"/>
  <c r="F363" i="1"/>
  <c r="F12" i="1"/>
  <c r="F285" i="1"/>
  <c r="F525" i="1"/>
  <c r="F142" i="1"/>
  <c r="F641" i="1"/>
  <c r="F631" i="1"/>
  <c r="F528" i="1"/>
  <c r="F177" i="1"/>
  <c r="F289" i="1"/>
  <c r="F628" i="1"/>
  <c r="F435" i="1"/>
  <c r="F102" i="1"/>
  <c r="F442" i="1"/>
  <c r="F121" i="1"/>
  <c r="F30" i="1"/>
  <c r="S151" i="1"/>
  <c r="S520" i="1"/>
  <c r="S41" i="1"/>
  <c r="S574" i="1"/>
  <c r="S586" i="1"/>
  <c r="R267" i="1"/>
  <c r="S36" i="1"/>
  <c r="S283" i="1"/>
  <c r="S429" i="1"/>
  <c r="S46" i="1"/>
  <c r="R31" i="1"/>
  <c r="S405" i="1"/>
  <c r="R432" i="1"/>
  <c r="S81" i="1"/>
  <c r="R575" i="1"/>
  <c r="S658" i="1"/>
  <c r="S339" i="1"/>
  <c r="S228" i="1"/>
  <c r="R250" i="1"/>
  <c r="S25" i="1"/>
  <c r="R508" i="1"/>
  <c r="R359" i="3"/>
  <c r="F350" i="3"/>
  <c r="F91" i="3"/>
  <c r="F27" i="3"/>
  <c r="F215" i="3"/>
  <c r="R97" i="3"/>
  <c r="F162" i="3"/>
  <c r="F160" i="3"/>
  <c r="F363" i="3"/>
  <c r="F319" i="3"/>
  <c r="R123" i="3"/>
  <c r="F336" i="3"/>
  <c r="F26" i="3"/>
  <c r="F39" i="1"/>
  <c r="F220" i="1"/>
  <c r="F648" i="1"/>
  <c r="F169" i="1"/>
  <c r="F576" i="1"/>
  <c r="F148" i="1"/>
  <c r="F395" i="1"/>
  <c r="F44" i="1"/>
  <c r="F637" i="1"/>
  <c r="F557" i="1"/>
  <c r="F174" i="1"/>
  <c r="F386" i="1"/>
  <c r="F155" i="1"/>
  <c r="F560" i="1"/>
  <c r="F209" i="1"/>
  <c r="F162" i="1"/>
  <c r="F213" i="1"/>
  <c r="F467" i="1"/>
  <c r="F24" i="1"/>
  <c r="F506" i="1"/>
  <c r="F153" i="1"/>
  <c r="F414" i="1"/>
  <c r="R151" i="1"/>
  <c r="R520" i="1"/>
  <c r="R41" i="1"/>
  <c r="R574" i="1"/>
  <c r="R586" i="1"/>
  <c r="S267" i="1"/>
  <c r="R36" i="1"/>
  <c r="R283" i="1"/>
  <c r="R429" i="1"/>
  <c r="R46" i="1"/>
  <c r="S31" i="1"/>
  <c r="R405" i="1"/>
  <c r="S432" i="1"/>
  <c r="R81" i="1"/>
  <c r="S575" i="1"/>
  <c r="R658" i="1"/>
  <c r="R339" i="1"/>
  <c r="R228" i="1"/>
  <c r="S250" i="1"/>
  <c r="R25" i="1"/>
  <c r="S508" i="1"/>
  <c r="S139" i="3"/>
  <c r="F331" i="3"/>
  <c r="F339" i="3"/>
  <c r="S339" i="3" s="1"/>
  <c r="F89" i="3"/>
  <c r="S89" i="3" s="1"/>
  <c r="F25" i="3"/>
  <c r="R281" i="3"/>
  <c r="F189" i="3"/>
  <c r="F263" i="3"/>
  <c r="F50" i="3"/>
  <c r="S50" i="3" s="1"/>
  <c r="F12" i="3"/>
  <c r="F72" i="3"/>
  <c r="F161" i="3"/>
  <c r="F192" i="3"/>
  <c r="S283" i="3"/>
  <c r="R62" i="3"/>
  <c r="F224" i="3"/>
  <c r="R224" i="3" s="1"/>
  <c r="F71" i="1"/>
  <c r="F636" i="1"/>
  <c r="F680" i="1"/>
  <c r="F201" i="1"/>
  <c r="F193" i="1"/>
  <c r="F245" i="1"/>
  <c r="F427" i="1"/>
  <c r="F76" i="1"/>
  <c r="F318" i="1"/>
  <c r="F589" i="1"/>
  <c r="F206" i="1"/>
  <c r="F99" i="1"/>
  <c r="F380" i="1"/>
  <c r="F592" i="1"/>
  <c r="F241" i="1"/>
  <c r="F291" i="1"/>
  <c r="F533" i="1"/>
  <c r="F499" i="1"/>
  <c r="F56" i="1"/>
  <c r="F570" i="1"/>
  <c r="F185" i="1"/>
  <c r="F63" i="1"/>
  <c r="S503" i="1"/>
  <c r="S552" i="1"/>
  <c r="S73" i="1"/>
  <c r="R255" i="1"/>
  <c r="S618" i="1"/>
  <c r="R299" i="1"/>
  <c r="S613" i="1"/>
  <c r="S284" i="1"/>
  <c r="R461" i="1"/>
  <c r="S78" i="1"/>
  <c r="S544" i="1"/>
  <c r="S22" i="1"/>
  <c r="S464" i="1"/>
  <c r="S113" i="1"/>
  <c r="R288" i="1"/>
  <c r="S690" i="1"/>
  <c r="S371" i="1"/>
  <c r="S357" i="1"/>
  <c r="S314" i="1"/>
  <c r="S57" i="1"/>
  <c r="S221" i="1"/>
  <c r="F300" i="3"/>
  <c r="F320" i="3"/>
  <c r="R320" i="3" s="1"/>
  <c r="F87" i="3"/>
  <c r="F23" i="3"/>
  <c r="S23" i="3" s="1"/>
  <c r="F245" i="3"/>
  <c r="F380" i="3"/>
  <c r="F329" i="3"/>
  <c r="F322" i="3"/>
  <c r="R322" i="3" s="1"/>
  <c r="F129" i="3"/>
  <c r="S377" i="3"/>
  <c r="F127" i="3"/>
  <c r="F199" i="3"/>
  <c r="F128" i="3"/>
  <c r="F142" i="3"/>
  <c r="F103" i="1"/>
  <c r="F413" i="1"/>
  <c r="F340" i="1"/>
  <c r="F233" i="1"/>
  <c r="F673" i="1"/>
  <c r="F437" i="1"/>
  <c r="F459" i="1"/>
  <c r="F108" i="1"/>
  <c r="F670" i="1"/>
  <c r="F621" i="1"/>
  <c r="F238" i="1"/>
  <c r="F516" i="1"/>
  <c r="F125" i="1"/>
  <c r="F624" i="1"/>
  <c r="F273" i="1"/>
  <c r="F611" i="1"/>
  <c r="F182" i="1"/>
  <c r="F531" i="1"/>
  <c r="F88" i="1"/>
  <c r="F634" i="1"/>
  <c r="F217" i="1"/>
  <c r="F479" i="1"/>
  <c r="R503" i="1"/>
  <c r="R552" i="1"/>
  <c r="R73" i="1"/>
  <c r="S255" i="1"/>
  <c r="R618" i="1"/>
  <c r="S299" i="1"/>
  <c r="R613" i="1"/>
  <c r="R284" i="1"/>
  <c r="S461" i="1"/>
  <c r="R78" i="1"/>
  <c r="R544" i="1"/>
  <c r="R22" i="1"/>
  <c r="R464" i="1"/>
  <c r="R113" i="1"/>
  <c r="S288" i="1"/>
  <c r="R690" i="1"/>
  <c r="R371" i="1"/>
  <c r="R357" i="1"/>
  <c r="R314" i="1"/>
  <c r="R57" i="1"/>
  <c r="R221" i="1"/>
  <c r="S322" i="3"/>
  <c r="F267" i="3"/>
  <c r="F287" i="3"/>
  <c r="F85" i="3"/>
  <c r="F21" i="3"/>
  <c r="S21" i="3" s="1"/>
  <c r="F229" i="3"/>
  <c r="S359" i="3"/>
  <c r="F318" i="3"/>
  <c r="S318" i="3" s="1"/>
  <c r="F70" i="3"/>
  <c r="S187" i="3"/>
  <c r="F96" i="3"/>
  <c r="R92" i="3"/>
  <c r="F135" i="1"/>
  <c r="F62" i="1"/>
  <c r="F596" i="1"/>
  <c r="F265" i="1"/>
  <c r="F418" i="1"/>
  <c r="F54" i="1"/>
  <c r="F491" i="1"/>
  <c r="F140" i="1"/>
  <c r="F351" i="1"/>
  <c r="F653" i="1"/>
  <c r="F270" i="1"/>
  <c r="F101" i="1"/>
  <c r="F605" i="1"/>
  <c r="F656" i="1"/>
  <c r="F305" i="1"/>
  <c r="F292" i="1"/>
  <c r="F470" i="1"/>
  <c r="F563" i="1"/>
  <c r="F120" i="1"/>
  <c r="F27" i="1"/>
  <c r="F249" i="1"/>
  <c r="F128" i="1"/>
  <c r="R475" i="1"/>
  <c r="S584" i="1"/>
  <c r="S105" i="1"/>
  <c r="R639" i="1"/>
  <c r="S650" i="1"/>
  <c r="R331" i="1"/>
  <c r="S38" i="1"/>
  <c r="S572" i="1"/>
  <c r="S493" i="1"/>
  <c r="S110" i="1"/>
  <c r="S225" i="1"/>
  <c r="S311" i="1"/>
  <c r="S496" i="1"/>
  <c r="S145" i="1"/>
  <c r="S640" i="1"/>
  <c r="S212" i="1"/>
  <c r="S403" i="1"/>
  <c r="S677" i="1"/>
  <c r="S378" i="1"/>
  <c r="S89" i="1"/>
  <c r="S445" i="1"/>
  <c r="F362" i="3"/>
  <c r="F361" i="3"/>
  <c r="F83" i="3"/>
  <c r="F19" i="3"/>
  <c r="F213" i="3"/>
  <c r="F323" i="3"/>
  <c r="S323" i="3" s="1"/>
  <c r="S314" i="3"/>
  <c r="F137" i="3"/>
  <c r="F342" i="3"/>
  <c r="F282" i="3"/>
  <c r="S282" i="3" s="1"/>
  <c r="R357" i="3"/>
  <c r="R189" i="3"/>
  <c r="S102" i="3"/>
  <c r="F262" i="3"/>
  <c r="F253" i="3"/>
  <c r="R120" i="3"/>
  <c r="S372" i="3"/>
  <c r="F88" i="3"/>
  <c r="F167" i="1"/>
  <c r="F543" i="1"/>
  <c r="F149" i="1"/>
  <c r="F297" i="1"/>
  <c r="F131" i="1"/>
  <c r="F662" i="1"/>
  <c r="F523" i="1"/>
  <c r="F172" i="1"/>
  <c r="F671" i="1"/>
  <c r="F685" i="1"/>
  <c r="F302" i="1"/>
  <c r="F486" i="1"/>
  <c r="F382" i="1"/>
  <c r="F688" i="1"/>
  <c r="F337" i="1"/>
  <c r="F612" i="1"/>
  <c r="F343" i="1"/>
  <c r="F595" i="1"/>
  <c r="F152" i="1"/>
  <c r="F347" i="1"/>
  <c r="F281" i="1"/>
  <c r="F512" i="1"/>
  <c r="S475" i="1"/>
  <c r="R584" i="1"/>
  <c r="R105" i="1"/>
  <c r="S639" i="1"/>
  <c r="R650" i="1"/>
  <c r="S331" i="1"/>
  <c r="R38" i="1"/>
  <c r="R572" i="1"/>
  <c r="R493" i="1"/>
  <c r="R110" i="1"/>
  <c r="R225" i="1"/>
  <c r="R311" i="1"/>
  <c r="R496" i="1"/>
  <c r="R145" i="1"/>
  <c r="R640" i="1"/>
  <c r="R212" i="1"/>
  <c r="R403" i="1"/>
  <c r="R677" i="1"/>
  <c r="R378" i="1"/>
  <c r="R89" i="1"/>
  <c r="R445" i="1"/>
  <c r="S198" i="3"/>
  <c r="F344" i="3"/>
  <c r="R344" i="3" s="1"/>
  <c r="F328" i="3"/>
  <c r="F81" i="3"/>
  <c r="S81" i="3" s="1"/>
  <c r="F17" i="3"/>
  <c r="F202" i="3"/>
  <c r="F118" i="3"/>
  <c r="R118" i="3" s="1"/>
  <c r="F311" i="3"/>
  <c r="R311" i="3" s="1"/>
  <c r="F276" i="3"/>
  <c r="R276" i="3" s="1"/>
  <c r="F326" i="3"/>
  <c r="S98" i="3"/>
  <c r="S83" i="3"/>
  <c r="F255" i="3"/>
  <c r="R198" i="3"/>
  <c r="R89" i="3"/>
  <c r="S36" i="3"/>
  <c r="F199" i="1"/>
  <c r="F32" i="1"/>
  <c r="F629" i="1"/>
  <c r="F329" i="1"/>
  <c r="F675" i="1"/>
  <c r="F407" i="1"/>
  <c r="F555" i="1"/>
  <c r="F204" i="1"/>
  <c r="F256" i="1"/>
  <c r="F84" i="1"/>
  <c r="F334" i="1"/>
  <c r="F15" i="1"/>
  <c r="F223" i="1"/>
  <c r="F116" i="1"/>
  <c r="F369" i="1"/>
  <c r="F325" i="1"/>
  <c r="F91" i="1"/>
  <c r="F627" i="1"/>
  <c r="F184" i="1"/>
  <c r="F603" i="1"/>
  <c r="F313" i="1"/>
  <c r="F129" i="1"/>
  <c r="S7" i="1"/>
  <c r="S667" i="1"/>
  <c r="S616" i="1"/>
  <c r="S137" i="1"/>
  <c r="S384" i="1"/>
  <c r="S682" i="1"/>
  <c r="S363" i="1"/>
  <c r="S12" i="1"/>
  <c r="S285" i="1"/>
  <c r="R525" i="1"/>
  <c r="S142" i="1"/>
  <c r="S641" i="1"/>
  <c r="S631" i="1"/>
  <c r="S528" i="1"/>
  <c r="S177" i="1"/>
  <c r="S289" i="1"/>
  <c r="S628" i="1"/>
  <c r="S435" i="1"/>
  <c r="S102" i="1"/>
  <c r="S442" i="1"/>
  <c r="S121" i="1"/>
  <c r="S30" i="1"/>
  <c r="R263" i="3"/>
  <c r="S276" i="3"/>
  <c r="F302" i="3"/>
  <c r="R302" i="3" s="1"/>
  <c r="F295" i="3"/>
  <c r="F79" i="3"/>
  <c r="R79" i="3" s="1"/>
  <c r="F15" i="3"/>
  <c r="F181" i="3"/>
  <c r="R181" i="3" s="1"/>
  <c r="R95" i="3"/>
  <c r="S287" i="3"/>
  <c r="F246" i="3"/>
  <c r="F315" i="3"/>
  <c r="F321" i="3"/>
  <c r="R91" i="3"/>
  <c r="R50" i="3"/>
  <c r="S300" i="3"/>
  <c r="F233" i="3"/>
  <c r="F167" i="3"/>
  <c r="F82" i="3"/>
  <c r="R10" i="3"/>
  <c r="F231" i="1"/>
  <c r="F513" i="1"/>
  <c r="F278" i="1"/>
  <c r="F361" i="1"/>
  <c r="F484" i="1"/>
  <c r="F695" i="1"/>
  <c r="F587" i="1"/>
  <c r="F236" i="1"/>
  <c r="F672" i="1"/>
  <c r="F373" i="1"/>
  <c r="F366" i="1"/>
  <c r="F47" i="1"/>
  <c r="F320" i="1"/>
  <c r="F277" i="1"/>
  <c r="F401" i="1"/>
  <c r="F549" i="1"/>
  <c r="F540" i="1"/>
  <c r="F659" i="1"/>
  <c r="F216" i="1"/>
  <c r="F124" i="1"/>
  <c r="F345" i="1"/>
  <c r="F481" i="1"/>
  <c r="R7" i="1"/>
  <c r="R667" i="1"/>
  <c r="R616" i="1"/>
  <c r="R137" i="1"/>
  <c r="R384" i="1"/>
  <c r="R682" i="1"/>
  <c r="R363" i="1"/>
  <c r="R12" i="1"/>
  <c r="R285" i="1"/>
  <c r="S525" i="1"/>
  <c r="R142" i="1"/>
  <c r="R641" i="1"/>
  <c r="R631" i="1"/>
  <c r="R528" i="1"/>
  <c r="R177" i="1"/>
  <c r="R289" i="1"/>
  <c r="R628" i="1"/>
  <c r="R435" i="1"/>
  <c r="R102" i="1"/>
  <c r="R442" i="1"/>
  <c r="R121" i="1"/>
  <c r="R30" i="1"/>
  <c r="S263" i="3"/>
  <c r="R246" i="3"/>
  <c r="F269" i="3"/>
  <c r="S269" i="3" s="1"/>
  <c r="F368" i="3"/>
  <c r="F77" i="3"/>
  <c r="F13" i="3"/>
  <c r="S13" i="3" s="1"/>
  <c r="F356" i="3"/>
  <c r="F201" i="3"/>
  <c r="S39" i="3"/>
  <c r="F243" i="3"/>
  <c r="F223" i="3"/>
  <c r="F237" i="3"/>
  <c r="S87" i="3"/>
  <c r="S27" i="3"/>
  <c r="R377" i="3"/>
  <c r="R187" i="3"/>
  <c r="S158" i="3"/>
  <c r="F60" i="3"/>
  <c r="S60" i="3" s="1"/>
  <c r="F307" i="3"/>
  <c r="F370" i="3"/>
  <c r="F133" i="3"/>
  <c r="F263" i="1"/>
  <c r="F66" i="1"/>
  <c r="F119" i="1"/>
  <c r="F393" i="1"/>
  <c r="F676" i="1"/>
  <c r="F187" i="1"/>
  <c r="F619" i="1"/>
  <c r="F268" i="1"/>
  <c r="F385" i="1"/>
  <c r="F661" i="1"/>
  <c r="F398" i="1"/>
  <c r="F79" i="1"/>
  <c r="F608" i="1"/>
  <c r="F693" i="1"/>
  <c r="F433" i="1"/>
  <c r="F198" i="1"/>
  <c r="F157" i="1"/>
  <c r="F691" i="1"/>
  <c r="F248" i="1"/>
  <c r="F476" i="1"/>
  <c r="F377" i="1"/>
  <c r="F226" i="1"/>
  <c r="S39" i="1"/>
  <c r="S220" i="1"/>
  <c r="S648" i="1"/>
  <c r="S169" i="1"/>
  <c r="S576" i="1"/>
  <c r="S148" i="1"/>
  <c r="S395" i="1"/>
  <c r="S44" i="1"/>
  <c r="S637" i="1"/>
  <c r="S557" i="1"/>
  <c r="S174" i="1"/>
  <c r="R386" i="1"/>
  <c r="S155" i="1"/>
  <c r="S560" i="1"/>
  <c r="S209" i="1"/>
  <c r="S162" i="1"/>
  <c r="R213" i="1"/>
  <c r="S467" i="1"/>
  <c r="S24" i="1"/>
  <c r="S506" i="1"/>
  <c r="S153" i="1"/>
  <c r="S414" i="1"/>
  <c r="R137" i="3"/>
  <c r="S246" i="3"/>
  <c r="S241" i="3"/>
  <c r="R167" i="3"/>
  <c r="F333" i="3"/>
  <c r="S333" i="3" s="1"/>
  <c r="S360" i="3"/>
  <c r="F75" i="3"/>
  <c r="S75" i="3" s="1"/>
  <c r="F11" i="3"/>
  <c r="S11" i="3" s="1"/>
  <c r="F341" i="3"/>
  <c r="F206" i="3"/>
  <c r="F180" i="3"/>
  <c r="S180" i="3" s="1"/>
  <c r="F219" i="3"/>
  <c r="F207" i="3"/>
  <c r="F214" i="3"/>
  <c r="F343" i="3"/>
  <c r="F168" i="3"/>
  <c r="S100" i="3"/>
  <c r="F295" i="1"/>
  <c r="F515" i="1"/>
  <c r="F471" i="1"/>
  <c r="F425" i="1"/>
  <c r="F37" i="1"/>
  <c r="F316" i="1"/>
  <c r="F651" i="1"/>
  <c r="F300" i="1"/>
  <c r="F34" i="1"/>
  <c r="F86" i="1"/>
  <c r="F430" i="1"/>
  <c r="F111" i="1"/>
  <c r="F257" i="1"/>
  <c r="F374" i="1"/>
  <c r="F465" i="1"/>
  <c r="F18" i="1"/>
  <c r="F446" i="1"/>
  <c r="F20" i="1"/>
  <c r="F280" i="1"/>
  <c r="F29" i="1"/>
  <c r="F409" i="1"/>
  <c r="F450" i="1"/>
  <c r="R39" i="1"/>
  <c r="R220" i="1"/>
  <c r="R648" i="1"/>
  <c r="R169" i="1"/>
  <c r="R576" i="1"/>
  <c r="R148" i="1"/>
  <c r="R395" i="1"/>
  <c r="R44" i="1"/>
  <c r="R637" i="1"/>
  <c r="R557" i="1"/>
  <c r="R174" i="1"/>
  <c r="S386" i="1"/>
  <c r="R155" i="1"/>
  <c r="R560" i="1"/>
  <c r="R209" i="1"/>
  <c r="R162" i="1"/>
  <c r="S213" i="1"/>
  <c r="R467" i="1"/>
  <c r="R24" i="1"/>
  <c r="R506" i="1"/>
  <c r="R153" i="1"/>
  <c r="R414" i="1"/>
  <c r="S137" i="3"/>
  <c r="R223" i="3"/>
  <c r="S363" i="3"/>
  <c r="S167" i="3"/>
  <c r="F304" i="3"/>
  <c r="F354" i="3"/>
  <c r="F73" i="3"/>
  <c r="R73" i="3" s="1"/>
  <c r="F9" i="3"/>
  <c r="R9" i="3" s="1"/>
  <c r="F330" i="3"/>
  <c r="F191" i="3"/>
  <c r="S191" i="3" s="1"/>
  <c r="F147" i="3"/>
  <c r="S147" i="3" s="1"/>
  <c r="F190" i="3"/>
  <c r="S189" i="3"/>
  <c r="F203" i="3"/>
  <c r="R206" i="3"/>
  <c r="F20" i="3"/>
  <c r="S20" i="3" s="1"/>
  <c r="F184" i="3"/>
  <c r="S184" i="3" s="1"/>
  <c r="S311" i="3"/>
  <c r="F155" i="3"/>
  <c r="S85" i="3"/>
  <c r="R13" i="3"/>
  <c r="F218" i="3"/>
  <c r="R103" i="3"/>
  <c r="F327" i="1"/>
  <c r="R327" i="1" s="1"/>
  <c r="F132" i="1"/>
  <c r="R132" i="1" s="1"/>
  <c r="F443" i="1"/>
  <c r="S443" i="1" s="1"/>
  <c r="F457" i="1"/>
  <c r="S457" i="1" s="1"/>
  <c r="F454" i="1"/>
  <c r="S454" i="1" s="1"/>
  <c r="F253" i="1"/>
  <c r="R253" i="1" s="1"/>
  <c r="F683" i="1"/>
  <c r="R683" i="1" s="1"/>
  <c r="F332" i="1"/>
  <c r="R332" i="1" s="1"/>
  <c r="F547" i="1"/>
  <c r="R547" i="1" s="1"/>
  <c r="F279" i="1"/>
  <c r="R279" i="1" s="1"/>
  <c r="F462" i="1"/>
  <c r="S462" i="1" s="1"/>
  <c r="F143" i="1"/>
  <c r="R143" i="1" s="1"/>
  <c r="F322" i="1"/>
  <c r="R322" i="1" s="1"/>
  <c r="F502" i="1"/>
  <c r="R502" i="1" s="1"/>
  <c r="F497" i="1"/>
  <c r="R497" i="1" s="1"/>
  <c r="F50" i="1"/>
  <c r="R50" i="1" s="1"/>
  <c r="F159" i="1"/>
  <c r="S159" i="1" s="1"/>
  <c r="F341" i="1"/>
  <c r="S341" i="1" s="1"/>
  <c r="F312" i="1"/>
  <c r="R312" i="1" s="1"/>
  <c r="F477" i="1"/>
  <c r="R477" i="1" s="1"/>
  <c r="F441" i="1"/>
  <c r="S441" i="1" s="1"/>
  <c r="F67" i="1"/>
  <c r="R67" i="1" s="1"/>
  <c r="S71" i="1"/>
  <c r="S636" i="1"/>
  <c r="S680" i="1"/>
  <c r="S201" i="1"/>
  <c r="S193" i="1"/>
  <c r="R245" i="1"/>
  <c r="S427" i="1"/>
  <c r="S76" i="1"/>
  <c r="S318" i="1"/>
  <c r="S589" i="1"/>
  <c r="S206" i="1"/>
  <c r="S99" i="1"/>
  <c r="S380" i="1"/>
  <c r="S592" i="1"/>
  <c r="S241" i="1"/>
  <c r="S291" i="1"/>
  <c r="S533" i="1"/>
  <c r="R499" i="1"/>
  <c r="S56" i="1"/>
  <c r="S570" i="1"/>
  <c r="S185" i="1"/>
  <c r="R63" i="1"/>
  <c r="S223" i="3"/>
  <c r="R363" i="3"/>
  <c r="F379" i="3"/>
  <c r="S379" i="3" s="1"/>
  <c r="F301" i="3"/>
  <c r="F69" i="3"/>
  <c r="S69" i="3" s="1"/>
  <c r="F353" i="3"/>
  <c r="F305" i="3"/>
  <c r="S305" i="3" s="1"/>
  <c r="F294" i="3"/>
  <c r="S294" i="3" s="1"/>
  <c r="F132" i="3"/>
  <c r="F153" i="3"/>
  <c r="R153" i="3" s="1"/>
  <c r="F150" i="3"/>
  <c r="F196" i="3"/>
  <c r="S9" i="3"/>
  <c r="F169" i="3"/>
  <c r="S125" i="3"/>
  <c r="F40" i="3"/>
  <c r="R40" i="3" s="1"/>
  <c r="F136" i="3"/>
  <c r="F112" i="3"/>
  <c r="S285" i="3"/>
  <c r="S132" i="3"/>
  <c r="F391" i="1"/>
  <c r="F262" i="1"/>
  <c r="F92" i="1"/>
  <c r="F521" i="1"/>
  <c r="F42" i="1"/>
  <c r="F350" i="1"/>
  <c r="F468" i="1"/>
  <c r="F396" i="1"/>
  <c r="F389" i="1"/>
  <c r="F251" i="1"/>
  <c r="F526" i="1"/>
  <c r="F207" i="1"/>
  <c r="F227" i="1"/>
  <c r="F663" i="1"/>
  <c r="F561" i="1"/>
  <c r="F114" i="1"/>
  <c r="F65" i="1"/>
  <c r="F630" i="1"/>
  <c r="F376" i="1"/>
  <c r="F478" i="1"/>
  <c r="F537" i="1"/>
  <c r="F196" i="1"/>
  <c r="S103" i="1"/>
  <c r="S413" i="1"/>
  <c r="R340" i="1"/>
  <c r="S233" i="1"/>
  <c r="S673" i="1"/>
  <c r="R437" i="1"/>
  <c r="S459" i="1"/>
  <c r="R108" i="1"/>
  <c r="S670" i="1"/>
  <c r="S621" i="1"/>
  <c r="S238" i="1"/>
  <c r="S516" i="1"/>
  <c r="S125" i="1"/>
  <c r="S624" i="1"/>
  <c r="S273" i="1"/>
  <c r="R611" i="1"/>
  <c r="S182" i="1"/>
  <c r="S531" i="1"/>
  <c r="S88" i="1"/>
  <c r="S634" i="1"/>
  <c r="S217" i="1"/>
  <c r="R479" i="1"/>
  <c r="S344" i="3"/>
  <c r="S219" i="3"/>
  <c r="S262" i="3"/>
  <c r="R88" i="3"/>
  <c r="F369" i="3"/>
  <c r="F270" i="3"/>
  <c r="F67" i="3"/>
  <c r="R67" i="3" s="1"/>
  <c r="F349" i="3"/>
  <c r="F183" i="3"/>
  <c r="S183" i="3" s="1"/>
  <c r="F256" i="3"/>
  <c r="F324" i="3"/>
  <c r="R324" i="3" s="1"/>
  <c r="F288" i="3"/>
  <c r="S288" i="3" s="1"/>
  <c r="F52" i="3"/>
  <c r="S52" i="3" s="1"/>
  <c r="F58" i="3"/>
  <c r="F117" i="3"/>
  <c r="R117" i="3" s="1"/>
  <c r="F157" i="3"/>
  <c r="R157" i="3" s="1"/>
  <c r="F122" i="3"/>
  <c r="F152" i="3"/>
  <c r="F164" i="3"/>
  <c r="F94" i="3"/>
  <c r="S31" i="3"/>
  <c r="R17" i="3"/>
  <c r="S17" i="3"/>
  <c r="R372" i="3"/>
  <c r="R132" i="3"/>
  <c r="F423" i="1"/>
  <c r="F8" i="1"/>
  <c r="F509" i="1"/>
  <c r="F553" i="1"/>
  <c r="F74" i="1"/>
  <c r="F271" i="3"/>
  <c r="F59" i="3"/>
  <c r="R59" i="3" s="1"/>
  <c r="F204" i="3"/>
  <c r="R37" i="3"/>
  <c r="F14" i="3"/>
  <c r="R14" i="3" s="1"/>
  <c r="R52" i="3"/>
  <c r="R29" i="3"/>
  <c r="R125" i="3"/>
  <c r="F21" i="1"/>
  <c r="F617" i="1"/>
  <c r="F356" i="1"/>
  <c r="S356" i="1" s="1"/>
  <c r="F652" i="1"/>
  <c r="F260" i="1"/>
  <c r="F591" i="1"/>
  <c r="F70" i="1"/>
  <c r="R70" i="1" s="1"/>
  <c r="F546" i="1"/>
  <c r="F472" i="1"/>
  <c r="F154" i="1"/>
  <c r="R21" i="1"/>
  <c r="R680" i="1"/>
  <c r="S265" i="1"/>
  <c r="S131" i="1"/>
  <c r="R407" i="1"/>
  <c r="S587" i="1"/>
  <c r="S268" i="1"/>
  <c r="S34" i="1"/>
  <c r="S279" i="1"/>
  <c r="R56" i="1"/>
  <c r="S27" i="1"/>
  <c r="S281" i="1"/>
  <c r="S129" i="1"/>
  <c r="S228" i="3"/>
  <c r="R249" i="3"/>
  <c r="S160" i="3"/>
  <c r="S18" i="3"/>
  <c r="R26" i="3"/>
  <c r="R88" i="1"/>
  <c r="R27" i="1"/>
  <c r="R129" i="1"/>
  <c r="R245" i="3"/>
  <c r="R212" i="3"/>
  <c r="S249" i="3"/>
  <c r="S343" i="3"/>
  <c r="R142" i="3"/>
  <c r="S481" i="1"/>
  <c r="S212" i="3"/>
  <c r="R226" i="3"/>
  <c r="R343" i="3"/>
  <c r="S142" i="3"/>
  <c r="S307" i="3"/>
  <c r="S133" i="3"/>
  <c r="S66" i="3"/>
  <c r="R32" i="3"/>
  <c r="R293" i="3"/>
  <c r="S164" i="3"/>
  <c r="F164" i="1"/>
  <c r="R316" i="1"/>
  <c r="R595" i="1"/>
  <c r="R377" i="1"/>
  <c r="R24" i="3"/>
  <c r="S268" i="3"/>
  <c r="R225" i="3"/>
  <c r="R540" i="1"/>
  <c r="R199" i="3"/>
  <c r="S67" i="3"/>
  <c r="F272" i="3"/>
  <c r="F205" i="1"/>
  <c r="F123" i="1"/>
  <c r="F97" i="1"/>
  <c r="R295" i="1"/>
  <c r="R238" i="1"/>
  <c r="R116" i="1"/>
  <c r="R401" i="1"/>
  <c r="R446" i="1"/>
  <c r="S208" i="3"/>
  <c r="F334" i="3"/>
  <c r="F266" i="1"/>
  <c r="S266" i="1" s="1"/>
  <c r="F444" i="1"/>
  <c r="F417" i="1"/>
  <c r="S417" i="1" s="1"/>
  <c r="S327" i="1"/>
  <c r="R589" i="1"/>
  <c r="S270" i="1"/>
  <c r="S486" i="1"/>
  <c r="F355" i="3"/>
  <c r="R355" i="3" s="1"/>
  <c r="F57" i="3"/>
  <c r="R57" i="3" s="1"/>
  <c r="F185" i="3"/>
  <c r="R379" i="3"/>
  <c r="S331" i="3"/>
  <c r="R202" i="3"/>
  <c r="F86" i="3"/>
  <c r="F565" i="1"/>
  <c r="R565" i="1" s="1"/>
  <c r="F649" i="1"/>
  <c r="F133" i="1"/>
  <c r="R133" i="1" s="1"/>
  <c r="F684" i="1"/>
  <c r="F580" i="1"/>
  <c r="F623" i="1"/>
  <c r="F529" i="1"/>
  <c r="F195" i="1"/>
  <c r="F504" i="1"/>
  <c r="F218" i="1"/>
  <c r="S218" i="1" s="1"/>
  <c r="S565" i="1"/>
  <c r="S340" i="1"/>
  <c r="R265" i="1"/>
  <c r="R131" i="1"/>
  <c r="S407" i="1"/>
  <c r="R587" i="1"/>
  <c r="R268" i="1"/>
  <c r="R34" i="1"/>
  <c r="R281" i="1"/>
  <c r="R141" i="3"/>
  <c r="R164" i="3"/>
  <c r="S32" i="3"/>
  <c r="F16" i="1"/>
  <c r="R184" i="1"/>
  <c r="F304" i="1"/>
  <c r="R206" i="1"/>
  <c r="F115" i="3"/>
  <c r="R115" i="3" s="1"/>
  <c r="F306" i="3"/>
  <c r="R306" i="3" s="1"/>
  <c r="F55" i="3"/>
  <c r="S55" i="3" s="1"/>
  <c r="S355" i="3"/>
  <c r="R323" i="3"/>
  <c r="F373" i="3"/>
  <c r="R369" i="3"/>
  <c r="F195" i="3"/>
  <c r="R23" i="3"/>
  <c r="S73" i="3"/>
  <c r="S56" i="3"/>
  <c r="F421" i="1"/>
  <c r="F681" i="1"/>
  <c r="F422" i="1"/>
  <c r="F308" i="1"/>
  <c r="F293" i="1"/>
  <c r="F655" i="1"/>
  <c r="S655" i="1" s="1"/>
  <c r="F593" i="1"/>
  <c r="F388" i="1"/>
  <c r="F536" i="1"/>
  <c r="F282" i="1"/>
  <c r="S282" i="1" s="1"/>
  <c r="R636" i="1"/>
  <c r="S596" i="1"/>
  <c r="S297" i="1"/>
  <c r="S675" i="1"/>
  <c r="R695" i="1"/>
  <c r="S619" i="1"/>
  <c r="S300" i="1"/>
  <c r="S547" i="1"/>
  <c r="S499" i="1"/>
  <c r="S120" i="1"/>
  <c r="R347" i="1"/>
  <c r="S313" i="1"/>
  <c r="S245" i="3"/>
  <c r="S84" i="3"/>
  <c r="R307" i="3"/>
  <c r="R72" i="3"/>
  <c r="R268" i="3"/>
  <c r="F51" i="1"/>
  <c r="S70" i="1"/>
  <c r="F539" i="1"/>
  <c r="F604" i="1"/>
  <c r="R80" i="3"/>
  <c r="F273" i="3"/>
  <c r="R273" i="3" s="1"/>
  <c r="F53" i="3"/>
  <c r="F309" i="3"/>
  <c r="F239" i="3"/>
  <c r="F340" i="3"/>
  <c r="F325" i="3"/>
  <c r="F16" i="3"/>
  <c r="R16" i="3" s="1"/>
  <c r="F34" i="3"/>
  <c r="F358" i="3"/>
  <c r="F40" i="1"/>
  <c r="F244" i="1"/>
  <c r="R244" i="1" s="1"/>
  <c r="F11" i="1"/>
  <c r="F532" i="1"/>
  <c r="F581" i="1"/>
  <c r="F610" i="1"/>
  <c r="F625" i="1"/>
  <c r="F229" i="1"/>
  <c r="F568" i="1"/>
  <c r="S568" i="1" s="1"/>
  <c r="F346" i="1"/>
  <c r="R413" i="1"/>
  <c r="R596" i="1"/>
  <c r="R297" i="1"/>
  <c r="R675" i="1"/>
  <c r="S695" i="1"/>
  <c r="R619" i="1"/>
  <c r="R300" i="1"/>
  <c r="R531" i="1"/>
  <c r="R120" i="1"/>
  <c r="S347" i="1"/>
  <c r="R313" i="1"/>
  <c r="R481" i="1"/>
  <c r="R229" i="3"/>
  <c r="R178" i="3"/>
  <c r="S117" i="3"/>
  <c r="R36" i="3"/>
  <c r="S293" i="3"/>
  <c r="F696" i="1"/>
  <c r="S304" i="1"/>
  <c r="F252" i="1"/>
  <c r="S252" i="1" s="1"/>
  <c r="R341" i="1"/>
  <c r="R77" i="3"/>
  <c r="F374" i="3"/>
  <c r="R374" i="3" s="1"/>
  <c r="F51" i="3"/>
  <c r="R51" i="3" s="1"/>
  <c r="F264" i="3"/>
  <c r="F235" i="3"/>
  <c r="F221" i="3"/>
  <c r="R221" i="3" s="1"/>
  <c r="S185" i="3"/>
  <c r="S12" i="3"/>
  <c r="S25" i="3"/>
  <c r="F72" i="1"/>
  <c r="F660" i="1"/>
  <c r="S660" i="1" s="1"/>
  <c r="F43" i="1"/>
  <c r="F117" i="1"/>
  <c r="F294" i="1"/>
  <c r="R294" i="1" s="1"/>
  <c r="F420" i="1"/>
  <c r="F657" i="1"/>
  <c r="F390" i="1"/>
  <c r="F600" i="1"/>
  <c r="F410" i="1"/>
  <c r="R71" i="1"/>
  <c r="R62" i="1"/>
  <c r="S149" i="1"/>
  <c r="S329" i="1"/>
  <c r="R484" i="1"/>
  <c r="S187" i="1"/>
  <c r="S651" i="1"/>
  <c r="S332" i="1"/>
  <c r="R533" i="1"/>
  <c r="S563" i="1"/>
  <c r="S152" i="1"/>
  <c r="S603" i="1"/>
  <c r="S345" i="1"/>
  <c r="S226" i="1"/>
  <c r="S229" i="3"/>
  <c r="S178" i="3"/>
  <c r="S10" i="3"/>
  <c r="S221" i="3"/>
  <c r="R218" i="3"/>
  <c r="R133" i="3"/>
  <c r="R66" i="3"/>
  <c r="R112" i="3"/>
  <c r="F500" i="1"/>
  <c r="R500" i="1" s="1"/>
  <c r="R470" i="1"/>
  <c r="F202" i="1"/>
  <c r="R208" i="3"/>
  <c r="F234" i="1"/>
  <c r="S234" i="1" s="1"/>
  <c r="R339" i="3"/>
  <c r="F346" i="3"/>
  <c r="S346" i="3" s="1"/>
  <c r="F49" i="3"/>
  <c r="F259" i="3"/>
  <c r="R259" i="3" s="1"/>
  <c r="F216" i="3"/>
  <c r="R216" i="3" s="1"/>
  <c r="F250" i="3"/>
  <c r="R318" i="3"/>
  <c r="F126" i="3"/>
  <c r="S126" i="3" s="1"/>
  <c r="F104" i="1"/>
  <c r="F181" i="1"/>
  <c r="F75" i="1"/>
  <c r="F246" i="1"/>
  <c r="F494" i="1"/>
  <c r="F261" i="1"/>
  <c r="F689" i="1"/>
  <c r="F678" i="1"/>
  <c r="S678" i="1" s="1"/>
  <c r="F632" i="1"/>
  <c r="S632" i="1" s="1"/>
  <c r="F474" i="1"/>
  <c r="R103" i="1"/>
  <c r="S62" i="1"/>
  <c r="R149" i="1"/>
  <c r="R329" i="1"/>
  <c r="S484" i="1"/>
  <c r="R187" i="1"/>
  <c r="R651" i="1"/>
  <c r="R182" i="1"/>
  <c r="R563" i="1"/>
  <c r="R152" i="1"/>
  <c r="R603" i="1"/>
  <c r="R345" i="1"/>
  <c r="R226" i="1"/>
  <c r="R213" i="3"/>
  <c r="R294" i="3"/>
  <c r="S218" i="3"/>
  <c r="R239" i="3"/>
  <c r="F170" i="3"/>
  <c r="S261" i="3"/>
  <c r="F146" i="1"/>
  <c r="R290" i="3"/>
  <c r="F335" i="3"/>
  <c r="S335" i="3" s="1"/>
  <c r="F47" i="3"/>
  <c r="R47" i="3" s="1"/>
  <c r="F371" i="3"/>
  <c r="F227" i="3"/>
  <c r="F119" i="3"/>
  <c r="F260" i="3"/>
  <c r="R15" i="3"/>
  <c r="F136" i="1"/>
  <c r="F501" i="1"/>
  <c r="R501" i="1" s="1"/>
  <c r="F107" i="1"/>
  <c r="F566" i="1"/>
  <c r="R566" i="1" s="1"/>
  <c r="F558" i="1"/>
  <c r="F166" i="1"/>
  <c r="F276" i="1"/>
  <c r="F19" i="1"/>
  <c r="S19" i="1" s="1"/>
  <c r="F664" i="1"/>
  <c r="F538" i="1"/>
  <c r="S135" i="1"/>
  <c r="R543" i="1"/>
  <c r="S629" i="1"/>
  <c r="S361" i="1"/>
  <c r="S676" i="1"/>
  <c r="S316" i="1"/>
  <c r="S683" i="1"/>
  <c r="R291" i="1"/>
  <c r="S470" i="1"/>
  <c r="S595" i="1"/>
  <c r="S184" i="1"/>
  <c r="S124" i="1"/>
  <c r="S377" i="1"/>
  <c r="R450" i="1"/>
  <c r="S213" i="3"/>
  <c r="R288" i="3"/>
  <c r="S72" i="3"/>
  <c r="S260" i="1"/>
  <c r="S231" i="3"/>
  <c r="S96" i="3"/>
  <c r="F174" i="3"/>
  <c r="S174" i="3" s="1"/>
  <c r="S380" i="3"/>
  <c r="F336" i="1"/>
  <c r="R336" i="1" s="1"/>
  <c r="S206" i="3"/>
  <c r="F308" i="3"/>
  <c r="S308" i="3" s="1"/>
  <c r="F45" i="3"/>
  <c r="F193" i="3"/>
  <c r="R193" i="3" s="1"/>
  <c r="F194" i="3"/>
  <c r="S91" i="3"/>
  <c r="F106" i="3"/>
  <c r="F186" i="3"/>
  <c r="R186" i="3" s="1"/>
  <c r="F68" i="3"/>
  <c r="R285" i="3"/>
  <c r="F168" i="1"/>
  <c r="F214" i="1"/>
  <c r="F139" i="1"/>
  <c r="F590" i="1"/>
  <c r="F602" i="1"/>
  <c r="R135" i="1"/>
  <c r="S543" i="1"/>
  <c r="R629" i="1"/>
  <c r="R361" i="1"/>
  <c r="R676" i="1"/>
  <c r="S652" i="1"/>
  <c r="S591" i="1"/>
  <c r="S611" i="1"/>
  <c r="R124" i="1"/>
  <c r="S450" i="1"/>
  <c r="R122" i="3"/>
  <c r="S477" i="1"/>
  <c r="R11" i="3"/>
  <c r="F219" i="1"/>
  <c r="R143" i="3"/>
  <c r="F275" i="3"/>
  <c r="R275" i="3" s="1"/>
  <c r="F43" i="3"/>
  <c r="S43" i="3" s="1"/>
  <c r="F375" i="3"/>
  <c r="R183" i="3"/>
  <c r="R145" i="3"/>
  <c r="S14" i="3"/>
  <c r="R75" i="3"/>
  <c r="R158" i="3"/>
  <c r="S306" i="3"/>
  <c r="S62" i="3"/>
  <c r="F200" i="1"/>
  <c r="F183" i="1"/>
  <c r="F171" i="1"/>
  <c r="S171" i="1" s="1"/>
  <c r="F645" i="1"/>
  <c r="F622" i="1"/>
  <c r="F48" i="1"/>
  <c r="F85" i="1"/>
  <c r="S85" i="1" s="1"/>
  <c r="F83" i="1"/>
  <c r="F473" i="1"/>
  <c r="F666" i="1"/>
  <c r="S167" i="1"/>
  <c r="R32" i="1"/>
  <c r="S278" i="1"/>
  <c r="R393" i="1"/>
  <c r="R37" i="1"/>
  <c r="S253" i="1"/>
  <c r="R252" i="1"/>
  <c r="R652" i="1"/>
  <c r="R260" i="1"/>
  <c r="R591" i="1"/>
  <c r="R304" i="1"/>
  <c r="R241" i="1"/>
  <c r="S292" i="1"/>
  <c r="S343" i="1"/>
  <c r="S627" i="1"/>
  <c r="S216" i="1"/>
  <c r="R476" i="1"/>
  <c r="R409" i="1"/>
  <c r="S67" i="1"/>
  <c r="S259" i="3"/>
  <c r="S239" i="3"/>
  <c r="S122" i="3"/>
  <c r="S24" i="3"/>
  <c r="S224" i="3"/>
  <c r="S225" i="3"/>
  <c r="S280" i="1"/>
  <c r="R34" i="3"/>
  <c r="F535" i="1"/>
  <c r="S401" i="1"/>
  <c r="S33" i="3"/>
  <c r="R198" i="1"/>
  <c r="F310" i="3"/>
  <c r="R310" i="3" s="1"/>
  <c r="F41" i="3"/>
  <c r="F274" i="3"/>
  <c r="R180" i="3"/>
  <c r="F134" i="3"/>
  <c r="S101" i="3"/>
  <c r="F38" i="3"/>
  <c r="R38" i="3" s="1"/>
  <c r="S145" i="3"/>
  <c r="F154" i="3"/>
  <c r="R25" i="3"/>
  <c r="F232" i="1"/>
  <c r="F439" i="1"/>
  <c r="F372" i="1"/>
  <c r="F326" i="1"/>
  <c r="F654" i="1"/>
  <c r="F80" i="1"/>
  <c r="R80" i="1" s="1"/>
  <c r="F469" i="1"/>
  <c r="F115" i="1"/>
  <c r="F601" i="1"/>
  <c r="F59" i="1"/>
  <c r="R59" i="1" s="1"/>
  <c r="R167" i="1"/>
  <c r="S32" i="1"/>
  <c r="R278" i="1"/>
  <c r="S393" i="1"/>
  <c r="S37" i="1"/>
  <c r="R356" i="1"/>
  <c r="S604" i="1"/>
  <c r="R684" i="1"/>
  <c r="S205" i="1"/>
  <c r="S580" i="1"/>
  <c r="R219" i="1"/>
  <c r="S623" i="1"/>
  <c r="S336" i="1"/>
  <c r="R273" i="1"/>
  <c r="R292" i="1"/>
  <c r="R343" i="1"/>
  <c r="R627" i="1"/>
  <c r="R216" i="1"/>
  <c r="S476" i="1"/>
  <c r="S409" i="1"/>
  <c r="R247" i="3"/>
  <c r="R235" i="3"/>
  <c r="S38" i="3"/>
  <c r="S319" i="3"/>
  <c r="R128" i="3"/>
  <c r="R380" i="1"/>
  <c r="S382" i="1"/>
  <c r="S320" i="3"/>
  <c r="F277" i="3"/>
  <c r="F7" i="3"/>
  <c r="F266" i="3"/>
  <c r="F173" i="3"/>
  <c r="F104" i="3"/>
  <c r="S104" i="3" s="1"/>
  <c r="F22" i="3"/>
  <c r="F30" i="3"/>
  <c r="F121" i="3"/>
  <c r="S121" i="3" s="1"/>
  <c r="F8" i="3"/>
  <c r="S112" i="3"/>
  <c r="F264" i="1"/>
  <c r="F315" i="1"/>
  <c r="F53" i="1"/>
  <c r="F614" i="1"/>
  <c r="F686" i="1"/>
  <c r="F112" i="1"/>
  <c r="R112" i="1" s="1"/>
  <c r="F310" i="1"/>
  <c r="F147" i="1"/>
  <c r="F665" i="1"/>
  <c r="F451" i="1"/>
  <c r="S199" i="1"/>
  <c r="S513" i="1"/>
  <c r="R119" i="1"/>
  <c r="S425" i="1"/>
  <c r="R454" i="1"/>
  <c r="S133" i="1"/>
  <c r="R604" i="1"/>
  <c r="S684" i="1"/>
  <c r="R205" i="1"/>
  <c r="R580" i="1"/>
  <c r="S219" i="1"/>
  <c r="R623" i="1"/>
  <c r="R592" i="1"/>
  <c r="S305" i="1"/>
  <c r="S612" i="1"/>
  <c r="S91" i="1"/>
  <c r="R659" i="1"/>
  <c r="S248" i="1"/>
  <c r="S29" i="1"/>
  <c r="R441" i="1"/>
  <c r="R333" i="3"/>
  <c r="S247" i="3"/>
  <c r="S235" i="3"/>
  <c r="R319" i="3"/>
  <c r="S128" i="3"/>
  <c r="S656" i="1"/>
  <c r="S101" i="1"/>
  <c r="R382" i="1"/>
  <c r="F364" i="3"/>
  <c r="F345" i="3"/>
  <c r="R345" i="3" s="1"/>
  <c r="F210" i="3"/>
  <c r="F151" i="3"/>
  <c r="R101" i="3"/>
  <c r="S324" i="3"/>
  <c r="R100" i="3"/>
  <c r="F338" i="3"/>
  <c r="F296" i="1"/>
  <c r="F156" i="1"/>
  <c r="R156" i="1" s="1"/>
  <c r="F597" i="1"/>
  <c r="F13" i="1"/>
  <c r="F180" i="1"/>
  <c r="S180" i="1" s="1"/>
  <c r="F144" i="1"/>
  <c r="F438" i="1"/>
  <c r="F179" i="1"/>
  <c r="F58" i="1"/>
  <c r="R58" i="1" s="1"/>
  <c r="F548" i="1"/>
  <c r="R199" i="1"/>
  <c r="R513" i="1"/>
  <c r="S119" i="1"/>
  <c r="R425" i="1"/>
  <c r="R234" i="1"/>
  <c r="S422" i="1"/>
  <c r="S308" i="1"/>
  <c r="S293" i="1"/>
  <c r="R655" i="1"/>
  <c r="R624" i="1"/>
  <c r="R305" i="1"/>
  <c r="R612" i="1"/>
  <c r="R91" i="1"/>
  <c r="S659" i="1"/>
  <c r="R248" i="1"/>
  <c r="R29" i="1"/>
  <c r="R218" i="1"/>
  <c r="S374" i="3"/>
  <c r="R231" i="3"/>
  <c r="S216" i="3"/>
  <c r="S199" i="3"/>
  <c r="S34" i="3"/>
  <c r="R96" i="3"/>
  <c r="F165" i="1"/>
  <c r="S325" i="1"/>
  <c r="S198" i="1"/>
  <c r="F148" i="3"/>
  <c r="R101" i="1"/>
  <c r="F312" i="3"/>
  <c r="S312" i="3" s="1"/>
  <c r="R316" i="3"/>
  <c r="F197" i="3"/>
  <c r="S97" i="3"/>
  <c r="S179" i="3"/>
  <c r="S302" i="3"/>
  <c r="F188" i="3"/>
  <c r="R85" i="3"/>
  <c r="F234" i="3"/>
  <c r="F328" i="1"/>
  <c r="F10" i="1"/>
  <c r="F406" i="1"/>
  <c r="F45" i="1"/>
  <c r="F692" i="1"/>
  <c r="F176" i="1"/>
  <c r="R176" i="1" s="1"/>
  <c r="F23" i="1"/>
  <c r="R23" i="1" s="1"/>
  <c r="F211" i="1"/>
  <c r="R211" i="1" s="1"/>
  <c r="F158" i="1"/>
  <c r="S231" i="1"/>
  <c r="S66" i="1"/>
  <c r="S471" i="1"/>
  <c r="R457" i="1"/>
  <c r="R266" i="1"/>
  <c r="R422" i="1"/>
  <c r="R308" i="1"/>
  <c r="R293" i="1"/>
  <c r="S337" i="1"/>
  <c r="S691" i="1"/>
  <c r="R282" i="1"/>
  <c r="R174" i="3"/>
  <c r="F173" i="1"/>
  <c r="S350" i="3"/>
  <c r="F94" i="1"/>
  <c r="S474" i="1"/>
  <c r="F279" i="3"/>
  <c r="S279" i="3" s="1"/>
  <c r="F296" i="3"/>
  <c r="F366" i="3"/>
  <c r="F48" i="3"/>
  <c r="F108" i="3"/>
  <c r="R282" i="3"/>
  <c r="F156" i="3"/>
  <c r="S59" i="3"/>
  <c r="F217" i="3"/>
  <c r="S141" i="3"/>
  <c r="F360" i="1"/>
  <c r="F106" i="1"/>
  <c r="F598" i="1"/>
  <c r="F77" i="1"/>
  <c r="F309" i="1"/>
  <c r="F208" i="1"/>
  <c r="F507" i="1"/>
  <c r="F243" i="1"/>
  <c r="F95" i="1"/>
  <c r="F485" i="1"/>
  <c r="R231" i="1"/>
  <c r="R66" i="1"/>
  <c r="R471" i="1"/>
  <c r="S244" i="1"/>
  <c r="R11" i="1"/>
  <c r="S532" i="1"/>
  <c r="S581" i="1"/>
  <c r="R125" i="1"/>
  <c r="R656" i="1"/>
  <c r="R337" i="1"/>
  <c r="R325" i="1"/>
  <c r="S540" i="1"/>
  <c r="R691" i="1"/>
  <c r="R280" i="1"/>
  <c r="R417" i="1"/>
  <c r="S346" i="1"/>
  <c r="R335" i="3"/>
  <c r="R215" i="3"/>
  <c r="S173" i="3"/>
  <c r="R148" i="3"/>
  <c r="R253" i="3"/>
  <c r="R126" i="3"/>
  <c r="S88" i="3"/>
  <c r="R300" i="3"/>
  <c r="F317" i="3"/>
  <c r="F247" i="1"/>
  <c r="F6" i="1"/>
  <c r="S295" i="1"/>
  <c r="R181" i="1"/>
  <c r="S116" i="1"/>
  <c r="S365" i="3"/>
  <c r="F200" i="3"/>
  <c r="F332" i="3"/>
  <c r="F252" i="3"/>
  <c r="R252" i="3" s="1"/>
  <c r="F351" i="3"/>
  <c r="R351" i="3" s="1"/>
  <c r="R39" i="3"/>
  <c r="F265" i="3"/>
  <c r="F135" i="3"/>
  <c r="S135" i="3" s="1"/>
  <c r="R12" i="3"/>
  <c r="R184" i="3"/>
  <c r="S77" i="3"/>
  <c r="F392" i="1"/>
  <c r="F138" i="1"/>
  <c r="F87" i="1"/>
  <c r="F109" i="1"/>
  <c r="F150" i="1"/>
  <c r="F240" i="1"/>
  <c r="F60" i="1"/>
  <c r="F118" i="1"/>
  <c r="F511" i="1"/>
  <c r="F230" i="1"/>
  <c r="S263" i="1"/>
  <c r="S515" i="1"/>
  <c r="R443" i="1"/>
  <c r="R660" i="1"/>
  <c r="S11" i="1"/>
  <c r="R532" i="1"/>
  <c r="R581" i="1"/>
  <c r="R99" i="1"/>
  <c r="R605" i="1"/>
  <c r="S688" i="1"/>
  <c r="S369" i="1"/>
  <c r="S549" i="1"/>
  <c r="S157" i="1"/>
  <c r="S20" i="1"/>
  <c r="S312" i="1"/>
  <c r="R346" i="1"/>
  <c r="S348" i="3"/>
  <c r="S215" i="3"/>
  <c r="S148" i="3"/>
  <c r="R135" i="3"/>
  <c r="S253" i="3"/>
  <c r="R260" i="3"/>
  <c r="R370" i="3"/>
  <c r="F220" i="3"/>
  <c r="R220" i="3" s="1"/>
  <c r="S44" i="3"/>
  <c r="F82" i="1"/>
  <c r="S43" i="1"/>
  <c r="R117" i="1"/>
  <c r="S446" i="1"/>
  <c r="S16" i="3"/>
  <c r="R283" i="3"/>
  <c r="S501" i="1"/>
  <c r="R360" i="3"/>
  <c r="F236" i="3"/>
  <c r="R236" i="3" s="1"/>
  <c r="F347" i="3"/>
  <c r="F367" i="3"/>
  <c r="R367" i="3" s="1"/>
  <c r="F74" i="3"/>
  <c r="F257" i="3"/>
  <c r="S134" i="3"/>
  <c r="R55" i="3"/>
  <c r="F424" i="1"/>
  <c r="S424" i="1" s="1"/>
  <c r="F170" i="1"/>
  <c r="F411" i="1"/>
  <c r="F141" i="1"/>
  <c r="F534" i="1"/>
  <c r="F272" i="1"/>
  <c r="F541" i="1"/>
  <c r="F375" i="1"/>
  <c r="F192" i="1"/>
  <c r="F550" i="1"/>
  <c r="R263" i="1"/>
  <c r="R515" i="1"/>
  <c r="S181" i="1"/>
  <c r="R43" i="1"/>
  <c r="S117" i="1"/>
  <c r="S294" i="1"/>
  <c r="R516" i="1"/>
  <c r="S605" i="1"/>
  <c r="R688" i="1"/>
  <c r="R369" i="1"/>
  <c r="R549" i="1"/>
  <c r="R157" i="1"/>
  <c r="R20" i="1"/>
  <c r="R568" i="1"/>
  <c r="R410" i="1"/>
  <c r="R337" i="3"/>
  <c r="R380" i="3"/>
  <c r="S367" i="3"/>
  <c r="R261" i="3"/>
  <c r="R365" i="3"/>
  <c r="S40" i="3"/>
  <c r="S260" i="3"/>
  <c r="S370" i="3"/>
  <c r="F303" i="3"/>
  <c r="R358" i="3"/>
  <c r="F480" i="1"/>
  <c r="S132" i="1"/>
  <c r="S410" i="1"/>
  <c r="S45" i="3"/>
  <c r="F175" i="3"/>
  <c r="S175" i="3" s="1"/>
  <c r="F313" i="3"/>
  <c r="R313" i="3" s="1"/>
  <c r="R267" i="3"/>
  <c r="S193" i="3"/>
  <c r="F297" i="3"/>
  <c r="R173" i="3"/>
  <c r="R163" i="3"/>
  <c r="S317" i="3"/>
  <c r="F487" i="1"/>
  <c r="F290" i="1"/>
  <c r="F394" i="1"/>
  <c r="F64" i="1"/>
  <c r="F567" i="1"/>
  <c r="F271" i="1"/>
  <c r="F669" i="1"/>
  <c r="F306" i="1"/>
  <c r="S306" i="1" s="1"/>
  <c r="F638" i="1"/>
  <c r="F419" i="1"/>
  <c r="S264" i="1"/>
  <c r="R183" i="1"/>
  <c r="S139" i="1"/>
  <c r="R76" i="1"/>
  <c r="S351" i="1"/>
  <c r="S685" i="1"/>
  <c r="S334" i="1"/>
  <c r="S47" i="1"/>
  <c r="S608" i="1"/>
  <c r="S374" i="1"/>
  <c r="S497" i="1"/>
  <c r="R51" i="1"/>
  <c r="R696" i="1"/>
  <c r="R602" i="1"/>
  <c r="R295" i="3"/>
  <c r="S351" i="3"/>
  <c r="S373" i="3"/>
  <c r="R326" i="3"/>
  <c r="S161" i="3"/>
  <c r="S255" i="3"/>
  <c r="R192" i="3"/>
  <c r="R336" i="3"/>
  <c r="F144" i="3"/>
  <c r="S144" i="3" s="1"/>
  <c r="F299" i="3"/>
  <c r="S299" i="3" s="1"/>
  <c r="F209" i="3"/>
  <c r="F165" i="3"/>
  <c r="F291" i="3"/>
  <c r="R139" i="3"/>
  <c r="R362" i="3"/>
  <c r="S120" i="3"/>
  <c r="F284" i="3"/>
  <c r="F519" i="1"/>
  <c r="F674" i="1"/>
  <c r="F426" i="1"/>
  <c r="R426" i="1" s="1"/>
  <c r="F545" i="1"/>
  <c r="R545" i="1" s="1"/>
  <c r="F348" i="1"/>
  <c r="F303" i="1"/>
  <c r="F190" i="1"/>
  <c r="F338" i="1"/>
  <c r="F287" i="1"/>
  <c r="S287" i="1" s="1"/>
  <c r="F100" i="1"/>
  <c r="R100" i="1" s="1"/>
  <c r="R296" i="1"/>
  <c r="R439" i="1"/>
  <c r="R171" i="1"/>
  <c r="S108" i="1"/>
  <c r="R351" i="1"/>
  <c r="R685" i="1"/>
  <c r="R334" i="1"/>
  <c r="R47" i="1"/>
  <c r="R608" i="1"/>
  <c r="R374" i="1"/>
  <c r="S500" i="1"/>
  <c r="S83" i="1"/>
  <c r="S473" i="1"/>
  <c r="S666" i="1"/>
  <c r="S295" i="3"/>
  <c r="S347" i="3"/>
  <c r="R340" i="3"/>
  <c r="S326" i="3"/>
  <c r="R127" i="3"/>
  <c r="R233" i="3"/>
  <c r="S192" i="3"/>
  <c r="S336" i="3"/>
  <c r="F111" i="3"/>
  <c r="F327" i="3"/>
  <c r="F205" i="3"/>
  <c r="R205" i="3" s="1"/>
  <c r="S99" i="3"/>
  <c r="F286" i="3"/>
  <c r="F131" i="3"/>
  <c r="R131" i="3" s="1"/>
  <c r="R350" i="3"/>
  <c r="R104" i="3"/>
  <c r="F176" i="3"/>
  <c r="F551" i="1"/>
  <c r="F355" i="1"/>
  <c r="F458" i="1"/>
  <c r="S458" i="1" s="1"/>
  <c r="F364" i="1"/>
  <c r="F61" i="1"/>
  <c r="F335" i="1"/>
  <c r="F415" i="1"/>
  <c r="S415" i="1" s="1"/>
  <c r="S316" i="3"/>
  <c r="R43" i="3"/>
  <c r="S79" i="3"/>
  <c r="R21" i="3"/>
  <c r="F514" i="1"/>
  <c r="F495" i="1"/>
  <c r="F258" i="1"/>
  <c r="R491" i="1"/>
  <c r="S373" i="1"/>
  <c r="S257" i="1"/>
  <c r="S18" i="1"/>
  <c r="R666" i="1"/>
  <c r="R342" i="3"/>
  <c r="R195" i="3"/>
  <c r="R8" i="3"/>
  <c r="S523" i="1"/>
  <c r="R373" i="1"/>
  <c r="R257" i="1"/>
  <c r="R18" i="1"/>
  <c r="S258" i="1"/>
  <c r="S59" i="1"/>
  <c r="S342" i="3"/>
  <c r="R110" i="3"/>
  <c r="S8" i="3"/>
  <c r="R258" i="1"/>
  <c r="R219" i="3"/>
  <c r="S110" i="3"/>
  <c r="R338" i="3"/>
  <c r="R373" i="3"/>
  <c r="R160" i="3"/>
  <c r="S290" i="3"/>
  <c r="R234" i="3"/>
  <c r="R250" i="3"/>
  <c r="R241" i="3"/>
  <c r="R262" i="3"/>
  <c r="R361" i="3"/>
  <c r="F69" i="1"/>
  <c r="R140" i="1"/>
  <c r="S601" i="1"/>
  <c r="R673" i="1"/>
  <c r="S502" i="1"/>
  <c r="S155" i="3"/>
  <c r="R321" i="3"/>
  <c r="S92" i="3"/>
  <c r="F278" i="3"/>
  <c r="S296" i="1"/>
  <c r="F254" i="3"/>
  <c r="R328" i="1"/>
  <c r="R458" i="1"/>
  <c r="S15" i="1"/>
  <c r="R115" i="1"/>
  <c r="F238" i="3"/>
  <c r="S328" i="1"/>
  <c r="R671" i="1"/>
  <c r="S147" i="1"/>
  <c r="F222" i="3"/>
  <c r="R360" i="1"/>
  <c r="S79" i="1"/>
  <c r="F280" i="3"/>
  <c r="S437" i="1"/>
  <c r="R433" i="1"/>
  <c r="S385" i="1"/>
  <c r="S638" i="1"/>
  <c r="S114" i="3"/>
  <c r="R93" i="3"/>
  <c r="R638" i="1"/>
  <c r="F42" i="3"/>
  <c r="R621" i="1"/>
  <c r="R249" i="1"/>
  <c r="S35" i="3"/>
  <c r="S653" i="1"/>
  <c r="R33" i="3"/>
  <c r="R427" i="1"/>
  <c r="S131" i="3"/>
  <c r="R35" i="3"/>
  <c r="F46" i="3"/>
  <c r="S491" i="1"/>
  <c r="S23" i="1"/>
  <c r="R269" i="3"/>
  <c r="R346" i="3"/>
  <c r="S369" i="3"/>
  <c r="F163" i="1"/>
  <c r="F527" i="1"/>
  <c r="F578" i="1"/>
  <c r="R578" i="1" s="1"/>
  <c r="R134" i="3"/>
  <c r="F68" i="1"/>
  <c r="R121" i="3"/>
  <c r="R6" i="3"/>
  <c r="F189" i="1"/>
  <c r="F160" i="1"/>
  <c r="R160" i="1" s="1"/>
  <c r="R154" i="3"/>
  <c r="S602" i="1"/>
  <c r="F211" i="3"/>
  <c r="S304" i="3"/>
  <c r="F90" i="3"/>
  <c r="S90" i="3" s="1"/>
  <c r="S15" i="3"/>
  <c r="F349" i="1"/>
  <c r="F559" i="1"/>
  <c r="F344" i="1"/>
  <c r="R201" i="1"/>
  <c r="R523" i="1"/>
  <c r="S661" i="1"/>
  <c r="S322" i="1"/>
  <c r="S50" i="1"/>
  <c r="S63" i="1"/>
  <c r="R255" i="3"/>
  <c r="F524" i="1"/>
  <c r="R124" i="3"/>
  <c r="S28" i="3"/>
  <c r="R230" i="3"/>
  <c r="R185" i="3"/>
  <c r="S671" i="1"/>
  <c r="F358" i="1"/>
  <c r="R79" i="1"/>
  <c r="S115" i="3"/>
  <c r="F109" i="3"/>
  <c r="R287" i="3"/>
  <c r="F64" i="3"/>
  <c r="R20" i="3"/>
  <c r="F254" i="1"/>
  <c r="F55" i="1"/>
  <c r="F408" i="1"/>
  <c r="R233" i="1"/>
  <c r="S555" i="1"/>
  <c r="R661" i="1"/>
  <c r="S80" i="1"/>
  <c r="R306" i="1"/>
  <c r="S578" i="1"/>
  <c r="S479" i="1"/>
  <c r="S338" i="3"/>
  <c r="S217" i="3"/>
  <c r="S233" i="3"/>
  <c r="R315" i="1"/>
  <c r="R159" i="1"/>
  <c r="R486" i="1"/>
  <c r="S419" i="1"/>
  <c r="R385" i="1"/>
  <c r="S258" i="3"/>
  <c r="R232" i="3"/>
  <c r="F107" i="3"/>
  <c r="R107" i="3" s="1"/>
  <c r="F54" i="3"/>
  <c r="S362" i="3"/>
  <c r="F359" i="1"/>
  <c r="F606" i="1"/>
  <c r="F571" i="1"/>
  <c r="F440" i="1"/>
  <c r="S214" i="1"/>
  <c r="R555" i="1"/>
  <c r="S86" i="1"/>
  <c r="S112" i="1"/>
  <c r="R632" i="1"/>
  <c r="R128" i="1"/>
  <c r="S340" i="3"/>
  <c r="R217" i="3"/>
  <c r="S227" i="3"/>
  <c r="F620" i="1"/>
  <c r="S321" i="3"/>
  <c r="F370" i="1"/>
  <c r="F161" i="1"/>
  <c r="F175" i="1"/>
  <c r="R287" i="1"/>
  <c r="R459" i="1"/>
  <c r="F105" i="3"/>
  <c r="S47" i="3"/>
  <c r="F240" i="3"/>
  <c r="F455" i="1"/>
  <c r="F383" i="1"/>
  <c r="F188" i="1"/>
  <c r="F194" i="1"/>
  <c r="R214" i="1"/>
  <c r="R64" i="1"/>
  <c r="R86" i="1"/>
  <c r="R144" i="1"/>
  <c r="S664" i="1"/>
  <c r="S128" i="1"/>
  <c r="S234" i="3"/>
  <c r="R665" i="1"/>
  <c r="R318" i="1"/>
  <c r="F490" i="1"/>
  <c r="S490" i="1" s="1"/>
  <c r="R223" i="1"/>
  <c r="F248" i="3"/>
  <c r="R248" i="3" s="1"/>
  <c r="R653" i="1"/>
  <c r="F171" i="3"/>
  <c r="R171" i="3" s="1"/>
  <c r="F71" i="3"/>
  <c r="R71" i="3" s="1"/>
  <c r="R45" i="3"/>
  <c r="S205" i="3"/>
  <c r="F583" i="1"/>
  <c r="F428" i="1"/>
  <c r="F381" i="1"/>
  <c r="F482" i="1"/>
  <c r="S183" i="1"/>
  <c r="S64" i="1"/>
  <c r="R270" i="1"/>
  <c r="S144" i="1"/>
  <c r="R664" i="1"/>
  <c r="S512" i="1"/>
  <c r="S250" i="3"/>
  <c r="F449" i="1"/>
  <c r="S361" i="3"/>
  <c r="S107" i="3"/>
  <c r="R490" i="1"/>
  <c r="R299" i="3"/>
  <c r="F251" i="3"/>
  <c r="S214" i="3"/>
  <c r="R317" i="3"/>
  <c r="R102" i="3"/>
  <c r="S107" i="1"/>
  <c r="S57" i="3"/>
  <c r="R474" i="1"/>
  <c r="S538" i="1"/>
  <c r="F242" i="3"/>
  <c r="R242" i="3" s="1"/>
  <c r="R438" i="1"/>
  <c r="S320" i="1"/>
  <c r="F65" i="3"/>
  <c r="S310" i="3"/>
  <c r="S181" i="3"/>
  <c r="F615" i="1"/>
  <c r="F460" i="1"/>
  <c r="F607" i="1"/>
  <c r="R607" i="1" s="1"/>
  <c r="F35" i="1"/>
  <c r="S35" i="1" s="1"/>
  <c r="S439" i="1"/>
  <c r="S545" i="1"/>
  <c r="S302" i="1"/>
  <c r="S176" i="1"/>
  <c r="S696" i="1"/>
  <c r="R512" i="1"/>
  <c r="R227" i="3"/>
  <c r="F679" i="1"/>
  <c r="S168" i="3"/>
  <c r="S171" i="3"/>
  <c r="F274" i="1"/>
  <c r="S426" i="1"/>
  <c r="F402" i="1"/>
  <c r="R147" i="1"/>
  <c r="S360" i="1"/>
  <c r="R107" i="1"/>
  <c r="F609" i="1"/>
  <c r="S609" i="1" s="1"/>
  <c r="F63" i="3"/>
  <c r="R304" i="3"/>
  <c r="F172" i="3"/>
  <c r="F647" i="1"/>
  <c r="F492" i="1"/>
  <c r="F96" i="1"/>
  <c r="F452" i="1"/>
  <c r="S315" i="1"/>
  <c r="S140" i="1"/>
  <c r="R302" i="1"/>
  <c r="R277" i="1"/>
  <c r="R473" i="1"/>
  <c r="S366" i="1"/>
  <c r="F569" i="1"/>
  <c r="S220" i="3"/>
  <c r="R237" i="3"/>
  <c r="F466" i="1"/>
  <c r="S466" i="1" s="1"/>
  <c r="R256" i="1"/>
  <c r="R280" i="3"/>
  <c r="R258" i="3"/>
  <c r="S244" i="3"/>
  <c r="F61" i="3"/>
  <c r="F159" i="3"/>
  <c r="S277" i="1"/>
  <c r="F564" i="1"/>
  <c r="S564" i="1" s="1"/>
  <c r="S345" i="3"/>
  <c r="R28" i="3"/>
  <c r="R15" i="1"/>
  <c r="S71" i="3"/>
  <c r="R82" i="3"/>
  <c r="S469" i="1"/>
  <c r="F668" i="1"/>
  <c r="R355" i="1"/>
  <c r="F367" i="1"/>
  <c r="S160" i="1"/>
  <c r="F321" i="1"/>
  <c r="R321" i="1" s="1"/>
  <c r="R320" i="1"/>
  <c r="F177" i="3"/>
  <c r="S51" i="3"/>
  <c r="F404" i="1"/>
  <c r="F556" i="1"/>
  <c r="F130" i="1"/>
  <c r="F453" i="1"/>
  <c r="R453" i="1" s="1"/>
  <c r="S156" i="1"/>
  <c r="R172" i="1"/>
  <c r="R366" i="1"/>
  <c r="S693" i="1"/>
  <c r="R466" i="1"/>
  <c r="R601" i="1"/>
  <c r="R328" i="3"/>
  <c r="R298" i="3"/>
  <c r="R168" i="3"/>
  <c r="S248" i="3"/>
  <c r="S357" i="3"/>
  <c r="S398" i="1"/>
  <c r="F324" i="1"/>
  <c r="S230" i="3"/>
  <c r="S100" i="1"/>
  <c r="F197" i="1"/>
  <c r="R214" i="3"/>
  <c r="R217" i="1"/>
  <c r="R44" i="3"/>
  <c r="R114" i="3"/>
  <c r="S310" i="1"/>
  <c r="S267" i="3"/>
  <c r="S127" i="3"/>
  <c r="R244" i="3"/>
  <c r="F182" i="3"/>
  <c r="S182" i="3" s="1"/>
  <c r="S84" i="1"/>
  <c r="R84" i="1"/>
  <c r="F146" i="3"/>
  <c r="F378" i="3"/>
  <c r="S93" i="3"/>
  <c r="F436" i="1"/>
  <c r="F588" i="1"/>
  <c r="F387" i="1"/>
  <c r="F505" i="1"/>
  <c r="R564" i="1"/>
  <c r="R193" i="1"/>
  <c r="S172" i="1"/>
  <c r="R398" i="1"/>
  <c r="R693" i="1"/>
  <c r="S665" i="1"/>
  <c r="S328" i="3"/>
  <c r="S298" i="3"/>
  <c r="R155" i="3"/>
  <c r="R182" i="3"/>
  <c r="F113" i="3"/>
  <c r="S204" i="1"/>
  <c r="F191" i="1"/>
  <c r="S237" i="3"/>
  <c r="F434" i="1"/>
  <c r="S82" i="3"/>
  <c r="F362" i="1"/>
  <c r="S249" i="1"/>
  <c r="R161" i="3"/>
  <c r="F573" i="1"/>
  <c r="S438" i="1"/>
  <c r="F431" i="1"/>
  <c r="R431" i="1" s="1"/>
  <c r="S242" i="3"/>
  <c r="R228" i="3"/>
  <c r="S6" i="3"/>
  <c r="S431" i="1"/>
  <c r="R538" i="1"/>
  <c r="S195" i="3"/>
  <c r="S337" i="3"/>
  <c r="R314" i="3"/>
  <c r="S29" i="3"/>
  <c r="F447" i="1"/>
  <c r="F237" i="1"/>
  <c r="F517" i="1"/>
  <c r="F633" i="1"/>
  <c r="S21" i="1"/>
  <c r="S418" i="1"/>
  <c r="R204" i="1"/>
  <c r="R430" i="1"/>
  <c r="R415" i="1"/>
  <c r="R678" i="1"/>
  <c r="S58" i="1"/>
  <c r="R296" i="3"/>
  <c r="S124" i="3"/>
  <c r="R94" i="3"/>
  <c r="S86" i="3"/>
  <c r="R81" i="3"/>
  <c r="F242" i="1"/>
  <c r="R264" i="1"/>
  <c r="R180" i="1"/>
  <c r="R35" i="1"/>
  <c r="R670" i="1"/>
  <c r="F78" i="3"/>
  <c r="R78" i="3" s="1"/>
  <c r="S245" i="1"/>
  <c r="R69" i="3"/>
  <c r="R371" i="3"/>
  <c r="F149" i="3"/>
  <c r="R310" i="1"/>
  <c r="F127" i="1"/>
  <c r="F33" i="1"/>
  <c r="S232" i="3"/>
  <c r="F352" i="3"/>
  <c r="R308" i="3"/>
  <c r="S275" i="3"/>
  <c r="F224" i="1"/>
  <c r="F269" i="1"/>
  <c r="F178" i="1"/>
  <c r="F26" i="1"/>
  <c r="R232" i="1"/>
  <c r="R418" i="1"/>
  <c r="S236" i="1"/>
  <c r="S430" i="1"/>
  <c r="S607" i="1"/>
  <c r="R19" i="1"/>
  <c r="R570" i="1"/>
  <c r="S296" i="3"/>
  <c r="R76" i="3"/>
  <c r="S94" i="3"/>
  <c r="R86" i="3"/>
  <c r="S202" i="3"/>
  <c r="F333" i="1"/>
  <c r="R394" i="1"/>
  <c r="S96" i="1"/>
  <c r="S236" i="3"/>
  <c r="F643" i="1"/>
  <c r="S115" i="1"/>
  <c r="S313" i="3"/>
  <c r="F644" i="1"/>
  <c r="S433" i="1"/>
  <c r="F354" i="1"/>
  <c r="S179" i="1"/>
  <c r="F239" i="1"/>
  <c r="S154" i="3"/>
  <c r="F399" i="1"/>
  <c r="S399" i="1" s="1"/>
  <c r="F463" i="1"/>
  <c r="R312" i="3"/>
  <c r="R279" i="3"/>
  <c r="R175" i="3"/>
  <c r="F353" i="1"/>
  <c r="F301" i="1"/>
  <c r="F210" i="1"/>
  <c r="F90" i="1"/>
  <c r="S232" i="1"/>
  <c r="S394" i="1"/>
  <c r="R236" i="1"/>
  <c r="R462" i="1"/>
  <c r="R96" i="1"/>
  <c r="S51" i="1"/>
  <c r="R634" i="1"/>
  <c r="S252" i="3"/>
  <c r="S76" i="3"/>
  <c r="R90" i="3"/>
  <c r="S358" i="3"/>
  <c r="F292" i="3"/>
  <c r="F577" i="1"/>
  <c r="S566" i="1"/>
  <c r="R83" i="1"/>
  <c r="S186" i="3"/>
  <c r="F510" i="1"/>
  <c r="R419" i="1"/>
  <c r="F352" i="1"/>
  <c r="S26" i="3"/>
  <c r="R191" i="3"/>
  <c r="R84" i="3"/>
  <c r="R69" i="1"/>
  <c r="R83" i="3"/>
  <c r="R139" i="1"/>
  <c r="R27" i="3"/>
  <c r="S223" i="1"/>
  <c r="R147" i="3"/>
  <c r="S273" i="3"/>
  <c r="F140" i="3"/>
  <c r="F166" i="3"/>
  <c r="F489" i="1"/>
  <c r="F642" i="1"/>
  <c r="F498" i="1"/>
  <c r="R392" i="1"/>
  <c r="S54" i="1"/>
  <c r="S256" i="1"/>
  <c r="S111" i="1"/>
  <c r="S465" i="1"/>
  <c r="R179" i="1"/>
  <c r="S69" i="1"/>
  <c r="S371" i="3"/>
  <c r="S157" i="3"/>
  <c r="R60" i="3"/>
  <c r="F116" i="3"/>
  <c r="S118" i="3"/>
  <c r="F138" i="3"/>
  <c r="F585" i="1"/>
  <c r="F259" i="1"/>
  <c r="F530" i="1"/>
  <c r="S392" i="1"/>
  <c r="R54" i="1"/>
  <c r="S672" i="1"/>
  <c r="R111" i="1"/>
  <c r="R465" i="1"/>
  <c r="S211" i="1"/>
  <c r="S453" i="1"/>
  <c r="R305" i="3"/>
  <c r="S78" i="3"/>
  <c r="R136" i="3"/>
  <c r="F289" i="3"/>
  <c r="R98" i="3"/>
  <c r="S153" i="3"/>
  <c r="F298" i="1"/>
  <c r="F635" i="1"/>
  <c r="F562" i="1"/>
  <c r="R424" i="1"/>
  <c r="S662" i="1"/>
  <c r="R672" i="1"/>
  <c r="S143" i="1"/>
  <c r="R85" i="1"/>
  <c r="R185" i="1"/>
  <c r="R347" i="3"/>
  <c r="S80" i="3"/>
  <c r="S136" i="3"/>
  <c r="F130" i="3"/>
  <c r="R87" i="3"/>
  <c r="R144" i="3"/>
  <c r="F330" i="1"/>
  <c r="F412" i="1"/>
  <c r="F416" i="1"/>
  <c r="S355" i="1"/>
  <c r="R662" i="1"/>
  <c r="R399" i="1"/>
  <c r="S280" i="3"/>
  <c r="R469" i="1"/>
  <c r="R18" i="3"/>
  <c r="F286" i="1"/>
  <c r="S321" i="1"/>
  <c r="F448" i="1"/>
  <c r="R609" i="1"/>
  <c r="S162" i="3"/>
  <c r="R162" i="3"/>
  <c r="S329" i="3"/>
  <c r="R329" i="3"/>
  <c r="S129" i="3"/>
  <c r="R129" i="3"/>
  <c r="S70" i="3"/>
  <c r="R70" i="3"/>
  <c r="R19" i="3"/>
  <c r="S19" i="3"/>
  <c r="S315" i="3"/>
  <c r="R315" i="3"/>
  <c r="S368" i="3"/>
  <c r="R368" i="3"/>
  <c r="R356" i="3"/>
  <c r="S356" i="3"/>
  <c r="R201" i="3"/>
  <c r="S201" i="3"/>
  <c r="S243" i="3"/>
  <c r="R243" i="3"/>
  <c r="R341" i="3"/>
  <c r="S341" i="3"/>
  <c r="R207" i="3"/>
  <c r="S207" i="3"/>
  <c r="S354" i="3"/>
  <c r="R354" i="3"/>
  <c r="S330" i="3"/>
  <c r="R330" i="3"/>
  <c r="R190" i="3"/>
  <c r="S190" i="3"/>
  <c r="R203" i="3"/>
  <c r="S203" i="3"/>
  <c r="S301" i="3"/>
  <c r="R301" i="3"/>
  <c r="R353" i="3"/>
  <c r="S353" i="3"/>
  <c r="S150" i="3"/>
  <c r="R150" i="3"/>
  <c r="R196" i="3"/>
  <c r="S196" i="3"/>
  <c r="R169" i="3"/>
  <c r="S169" i="3"/>
  <c r="R391" i="1"/>
  <c r="S391" i="1"/>
  <c r="R262" i="1"/>
  <c r="S262" i="1"/>
  <c r="R92" i="1"/>
  <c r="S92" i="1"/>
  <c r="S521" i="1"/>
  <c r="R521" i="1"/>
  <c r="R42" i="1"/>
  <c r="S42" i="1"/>
  <c r="R350" i="1"/>
  <c r="S350" i="1"/>
  <c r="R468" i="1"/>
  <c r="S468" i="1"/>
  <c r="R396" i="1"/>
  <c r="S396" i="1"/>
  <c r="R389" i="1"/>
  <c r="S389" i="1"/>
  <c r="S251" i="1"/>
  <c r="R251" i="1"/>
  <c r="S526" i="1"/>
  <c r="R526" i="1"/>
  <c r="R207" i="1"/>
  <c r="S207" i="1"/>
  <c r="R227" i="1"/>
  <c r="S227" i="1"/>
  <c r="S663" i="1"/>
  <c r="R663" i="1"/>
  <c r="R561" i="1"/>
  <c r="S561" i="1"/>
  <c r="R114" i="1"/>
  <c r="S114" i="1"/>
  <c r="R65" i="1"/>
  <c r="S65" i="1"/>
  <c r="R630" i="1"/>
  <c r="S630" i="1"/>
  <c r="S376" i="1"/>
  <c r="R376" i="1"/>
  <c r="S478" i="1"/>
  <c r="R478" i="1"/>
  <c r="R537" i="1"/>
  <c r="S537" i="1"/>
  <c r="R196" i="1"/>
  <c r="S196" i="1"/>
  <c r="R270" i="3"/>
  <c r="R349" i="3"/>
  <c r="S349" i="3"/>
  <c r="S256" i="3"/>
  <c r="R256" i="3"/>
  <c r="S58" i="3"/>
  <c r="R58" i="3"/>
  <c r="S152" i="3"/>
  <c r="R152" i="3"/>
  <c r="R423" i="1"/>
  <c r="S423" i="1"/>
  <c r="S8" i="1"/>
  <c r="R8" i="1"/>
  <c r="R509" i="1"/>
  <c r="S509" i="1"/>
  <c r="R553" i="1"/>
  <c r="S553" i="1"/>
  <c r="R74" i="1"/>
  <c r="S74" i="1"/>
  <c r="R271" i="3"/>
  <c r="S271" i="3"/>
  <c r="S204" i="3"/>
  <c r="R204" i="3"/>
  <c r="R617" i="1"/>
  <c r="S617" i="1"/>
  <c r="R546" i="1"/>
  <c r="S546" i="1"/>
  <c r="R472" i="1"/>
  <c r="S472" i="1"/>
  <c r="R154" i="1"/>
  <c r="S154" i="1"/>
  <c r="R164" i="1"/>
  <c r="S164" i="1"/>
  <c r="S272" i="3"/>
  <c r="R272" i="3"/>
  <c r="R123" i="1"/>
  <c r="S123" i="1"/>
  <c r="R97" i="1"/>
  <c r="S97" i="1"/>
  <c r="S334" i="3"/>
  <c r="R334" i="3"/>
  <c r="R444" i="1"/>
  <c r="S444" i="1"/>
  <c r="S649" i="1"/>
  <c r="R649" i="1"/>
  <c r="S529" i="1"/>
  <c r="R529" i="1"/>
  <c r="R195" i="1"/>
  <c r="S195" i="1"/>
  <c r="R504" i="1"/>
  <c r="S504" i="1"/>
  <c r="S16" i="1"/>
  <c r="R16" i="1"/>
  <c r="S421" i="1"/>
  <c r="R421" i="1"/>
  <c r="R681" i="1"/>
  <c r="S681" i="1"/>
  <c r="S593" i="1"/>
  <c r="R593" i="1"/>
  <c r="R388" i="1"/>
  <c r="S388" i="1"/>
  <c r="R536" i="1"/>
  <c r="S536" i="1"/>
  <c r="R539" i="1"/>
  <c r="S539" i="1"/>
  <c r="S53" i="3"/>
  <c r="R53" i="3"/>
  <c r="S309" i="3"/>
  <c r="R309" i="3"/>
  <c r="R325" i="3"/>
  <c r="S325" i="3"/>
  <c r="S40" i="1"/>
  <c r="R40" i="1"/>
  <c r="R610" i="1"/>
  <c r="S610" i="1"/>
  <c r="R625" i="1"/>
  <c r="S625" i="1"/>
  <c r="S229" i="1"/>
  <c r="R229" i="1"/>
  <c r="S264" i="3"/>
  <c r="R264" i="3"/>
  <c r="S72" i="1"/>
  <c r="R72" i="1"/>
  <c r="S420" i="1"/>
  <c r="R420" i="1"/>
  <c r="R657" i="1"/>
  <c r="S657" i="1"/>
  <c r="R390" i="1"/>
  <c r="S390" i="1"/>
  <c r="R600" i="1"/>
  <c r="S600" i="1"/>
  <c r="R202" i="1"/>
  <c r="S202" i="1"/>
  <c r="R49" i="3"/>
  <c r="S49" i="3"/>
  <c r="S104" i="1"/>
  <c r="R104" i="1"/>
  <c r="S75" i="1"/>
  <c r="R75" i="1"/>
  <c r="R246" i="1"/>
  <c r="S246" i="1"/>
  <c r="R494" i="1"/>
  <c r="S494" i="1"/>
  <c r="R261" i="1"/>
  <c r="S261" i="1"/>
  <c r="R689" i="1"/>
  <c r="S689" i="1"/>
  <c r="S170" i="3"/>
  <c r="R170" i="3"/>
  <c r="R146" i="1"/>
  <c r="S146" i="1"/>
  <c r="S119" i="3"/>
  <c r="R119" i="3"/>
  <c r="S136" i="1"/>
  <c r="R136" i="1"/>
  <c r="R558" i="1"/>
  <c r="S558" i="1"/>
  <c r="R166" i="1"/>
  <c r="S166" i="1"/>
  <c r="R276" i="1"/>
  <c r="S276" i="1"/>
  <c r="S194" i="3"/>
  <c r="R194" i="3"/>
  <c r="R106" i="3"/>
  <c r="S106" i="3"/>
  <c r="S68" i="3"/>
  <c r="R68" i="3"/>
  <c r="S168" i="1"/>
  <c r="R168" i="1"/>
  <c r="S590" i="1"/>
  <c r="R590" i="1"/>
  <c r="S375" i="3"/>
  <c r="R375" i="3"/>
  <c r="S200" i="1"/>
  <c r="R200" i="1"/>
  <c r="R645" i="1"/>
  <c r="S645" i="1"/>
  <c r="S622" i="1"/>
  <c r="R622" i="1"/>
  <c r="S48" i="1"/>
  <c r="R48" i="1"/>
  <c r="R535" i="1"/>
  <c r="S535" i="1"/>
  <c r="S41" i="3"/>
  <c r="R41" i="3"/>
  <c r="S274" i="3"/>
  <c r="R274" i="3"/>
  <c r="R372" i="1"/>
  <c r="S372" i="1"/>
  <c r="R326" i="1"/>
  <c r="S326" i="1"/>
  <c r="S654" i="1"/>
  <c r="R654" i="1"/>
  <c r="S277" i="3"/>
  <c r="R277" i="3"/>
  <c r="S7" i="3"/>
  <c r="R7" i="3"/>
  <c r="S266" i="3"/>
  <c r="R266" i="3"/>
  <c r="R22" i="3"/>
  <c r="S22" i="3"/>
  <c r="S30" i="3"/>
  <c r="R30" i="3"/>
  <c r="R53" i="1"/>
  <c r="S53" i="1"/>
  <c r="R614" i="1"/>
  <c r="S614" i="1"/>
  <c r="S686" i="1"/>
  <c r="R686" i="1"/>
  <c r="R451" i="1"/>
  <c r="S451" i="1"/>
  <c r="S364" i="3"/>
  <c r="R364" i="3"/>
  <c r="S210" i="3"/>
  <c r="R210" i="3"/>
  <c r="R151" i="3"/>
  <c r="S151" i="3"/>
  <c r="R597" i="1"/>
  <c r="S597" i="1"/>
  <c r="R13" i="1"/>
  <c r="S13" i="1"/>
  <c r="S548" i="1"/>
  <c r="R548" i="1"/>
  <c r="R165" i="1"/>
  <c r="S165" i="1"/>
  <c r="R197" i="3"/>
  <c r="S197" i="3"/>
  <c r="R188" i="3"/>
  <c r="S188" i="3"/>
  <c r="R10" i="1"/>
  <c r="S10" i="1"/>
  <c r="R406" i="1"/>
  <c r="S406" i="1"/>
  <c r="R45" i="1"/>
  <c r="S45" i="1"/>
  <c r="R692" i="1"/>
  <c r="S692" i="1"/>
  <c r="R158" i="1"/>
  <c r="S158" i="1"/>
  <c r="S173" i="1"/>
  <c r="R173" i="1"/>
  <c r="R94" i="1"/>
  <c r="S94" i="1"/>
  <c r="S366" i="3"/>
  <c r="R366" i="3"/>
  <c r="S48" i="3"/>
  <c r="R48" i="3"/>
  <c r="S108" i="3"/>
  <c r="R108" i="3"/>
  <c r="R156" i="3"/>
  <c r="S156" i="3"/>
  <c r="R106" i="1"/>
  <c r="S106" i="1"/>
  <c r="R598" i="1"/>
  <c r="S598" i="1"/>
  <c r="R77" i="1"/>
  <c r="S77" i="1"/>
  <c r="S309" i="1"/>
  <c r="R309" i="1"/>
  <c r="R208" i="1"/>
  <c r="S208" i="1"/>
  <c r="S507" i="1"/>
  <c r="R507" i="1"/>
  <c r="S243" i="1"/>
  <c r="R243" i="1"/>
  <c r="S95" i="1"/>
  <c r="R95" i="1"/>
  <c r="R485" i="1"/>
  <c r="S485" i="1"/>
  <c r="S247" i="1"/>
  <c r="R247" i="1"/>
  <c r="S6" i="1"/>
  <c r="R6" i="1"/>
  <c r="S200" i="3"/>
  <c r="R200" i="3"/>
  <c r="S332" i="3"/>
  <c r="R332" i="3"/>
  <c r="R265" i="3"/>
  <c r="S265" i="3"/>
  <c r="R138" i="1"/>
  <c r="S138" i="1"/>
  <c r="R87" i="1"/>
  <c r="S87" i="1"/>
  <c r="R109" i="1"/>
  <c r="S109" i="1"/>
  <c r="R150" i="1"/>
  <c r="S150" i="1"/>
  <c r="R240" i="1"/>
  <c r="S240" i="1"/>
  <c r="R60" i="1"/>
  <c r="S60" i="1"/>
  <c r="R118" i="1"/>
  <c r="S118" i="1"/>
  <c r="S511" i="1"/>
  <c r="R511" i="1"/>
  <c r="R230" i="1"/>
  <c r="S230" i="1"/>
  <c r="R82" i="1"/>
  <c r="S82" i="1"/>
  <c r="S74" i="3"/>
  <c r="R74" i="3"/>
  <c r="S257" i="3"/>
  <c r="R257" i="3"/>
  <c r="R170" i="1"/>
  <c r="S170" i="1"/>
  <c r="R411" i="1"/>
  <c r="S411" i="1"/>
  <c r="R141" i="1"/>
  <c r="S141" i="1"/>
  <c r="R534" i="1"/>
  <c r="S534" i="1"/>
  <c r="R272" i="1"/>
  <c r="S272" i="1"/>
  <c r="R541" i="1"/>
  <c r="S541" i="1"/>
  <c r="S375" i="1"/>
  <c r="R375" i="1"/>
  <c r="S192" i="1"/>
  <c r="R192" i="1"/>
  <c r="R550" i="1"/>
  <c r="S550" i="1"/>
  <c r="S303" i="3"/>
  <c r="R303" i="3"/>
  <c r="R480" i="1"/>
  <c r="S480" i="1"/>
  <c r="S297" i="3"/>
  <c r="R297" i="3"/>
  <c r="S487" i="1"/>
  <c r="R487" i="1"/>
  <c r="R290" i="1"/>
  <c r="S290" i="1"/>
  <c r="R567" i="1"/>
  <c r="S567" i="1"/>
  <c r="R271" i="1"/>
  <c r="S271" i="1"/>
  <c r="R669" i="1"/>
  <c r="S669" i="1"/>
  <c r="R209" i="3"/>
  <c r="S209" i="3"/>
  <c r="S165" i="3"/>
  <c r="R165" i="3"/>
  <c r="S291" i="3"/>
  <c r="R291" i="3"/>
  <c r="S284" i="3"/>
  <c r="R284" i="3"/>
  <c r="S519" i="1"/>
  <c r="R519" i="1"/>
  <c r="R674" i="1"/>
  <c r="S674" i="1"/>
  <c r="R348" i="1"/>
  <c r="S348" i="1"/>
  <c r="S303" i="1"/>
  <c r="R303" i="1"/>
  <c r="S190" i="1"/>
  <c r="R190" i="1"/>
  <c r="S338" i="1"/>
  <c r="R338" i="1"/>
  <c r="R111" i="3"/>
  <c r="S111" i="3"/>
  <c r="S327" i="3"/>
  <c r="R327" i="3"/>
  <c r="S286" i="3"/>
  <c r="R286" i="3"/>
  <c r="R176" i="3"/>
  <c r="S176" i="3"/>
  <c r="S551" i="1"/>
  <c r="R551" i="1"/>
  <c r="S364" i="1"/>
  <c r="R364" i="1"/>
  <c r="R61" i="1"/>
  <c r="S61" i="1"/>
  <c r="R335" i="1"/>
  <c r="S335" i="1"/>
  <c r="R514" i="1"/>
  <c r="S514" i="1"/>
  <c r="R495" i="1"/>
  <c r="S495" i="1"/>
  <c r="S278" i="3"/>
  <c r="R278" i="3"/>
  <c r="R254" i="3"/>
  <c r="S254" i="3"/>
  <c r="R238" i="3"/>
  <c r="S238" i="3"/>
  <c r="R222" i="3"/>
  <c r="S222" i="3"/>
  <c r="R42" i="3"/>
  <c r="S42" i="3"/>
  <c r="R46" i="3"/>
  <c r="S46" i="3"/>
  <c r="R163" i="1"/>
  <c r="S163" i="1"/>
  <c r="S527" i="1"/>
  <c r="R527" i="1"/>
  <c r="R68" i="1"/>
  <c r="S68" i="1"/>
  <c r="R189" i="1"/>
  <c r="S189" i="1"/>
  <c r="S211" i="3"/>
  <c r="R349" i="1"/>
  <c r="S349" i="1"/>
  <c r="S559" i="1"/>
  <c r="R559" i="1"/>
  <c r="S344" i="1"/>
  <c r="R344" i="1"/>
  <c r="R524" i="1"/>
  <c r="S524" i="1"/>
  <c r="S358" i="1"/>
  <c r="R358" i="1"/>
  <c r="S109" i="3"/>
  <c r="R109" i="3"/>
  <c r="R64" i="3"/>
  <c r="S64" i="3"/>
  <c r="S254" i="1"/>
  <c r="R254" i="1"/>
  <c r="R55" i="1"/>
  <c r="S55" i="1"/>
  <c r="S408" i="1"/>
  <c r="R408" i="1"/>
  <c r="R54" i="3"/>
  <c r="S54" i="3"/>
  <c r="R359" i="1"/>
  <c r="S359" i="1"/>
  <c r="S606" i="1"/>
  <c r="R606" i="1"/>
  <c r="R571" i="1"/>
  <c r="S571" i="1"/>
  <c r="R440" i="1"/>
  <c r="S440" i="1"/>
  <c r="R620" i="1"/>
  <c r="S620" i="1"/>
  <c r="R370" i="1"/>
  <c r="S370" i="1"/>
  <c r="R161" i="1"/>
  <c r="S161" i="1"/>
  <c r="R175" i="1"/>
  <c r="S175" i="1"/>
  <c r="R105" i="3"/>
  <c r="S105" i="3"/>
  <c r="S240" i="3"/>
  <c r="R240" i="3"/>
  <c r="R455" i="1"/>
  <c r="S455" i="1"/>
  <c r="S383" i="1"/>
  <c r="R383" i="1"/>
  <c r="R188" i="1"/>
  <c r="S188" i="1"/>
  <c r="R194" i="1"/>
  <c r="S194" i="1"/>
  <c r="S583" i="1"/>
  <c r="R583" i="1"/>
  <c r="S428" i="1"/>
  <c r="R428" i="1"/>
  <c r="S381" i="1"/>
  <c r="R381" i="1"/>
  <c r="R482" i="1"/>
  <c r="S482" i="1"/>
  <c r="R449" i="1"/>
  <c r="S449" i="1"/>
  <c r="S251" i="3"/>
  <c r="R251" i="3"/>
  <c r="R65" i="3"/>
  <c r="S65" i="3"/>
  <c r="R615" i="1"/>
  <c r="S615" i="1"/>
  <c r="R460" i="1"/>
  <c r="S460" i="1"/>
  <c r="R679" i="1"/>
  <c r="S679" i="1"/>
  <c r="S274" i="1"/>
  <c r="R274" i="1"/>
  <c r="R402" i="1"/>
  <c r="S402" i="1"/>
  <c r="S63" i="3"/>
  <c r="R63" i="3"/>
  <c r="R172" i="3"/>
  <c r="S172" i="3"/>
  <c r="S647" i="1"/>
  <c r="R647" i="1"/>
  <c r="S492" i="1"/>
  <c r="R492" i="1"/>
  <c r="S452" i="1"/>
  <c r="R452" i="1"/>
  <c r="R569" i="1"/>
  <c r="S569" i="1"/>
  <c r="R61" i="3"/>
  <c r="S61" i="3"/>
  <c r="S159" i="3"/>
  <c r="R159" i="3"/>
  <c r="R668" i="1"/>
  <c r="S668" i="1"/>
  <c r="S367" i="1"/>
  <c r="R367" i="1"/>
  <c r="R177" i="3"/>
  <c r="S177" i="3"/>
  <c r="R404" i="1"/>
  <c r="S404" i="1"/>
  <c r="R556" i="1"/>
  <c r="S556" i="1"/>
  <c r="S130" i="1"/>
  <c r="R130" i="1"/>
  <c r="R324" i="1"/>
  <c r="S324" i="1"/>
  <c r="S197" i="1"/>
  <c r="R197" i="1"/>
  <c r="S146" i="3"/>
  <c r="R146" i="3"/>
  <c r="S378" i="3"/>
  <c r="R378" i="3"/>
  <c r="R436" i="1"/>
  <c r="S436" i="1"/>
  <c r="R588" i="1"/>
  <c r="S588" i="1"/>
  <c r="S387" i="1"/>
  <c r="R387" i="1"/>
  <c r="R505" i="1"/>
  <c r="S505" i="1"/>
  <c r="S113" i="3"/>
  <c r="R113" i="3"/>
  <c r="S191" i="1"/>
  <c r="R191" i="1"/>
  <c r="R434" i="1"/>
  <c r="S434" i="1"/>
  <c r="S362" i="1"/>
  <c r="R362" i="1"/>
  <c r="R573" i="1"/>
  <c r="S573" i="1"/>
  <c r="S447" i="1"/>
  <c r="R447" i="1"/>
  <c r="R237" i="1"/>
  <c r="S237" i="1"/>
  <c r="R517" i="1"/>
  <c r="S517" i="1"/>
  <c r="S633" i="1"/>
  <c r="R633" i="1"/>
  <c r="R242" i="1"/>
  <c r="S242" i="1"/>
  <c r="S149" i="3"/>
  <c r="R149" i="3"/>
  <c r="S127" i="1"/>
  <c r="R127" i="1"/>
  <c r="R33" i="1"/>
  <c r="S33" i="1"/>
  <c r="S352" i="3"/>
  <c r="R352" i="3"/>
  <c r="S224" i="1"/>
  <c r="R224" i="1"/>
  <c r="R269" i="1"/>
  <c r="S269" i="1"/>
  <c r="S178" i="1"/>
  <c r="R178" i="1"/>
  <c r="S26" i="1"/>
  <c r="R26" i="1"/>
  <c r="R333" i="1"/>
  <c r="S333" i="1"/>
  <c r="R643" i="1"/>
  <c r="S643" i="1"/>
  <c r="S644" i="1"/>
  <c r="R644" i="1"/>
  <c r="S354" i="1"/>
  <c r="R354" i="1"/>
  <c r="S239" i="1"/>
  <c r="R239" i="1"/>
  <c r="S463" i="1"/>
  <c r="R463" i="1"/>
  <c r="R353" i="1"/>
  <c r="S353" i="1"/>
  <c r="S301" i="1"/>
  <c r="R301" i="1"/>
  <c r="R210" i="1"/>
  <c r="S210" i="1"/>
  <c r="R90" i="1"/>
  <c r="S90" i="1"/>
  <c r="R292" i="3"/>
  <c r="S292" i="3"/>
  <c r="R577" i="1"/>
  <c r="S577" i="1"/>
  <c r="S510" i="1"/>
  <c r="R510" i="1"/>
  <c r="R352" i="1"/>
  <c r="S352" i="1"/>
  <c r="R140" i="3"/>
  <c r="S140" i="3"/>
  <c r="R166" i="3"/>
  <c r="S166" i="3"/>
  <c r="S489" i="1"/>
  <c r="R489" i="1"/>
  <c r="R642" i="1"/>
  <c r="S642" i="1"/>
  <c r="S498" i="1"/>
  <c r="R498" i="1"/>
  <c r="S116" i="3"/>
  <c r="R116" i="3"/>
  <c r="R138" i="3"/>
  <c r="S138" i="3"/>
  <c r="R585" i="1"/>
  <c r="S585" i="1"/>
  <c r="R259" i="1"/>
  <c r="S259" i="1"/>
  <c r="S530" i="1"/>
  <c r="R530" i="1"/>
  <c r="R289" i="3"/>
  <c r="S289" i="3"/>
  <c r="R298" i="1"/>
  <c r="S298" i="1"/>
  <c r="R635" i="1"/>
  <c r="S635" i="1"/>
  <c r="S562" i="1"/>
  <c r="R562" i="1"/>
  <c r="S130" i="3"/>
  <c r="R130" i="3"/>
  <c r="R330" i="1"/>
  <c r="S330" i="1"/>
  <c r="S412" i="1"/>
  <c r="R412" i="1"/>
  <c r="R416" i="1"/>
  <c r="S416" i="1"/>
  <c r="R286" i="1"/>
  <c r="S286" i="1"/>
  <c r="S448" i="1"/>
  <c r="R448" i="1"/>
  <c r="J6" i="3"/>
  <c r="T673" i="1"/>
  <c r="U32" i="3"/>
  <c r="U191" i="1"/>
  <c r="T352" i="3"/>
  <c r="U454" i="1"/>
  <c r="T154" i="1"/>
  <c r="T502" i="1"/>
  <c r="T325" i="3"/>
  <c r="U561" i="1"/>
  <c r="U331" i="1"/>
  <c r="T269" i="1"/>
  <c r="T169" i="3"/>
  <c r="U544" i="1"/>
  <c r="T379" i="1"/>
  <c r="U136" i="3"/>
  <c r="T341" i="1"/>
  <c r="T185" i="1"/>
  <c r="U643" i="1"/>
  <c r="U255" i="1"/>
  <c r="U23" i="3"/>
  <c r="U527" i="1"/>
  <c r="T518" i="1"/>
  <c r="T23" i="3"/>
  <c r="T578" i="1"/>
  <c r="T38" i="3"/>
  <c r="T667" i="1"/>
  <c r="T236" i="3"/>
  <c r="U220" i="1"/>
  <c r="T440" i="1"/>
  <c r="T633" i="1"/>
  <c r="T331" i="3"/>
  <c r="U242" i="3"/>
  <c r="U308" i="1"/>
  <c r="T602" i="1"/>
  <c r="U96" i="3"/>
  <c r="T342" i="1"/>
  <c r="T341" i="3"/>
  <c r="T131" i="3"/>
  <c r="U457" i="1"/>
  <c r="U685" i="1"/>
  <c r="T547" i="1"/>
  <c r="U182" i="1"/>
  <c r="T223" i="1"/>
  <c r="U193" i="1"/>
  <c r="U44" i="1"/>
  <c r="U420" i="1"/>
  <c r="U507" i="1"/>
  <c r="T96" i="1"/>
  <c r="U260" i="1"/>
  <c r="T343" i="3"/>
  <c r="U676" i="1"/>
  <c r="U466" i="1"/>
  <c r="U136" i="1"/>
  <c r="U38" i="1"/>
  <c r="T282" i="3"/>
  <c r="T136" i="1"/>
  <c r="U387" i="1"/>
  <c r="T321" i="3"/>
  <c r="T193" i="1"/>
  <c r="U134" i="1"/>
  <c r="U248" i="3"/>
  <c r="T580" i="1"/>
  <c r="U343" i="3"/>
  <c r="U98" i="1"/>
  <c r="T619" i="1"/>
  <c r="U52" i="3"/>
  <c r="U259" i="1"/>
  <c r="T38" i="1"/>
  <c r="T77" i="3"/>
  <c r="U95" i="3"/>
  <c r="U628" i="1"/>
  <c r="U141" i="1"/>
  <c r="T544" i="1"/>
  <c r="U110" i="3"/>
  <c r="T110" i="3"/>
  <c r="T49" i="1"/>
  <c r="T312" i="3"/>
  <c r="T458" i="1"/>
  <c r="T188" i="3"/>
  <c r="U690" i="1"/>
  <c r="T394" i="1"/>
  <c r="U103" i="3"/>
  <c r="T690" i="1"/>
  <c r="T403" i="1"/>
  <c r="T13" i="3"/>
  <c r="T128" i="3"/>
  <c r="T184" i="1"/>
  <c r="U17" i="3"/>
  <c r="T398" i="1"/>
  <c r="U7" i="1"/>
  <c r="T172" i="3"/>
  <c r="T270" i="3"/>
  <c r="T581" i="1"/>
  <c r="T93" i="1"/>
  <c r="U236" i="1"/>
  <c r="U14" i="3"/>
  <c r="T353" i="1"/>
  <c r="T616" i="1"/>
  <c r="T196" i="3"/>
  <c r="U482" i="1"/>
  <c r="U279" i="3"/>
  <c r="T353" i="3"/>
  <c r="T249" i="3"/>
  <c r="T223" i="3"/>
  <c r="U491" i="1"/>
  <c r="T662" i="1"/>
  <c r="U96" i="1"/>
  <c r="T84" i="3"/>
  <c r="T461" i="1"/>
  <c r="U662" i="1"/>
  <c r="T207" i="3"/>
  <c r="U52" i="1"/>
  <c r="U270" i="1"/>
  <c r="T99" i="1"/>
  <c r="T295" i="3"/>
  <c r="T685" i="1"/>
  <c r="U131" i="3"/>
  <c r="T342" i="3"/>
  <c r="T258" i="1"/>
  <c r="U342" i="3"/>
  <c r="T314" i="1"/>
  <c r="U128" i="3"/>
  <c r="U374" i="1"/>
  <c r="U398" i="1"/>
  <c r="U82" i="1"/>
  <c r="U431" i="1"/>
  <c r="T24" i="1"/>
  <c r="U157" i="1"/>
  <c r="U110" i="1"/>
  <c r="U193" i="3"/>
  <c r="T154" i="3"/>
  <c r="T527" i="1"/>
  <c r="T270" i="1"/>
  <c r="U286" i="1"/>
  <c r="U146" i="1"/>
  <c r="U584" i="1"/>
  <c r="U349" i="3"/>
  <c r="T222" i="3"/>
  <c r="T331" i="1"/>
  <c r="U322" i="3"/>
  <c r="U258" i="1"/>
  <c r="U46" i="1"/>
  <c r="T276" i="3"/>
  <c r="U200" i="3"/>
  <c r="T111" i="1"/>
  <c r="U667" i="1"/>
  <c r="U664" i="1"/>
  <c r="T243" i="1"/>
  <c r="U65" i="1"/>
  <c r="T349" i="3"/>
  <c r="T379" i="3"/>
  <c r="U372" i="1"/>
  <c r="T141" i="1"/>
  <c r="T541" i="1"/>
  <c r="T491" i="1"/>
  <c r="U59" i="1"/>
  <c r="T82" i="1"/>
  <c r="U140" i="3"/>
  <c r="U84" i="3"/>
  <c r="U693" i="1"/>
  <c r="T49" i="3"/>
  <c r="U390" i="1"/>
  <c r="T140" i="1"/>
  <c r="T184" i="3"/>
  <c r="U274" i="3"/>
  <c r="U15" i="1"/>
  <c r="T374" i="3"/>
  <c r="U186" i="3"/>
  <c r="U248" i="1"/>
  <c r="U545" i="1"/>
  <c r="T127" i="1"/>
  <c r="T220" i="1"/>
  <c r="T95" i="1"/>
  <c r="U82" i="3"/>
  <c r="U416" i="1"/>
  <c r="U608" i="1"/>
  <c r="T274" i="1"/>
  <c r="U289" i="3"/>
  <c r="T554" i="1"/>
  <c r="T14" i="3"/>
  <c r="U242" i="1"/>
  <c r="T112" i="1"/>
  <c r="T372" i="3"/>
  <c r="U353" i="3"/>
  <c r="T387" i="1"/>
  <c r="U169" i="1"/>
  <c r="U236" i="3"/>
  <c r="T59" i="1"/>
  <c r="U186" i="1"/>
  <c r="T172" i="1"/>
  <c r="T652" i="1"/>
  <c r="U438" i="1"/>
  <c r="U314" i="1"/>
  <c r="T386" i="1"/>
  <c r="U673" i="1"/>
  <c r="T186" i="1"/>
  <c r="U259" i="3"/>
  <c r="T693" i="1"/>
  <c r="T289" i="3"/>
  <c r="T103" i="1"/>
  <c r="T134" i="1"/>
  <c r="U207" i="3"/>
  <c r="U366" i="3"/>
  <c r="T282" i="1"/>
  <c r="U554" i="1"/>
  <c r="U191" i="3"/>
  <c r="U312" i="1"/>
  <c r="T99" i="3"/>
  <c r="T77" i="1"/>
  <c r="T277" i="1"/>
  <c r="U403" i="1"/>
  <c r="U7" i="3"/>
  <c r="U321" i="1"/>
  <c r="U188" i="1"/>
  <c r="U541" i="1"/>
  <c r="U449" i="1"/>
  <c r="U286" i="3"/>
  <c r="U354" i="3"/>
  <c r="T276" i="1"/>
  <c r="U341" i="1"/>
  <c r="T545" i="1"/>
  <c r="T15" i="3"/>
  <c r="U366" i="1"/>
  <c r="T62" i="1"/>
  <c r="T32" i="3"/>
  <c r="U243" i="3"/>
  <c r="U532" i="1"/>
  <c r="U344" i="1"/>
  <c r="T260" i="1"/>
  <c r="T44" i="1"/>
  <c r="T46" i="3"/>
  <c r="U77" i="3"/>
  <c r="T482" i="1"/>
  <c r="T420" i="1"/>
  <c r="U61" i="1"/>
  <c r="U24" i="3"/>
  <c r="T242" i="3"/>
  <c r="T426" i="1"/>
  <c r="U458" i="1"/>
  <c r="T110" i="1"/>
  <c r="U32" i="1"/>
  <c r="U617" i="1"/>
  <c r="T207" i="1"/>
  <c r="T225" i="3"/>
  <c r="T24" i="3"/>
  <c r="T65" i="1"/>
  <c r="U98" i="3"/>
  <c r="U77" i="1"/>
  <c r="T390" i="1"/>
  <c r="T59" i="3"/>
  <c r="T15" i="1"/>
  <c r="T532" i="1"/>
  <c r="T103" i="3"/>
  <c r="T438" i="1"/>
  <c r="U258" i="3"/>
  <c r="U295" i="1"/>
  <c r="U325" i="3"/>
  <c r="U442" i="1"/>
  <c r="T157" i="1"/>
  <c r="T191" i="1"/>
  <c r="T200" i="1"/>
  <c r="U276" i="3"/>
  <c r="U494" i="1"/>
  <c r="U72" i="1"/>
  <c r="T185" i="3"/>
  <c r="U325" i="1"/>
  <c r="U225" i="3"/>
  <c r="T584" i="1"/>
  <c r="U499" i="1"/>
  <c r="T131" i="1"/>
  <c r="T402" i="1"/>
  <c r="T608" i="1"/>
  <c r="U373" i="3"/>
  <c r="T95" i="3"/>
  <c r="T61" i="3"/>
  <c r="T431" i="1"/>
  <c r="U183" i="3"/>
  <c r="T384" i="1"/>
  <c r="U598" i="1"/>
  <c r="T630" i="1"/>
  <c r="T72" i="1"/>
  <c r="T286" i="3"/>
  <c r="U392" i="1"/>
  <c r="U93" i="1"/>
  <c r="U111" i="3"/>
  <c r="U626" i="1"/>
  <c r="U99" i="3"/>
  <c r="U374" i="3"/>
  <c r="T621" i="1"/>
  <c r="U103" i="1"/>
  <c r="T385" i="1"/>
  <c r="T373" i="3"/>
  <c r="T279" i="3"/>
  <c r="T322" i="1"/>
  <c r="T454" i="1"/>
  <c r="T106" i="1"/>
  <c r="U426" i="1"/>
  <c r="U169" i="3"/>
  <c r="T598" i="1"/>
  <c r="U200" i="1"/>
  <c r="U131" i="1"/>
  <c r="U581" i="1"/>
  <c r="T625" i="1"/>
  <c r="T106" i="3"/>
  <c r="U478" i="1"/>
  <c r="T79" i="3"/>
  <c r="U260" i="3"/>
  <c r="U508" i="1"/>
  <c r="T134" i="3"/>
  <c r="U154" i="3"/>
  <c r="U49" i="3"/>
  <c r="U269" i="1"/>
  <c r="T98" i="1"/>
  <c r="U314" i="3"/>
  <c r="U308" i="3"/>
  <c r="T17" i="3"/>
  <c r="U282" i="1"/>
  <c r="U134" i="3"/>
  <c r="T626" i="1"/>
  <c r="T449" i="1"/>
  <c r="T494" i="1"/>
  <c r="U341" i="3"/>
  <c r="U106" i="1"/>
  <c r="T354" i="1"/>
  <c r="U255" i="3"/>
  <c r="U44" i="3"/>
  <c r="U386" i="1"/>
  <c r="T183" i="1"/>
  <c r="U172" i="3"/>
  <c r="U128" i="1"/>
  <c r="U24" i="1"/>
  <c r="T78" i="1"/>
  <c r="T44" i="3"/>
  <c r="T280" i="3"/>
  <c r="U373" i="1"/>
  <c r="U530" i="1"/>
  <c r="T289" i="1"/>
  <c r="U17" i="1"/>
  <c r="U154" i="1"/>
  <c r="U274" i="1"/>
  <c r="T243" i="3"/>
  <c r="T196" i="1"/>
  <c r="U353" i="1"/>
  <c r="U234" i="1"/>
  <c r="U379" i="1"/>
  <c r="T248" i="1"/>
  <c r="U185" i="1"/>
  <c r="T641" i="1"/>
  <c r="U65" i="3"/>
  <c r="T186" i="3"/>
  <c r="U349" i="1"/>
  <c r="U141" i="3"/>
  <c r="U489" i="1"/>
  <c r="U93" i="3"/>
  <c r="U111" i="1"/>
  <c r="U220" i="3"/>
  <c r="T424" i="1"/>
  <c r="T344" i="3"/>
  <c r="T322" i="3"/>
  <c r="U352" i="1"/>
  <c r="U289" i="1"/>
  <c r="T561" i="1"/>
  <c r="T442" i="1"/>
  <c r="T374" i="1"/>
  <c r="T146" i="1"/>
  <c r="U223" i="1"/>
  <c r="U146" i="3"/>
  <c r="U59" i="3"/>
  <c r="T111" i="3"/>
  <c r="U625" i="1"/>
  <c r="T280" i="1"/>
  <c r="T676" i="1"/>
  <c r="T234" i="1"/>
  <c r="T663" i="1"/>
  <c r="U249" i="3"/>
  <c r="T82" i="3"/>
  <c r="T457" i="1"/>
  <c r="T478" i="1"/>
  <c r="U13" i="3"/>
  <c r="T312" i="1"/>
  <c r="T93" i="3"/>
  <c r="T17" i="1"/>
  <c r="T664" i="1"/>
  <c r="U172" i="1"/>
  <c r="U112" i="3"/>
  <c r="U280" i="1"/>
  <c r="T507" i="1"/>
  <c r="U322" i="1"/>
  <c r="U502" i="1"/>
  <c r="T249" i="1"/>
  <c r="U331" i="3"/>
  <c r="U84" i="1"/>
  <c r="U112" i="1"/>
  <c r="U688" i="1"/>
  <c r="U342" i="1"/>
  <c r="T688" i="1"/>
  <c r="U79" i="1"/>
  <c r="U379" i="3"/>
  <c r="T255" i="1"/>
  <c r="U15" i="3"/>
  <c r="U95" i="1"/>
  <c r="T269" i="3"/>
  <c r="T260" i="3"/>
  <c r="T78" i="3"/>
  <c r="U99" i="1"/>
  <c r="T188" i="1"/>
  <c r="T314" i="3"/>
  <c r="T295" i="1"/>
  <c r="T192" i="3"/>
  <c r="U385" i="1"/>
  <c r="T128" i="1"/>
  <c r="T191" i="3"/>
  <c r="T617" i="1"/>
  <c r="U38" i="3"/>
  <c r="T62" i="3"/>
  <c r="T628" i="1"/>
  <c r="T23" i="1"/>
  <c r="T258" i="3"/>
  <c r="U602" i="1"/>
  <c r="T79" i="1"/>
  <c r="T489" i="1"/>
  <c r="U270" i="3"/>
  <c r="U343" i="1"/>
  <c r="U196" i="3"/>
  <c r="T157" i="3"/>
  <c r="U473" i="1"/>
  <c r="T508" i="1"/>
  <c r="T200" i="3"/>
  <c r="U354" i="1"/>
  <c r="U295" i="3"/>
  <c r="T308" i="1"/>
  <c r="T349" i="1"/>
  <c r="U78" i="1"/>
  <c r="U618" i="1"/>
  <c r="T286" i="1"/>
  <c r="T343" i="1"/>
  <c r="T140" i="3"/>
  <c r="T473" i="1"/>
  <c r="T127" i="3"/>
  <c r="T72" i="3"/>
  <c r="T259" i="3"/>
  <c r="U580" i="1"/>
  <c r="T248" i="3"/>
  <c r="U440" i="1"/>
  <c r="T234" i="3"/>
  <c r="T220" i="3"/>
  <c r="T259" i="1"/>
  <c r="U663" i="1"/>
  <c r="T84" i="1"/>
  <c r="U277" i="3"/>
  <c r="T274" i="3"/>
  <c r="U13" i="1"/>
  <c r="U157" i="3"/>
  <c r="U196" i="1"/>
  <c r="U127" i="3"/>
  <c r="T530" i="1"/>
  <c r="U394" i="1"/>
  <c r="T52" i="1"/>
  <c r="T192" i="1"/>
  <c r="U352" i="3"/>
  <c r="T141" i="3"/>
  <c r="T325" i="1"/>
  <c r="U372" i="3"/>
  <c r="U344" i="3"/>
  <c r="T13" i="1"/>
  <c r="U616" i="1"/>
  <c r="U23" i="1"/>
  <c r="U223" i="3"/>
  <c r="T182" i="3"/>
  <c r="U641" i="1"/>
  <c r="U185" i="3"/>
  <c r="U184" i="1"/>
  <c r="U424" i="1"/>
  <c r="T643" i="1"/>
  <c r="U79" i="3"/>
  <c r="T7" i="1"/>
  <c r="T416" i="1"/>
  <c r="T32" i="1"/>
  <c r="T96" i="3"/>
  <c r="U692" i="1"/>
  <c r="U106" i="3"/>
  <c r="U188" i="3"/>
  <c r="U192" i="1"/>
  <c r="T618" i="1"/>
  <c r="T466" i="1"/>
  <c r="U46" i="3"/>
  <c r="T193" i="3"/>
  <c r="U633" i="1"/>
  <c r="U282" i="3"/>
  <c r="U249" i="1"/>
  <c r="U652" i="1"/>
  <c r="T136" i="3"/>
  <c r="T169" i="1"/>
  <c r="T7" i="3"/>
  <c r="U430" i="1"/>
  <c r="T321" i="1"/>
  <c r="T98" i="3"/>
  <c r="T366" i="1"/>
  <c r="T65" i="3"/>
  <c r="U72" i="3"/>
  <c r="U225" i="1"/>
  <c r="T692" i="1"/>
  <c r="U488" i="1"/>
  <c r="U62" i="1"/>
  <c r="U62" i="3"/>
  <c r="T537" i="1"/>
  <c r="T255" i="3"/>
  <c r="T112" i="3"/>
  <c r="T236" i="1"/>
  <c r="T277" i="3"/>
  <c r="T182" i="1"/>
  <c r="T52" i="3"/>
  <c r="U578" i="1"/>
  <c r="U234" i="3"/>
  <c r="U222" i="3"/>
  <c r="U61" i="3"/>
  <c r="T366" i="3"/>
  <c r="T225" i="1"/>
  <c r="U207" i="1"/>
  <c r="T392" i="1"/>
  <c r="U78" i="3"/>
  <c r="U384" i="1"/>
  <c r="U184" i="3"/>
  <c r="U413" i="1"/>
  <c r="T413" i="1"/>
  <c r="T242" i="1"/>
  <c r="U192" i="3"/>
  <c r="U619" i="1"/>
  <c r="U140" i="1"/>
  <c r="T567" i="1"/>
  <c r="U630" i="1"/>
  <c r="U547" i="1"/>
  <c r="U567" i="1"/>
  <c r="U279" i="1"/>
  <c r="U518" i="1"/>
  <c r="U321" i="3"/>
  <c r="T183" i="3"/>
  <c r="U537" i="1"/>
  <c r="U49" i="1"/>
  <c r="U222" i="1"/>
  <c r="T46" i="1"/>
  <c r="U402" i="1"/>
  <c r="T352" i="1"/>
  <c r="U280" i="3"/>
  <c r="U183" i="1"/>
  <c r="T488" i="1"/>
  <c r="T279" i="1"/>
  <c r="T372" i="1"/>
  <c r="U277" i="1"/>
  <c r="U621" i="1"/>
  <c r="T14" i="1"/>
  <c r="T354" i="3"/>
  <c r="U14" i="1"/>
  <c r="T344" i="1"/>
  <c r="T222" i="1"/>
  <c r="T146" i="3"/>
  <c r="T61" i="1"/>
  <c r="U276" i="1"/>
  <c r="U312" i="3"/>
  <c r="U127" i="1"/>
  <c r="U243" i="1"/>
  <c r="T430" i="1"/>
  <c r="U461" i="1"/>
  <c r="T308" i="3"/>
  <c r="U182" i="3"/>
  <c r="T373" i="1"/>
  <c r="T499" i="1"/>
  <c r="U269" i="3"/>
  <c r="U102" i="3"/>
  <c r="T102" i="1"/>
  <c r="T187" i="1"/>
  <c r="U334" i="1"/>
  <c r="U634" i="1"/>
  <c r="U244" i="3"/>
  <c r="T636" i="1"/>
  <c r="U252" i="3"/>
  <c r="U153" i="1"/>
  <c r="T165" i="1"/>
  <c r="T137" i="3"/>
  <c r="U94" i="3"/>
  <c r="U542" i="1"/>
  <c r="U179" i="1"/>
  <c r="T272" i="3"/>
  <c r="T252" i="1"/>
  <c r="T232" i="3"/>
  <c r="U531" i="1"/>
  <c r="U40" i="3"/>
  <c r="U351" i="1"/>
  <c r="T594" i="1"/>
  <c r="T75" i="3"/>
  <c r="U330" i="3"/>
  <c r="U365" i="3"/>
  <c r="U97" i="1"/>
  <c r="T171" i="1"/>
  <c r="U389" i="1"/>
  <c r="U301" i="3"/>
  <c r="T291" i="3"/>
  <c r="U179" i="3"/>
  <c r="T348" i="3"/>
  <c r="T174" i="3"/>
  <c r="U135" i="1"/>
  <c r="U443" i="1"/>
  <c r="T133" i="3"/>
  <c r="U173" i="3"/>
  <c r="T595" i="1"/>
  <c r="T335" i="3"/>
  <c r="U323" i="3"/>
  <c r="U623" i="1"/>
  <c r="T132" i="3"/>
  <c r="T397" i="1"/>
  <c r="U16" i="3"/>
  <c r="T497" i="1"/>
  <c r="T623" i="1"/>
  <c r="U165" i="1"/>
  <c r="U335" i="1"/>
  <c r="U180" i="3"/>
  <c r="U254" i="1"/>
  <c r="T657" i="1"/>
  <c r="T267" i="1"/>
  <c r="U546" i="1"/>
  <c r="U129" i="1"/>
  <c r="U294" i="3"/>
  <c r="U155" i="3"/>
  <c r="U75" i="3"/>
  <c r="T265" i="3"/>
  <c r="T361" i="3"/>
  <c r="U378" i="1"/>
  <c r="U12" i="1"/>
  <c r="U48" i="1"/>
  <c r="U85" i="3"/>
  <c r="T375" i="1"/>
  <c r="U560" i="1"/>
  <c r="T153" i="1"/>
  <c r="U287" i="3"/>
  <c r="T378" i="3"/>
  <c r="T631" i="1"/>
  <c r="T40" i="1"/>
  <c r="U551" i="1"/>
  <c r="T89" i="3"/>
  <c r="T28" i="1"/>
  <c r="T475" i="1"/>
  <c r="U11" i="3"/>
  <c r="U254" i="3"/>
  <c r="T347" i="1"/>
  <c r="T257" i="1"/>
  <c r="T334" i="1"/>
  <c r="T145" i="3"/>
  <c r="U324" i="3"/>
  <c r="T27" i="3"/>
  <c r="U201" i="3"/>
  <c r="T309" i="3"/>
  <c r="U404" i="1"/>
  <c r="U590" i="1"/>
  <c r="U19" i="1"/>
  <c r="U58" i="1"/>
  <c r="U451" i="1"/>
  <c r="T85" i="3"/>
  <c r="U375" i="1"/>
  <c r="T294" i="3"/>
  <c r="U218" i="3"/>
  <c r="T586" i="1"/>
  <c r="U362" i="1"/>
  <c r="T240" i="3"/>
  <c r="U149" i="1"/>
  <c r="T194" i="3"/>
  <c r="U125" i="1"/>
  <c r="U397" i="1"/>
  <c r="U229" i="3"/>
  <c r="T31" i="3"/>
  <c r="T88" i="3"/>
  <c r="U122" i="3"/>
  <c r="U348" i="3"/>
  <c r="U522" i="1"/>
  <c r="T164" i="3"/>
  <c r="U55" i="1"/>
  <c r="T21" i="1"/>
  <c r="T522" i="1"/>
  <c r="U133" i="1"/>
  <c r="U237" i="3"/>
  <c r="U281" i="3"/>
  <c r="T21" i="3"/>
  <c r="U126" i="3"/>
  <c r="T16" i="1"/>
  <c r="U250" i="3"/>
  <c r="U137" i="1"/>
  <c r="U145" i="3"/>
  <c r="T412" i="1"/>
  <c r="U171" i="1"/>
  <c r="T680" i="1"/>
  <c r="U11" i="1"/>
  <c r="T465" i="1"/>
  <c r="U25" i="3"/>
  <c r="U28" i="1"/>
  <c r="T55" i="3"/>
  <c r="U88" i="3"/>
  <c r="U117" i="3"/>
  <c r="U240" i="1"/>
  <c r="T363" i="3"/>
  <c r="T345" i="1"/>
  <c r="T444" i="1"/>
  <c r="U595" i="1"/>
  <c r="U330" i="1"/>
  <c r="U174" i="3"/>
  <c r="U113" i="3"/>
  <c r="U94" i="1"/>
  <c r="T265" i="1"/>
  <c r="U63" i="3"/>
  <c r="T654" i="1"/>
  <c r="T181" i="1"/>
  <c r="T125" i="1"/>
  <c r="T180" i="3"/>
  <c r="U681" i="1"/>
  <c r="T597" i="1"/>
  <c r="U257" i="1"/>
  <c r="T550" i="1"/>
  <c r="U142" i="1"/>
  <c r="U144" i="1"/>
  <c r="U30" i="1"/>
  <c r="T48" i="3"/>
  <c r="T86" i="3"/>
  <c r="U139" i="1"/>
  <c r="T375" i="3"/>
  <c r="T568" i="1"/>
  <c r="U414" i="1"/>
  <c r="U557" i="1"/>
  <c r="U63" i="1"/>
  <c r="T187" i="3"/>
  <c r="U10" i="3"/>
  <c r="U164" i="1"/>
  <c r="U244" i="1"/>
  <c r="T551" i="1"/>
  <c r="T181" i="3"/>
  <c r="U143" i="1"/>
  <c r="U194" i="1"/>
  <c r="T171" i="3"/>
  <c r="T55" i="1"/>
  <c r="U89" i="1"/>
  <c r="T339" i="1"/>
  <c r="T126" i="1"/>
  <c r="U165" i="3"/>
  <c r="U137" i="3"/>
  <c r="U441" i="1"/>
  <c r="U55" i="3"/>
  <c r="U433" i="1"/>
  <c r="U301" i="1"/>
  <c r="U601" i="1"/>
  <c r="T173" i="3"/>
  <c r="U123" i="3"/>
  <c r="T153" i="3"/>
  <c r="T69" i="1"/>
  <c r="U27" i="1"/>
  <c r="T40" i="3"/>
  <c r="T585" i="1"/>
  <c r="U682" i="1"/>
  <c r="T102" i="3"/>
  <c r="U69" i="1"/>
  <c r="T19" i="1"/>
  <c r="U333" i="1"/>
  <c r="U345" i="1"/>
  <c r="U69" i="3"/>
  <c r="U187" i="3"/>
  <c r="T439" i="1"/>
  <c r="U306" i="3"/>
  <c r="U229" i="1"/>
  <c r="U535" i="1"/>
  <c r="T126" i="3"/>
  <c r="U252" i="1"/>
  <c r="U603" i="1"/>
  <c r="U86" i="1"/>
  <c r="T88" i="1"/>
  <c r="T363" i="1"/>
  <c r="T16" i="3"/>
  <c r="T433" i="1"/>
  <c r="T681" i="1"/>
  <c r="T35" i="1"/>
  <c r="U171" i="3"/>
  <c r="U680" i="1"/>
  <c r="T125" i="3"/>
  <c r="T351" i="1"/>
  <c r="U123" i="1"/>
  <c r="T244" i="1"/>
  <c r="T232" i="1"/>
  <c r="U150" i="1"/>
  <c r="U153" i="3"/>
  <c r="T601" i="1"/>
  <c r="U89" i="3"/>
  <c r="T603" i="1"/>
  <c r="T531" i="1"/>
  <c r="U132" i="3"/>
  <c r="T199" i="3"/>
  <c r="U375" i="3"/>
  <c r="T149" i="1"/>
  <c r="T389" i="1"/>
  <c r="U653" i="1"/>
  <c r="T407" i="1"/>
  <c r="T97" i="1"/>
  <c r="U267" i="3"/>
  <c r="T629" i="1"/>
  <c r="U199" i="1"/>
  <c r="T565" i="1"/>
  <c r="U358" i="1"/>
  <c r="T94" i="1"/>
  <c r="U152" i="1"/>
  <c r="T514" i="1"/>
  <c r="U160" i="1"/>
  <c r="U686" i="1"/>
  <c r="U323" i="1"/>
  <c r="T287" i="1"/>
  <c r="T294" i="1"/>
  <c r="T6" i="3"/>
  <c r="T60" i="1"/>
  <c r="T484" i="1"/>
  <c r="T335" i="1"/>
  <c r="T583" i="1"/>
  <c r="U181" i="1"/>
  <c r="U669" i="1"/>
  <c r="U504" i="1"/>
  <c r="T89" i="1"/>
  <c r="U226" i="1"/>
  <c r="U31" i="1"/>
  <c r="U251" i="1"/>
  <c r="T535" i="1"/>
  <c r="T206" i="1"/>
  <c r="T653" i="1"/>
  <c r="T665" i="1"/>
  <c r="U362" i="3"/>
  <c r="T250" i="3"/>
  <c r="T287" i="3"/>
  <c r="T8" i="1"/>
  <c r="U444" i="1"/>
  <c r="T117" i="3"/>
  <c r="T152" i="3"/>
  <c r="T107" i="3"/>
  <c r="U181" i="3"/>
  <c r="T254" i="1"/>
  <c r="U347" i="3"/>
  <c r="U600" i="1"/>
  <c r="U497" i="1"/>
  <c r="U155" i="1"/>
  <c r="U512" i="1"/>
  <c r="T129" i="1"/>
  <c r="T226" i="1"/>
  <c r="U649" i="1"/>
  <c r="U85" i="1"/>
  <c r="U591" i="1"/>
  <c r="T591" i="1"/>
  <c r="U309" i="3"/>
  <c r="T150" i="3"/>
  <c r="T462" i="1"/>
  <c r="T378" i="1"/>
  <c r="T135" i="1"/>
  <c r="T227" i="3"/>
  <c r="U358" i="3"/>
  <c r="U163" i="3"/>
  <c r="T97" i="3"/>
  <c r="U365" i="1"/>
  <c r="U689" i="1"/>
  <c r="U272" i="1"/>
  <c r="U287" i="1"/>
  <c r="T592" i="1"/>
  <c r="U514" i="1"/>
  <c r="U479" i="1"/>
  <c r="U251" i="3"/>
  <c r="T281" i="1"/>
  <c r="U19" i="3"/>
  <c r="U549" i="1"/>
  <c r="U10" i="1"/>
  <c r="U378" i="3"/>
  <c r="U550" i="1"/>
  <c r="U250" i="1"/>
  <c r="U21" i="1"/>
  <c r="T137" i="1"/>
  <c r="U594" i="1"/>
  <c r="U125" i="3"/>
  <c r="U654" i="1"/>
  <c r="U503" i="1"/>
  <c r="T546" i="1"/>
  <c r="T686" i="1"/>
  <c r="T511" i="1"/>
  <c r="U656" i="1"/>
  <c r="T557" i="1"/>
  <c r="T504" i="1"/>
  <c r="U324" i="1"/>
  <c r="T524" i="1"/>
  <c r="T301" i="1"/>
  <c r="U475" i="1"/>
  <c r="U644" i="1"/>
  <c r="U339" i="3"/>
  <c r="U8" i="3"/>
  <c r="U465" i="1"/>
  <c r="U589" i="1"/>
  <c r="U39" i="1"/>
  <c r="T155" i="1"/>
  <c r="T86" i="1"/>
  <c r="T163" i="1"/>
  <c r="U412" i="1"/>
  <c r="T459" i="1"/>
  <c r="T347" i="3"/>
  <c r="T306" i="3"/>
  <c r="T25" i="3"/>
  <c r="U339" i="1"/>
  <c r="T689" i="1"/>
  <c r="T164" i="1"/>
  <c r="T549" i="1"/>
  <c r="U199" i="3"/>
  <c r="U524" i="1"/>
  <c r="T117" i="1"/>
  <c r="U12" i="3"/>
  <c r="T252" i="3"/>
  <c r="T129" i="3"/>
  <c r="T362" i="1"/>
  <c r="T199" i="1"/>
  <c r="T600" i="1"/>
  <c r="T669" i="1"/>
  <c r="T254" i="3"/>
  <c r="U267" i="1"/>
  <c r="U35" i="3"/>
  <c r="U459" i="1"/>
  <c r="U218" i="1"/>
  <c r="U573" i="1"/>
  <c r="T133" i="1"/>
  <c r="T160" i="1"/>
  <c r="T542" i="1"/>
  <c r="U483" i="1"/>
  <c r="T31" i="1"/>
  <c r="T381" i="1"/>
  <c r="T649" i="1"/>
  <c r="U622" i="1"/>
  <c r="U27" i="3"/>
  <c r="T179" i="3"/>
  <c r="U629" i="1"/>
  <c r="U439" i="1"/>
  <c r="T226" i="3"/>
  <c r="U31" i="3"/>
  <c r="U143" i="3"/>
  <c r="T365" i="3"/>
  <c r="U257" i="3"/>
  <c r="T309" i="1"/>
  <c r="U227" i="1"/>
  <c r="T48" i="1"/>
  <c r="T464" i="1"/>
  <c r="T229" i="1"/>
  <c r="T251" i="1"/>
  <c r="T30" i="3"/>
  <c r="T656" i="1"/>
  <c r="T113" i="3"/>
  <c r="T250" i="1"/>
  <c r="U139" i="3"/>
  <c r="T85" i="1"/>
  <c r="U586" i="1"/>
  <c r="U666" i="1"/>
  <c r="U226" i="3"/>
  <c r="U232" i="3"/>
  <c r="U76" i="3"/>
  <c r="T365" i="1"/>
  <c r="T267" i="3"/>
  <c r="T251" i="3"/>
  <c r="T237" i="1"/>
  <c r="T358" i="1"/>
  <c r="T142" i="3"/>
  <c r="T666" i="1"/>
  <c r="T622" i="1"/>
  <c r="T142" i="1"/>
  <c r="U240" i="3"/>
  <c r="T483" i="1"/>
  <c r="T69" i="3"/>
  <c r="T113" i="1"/>
  <c r="T145" i="1"/>
  <c r="U555" i="1"/>
  <c r="U272" i="3"/>
  <c r="U333" i="3"/>
  <c r="T404" i="1"/>
  <c r="T257" i="3"/>
  <c r="U35" i="1"/>
  <c r="U462" i="1"/>
  <c r="U334" i="3"/>
  <c r="U291" i="3"/>
  <c r="T201" i="3"/>
  <c r="T94" i="3"/>
  <c r="T395" i="1"/>
  <c r="T179" i="1"/>
  <c r="U201" i="1"/>
  <c r="T6" i="1"/>
  <c r="T324" i="3"/>
  <c r="U57" i="1"/>
  <c r="T330" i="1"/>
  <c r="T348" i="1"/>
  <c r="T8" i="3"/>
  <c r="T351" i="3"/>
  <c r="T272" i="1"/>
  <c r="T107" i="1"/>
  <c r="U610" i="1"/>
  <c r="T371" i="3"/>
  <c r="U511" i="1"/>
  <c r="U335" i="3"/>
  <c r="T281" i="3"/>
  <c r="T152" i="1"/>
  <c r="T60" i="3"/>
  <c r="T218" i="3"/>
  <c r="T560" i="1"/>
  <c r="T139" i="3"/>
  <c r="T206" i="3"/>
  <c r="U227" i="3"/>
  <c r="T333" i="1"/>
  <c r="T443" i="1"/>
  <c r="T589" i="1"/>
  <c r="T10" i="3"/>
  <c r="U43" i="3"/>
  <c r="U484" i="1"/>
  <c r="U107" i="3"/>
  <c r="U371" i="3"/>
  <c r="T11" i="1"/>
  <c r="U407" i="1"/>
  <c r="U76" i="1"/>
  <c r="T143" i="1"/>
  <c r="T201" i="1"/>
  <c r="T122" i="3"/>
  <c r="T39" i="1"/>
  <c r="U8" i="1"/>
  <c r="T43" i="3"/>
  <c r="T58" i="1"/>
  <c r="T291" i="1"/>
  <c r="U361" i="1"/>
  <c r="U57" i="3"/>
  <c r="U150" i="3"/>
  <c r="U265" i="3"/>
  <c r="U113" i="1"/>
  <c r="U43" i="1"/>
  <c r="T144" i="1"/>
  <c r="T644" i="1"/>
  <c r="T324" i="1"/>
  <c r="U563" i="1"/>
  <c r="U144" i="3"/>
  <c r="U133" i="3"/>
  <c r="U135" i="3"/>
  <c r="U129" i="3"/>
  <c r="T562" i="1"/>
  <c r="T503" i="1"/>
  <c r="U102" i="1"/>
  <c r="T163" i="3"/>
  <c r="T563" i="1"/>
  <c r="T12" i="1"/>
  <c r="U574" i="1"/>
  <c r="T58" i="3"/>
  <c r="U568" i="1"/>
  <c r="T358" i="3"/>
  <c r="U60" i="1"/>
  <c r="T10" i="1"/>
  <c r="T590" i="1"/>
  <c r="U194" i="3"/>
  <c r="T558" i="1"/>
  <c r="T659" i="1"/>
  <c r="T333" i="3"/>
  <c r="U174" i="1"/>
  <c r="U371" i="1"/>
  <c r="T149" i="3"/>
  <c r="T237" i="3"/>
  <c r="T132" i="1"/>
  <c r="U48" i="3"/>
  <c r="U149" i="3"/>
  <c r="U86" i="3"/>
  <c r="U97" i="3"/>
  <c r="U173" i="1"/>
  <c r="U306" i="1"/>
  <c r="U351" i="3"/>
  <c r="T323" i="1"/>
  <c r="U142" i="3"/>
  <c r="U583" i="1"/>
  <c r="T174" i="1"/>
  <c r="U152" i="3"/>
  <c r="T76" i="3"/>
  <c r="T414" i="1"/>
  <c r="U291" i="1"/>
  <c r="U381" i="1"/>
  <c r="T323" i="3"/>
  <c r="T19" i="3"/>
  <c r="T63" i="1"/>
  <c r="U60" i="3"/>
  <c r="T512" i="1"/>
  <c r="T63" i="3"/>
  <c r="T57" i="1"/>
  <c r="T11" i="3"/>
  <c r="T472" i="1"/>
  <c r="U160" i="3"/>
  <c r="T28" i="3"/>
  <c r="U395" i="1"/>
  <c r="T25" i="1"/>
  <c r="U16" i="1"/>
  <c r="U345" i="3"/>
  <c r="T135" i="3"/>
  <c r="T371" i="1"/>
  <c r="U206" i="1"/>
  <c r="U206" i="3"/>
  <c r="T361" i="1"/>
  <c r="T35" i="3"/>
  <c r="U58" i="3"/>
  <c r="T165" i="3"/>
  <c r="T446" i="1"/>
  <c r="U661" i="1"/>
  <c r="U122" i="1"/>
  <c r="T306" i="1"/>
  <c r="U28" i="3"/>
  <c r="T421" i="1"/>
  <c r="T27" i="1"/>
  <c r="T57" i="3"/>
  <c r="T194" i="1"/>
  <c r="T441" i="1"/>
  <c r="T150" i="1"/>
  <c r="U565" i="1"/>
  <c r="T75" i="1"/>
  <c r="U21" i="3"/>
  <c r="U232" i="1"/>
  <c r="T632" i="1"/>
  <c r="U145" i="1"/>
  <c r="U164" i="3"/>
  <c r="U348" i="1"/>
  <c r="U347" i="1"/>
  <c r="U558" i="1"/>
  <c r="T345" i="3"/>
  <c r="U75" i="1"/>
  <c r="U665" i="1"/>
  <c r="T30" i="1"/>
  <c r="T362" i="3"/>
  <c r="U88" i="1"/>
  <c r="U180" i="1"/>
  <c r="U309" i="1"/>
  <c r="T123" i="3"/>
  <c r="U636" i="1"/>
  <c r="T173" i="1"/>
  <c r="U472" i="1"/>
  <c r="U592" i="1"/>
  <c r="U25" i="1"/>
  <c r="T144" i="3"/>
  <c r="T122" i="1"/>
  <c r="U597" i="1"/>
  <c r="U117" i="1"/>
  <c r="T123" i="1"/>
  <c r="T339" i="3"/>
  <c r="U446" i="1"/>
  <c r="T39" i="3"/>
  <c r="U657" i="1"/>
  <c r="U30" i="3"/>
  <c r="U132" i="1"/>
  <c r="T227" i="1"/>
  <c r="T240" i="1"/>
  <c r="U107" i="1"/>
  <c r="T682" i="1"/>
  <c r="T143" i="3"/>
  <c r="U562" i="1"/>
  <c r="T411" i="1"/>
  <c r="U237" i="1"/>
  <c r="U659" i="1"/>
  <c r="T229" i="3"/>
  <c r="U631" i="1"/>
  <c r="U363" i="3"/>
  <c r="T451" i="1"/>
  <c r="U585" i="1"/>
  <c r="U464" i="1"/>
  <c r="T634" i="1"/>
  <c r="T661" i="1"/>
  <c r="U281" i="1"/>
  <c r="U6" i="3"/>
  <c r="T610" i="1"/>
  <c r="U363" i="1"/>
  <c r="T139" i="1"/>
  <c r="T244" i="3"/>
  <c r="T334" i="3"/>
  <c r="U40" i="1"/>
  <c r="U6" i="1"/>
  <c r="T76" i="1"/>
  <c r="T573" i="1"/>
  <c r="U632" i="1"/>
  <c r="T43" i="1"/>
  <c r="T574" i="1"/>
  <c r="U361" i="3"/>
  <c r="U187" i="1"/>
  <c r="T330" i="3"/>
  <c r="U294" i="1"/>
  <c r="T180" i="1"/>
  <c r="U265" i="1"/>
  <c r="T12" i="3"/>
  <c r="T160" i="3"/>
  <c r="U421" i="1"/>
  <c r="T555" i="1"/>
  <c r="U126" i="1"/>
  <c r="T301" i="3"/>
  <c r="T479" i="1"/>
  <c r="U163" i="1"/>
  <c r="T155" i="3"/>
  <c r="U411" i="1"/>
  <c r="U39" i="3"/>
  <c r="T218" i="1"/>
  <c r="U679" i="1"/>
  <c r="T370" i="3"/>
  <c r="U370" i="3"/>
  <c r="T253" i="1"/>
  <c r="T115" i="3"/>
  <c r="U101" i="1"/>
  <c r="U221" i="1"/>
  <c r="T235" i="3"/>
  <c r="U20" i="1"/>
  <c r="T33" i="1"/>
  <c r="U481" i="1"/>
  <c r="U500" i="1"/>
  <c r="T156" i="1"/>
  <c r="U635" i="1"/>
  <c r="T148" i="1"/>
  <c r="U118" i="3"/>
  <c r="U340" i="3"/>
  <c r="U118" i="1"/>
  <c r="T104" i="1"/>
  <c r="T130" i="3"/>
  <c r="T642" i="1"/>
  <c r="T408" i="1"/>
  <c r="T313" i="3"/>
  <c r="T92" i="1"/>
  <c r="T493" i="1"/>
  <c r="T525" i="1"/>
  <c r="T367" i="1"/>
  <c r="U360" i="3"/>
  <c r="U158" i="1"/>
  <c r="T278" i="1"/>
  <c r="T569" i="1"/>
  <c r="T87" i="1"/>
  <c r="U317" i="1"/>
  <c r="T614" i="1"/>
  <c r="T235" i="1"/>
  <c r="T176" i="1"/>
  <c r="U377" i="3"/>
  <c r="U176" i="1"/>
  <c r="T418" i="1"/>
  <c r="U53" i="3"/>
  <c r="T528" i="1"/>
  <c r="U418" i="1"/>
  <c r="T435" i="1"/>
  <c r="T340" i="1"/>
  <c r="T299" i="1"/>
  <c r="U120" i="1"/>
  <c r="U284" i="1"/>
  <c r="T300" i="1"/>
  <c r="U396" i="1"/>
  <c r="U284" i="3"/>
  <c r="U405" i="1"/>
  <c r="U467" i="1"/>
  <c r="T66" i="3"/>
  <c r="U367" i="1"/>
  <c r="U492" i="1"/>
  <c r="U167" i="1"/>
  <c r="U487" i="1"/>
  <c r="T120" i="1"/>
  <c r="U582" i="1"/>
  <c r="T393" i="1"/>
  <c r="T210" i="1"/>
  <c r="U71" i="3"/>
  <c r="T410" i="1"/>
  <c r="U401" i="1"/>
  <c r="T56" i="1"/>
  <c r="U399" i="1"/>
  <c r="T70" i="1"/>
  <c r="U148" i="1"/>
  <c r="U327" i="1"/>
  <c r="U115" i="1"/>
  <c r="T300" i="3"/>
  <c r="T655" i="1"/>
  <c r="U235" i="1"/>
  <c r="U20" i="3"/>
  <c r="T285" i="1"/>
  <c r="U566" i="1"/>
  <c r="U364" i="1"/>
  <c r="U515" i="1"/>
  <c r="T467" i="1"/>
  <c r="U317" i="3"/>
  <c r="T313" i="1"/>
  <c r="U41" i="1"/>
  <c r="U296" i="3"/>
  <c r="U263" i="1"/>
  <c r="U604" i="1"/>
  <c r="T517" i="1"/>
  <c r="U104" i="3"/>
  <c r="U51" i="3"/>
  <c r="T208" i="1"/>
  <c r="T162" i="3"/>
  <c r="T311" i="1"/>
  <c r="U576" i="1"/>
  <c r="T53" i="1"/>
  <c r="U203" i="1"/>
  <c r="U456" i="1"/>
  <c r="T496" i="1"/>
  <c r="U605" i="1"/>
  <c r="U646" i="1"/>
  <c r="U637" i="1"/>
  <c r="U209" i="1"/>
  <c r="T456" i="1"/>
  <c r="U360" i="1"/>
  <c r="U217" i="3"/>
  <c r="T515" i="1"/>
  <c r="T53" i="3"/>
  <c r="T212" i="3"/>
  <c r="T34" i="3"/>
  <c r="U651" i="1"/>
  <c r="T261" i="3"/>
  <c r="T45" i="3"/>
  <c r="T115" i="1"/>
  <c r="T432" i="1"/>
  <c r="T216" i="3"/>
  <c r="U197" i="1"/>
  <c r="U388" i="1"/>
  <c r="U166" i="1"/>
  <c r="U655" i="1"/>
  <c r="T246" i="3"/>
  <c r="U177" i="1"/>
  <c r="U409" i="1"/>
  <c r="T271" i="1"/>
  <c r="U210" i="3"/>
  <c r="U517" i="1"/>
  <c r="T51" i="1"/>
  <c r="U178" i="1"/>
  <c r="U246" i="1"/>
  <c r="U209" i="3"/>
  <c r="T51" i="3"/>
  <c r="U100" i="1"/>
  <c r="U572" i="1"/>
  <c r="U509" i="1"/>
  <c r="U391" i="1"/>
  <c r="T346" i="1"/>
  <c r="U253" i="3"/>
  <c r="T215" i="1"/>
  <c r="U696" i="1"/>
  <c r="U271" i="1"/>
  <c r="T553" i="1"/>
  <c r="T178" i="3"/>
  <c r="U176" i="3"/>
  <c r="T548" i="1"/>
  <c r="T677" i="1"/>
  <c r="T41" i="3"/>
  <c r="T683" i="1"/>
  <c r="T460" i="1"/>
  <c r="U538" i="1"/>
  <c r="U658" i="1"/>
  <c r="U33" i="1"/>
  <c r="U109" i="3"/>
  <c r="T327" i="1"/>
  <c r="U613" i="1"/>
  <c r="U453" i="1"/>
  <c r="U525" i="1"/>
  <c r="T214" i="3"/>
  <c r="U346" i="1"/>
  <c r="U190" i="1"/>
  <c r="T635" i="1"/>
  <c r="T158" i="1"/>
  <c r="T34" i="1"/>
  <c r="U677" i="1"/>
  <c r="T114" i="3"/>
  <c r="T357" i="3"/>
  <c r="T637" i="1"/>
  <c r="U553" i="1"/>
  <c r="U369" i="3"/>
  <c r="U435" i="1"/>
  <c r="U313" i="1"/>
  <c r="T377" i="1"/>
  <c r="T575" i="1"/>
  <c r="T138" i="1"/>
  <c r="T20" i="1"/>
  <c r="T552" i="1"/>
  <c r="U498" i="1"/>
  <c r="T609" i="1"/>
  <c r="T45" i="1"/>
  <c r="U346" i="3"/>
  <c r="T211" i="3"/>
  <c r="U311" i="1"/>
  <c r="T284" i="1"/>
  <c r="T639" i="1"/>
  <c r="T118" i="3"/>
  <c r="U452" i="1"/>
  <c r="U675" i="1"/>
  <c r="T167" i="3"/>
  <c r="T151" i="3"/>
  <c r="T582" i="1"/>
  <c r="T336" i="3"/>
  <c r="T91" i="1"/>
  <c r="T606" i="1"/>
  <c r="U448" i="1"/>
  <c r="T419" i="1"/>
  <c r="U299" i="1"/>
  <c r="U611" i="1"/>
  <c r="U400" i="1"/>
  <c r="U328" i="3"/>
  <c r="U204" i="3"/>
  <c r="U217" i="1"/>
  <c r="U263" i="3"/>
  <c r="U45" i="3"/>
  <c r="U81" i="3"/>
  <c r="T119" i="3"/>
  <c r="U614" i="1"/>
  <c r="T337" i="3"/>
  <c r="T239" i="1"/>
  <c r="U415" i="1"/>
  <c r="U130" i="1"/>
  <c r="U91" i="3"/>
  <c r="T296" i="1"/>
  <c r="T166" i="3"/>
  <c r="T114" i="1"/>
  <c r="T675" i="1"/>
  <c r="U516" i="1"/>
  <c r="T651" i="1"/>
  <c r="T121" i="3"/>
  <c r="T271" i="3"/>
  <c r="T498" i="1"/>
  <c r="T480" i="1"/>
  <c r="U569" i="1"/>
  <c r="T124" i="1"/>
  <c r="U50" i="1"/>
  <c r="T311" i="3"/>
  <c r="U577" i="1"/>
  <c r="U278" i="3"/>
  <c r="U235" i="3"/>
  <c r="U425" i="1"/>
  <c r="T148" i="3"/>
  <c r="U91" i="1"/>
  <c r="U114" i="3"/>
  <c r="U477" i="1"/>
  <c r="U299" i="3"/>
  <c r="T68" i="1"/>
  <c r="T156" i="3"/>
  <c r="U377" i="1"/>
  <c r="T566" i="1"/>
  <c r="U336" i="1"/>
  <c r="T263" i="3"/>
  <c r="T210" i="3"/>
  <c r="U469" i="1"/>
  <c r="T104" i="3"/>
  <c r="T481" i="1"/>
  <c r="T203" i="1"/>
  <c r="U533" i="1"/>
  <c r="T577" i="1"/>
  <c r="U300" i="3"/>
  <c r="T190" i="3"/>
  <c r="T570" i="1"/>
  <c r="T360" i="3"/>
  <c r="T159" i="3"/>
  <c r="T369" i="1"/>
  <c r="T56" i="3"/>
  <c r="T230" i="1"/>
  <c r="T369" i="3"/>
  <c r="T340" i="3"/>
  <c r="U367" i="3"/>
  <c r="U296" i="1"/>
  <c r="T328" i="3"/>
  <c r="T109" i="1"/>
  <c r="T672" i="1"/>
  <c r="U178" i="3"/>
  <c r="T116" i="1"/>
  <c r="T285" i="3"/>
  <c r="U74" i="3"/>
  <c r="U422" i="1"/>
  <c r="U177" i="3"/>
  <c r="U167" i="3"/>
  <c r="T391" i="1"/>
  <c r="U119" i="3"/>
  <c r="T284" i="3"/>
  <c r="U54" i="3"/>
  <c r="U121" i="1"/>
  <c r="T54" i="1"/>
  <c r="T239" i="3"/>
  <c r="T572" i="1"/>
  <c r="U66" i="1"/>
  <c r="T238" i="3"/>
  <c r="U271" i="3"/>
  <c r="T263" i="1"/>
  <c r="T228" i="3"/>
  <c r="T204" i="1"/>
  <c r="T337" i="1"/>
  <c r="U105" i="3"/>
  <c r="T422" i="1"/>
  <c r="U672" i="1"/>
  <c r="U168" i="3"/>
  <c r="T81" i="1"/>
  <c r="T501" i="1"/>
  <c r="U639" i="1"/>
  <c r="U245" i="1"/>
  <c r="T119" i="1"/>
  <c r="U162" i="3"/>
  <c r="U54" i="1"/>
  <c r="T50" i="1"/>
  <c r="T238" i="1"/>
  <c r="U228" i="1"/>
  <c r="U419" i="1"/>
  <c r="U224" i="1"/>
  <c r="T377" i="3"/>
  <c r="U116" i="3"/>
  <c r="T151" i="1"/>
  <c r="T197" i="3"/>
  <c r="U683" i="1"/>
  <c r="T490" i="1"/>
  <c r="T364" i="3"/>
  <c r="T246" i="1"/>
  <c r="T208" i="3"/>
  <c r="U528" i="1"/>
  <c r="T506" i="1"/>
  <c r="T538" i="1"/>
  <c r="T533" i="1"/>
  <c r="T211" i="1"/>
  <c r="T214" i="1"/>
  <c r="U81" i="1"/>
  <c r="U109" i="1"/>
  <c r="U51" i="1"/>
  <c r="U648" i="1"/>
  <c r="T67" i="1"/>
  <c r="T357" i="1"/>
  <c r="U210" i="1"/>
  <c r="T367" i="3"/>
  <c r="T213" i="3"/>
  <c r="T121" i="1"/>
  <c r="T221" i="3"/>
  <c r="T105" i="1"/>
  <c r="U540" i="1"/>
  <c r="U548" i="1"/>
  <c r="U100" i="3"/>
  <c r="U337" i="3"/>
  <c r="U104" i="1"/>
  <c r="T81" i="3"/>
  <c r="T105" i="3"/>
  <c r="U9" i="1"/>
  <c r="U432" i="1"/>
  <c r="U300" i="1"/>
  <c r="U211" i="3"/>
  <c r="U245" i="3"/>
  <c r="U119" i="1"/>
  <c r="U105" i="1"/>
  <c r="T434" i="1"/>
  <c r="T646" i="1"/>
  <c r="T382" i="1"/>
  <c r="U382" i="1"/>
  <c r="U393" i="1"/>
  <c r="T74" i="3"/>
  <c r="T92" i="3"/>
  <c r="U650" i="1"/>
  <c r="T9" i="3"/>
  <c r="T540" i="1"/>
  <c r="T519" i="1"/>
  <c r="T328" i="1"/>
  <c r="U246" i="3"/>
  <c r="U228" i="3"/>
  <c r="T605" i="1"/>
  <c r="T124" i="3"/>
  <c r="U606" i="1"/>
  <c r="T71" i="1"/>
  <c r="T400" i="1"/>
  <c r="U162" i="1"/>
  <c r="U216" i="1"/>
  <c r="U212" i="3"/>
  <c r="U486" i="1"/>
  <c r="U490" i="1"/>
  <c r="U642" i="1"/>
  <c r="T487" i="1"/>
  <c r="T278" i="3"/>
  <c r="U159" i="1"/>
  <c r="U120" i="3"/>
  <c r="U156" i="3"/>
  <c r="T209" i="1"/>
  <c r="U215" i="1"/>
  <c r="T87" i="3"/>
  <c r="T360" i="1"/>
  <c r="T516" i="1"/>
  <c r="T66" i="1"/>
  <c r="U68" i="3"/>
  <c r="U70" i="3"/>
  <c r="T505" i="1"/>
  <c r="U214" i="1"/>
  <c r="T177" i="3"/>
  <c r="T177" i="1"/>
  <c r="U539" i="1"/>
  <c r="U340" i="1"/>
  <c r="U493" i="1"/>
  <c r="T176" i="3"/>
  <c r="T401" i="1"/>
  <c r="U138" i="1"/>
  <c r="T217" i="3"/>
  <c r="U357" i="1"/>
  <c r="U328" i="1"/>
  <c r="U151" i="3"/>
  <c r="T670" i="1"/>
  <c r="U474" i="1"/>
  <c r="U337" i="1"/>
  <c r="T18" i="1"/>
  <c r="U22" i="1"/>
  <c r="U408" i="1"/>
  <c r="U130" i="3"/>
  <c r="T543" i="1"/>
  <c r="U71" i="1"/>
  <c r="U101" i="3"/>
  <c r="U208" i="3"/>
  <c r="U313" i="3"/>
  <c r="T650" i="1"/>
  <c r="U238" i="1"/>
  <c r="U26" i="3"/>
  <c r="T415" i="1"/>
  <c r="T213" i="1"/>
  <c r="U33" i="3"/>
  <c r="U261" i="3"/>
  <c r="T296" i="3"/>
  <c r="U230" i="3"/>
  <c r="U211" i="1"/>
  <c r="U213" i="3"/>
  <c r="T409" i="1"/>
  <c r="U213" i="1"/>
  <c r="U121" i="3"/>
  <c r="U148" i="3"/>
  <c r="T399" i="1"/>
  <c r="U285" i="3"/>
  <c r="U253" i="1"/>
  <c r="T216" i="1"/>
  <c r="T437" i="1"/>
  <c r="T370" i="1"/>
  <c r="U92" i="3"/>
  <c r="T694" i="1"/>
  <c r="U369" i="1"/>
  <c r="T317" i="3"/>
  <c r="U18" i="3"/>
  <c r="U159" i="3"/>
  <c r="T604" i="1"/>
  <c r="T448" i="1"/>
  <c r="U151" i="1"/>
  <c r="T453" i="1"/>
  <c r="T611" i="1"/>
  <c r="T9" i="1"/>
  <c r="U50" i="3"/>
  <c r="U543" i="1"/>
  <c r="U221" i="3"/>
  <c r="T26" i="3"/>
  <c r="U22" i="3"/>
  <c r="T100" i="3"/>
  <c r="U285" i="1"/>
  <c r="T477" i="1"/>
  <c r="U92" i="1"/>
  <c r="U327" i="3"/>
  <c r="U364" i="3"/>
  <c r="T203" i="3"/>
  <c r="U434" i="1"/>
  <c r="U168" i="1"/>
  <c r="U694" i="1"/>
  <c r="T696" i="1"/>
  <c r="T509" i="1"/>
  <c r="U114" i="1"/>
  <c r="U523" i="1"/>
  <c r="T327" i="3"/>
  <c r="U224" i="3"/>
  <c r="U70" i="1"/>
  <c r="U311" i="3"/>
  <c r="T521" i="1"/>
  <c r="U45" i="1"/>
  <c r="U26" i="1"/>
  <c r="U670" i="1"/>
  <c r="U67" i="1"/>
  <c r="T346" i="3"/>
  <c r="T452" i="1"/>
  <c r="U18" i="1"/>
  <c r="U609" i="1"/>
  <c r="T138" i="3"/>
  <c r="T492" i="1"/>
  <c r="U166" i="3"/>
  <c r="T167" i="1"/>
  <c r="T500" i="1"/>
  <c r="T245" i="3"/>
  <c r="U570" i="1"/>
  <c r="T101" i="1"/>
  <c r="T523" i="1"/>
  <c r="U519" i="1"/>
  <c r="T224" i="1"/>
  <c r="T336" i="1"/>
  <c r="U53" i="1"/>
  <c r="T101" i="3"/>
  <c r="T228" i="1"/>
  <c r="U506" i="1"/>
  <c r="T230" i="3"/>
  <c r="T364" i="1"/>
  <c r="T41" i="1"/>
  <c r="T212" i="1"/>
  <c r="T22" i="1"/>
  <c r="U505" i="1"/>
  <c r="T469" i="1"/>
  <c r="T166" i="1"/>
  <c r="U34" i="1"/>
  <c r="T253" i="3"/>
  <c r="T474" i="1"/>
  <c r="T83" i="3"/>
  <c r="U203" i="3"/>
  <c r="U460" i="1"/>
  <c r="T18" i="3"/>
  <c r="U310" i="3"/>
  <c r="U56" i="3"/>
  <c r="U278" i="1"/>
  <c r="U370" i="1"/>
  <c r="T221" i="1"/>
  <c r="U521" i="1"/>
  <c r="U620" i="1"/>
  <c r="T168" i="3"/>
  <c r="U204" i="1"/>
  <c r="T388" i="1"/>
  <c r="U501" i="1"/>
  <c r="T20" i="3"/>
  <c r="U115" i="3"/>
  <c r="U261" i="1"/>
  <c r="T159" i="1"/>
  <c r="U216" i="3"/>
  <c r="T638" i="1"/>
  <c r="T571" i="1"/>
  <c r="U239" i="3"/>
  <c r="U87" i="1"/>
  <c r="T648" i="1"/>
  <c r="U552" i="1"/>
  <c r="U536" i="1"/>
  <c r="U74" i="1"/>
  <c r="U190" i="3"/>
  <c r="T310" i="1"/>
  <c r="T168" i="1"/>
  <c r="U310" i="1"/>
  <c r="U437" i="1"/>
  <c r="U239" i="1"/>
  <c r="T576" i="1"/>
  <c r="T209" i="3"/>
  <c r="T299" i="3"/>
  <c r="T658" i="1"/>
  <c r="U575" i="1"/>
  <c r="U480" i="1"/>
  <c r="T68" i="3"/>
  <c r="U9" i="3"/>
  <c r="T91" i="3"/>
  <c r="U87" i="3"/>
  <c r="U83" i="3"/>
  <c r="U238" i="3"/>
  <c r="T67" i="3"/>
  <c r="T116" i="3"/>
  <c r="U336" i="3"/>
  <c r="U158" i="3"/>
  <c r="T405" i="1"/>
  <c r="T109" i="3"/>
  <c r="T224" i="3"/>
  <c r="T130" i="1"/>
  <c r="U638" i="1"/>
  <c r="U41" i="3"/>
  <c r="U156" i="1"/>
  <c r="T539" i="1"/>
  <c r="U230" i="1"/>
  <c r="T158" i="3"/>
  <c r="T613" i="1"/>
  <c r="T120" i="3"/>
  <c r="U428" i="1"/>
  <c r="U215" i="3"/>
  <c r="T204" i="3"/>
  <c r="T100" i="1"/>
  <c r="U496" i="1"/>
  <c r="U124" i="3"/>
  <c r="T50" i="3"/>
  <c r="U208" i="1"/>
  <c r="T83" i="1"/>
  <c r="U138" i="3"/>
  <c r="T54" i="3"/>
  <c r="T428" i="1"/>
  <c r="T178" i="1"/>
  <c r="T71" i="3"/>
  <c r="T197" i="1"/>
  <c r="T425" i="1"/>
  <c r="T118" i="1"/>
  <c r="T310" i="3"/>
  <c r="T396" i="1"/>
  <c r="T245" i="1"/>
  <c r="T261" i="1"/>
  <c r="T215" i="3"/>
  <c r="U197" i="3"/>
  <c r="U410" i="1"/>
  <c r="T679" i="1"/>
  <c r="U571" i="1"/>
  <c r="T74" i="1"/>
  <c r="U83" i="1"/>
  <c r="U357" i="3"/>
  <c r="T33" i="3"/>
  <c r="T486" i="1"/>
  <c r="U68" i="1"/>
  <c r="T162" i="1"/>
  <c r="T190" i="1"/>
  <c r="U67" i="3"/>
  <c r="T217" i="1"/>
  <c r="T317" i="1"/>
  <c r="U66" i="3"/>
  <c r="U56" i="1"/>
  <c r="T536" i="1"/>
  <c r="U214" i="3"/>
  <c r="U124" i="1"/>
  <c r="T620" i="1"/>
  <c r="U34" i="3"/>
  <c r="U212" i="1"/>
  <c r="U116" i="1"/>
  <c r="T22" i="3"/>
  <c r="T26" i="1"/>
  <c r="T70" i="3"/>
  <c r="T350" i="1"/>
  <c r="U368" i="1"/>
  <c r="U233" i="1"/>
  <c r="T175" i="1"/>
  <c r="U268" i="1"/>
  <c r="U288" i="1"/>
  <c r="T587" i="1"/>
  <c r="U303" i="1"/>
  <c r="T302" i="1"/>
  <c r="J570" i="1"/>
  <c r="O253" i="1"/>
  <c r="L456" i="1"/>
  <c r="T202" i="3"/>
  <c r="K215" i="1"/>
  <c r="M107" i="3"/>
  <c r="P230" i="1"/>
  <c r="J245" i="1"/>
  <c r="Q259" i="3"/>
  <c r="P340" i="1"/>
  <c r="G77" i="3"/>
  <c r="P162" i="1"/>
  <c r="H311" i="1"/>
  <c r="O230" i="1"/>
  <c r="J253" i="1"/>
  <c r="U198" i="1"/>
  <c r="K613" i="1"/>
  <c r="H533" i="1"/>
  <c r="N106" i="3"/>
  <c r="M639" i="1"/>
  <c r="J670" i="1"/>
  <c r="U305" i="3"/>
  <c r="O368" i="3"/>
  <c r="Q253" i="1"/>
  <c r="H505" i="1"/>
  <c r="K41" i="1"/>
  <c r="T293" i="1"/>
  <c r="P437" i="1"/>
  <c r="Q81" i="1"/>
  <c r="N396" i="1"/>
  <c r="J496" i="1"/>
  <c r="N235" i="1"/>
  <c r="O419" i="1"/>
  <c r="G548" i="1"/>
  <c r="L552" i="1"/>
  <c r="K646" i="1"/>
  <c r="L26" i="1"/>
  <c r="J230" i="1"/>
  <c r="P174" i="3"/>
  <c r="J296" i="1"/>
  <c r="Q620" i="1"/>
  <c r="O180" i="3"/>
  <c r="P382" i="1"/>
  <c r="O299" i="1"/>
  <c r="P180" i="3"/>
  <c r="T29" i="3"/>
  <c r="T161" i="3"/>
  <c r="T332" i="1"/>
  <c r="H635" i="1"/>
  <c r="O320" i="3"/>
  <c r="J428" i="1"/>
  <c r="H94" i="3"/>
  <c r="T195" i="1"/>
  <c r="Q639" i="1"/>
  <c r="G677" i="1"/>
  <c r="H45" i="1"/>
  <c r="N517" i="1"/>
  <c r="U247" i="1"/>
  <c r="U189" i="1"/>
  <c r="U170" i="3"/>
  <c r="T427" i="1"/>
  <c r="T170" i="3"/>
  <c r="T292" i="3"/>
  <c r="U476" i="1"/>
  <c r="P71" i="1"/>
  <c r="K435" i="1"/>
  <c r="L648" i="1"/>
  <c r="J368" i="3"/>
  <c r="Q670" i="1"/>
  <c r="H456" i="1"/>
  <c r="H320" i="3"/>
  <c r="J246" i="1"/>
  <c r="U647" i="1"/>
  <c r="K521" i="1"/>
  <c r="H675" i="1"/>
  <c r="M50" i="1"/>
  <c r="H496" i="1"/>
  <c r="M320" i="3"/>
  <c r="J215" i="1"/>
  <c r="P114" i="1"/>
  <c r="L300" i="1"/>
  <c r="H570" i="1"/>
  <c r="N168" i="3"/>
  <c r="N148" i="1"/>
  <c r="J310" i="1"/>
  <c r="T329" i="3"/>
  <c r="J259" i="3"/>
  <c r="P422" i="1"/>
  <c r="U627" i="1"/>
  <c r="L422" i="1"/>
  <c r="M187" i="3"/>
  <c r="K209" i="1"/>
  <c r="L469" i="1"/>
  <c r="K34" i="1"/>
  <c r="O422" i="1"/>
  <c r="Q548" i="1"/>
  <c r="Q26" i="1"/>
  <c r="L296" i="1"/>
  <c r="P34" i="1"/>
  <c r="Q298" i="3"/>
  <c r="J308" i="3"/>
  <c r="N296" i="1"/>
  <c r="Q77" i="3"/>
  <c r="U195" i="1"/>
  <c r="Q190" i="1"/>
  <c r="U195" i="3"/>
  <c r="M571" i="1"/>
  <c r="K566" i="1"/>
  <c r="H481" i="1"/>
  <c r="U350" i="3"/>
  <c r="K655" i="1"/>
  <c r="G245" i="1"/>
  <c r="O215" i="1"/>
  <c r="T627" i="1"/>
  <c r="K230" i="1"/>
  <c r="H253" i="1"/>
  <c r="L679" i="1"/>
  <c r="G174" i="3"/>
  <c r="N91" i="1"/>
  <c r="G9" i="3"/>
  <c r="T687" i="1"/>
  <c r="H9" i="3"/>
  <c r="N94" i="3"/>
  <c r="M566" i="1"/>
  <c r="H517" i="1"/>
  <c r="G267" i="3"/>
  <c r="K222" i="3"/>
  <c r="P81" i="1"/>
  <c r="J364" i="1"/>
  <c r="H469" i="1"/>
  <c r="Q107" i="3"/>
  <c r="U256" i="3"/>
  <c r="P487" i="1"/>
  <c r="T47" i="3"/>
  <c r="M224" i="1"/>
  <c r="K89" i="3"/>
  <c r="M399" i="1"/>
  <c r="H317" i="1"/>
  <c r="K334" i="3"/>
  <c r="J405" i="1"/>
  <c r="G118" i="1"/>
  <c r="M501" i="1"/>
  <c r="T37" i="1"/>
  <c r="N370" i="1"/>
  <c r="H677" i="1"/>
  <c r="H222" i="3"/>
  <c r="J115" i="1"/>
  <c r="H91" i="1"/>
  <c r="L460" i="1"/>
  <c r="U42" i="1"/>
  <c r="N34" i="3"/>
  <c r="N613" i="1"/>
  <c r="J435" i="1"/>
  <c r="H368" i="3"/>
  <c r="O193" i="3"/>
  <c r="P235" i="1"/>
  <c r="U266" i="1"/>
  <c r="M310" i="3"/>
  <c r="K570" i="1"/>
  <c r="O209" i="1"/>
  <c r="N114" i="1"/>
  <c r="K311" i="1"/>
  <c r="N49" i="3"/>
  <c r="Q94" i="3"/>
  <c r="G67" i="3"/>
  <c r="K317" i="1"/>
  <c r="O213" i="1"/>
  <c r="T534" i="1"/>
  <c r="K174" i="3"/>
  <c r="N648" i="1"/>
  <c r="H296" i="1"/>
  <c r="M253" i="1"/>
  <c r="M552" i="1"/>
  <c r="G130" i="3"/>
  <c r="M517" i="1"/>
  <c r="O540" i="1"/>
  <c r="L364" i="1"/>
  <c r="T268" i="3"/>
  <c r="H334" i="3"/>
  <c r="K267" i="3"/>
  <c r="K86" i="3"/>
  <c r="H193" i="3"/>
  <c r="Q521" i="1"/>
  <c r="P239" i="1"/>
  <c r="O259" i="3"/>
  <c r="Q382" i="1"/>
  <c r="P370" i="1"/>
  <c r="G50" i="1"/>
  <c r="J548" i="1"/>
  <c r="U383" i="1"/>
  <c r="U436" i="1"/>
  <c r="G481" i="1"/>
  <c r="G239" i="1"/>
  <c r="U315" i="1"/>
  <c r="T423" i="1"/>
  <c r="T513" i="1"/>
  <c r="U463" i="1"/>
  <c r="U80" i="3"/>
  <c r="P66" i="1"/>
  <c r="T275" i="3"/>
  <c r="O521" i="1"/>
  <c r="N334" i="3"/>
  <c r="N496" i="1"/>
  <c r="H215" i="1"/>
  <c r="M130" i="3"/>
  <c r="J540" i="1"/>
  <c r="M214" i="1"/>
  <c r="M675" i="1"/>
  <c r="U556" i="1"/>
  <c r="Q533" i="1"/>
  <c r="T447" i="1"/>
  <c r="K102" i="3"/>
  <c r="M340" i="1"/>
  <c r="L45" i="1"/>
  <c r="K399" i="1"/>
  <c r="U37" i="1"/>
  <c r="G162" i="1"/>
  <c r="K300" i="1"/>
  <c r="J26" i="1"/>
  <c r="O267" i="3"/>
  <c r="K298" i="3"/>
  <c r="M364" i="1"/>
  <c r="T599" i="1"/>
  <c r="N525" i="1"/>
  <c r="K49" i="3"/>
  <c r="Q517" i="1"/>
  <c r="P211" i="1"/>
  <c r="P400" i="1"/>
  <c r="M635" i="1"/>
  <c r="P635" i="1"/>
  <c r="T647" i="1"/>
  <c r="O245" i="1"/>
  <c r="T355" i="3"/>
  <c r="P74" i="1"/>
  <c r="N26" i="3"/>
  <c r="P197" i="1"/>
  <c r="H214" i="1"/>
  <c r="G107" i="3"/>
  <c r="O525" i="1"/>
  <c r="U471" i="1"/>
  <c r="Q540" i="1"/>
  <c r="P435" i="1"/>
  <c r="U526" i="1"/>
  <c r="U559" i="1"/>
  <c r="L399" i="1"/>
  <c r="M74" i="1"/>
  <c r="J197" i="1"/>
  <c r="J552" i="1"/>
  <c r="K571" i="1"/>
  <c r="Q70" i="1"/>
  <c r="O106" i="3"/>
  <c r="N68" i="3"/>
  <c r="U427" i="1"/>
  <c r="U671" i="1"/>
  <c r="T273" i="1"/>
  <c r="T645" i="1"/>
  <c r="U36" i="1"/>
  <c r="O456" i="1"/>
  <c r="Q67" i="3"/>
  <c r="Q501" i="1"/>
  <c r="M9" i="3"/>
  <c r="M190" i="1"/>
  <c r="H646" i="1"/>
  <c r="N172" i="3"/>
  <c r="L71" i="1"/>
  <c r="Q34" i="3"/>
  <c r="Q300" i="1"/>
  <c r="N571" i="1"/>
  <c r="K505" i="1"/>
  <c r="U275" i="1"/>
  <c r="H62" i="3"/>
  <c r="P539" i="1"/>
  <c r="H112" i="3"/>
  <c r="Q405" i="1"/>
  <c r="T526" i="1"/>
  <c r="P253" i="1"/>
  <c r="M239" i="1"/>
  <c r="K340" i="1"/>
  <c r="U90" i="3"/>
  <c r="H174" i="3"/>
  <c r="Q246" i="1"/>
  <c r="U329" i="3"/>
  <c r="G190" i="1"/>
  <c r="P570" i="1"/>
  <c r="O271" i="1"/>
  <c r="O26" i="1"/>
  <c r="N469" i="1"/>
  <c r="Q213" i="1"/>
  <c r="O679" i="1"/>
  <c r="N437" i="1"/>
  <c r="L396" i="1"/>
  <c r="L222" i="3"/>
  <c r="P677" i="1"/>
  <c r="P26" i="3"/>
  <c r="N246" i="1"/>
  <c r="H434" i="1"/>
  <c r="H67" i="3"/>
  <c r="J107" i="3"/>
  <c r="J639" i="1"/>
  <c r="M228" i="1"/>
  <c r="O570" i="1"/>
  <c r="M41" i="3"/>
  <c r="N50" i="1"/>
  <c r="G400" i="1"/>
  <c r="J340" i="1"/>
  <c r="U599" i="1"/>
  <c r="G246" i="1"/>
  <c r="K382" i="1"/>
  <c r="H422" i="1"/>
  <c r="M172" i="3"/>
  <c r="H162" i="1"/>
  <c r="H548" i="1"/>
  <c r="N209" i="1"/>
  <c r="U256" i="1"/>
  <c r="T593" i="1"/>
  <c r="T674" i="1"/>
  <c r="U513" i="1"/>
  <c r="M648" i="1"/>
  <c r="N9" i="3"/>
  <c r="L428" i="1"/>
  <c r="U37" i="3"/>
  <c r="M70" i="1"/>
  <c r="U47" i="1"/>
  <c r="N307" i="3"/>
  <c r="L487" i="1"/>
  <c r="O222" i="3"/>
  <c r="N428" i="1"/>
  <c r="U319" i="3"/>
  <c r="L346" i="1"/>
  <c r="T596" i="1"/>
  <c r="K106" i="3"/>
  <c r="K553" i="1"/>
  <c r="T37" i="3"/>
  <c r="Q496" i="1"/>
  <c r="J487" i="1"/>
  <c r="J346" i="1"/>
  <c r="O405" i="1"/>
  <c r="M92" i="1"/>
  <c r="L67" i="3"/>
  <c r="J94" i="3"/>
  <c r="O637" i="1"/>
  <c r="J41" i="3"/>
  <c r="T264" i="3"/>
  <c r="N119" i="1"/>
  <c r="J235" i="1"/>
  <c r="M319" i="3"/>
  <c r="K114" i="1"/>
  <c r="N308" i="3"/>
  <c r="O70" i="1"/>
  <c r="Q228" i="1"/>
  <c r="N637" i="1"/>
  <c r="J298" i="3"/>
  <c r="N45" i="1"/>
  <c r="G214" i="1"/>
  <c r="K637" i="1"/>
  <c r="H115" i="1"/>
  <c r="T445" i="1"/>
  <c r="T147" i="1"/>
  <c r="J239" i="1"/>
  <c r="P548" i="1"/>
  <c r="M548" i="1"/>
  <c r="N552" i="1"/>
  <c r="T262" i="3"/>
  <c r="N211" i="1"/>
  <c r="P45" i="1"/>
  <c r="T315" i="1"/>
  <c r="T202" i="1"/>
  <c r="H340" i="1"/>
  <c r="L70" i="1"/>
  <c r="P533" i="1"/>
  <c r="H437" i="1"/>
  <c r="Q648" i="1"/>
  <c r="T684" i="1"/>
  <c r="T36" i="1"/>
  <c r="U660" i="1"/>
  <c r="T678" i="1"/>
  <c r="U161" i="1"/>
  <c r="T695" i="1"/>
  <c r="N224" i="1"/>
  <c r="O130" i="3"/>
  <c r="M620" i="1"/>
  <c r="N209" i="3"/>
  <c r="L310" i="1"/>
  <c r="U319" i="1"/>
  <c r="G34" i="3"/>
  <c r="L66" i="1"/>
  <c r="P553" i="1"/>
  <c r="N215" i="1"/>
  <c r="L89" i="3"/>
  <c r="L481" i="1"/>
  <c r="G71" i="1"/>
  <c r="L168" i="3"/>
  <c r="L214" i="1"/>
  <c r="U293" i="3"/>
  <c r="M81" i="1"/>
  <c r="J9" i="1"/>
  <c r="Q505" i="1"/>
  <c r="L382" i="1"/>
  <c r="N9" i="1"/>
  <c r="U231" i="3"/>
  <c r="J319" i="3"/>
  <c r="N646" i="1"/>
  <c r="N102" i="3"/>
  <c r="H26" i="3"/>
  <c r="L635" i="1"/>
  <c r="L41" i="1"/>
  <c r="K228" i="1"/>
  <c r="M211" i="1"/>
  <c r="M226" i="3"/>
  <c r="P119" i="1"/>
  <c r="L437" i="1"/>
  <c r="M400" i="1"/>
  <c r="M67" i="3"/>
  <c r="H216" i="1"/>
  <c r="O460" i="1"/>
  <c r="Q400" i="1"/>
  <c r="H419" i="1"/>
  <c r="J501" i="1"/>
  <c r="G300" i="1"/>
  <c r="J213" i="1"/>
  <c r="L298" i="3"/>
  <c r="G187" i="3"/>
  <c r="U147" i="1"/>
  <c r="N539" i="1"/>
  <c r="G320" i="3"/>
  <c r="Q102" i="3"/>
  <c r="L190" i="1"/>
  <c r="O214" i="1"/>
  <c r="O34" i="1"/>
  <c r="O319" i="3"/>
  <c r="M310" i="1"/>
  <c r="T359" i="1"/>
  <c r="U368" i="3"/>
  <c r="U356" i="1"/>
  <c r="T380" i="1"/>
  <c r="T316" i="3"/>
  <c r="T326" i="1"/>
  <c r="T338" i="1"/>
  <c r="T307" i="3"/>
  <c r="U350" i="1"/>
  <c r="P521" i="1"/>
  <c r="O89" i="3"/>
  <c r="M215" i="1"/>
  <c r="P209" i="3"/>
  <c r="Q162" i="1"/>
  <c r="U534" i="1"/>
  <c r="T624" i="1"/>
  <c r="M456" i="1"/>
  <c r="Q613" i="1"/>
  <c r="L670" i="1"/>
  <c r="P334" i="3"/>
  <c r="L320" i="3"/>
  <c r="G253" i="1"/>
  <c r="L307" i="3"/>
  <c r="P639" i="1"/>
  <c r="N180" i="3"/>
  <c r="K310" i="1"/>
  <c r="J637" i="1"/>
  <c r="U359" i="3"/>
  <c r="K81" i="1"/>
  <c r="N553" i="1"/>
  <c r="H300" i="1"/>
  <c r="O112" i="3"/>
  <c r="P101" i="1"/>
  <c r="K308" i="3"/>
  <c r="Q180" i="3"/>
  <c r="Q635" i="1"/>
  <c r="K213" i="1"/>
  <c r="G317" i="1"/>
  <c r="K26" i="1"/>
  <c r="T318" i="3"/>
  <c r="N101" i="1"/>
  <c r="M45" i="1"/>
  <c r="Q536" i="1"/>
  <c r="O67" i="3"/>
  <c r="G571" i="1"/>
  <c r="M209" i="1"/>
  <c r="P209" i="1"/>
  <c r="G501" i="1"/>
  <c r="J646" i="1"/>
  <c r="P213" i="1"/>
  <c r="K501" i="1"/>
  <c r="P112" i="3"/>
  <c r="J197" i="3"/>
  <c r="G74" i="1"/>
  <c r="U247" i="3"/>
  <c r="U468" i="1"/>
  <c r="N405" i="1"/>
  <c r="J114" i="1"/>
  <c r="H307" i="3"/>
  <c r="N228" i="1"/>
  <c r="K46" i="3"/>
  <c r="J437" i="1"/>
  <c r="U266" i="3"/>
  <c r="M317" i="1"/>
  <c r="U687" i="1"/>
  <c r="T241" i="3"/>
  <c r="U219" i="1"/>
  <c r="U292" i="3"/>
  <c r="T304" i="3"/>
  <c r="U108" i="3"/>
  <c r="T559" i="1"/>
  <c r="U316" i="3"/>
  <c r="U189" i="3"/>
  <c r="T247" i="1"/>
  <c r="O437" i="1"/>
  <c r="N77" i="3"/>
  <c r="O670" i="1"/>
  <c r="J77" i="3"/>
  <c r="L533" i="1"/>
  <c r="T510" i="1"/>
  <c r="L340" i="1"/>
  <c r="K539" i="1"/>
  <c r="Q239" i="1"/>
  <c r="P399" i="1"/>
  <c r="M222" i="3"/>
  <c r="G222" i="3"/>
  <c r="G215" i="1"/>
  <c r="K34" i="3"/>
  <c r="N675" i="1"/>
  <c r="M180" i="3"/>
  <c r="O370" i="1"/>
  <c r="J382" i="1"/>
  <c r="N267" i="3"/>
  <c r="M115" i="1"/>
  <c r="P214" i="1"/>
  <c r="H34" i="1"/>
  <c r="M368" i="3"/>
  <c r="M271" i="1"/>
  <c r="K130" i="3"/>
  <c r="Q320" i="3"/>
  <c r="H226" i="3"/>
  <c r="Q646" i="1"/>
  <c r="J101" i="1"/>
  <c r="P319" i="3"/>
  <c r="M89" i="3"/>
  <c r="O45" i="1"/>
  <c r="H172" i="3"/>
  <c r="K419" i="1"/>
  <c r="H620" i="1"/>
  <c r="M299" i="1"/>
  <c r="H312" i="3"/>
  <c r="O469" i="1"/>
  <c r="G646" i="1"/>
  <c r="J434" i="1"/>
  <c r="J190" i="1"/>
  <c r="O74" i="1"/>
  <c r="M259" i="3"/>
  <c r="Q209" i="3"/>
  <c r="Q119" i="1"/>
  <c r="Q172" i="3"/>
  <c r="T42" i="3"/>
  <c r="H50" i="1"/>
  <c r="J310" i="3"/>
  <c r="T368" i="1"/>
  <c r="Q399" i="1"/>
  <c r="M419" i="1"/>
  <c r="M94" i="3"/>
  <c r="U520" i="1"/>
  <c r="T219" i="3"/>
  <c r="U241" i="3"/>
  <c r="U298" i="3"/>
  <c r="U175" i="3"/>
  <c r="U640" i="1"/>
  <c r="U423" i="1"/>
  <c r="U356" i="3"/>
  <c r="U268" i="3"/>
  <c r="T298" i="3"/>
  <c r="U593" i="1"/>
  <c r="K299" i="1"/>
  <c r="N174" i="3"/>
  <c r="N399" i="1"/>
  <c r="H566" i="1"/>
  <c r="K677" i="1"/>
  <c r="T495" i="1"/>
  <c r="Q168" i="3"/>
  <c r="L521" i="1"/>
  <c r="L434" i="1"/>
  <c r="K405" i="1"/>
  <c r="H298" i="3"/>
  <c r="H46" i="3"/>
  <c r="G115" i="1"/>
  <c r="G86" i="3"/>
  <c r="P148" i="1"/>
  <c r="T90" i="3"/>
  <c r="M533" i="1"/>
  <c r="J469" i="1"/>
  <c r="T293" i="3"/>
  <c r="N435" i="1"/>
  <c r="O639" i="1"/>
  <c r="T231" i="1"/>
  <c r="U262" i="3"/>
  <c r="M382" i="1"/>
  <c r="G552" i="1"/>
  <c r="H92" i="1"/>
  <c r="L41" i="3"/>
  <c r="L213" i="1"/>
  <c r="N548" i="1"/>
  <c r="O26" i="3"/>
  <c r="K41" i="3"/>
  <c r="M422" i="1"/>
  <c r="N41" i="1"/>
  <c r="N26" i="1"/>
  <c r="T47" i="1"/>
  <c r="T359" i="3"/>
  <c r="P94" i="3"/>
  <c r="M536" i="1"/>
  <c r="G434" i="1"/>
  <c r="N197" i="1"/>
  <c r="P190" i="1"/>
  <c r="K235" i="1"/>
  <c r="J334" i="3"/>
  <c r="N298" i="3"/>
  <c r="N620" i="1"/>
  <c r="U326" i="1"/>
  <c r="H246" i="1"/>
  <c r="H637" i="1"/>
  <c r="H239" i="1"/>
  <c r="K310" i="3"/>
  <c r="T288" i="3"/>
  <c r="M670" i="1"/>
  <c r="M62" i="3"/>
  <c r="P259" i="3"/>
  <c r="U359" i="1"/>
  <c r="G405" i="1"/>
  <c r="K639" i="1"/>
  <c r="K525" i="1"/>
  <c r="L68" i="3"/>
  <c r="K45" i="1"/>
  <c r="U288" i="3"/>
  <c r="U376" i="3"/>
  <c r="Q428" i="1"/>
  <c r="J130" i="3"/>
  <c r="O496" i="1"/>
  <c r="H655" i="1"/>
  <c r="M216" i="1"/>
  <c r="U429" i="1"/>
  <c r="Q89" i="3"/>
  <c r="N501" i="1"/>
  <c r="U332" i="3"/>
  <c r="L496" i="1"/>
  <c r="H552" i="1"/>
  <c r="J102" i="3"/>
  <c r="P456" i="1"/>
  <c r="P102" i="3"/>
  <c r="L613" i="1"/>
  <c r="K107" i="3"/>
  <c r="O115" i="1"/>
  <c r="J211" i="1"/>
  <c r="L267" i="3"/>
  <c r="M118" i="1"/>
  <c r="M148" i="1"/>
  <c r="G553" i="1"/>
  <c r="H197" i="3"/>
  <c r="P571" i="1"/>
  <c r="G364" i="1"/>
  <c r="H521" i="1"/>
  <c r="H553" i="1"/>
  <c r="G296" i="1"/>
  <c r="Q222" i="3"/>
  <c r="Q319" i="3"/>
  <c r="H224" i="1"/>
  <c r="M119" i="1"/>
  <c r="K187" i="3"/>
  <c r="G308" i="3"/>
  <c r="U73" i="1"/>
  <c r="H119" i="1"/>
  <c r="Q45" i="1"/>
  <c r="G310" i="3"/>
  <c r="Q487" i="1"/>
  <c r="M246" i="1"/>
  <c r="K197" i="3"/>
  <c r="O566" i="1"/>
  <c r="J271" i="1"/>
  <c r="J112" i="3"/>
  <c r="N70" i="1"/>
  <c r="T247" i="3"/>
  <c r="M553" i="1"/>
  <c r="K620" i="1"/>
  <c r="P50" i="1"/>
  <c r="N81" i="1"/>
  <c r="J456" i="1"/>
  <c r="G639" i="1"/>
  <c r="T36" i="3"/>
  <c r="M34" i="3"/>
  <c r="Q364" i="1"/>
  <c r="T80" i="3"/>
  <c r="T588" i="1"/>
  <c r="U645" i="1"/>
  <c r="U302" i="1"/>
  <c r="T233" i="1"/>
  <c r="U108" i="1"/>
  <c r="T290" i="1"/>
  <c r="U303" i="3"/>
  <c r="U338" i="1"/>
  <c r="O620" i="1"/>
  <c r="N107" i="3"/>
  <c r="K190" i="1"/>
  <c r="H70" i="1"/>
  <c r="O481" i="1"/>
  <c r="T691" i="1"/>
  <c r="J118" i="1"/>
  <c r="Q675" i="1"/>
  <c r="Q308" i="3"/>
  <c r="O310" i="1"/>
  <c r="H299" i="1"/>
  <c r="J106" i="3"/>
  <c r="N340" i="1"/>
  <c r="M434" i="1"/>
  <c r="M300" i="1"/>
  <c r="H648" i="1"/>
  <c r="Q118" i="1"/>
  <c r="J505" i="1"/>
  <c r="L334" i="3"/>
  <c r="N505" i="1"/>
  <c r="O613" i="1"/>
  <c r="G299" i="1"/>
  <c r="G197" i="3"/>
  <c r="L114" i="1"/>
  <c r="G517" i="1"/>
  <c r="H396" i="1"/>
  <c r="H74" i="1"/>
  <c r="P434" i="1"/>
  <c r="U305" i="1"/>
  <c r="Q26" i="3"/>
  <c r="H230" i="1"/>
  <c r="L119" i="1"/>
  <c r="M334" i="3"/>
  <c r="N319" i="3"/>
  <c r="G539" i="1"/>
  <c r="J89" i="3"/>
  <c r="O434" i="1"/>
  <c r="M193" i="3"/>
  <c r="K296" i="1"/>
  <c r="K400" i="1"/>
  <c r="K209" i="3"/>
  <c r="K271" i="1"/>
  <c r="G228" i="1"/>
  <c r="T231" i="3"/>
  <c r="P299" i="1"/>
  <c r="J180" i="3"/>
  <c r="Q437" i="1"/>
  <c r="Q197" i="3"/>
  <c r="H209" i="1"/>
  <c r="H571" i="1"/>
  <c r="J214" i="1"/>
  <c r="T297" i="3"/>
  <c r="N368" i="3"/>
  <c r="P364" i="1"/>
  <c r="U64" i="3"/>
  <c r="T64" i="3"/>
  <c r="U406" i="1"/>
  <c r="P670" i="1"/>
  <c r="H197" i="1"/>
  <c r="P70" i="1"/>
  <c r="T318" i="1"/>
  <c r="Q230" i="1"/>
  <c r="G224" i="1"/>
  <c r="K148" i="1"/>
  <c r="P428" i="1"/>
  <c r="H77" i="3"/>
  <c r="K162" i="1"/>
  <c r="H613" i="1"/>
  <c r="K168" i="3"/>
  <c r="Q539" i="1"/>
  <c r="K193" i="3"/>
  <c r="O428" i="1"/>
  <c r="H148" i="1"/>
  <c r="P505" i="1"/>
  <c r="Q340" i="1"/>
  <c r="U147" i="3"/>
  <c r="P346" i="1"/>
  <c r="K239" i="1"/>
  <c r="G45" i="1"/>
  <c r="K77" i="3"/>
  <c r="Q91" i="1"/>
  <c r="K552" i="1"/>
  <c r="H114" i="1"/>
  <c r="H428" i="1"/>
  <c r="J613" i="1"/>
  <c r="L187" i="3"/>
  <c r="K26" i="3"/>
  <c r="U624" i="1"/>
  <c r="T305" i="3"/>
  <c r="G62" i="3"/>
  <c r="J26" i="3"/>
  <c r="J34" i="1"/>
  <c r="O310" i="3"/>
  <c r="M679" i="1"/>
  <c r="M174" i="3"/>
  <c r="M197" i="1"/>
  <c r="L209" i="1"/>
  <c r="G49" i="3"/>
  <c r="N655" i="1"/>
  <c r="P224" i="1"/>
  <c r="L209" i="3"/>
  <c r="N299" i="1"/>
  <c r="N310" i="1"/>
  <c r="P312" i="3"/>
  <c r="U205" i="1"/>
  <c r="T198" i="3"/>
  <c r="P9" i="1"/>
  <c r="Q677" i="1"/>
  <c r="P246" i="1"/>
  <c r="N115" i="1"/>
  <c r="O239" i="1"/>
  <c r="T256" i="3"/>
  <c r="U450" i="1"/>
  <c r="U607" i="1"/>
  <c r="U315" i="3"/>
  <c r="T283" i="1"/>
  <c r="T205" i="3"/>
  <c r="T320" i="1"/>
  <c r="U304" i="1"/>
  <c r="M213" i="1"/>
  <c r="U90" i="1"/>
  <c r="M677" i="1"/>
  <c r="J92" i="1"/>
  <c r="P308" i="3"/>
  <c r="M71" i="1"/>
  <c r="N89" i="3"/>
  <c r="O50" i="1"/>
  <c r="L308" i="3"/>
  <c r="O216" i="1"/>
  <c r="J311" i="1"/>
  <c r="U579" i="1"/>
  <c r="N300" i="1"/>
  <c r="Q419" i="1"/>
  <c r="K50" i="1"/>
  <c r="T436" i="1"/>
  <c r="K62" i="3"/>
  <c r="Q148" i="1"/>
  <c r="T262" i="1"/>
  <c r="P86" i="3"/>
  <c r="M435" i="1"/>
  <c r="P296" i="1"/>
  <c r="U495" i="1"/>
  <c r="K259" i="3"/>
  <c r="N213" i="1"/>
  <c r="P317" i="1"/>
  <c r="T305" i="1"/>
  <c r="O107" i="3"/>
  <c r="P620" i="1"/>
  <c r="T485" i="1"/>
  <c r="O197" i="1"/>
  <c r="H536" i="1"/>
  <c r="K101" i="1"/>
  <c r="P89" i="3"/>
  <c r="N245" i="1"/>
  <c r="H346" i="1"/>
  <c r="K679" i="1"/>
  <c r="G259" i="3"/>
  <c r="L536" i="1"/>
  <c r="L26" i="3"/>
  <c r="Q71" i="1"/>
  <c r="O228" i="1"/>
  <c r="L655" i="1"/>
  <c r="L566" i="1"/>
  <c r="U29" i="3"/>
  <c r="T406" i="1"/>
  <c r="T338" i="3"/>
  <c r="T108" i="3"/>
  <c r="U297" i="1"/>
  <c r="T356" i="3"/>
  <c r="T80" i="1"/>
  <c r="U612" i="1"/>
  <c r="N677" i="1"/>
  <c r="N536" i="1"/>
  <c r="J620" i="1"/>
  <c r="T429" i="1"/>
  <c r="M66" i="1"/>
  <c r="Q41" i="3"/>
  <c r="Q49" i="3"/>
  <c r="M230" i="1"/>
  <c r="L505" i="1"/>
  <c r="K180" i="3"/>
  <c r="G487" i="1"/>
  <c r="O300" i="1"/>
  <c r="Q346" i="1"/>
  <c r="K245" i="1"/>
  <c r="M298" i="3"/>
  <c r="N34" i="1"/>
  <c r="H460" i="1"/>
  <c r="L299" i="1"/>
  <c r="T90" i="1"/>
  <c r="Q299" i="1"/>
  <c r="G525" i="1"/>
  <c r="G94" i="3"/>
  <c r="G635" i="1"/>
  <c r="L259" i="3"/>
  <c r="K548" i="1"/>
  <c r="U298" i="1"/>
  <c r="U80" i="1"/>
  <c r="U47" i="3"/>
  <c r="U293" i="1"/>
  <c r="J655" i="1"/>
  <c r="N456" i="1"/>
  <c r="N118" i="1"/>
  <c r="K320" i="3"/>
  <c r="G41" i="3"/>
  <c r="P46" i="3"/>
  <c r="G9" i="1"/>
  <c r="K460" i="1"/>
  <c r="L193" i="3"/>
  <c r="Q422" i="1"/>
  <c r="J174" i="3"/>
  <c r="O311" i="1"/>
  <c r="H271" i="1"/>
  <c r="M646" i="1"/>
  <c r="T383" i="1"/>
  <c r="L400" i="1"/>
  <c r="H540" i="1"/>
  <c r="Q174" i="3"/>
  <c r="L74" i="1"/>
  <c r="L228" i="1"/>
  <c r="T316" i="1"/>
  <c r="T161" i="1"/>
  <c r="P41" i="3"/>
  <c r="U329" i="1"/>
  <c r="G334" i="3"/>
  <c r="K115" i="1"/>
  <c r="Q310" i="3"/>
  <c r="H405" i="1"/>
  <c r="Q456" i="1"/>
  <c r="K496" i="1"/>
  <c r="M346" i="1"/>
  <c r="M405" i="1"/>
  <c r="G679" i="1"/>
  <c r="J193" i="3"/>
  <c r="J553" i="1"/>
  <c r="J635" i="1"/>
  <c r="U231" i="1"/>
  <c r="K517" i="1"/>
  <c r="T273" i="3"/>
  <c r="T470" i="1"/>
  <c r="T268" i="1"/>
  <c r="T640" i="1"/>
  <c r="T302" i="3"/>
  <c r="T298" i="1"/>
  <c r="T256" i="1"/>
  <c r="K540" i="1"/>
  <c r="U202" i="1"/>
  <c r="N216" i="1"/>
  <c r="J148" i="1"/>
  <c r="H382" i="1"/>
  <c r="M487" i="1"/>
  <c r="Q267" i="3"/>
  <c r="Q370" i="1"/>
  <c r="U275" i="3"/>
  <c r="Q481" i="1"/>
  <c r="J419" i="1"/>
  <c r="Q553" i="1"/>
  <c r="K428" i="1"/>
  <c r="L86" i="3"/>
  <c r="K370" i="1"/>
  <c r="U332" i="1"/>
  <c r="M106" i="3"/>
  <c r="M613" i="1"/>
  <c r="U529" i="1"/>
  <c r="M9" i="1"/>
  <c r="K118" i="1"/>
  <c r="Q92" i="1"/>
  <c r="T471" i="1"/>
  <c r="P193" i="3"/>
  <c r="L368" i="3"/>
  <c r="N253" i="1"/>
  <c r="T264" i="1"/>
  <c r="L174" i="3"/>
  <c r="J536" i="1"/>
  <c r="J675" i="1"/>
  <c r="N317" i="1"/>
  <c r="U455" i="1"/>
  <c r="G613" i="1"/>
  <c r="K434" i="1"/>
  <c r="O396" i="1"/>
  <c r="G521" i="1"/>
  <c r="T319" i="3"/>
  <c r="O517" i="1"/>
  <c r="H310" i="3"/>
  <c r="P267" i="3"/>
  <c r="O224" i="1"/>
  <c r="L312" i="3"/>
  <c r="L517" i="1"/>
  <c r="L271" i="1"/>
  <c r="T564" i="1"/>
  <c r="O533" i="1"/>
  <c r="K487" i="1"/>
  <c r="L215" i="1"/>
  <c r="K533" i="1"/>
  <c r="L34" i="3"/>
  <c r="U447" i="1"/>
  <c r="M505" i="1"/>
  <c r="T579" i="1"/>
  <c r="N226" i="3"/>
  <c r="G648" i="1"/>
  <c r="O34" i="3"/>
  <c r="Q245" i="1"/>
  <c r="H66" i="1"/>
  <c r="M637" i="1"/>
  <c r="N259" i="3"/>
  <c r="N193" i="3"/>
  <c r="L501" i="1"/>
  <c r="P540" i="1"/>
  <c r="U302" i="3"/>
  <c r="U292" i="1"/>
  <c r="K216" i="1"/>
  <c r="P481" i="1"/>
  <c r="G346" i="1"/>
  <c r="U42" i="3"/>
  <c r="H41" i="1"/>
  <c r="Q66" i="1"/>
  <c r="O399" i="1"/>
  <c r="Q115" i="1"/>
  <c r="Q86" i="3"/>
  <c r="T556" i="1"/>
  <c r="O346" i="1"/>
  <c r="U691" i="1"/>
  <c r="G319" i="3"/>
  <c r="G396" i="1"/>
  <c r="J300" i="1"/>
  <c r="M396" i="1"/>
  <c r="Q311" i="1"/>
  <c r="L570" i="1"/>
  <c r="G370" i="1"/>
  <c r="G496" i="1"/>
  <c r="K197" i="1"/>
  <c r="G180" i="3"/>
  <c r="H187" i="3"/>
  <c r="U241" i="1"/>
  <c r="U320" i="3"/>
  <c r="U615" i="1"/>
  <c r="K536" i="1"/>
  <c r="J209" i="1"/>
  <c r="L539" i="1"/>
  <c r="P216" i="1"/>
  <c r="Q334" i="3"/>
  <c r="U198" i="3"/>
  <c r="T195" i="3"/>
  <c r="G637" i="1"/>
  <c r="N239" i="1"/>
  <c r="G368" i="3"/>
  <c r="N364" i="1"/>
  <c r="K94" i="3"/>
  <c r="Q211" i="1"/>
  <c r="G70" i="1"/>
  <c r="O364" i="1"/>
  <c r="Q637" i="1"/>
  <c r="T290" i="3"/>
  <c r="U64" i="1"/>
  <c r="G620" i="1"/>
  <c r="P62" i="3"/>
  <c r="N230" i="1"/>
  <c r="O340" i="1"/>
  <c r="L9" i="1"/>
  <c r="O148" i="1"/>
  <c r="O553" i="1"/>
  <c r="N434" i="1"/>
  <c r="N635" i="1"/>
  <c r="L245" i="1"/>
  <c r="L211" i="1"/>
  <c r="K635" i="1"/>
  <c r="O536" i="1"/>
  <c r="L540" i="1"/>
  <c r="H41" i="3"/>
  <c r="O552" i="1"/>
  <c r="K70" i="1"/>
  <c r="J222" i="3"/>
  <c r="U273" i="1"/>
  <c r="Q74" i="1"/>
  <c r="G209" i="3"/>
  <c r="P646" i="1"/>
  <c r="N67" i="3"/>
  <c r="L180" i="3"/>
  <c r="G469" i="1"/>
  <c r="L50" i="1"/>
  <c r="G670" i="1"/>
  <c r="T376" i="3"/>
  <c r="O102" i="3"/>
  <c r="L311" i="1"/>
  <c r="G101" i="1"/>
  <c r="M481" i="1"/>
  <c r="P469" i="1"/>
  <c r="U219" i="3"/>
  <c r="T307" i="1"/>
  <c r="T241" i="1"/>
  <c r="G655" i="1"/>
  <c r="U264" i="3"/>
  <c r="J320" i="3"/>
  <c r="L553" i="1"/>
  <c r="G226" i="3"/>
  <c r="M102" i="3"/>
  <c r="Q214" i="1"/>
  <c r="P228" i="1"/>
  <c r="N112" i="3"/>
  <c r="K253" i="1"/>
  <c r="P419" i="1"/>
  <c r="P525" i="1"/>
  <c r="L419" i="1"/>
  <c r="J187" i="3"/>
  <c r="K67" i="3"/>
  <c r="Q525" i="1"/>
  <c r="G235" i="1"/>
  <c r="M197" i="3"/>
  <c r="K319" i="3"/>
  <c r="U320" i="1"/>
  <c r="G570" i="1"/>
  <c r="L226" i="3"/>
  <c r="K74" i="1"/>
  <c r="P130" i="3"/>
  <c r="P310" i="1"/>
  <c r="K648" i="1"/>
  <c r="K422" i="1"/>
  <c r="T170" i="1"/>
  <c r="P311" i="1"/>
  <c r="T303" i="3"/>
  <c r="O94" i="3"/>
  <c r="G310" i="1"/>
  <c r="U307" i="1"/>
  <c r="O435" i="1"/>
  <c r="G168" i="3"/>
  <c r="G114" i="1"/>
  <c r="T350" i="3"/>
  <c r="L639" i="1"/>
  <c r="K214" i="1"/>
  <c r="T303" i="1"/>
  <c r="T175" i="3"/>
  <c r="G209" i="1"/>
  <c r="H49" i="3"/>
  <c r="O334" i="3"/>
  <c r="L675" i="1"/>
  <c r="Q62" i="3"/>
  <c r="G112" i="3"/>
  <c r="O168" i="3"/>
  <c r="N419" i="1"/>
  <c r="M41" i="1"/>
  <c r="P396" i="1"/>
  <c r="N460" i="1"/>
  <c r="J216" i="1"/>
  <c r="G271" i="1"/>
  <c r="U29" i="1"/>
  <c r="N679" i="1"/>
  <c r="Q317" i="1"/>
  <c r="G312" i="3"/>
  <c r="P310" i="3"/>
  <c r="N311" i="1"/>
  <c r="O49" i="3"/>
  <c r="P49" i="3"/>
  <c r="O235" i="1"/>
  <c r="L319" i="3"/>
  <c r="L246" i="1"/>
  <c r="Q197" i="1"/>
  <c r="G435" i="1"/>
  <c r="T189" i="3"/>
  <c r="J224" i="1"/>
  <c r="T219" i="1"/>
  <c r="J396" i="1"/>
  <c r="K469" i="1"/>
  <c r="U588" i="1"/>
  <c r="G91" i="1"/>
  <c r="P9" i="3"/>
  <c r="N130" i="3"/>
  <c r="P613" i="1"/>
  <c r="L77" i="3"/>
  <c r="K92" i="1"/>
  <c r="Q130" i="3"/>
  <c r="U564" i="1"/>
  <c r="O635" i="1"/>
  <c r="L34" i="1"/>
  <c r="M437" i="1"/>
  <c r="G536" i="1"/>
  <c r="K119" i="1"/>
  <c r="M209" i="3"/>
  <c r="G533" i="1"/>
  <c r="G437" i="1"/>
  <c r="O571" i="1"/>
  <c r="O312" i="3"/>
  <c r="L370" i="1"/>
  <c r="T476" i="1"/>
  <c r="L571" i="1"/>
  <c r="G172" i="3"/>
  <c r="M570" i="1"/>
  <c r="Q46" i="3"/>
  <c r="J162" i="1"/>
  <c r="T319" i="1"/>
  <c r="Q9" i="1"/>
  <c r="T660" i="1"/>
  <c r="J648" i="1"/>
  <c r="U470" i="1"/>
  <c r="L101" i="1"/>
  <c r="U380" i="1"/>
  <c r="U304" i="3"/>
  <c r="O71" i="1"/>
  <c r="T147" i="3"/>
  <c r="G102" i="3"/>
  <c r="P300" i="1"/>
  <c r="L49" i="3"/>
  <c r="P460" i="1"/>
  <c r="N310" i="3"/>
  <c r="J299" i="1"/>
  <c r="J517" i="1"/>
  <c r="M311" i="1"/>
  <c r="Q655" i="1"/>
  <c r="O190" i="1"/>
  <c r="N86" i="3"/>
  <c r="O677" i="1"/>
  <c r="Q224" i="1"/>
  <c r="J571" i="1"/>
  <c r="M112" i="3"/>
  <c r="P637" i="1"/>
  <c r="J9" i="3"/>
  <c r="L525" i="1"/>
  <c r="P552" i="1"/>
  <c r="T612" i="1"/>
  <c r="G26" i="3"/>
  <c r="T417" i="1"/>
  <c r="U205" i="3"/>
  <c r="O209" i="3"/>
  <c r="U307" i="3"/>
  <c r="K312" i="3"/>
  <c r="Q566" i="1"/>
  <c r="U170" i="1"/>
  <c r="O68" i="3"/>
  <c r="Q571" i="1"/>
  <c r="T376" i="1"/>
  <c r="T233" i="3"/>
  <c r="U417" i="1"/>
  <c r="U684" i="1"/>
  <c r="O487" i="1"/>
  <c r="J67" i="3"/>
  <c r="G106" i="3"/>
  <c r="M428" i="1"/>
  <c r="J46" i="3"/>
  <c r="J267" i="3"/>
  <c r="M46" i="3"/>
  <c r="J45" i="1"/>
  <c r="O226" i="3"/>
  <c r="Q434" i="1"/>
  <c r="U596" i="1"/>
  <c r="K368" i="3"/>
  <c r="H130" i="3"/>
  <c r="K9" i="1"/>
  <c r="T607" i="1"/>
  <c r="Q368" i="3"/>
  <c r="M162" i="1"/>
  <c r="G311" i="1"/>
  <c r="M101" i="1"/>
  <c r="L62" i="3"/>
  <c r="O211" i="1"/>
  <c r="N162" i="1"/>
  <c r="H9" i="1"/>
  <c r="K112" i="3"/>
  <c r="Q307" i="3"/>
  <c r="U283" i="3"/>
  <c r="P501" i="1"/>
  <c r="G34" i="1"/>
  <c r="O382" i="1"/>
  <c r="O41" i="1"/>
  <c r="G148" i="1"/>
  <c r="T189" i="1"/>
  <c r="U36" i="3"/>
  <c r="U290" i="1"/>
  <c r="O66" i="1"/>
  <c r="P107" i="3"/>
  <c r="O172" i="3"/>
  <c r="Q215" i="1"/>
  <c r="H525" i="1"/>
  <c r="K9" i="3"/>
  <c r="L130" i="3"/>
  <c r="J400" i="1"/>
  <c r="H319" i="3"/>
  <c r="U202" i="3"/>
  <c r="H190" i="1"/>
  <c r="K364" i="1"/>
  <c r="H168" i="3"/>
  <c r="K68" i="3"/>
  <c r="N74" i="1"/>
  <c r="N62" i="3"/>
  <c r="K396" i="1"/>
  <c r="K246" i="1"/>
  <c r="Q50" i="1"/>
  <c r="L677" i="1"/>
  <c r="M235" i="1"/>
  <c r="O655" i="1"/>
  <c r="H364" i="1"/>
  <c r="Q679" i="1"/>
  <c r="L224" i="1"/>
  <c r="P368" i="3"/>
  <c r="O41" i="3"/>
  <c r="T64" i="1"/>
  <c r="H400" i="1"/>
  <c r="U485" i="1"/>
  <c r="U668" i="1"/>
  <c r="O246" i="1"/>
  <c r="T266" i="3"/>
  <c r="U674" i="1"/>
  <c r="O9" i="1"/>
  <c r="N422" i="1"/>
  <c r="U376" i="1"/>
  <c r="N222" i="3"/>
  <c r="N540" i="1"/>
  <c r="G68" i="3"/>
  <c r="O307" i="3"/>
  <c r="L405" i="1"/>
  <c r="H435" i="1"/>
  <c r="P187" i="3"/>
  <c r="H101" i="1"/>
  <c r="J50" i="1"/>
  <c r="M26" i="3"/>
  <c r="Q187" i="3"/>
  <c r="G119" i="1"/>
  <c r="N190" i="1"/>
  <c r="H679" i="1"/>
  <c r="Q235" i="1"/>
  <c r="N566" i="1"/>
  <c r="U273" i="3"/>
  <c r="L9" i="3"/>
  <c r="L81" i="1"/>
  <c r="J533" i="1"/>
  <c r="Q460" i="1"/>
  <c r="H213" i="1"/>
  <c r="T355" i="1"/>
  <c r="U283" i="1"/>
  <c r="O296" i="1"/>
  <c r="G211" i="1"/>
  <c r="G505" i="1"/>
  <c r="M296" i="1"/>
  <c r="T198" i="1"/>
  <c r="G92" i="1"/>
  <c r="Q209" i="1"/>
  <c r="Q68" i="3"/>
  <c r="T671" i="1"/>
  <c r="O9" i="3"/>
  <c r="P197" i="3"/>
  <c r="G540" i="1"/>
  <c r="H34" i="3"/>
  <c r="P496" i="1"/>
  <c r="T275" i="1"/>
  <c r="N187" i="3"/>
  <c r="U355" i="1"/>
  <c r="J677" i="1"/>
  <c r="L310" i="3"/>
  <c r="J172" i="3"/>
  <c r="G460" i="1"/>
  <c r="K226" i="3"/>
  <c r="H501" i="1"/>
  <c r="M91" i="1"/>
  <c r="N271" i="1"/>
  <c r="M496" i="1"/>
  <c r="T29" i="1"/>
  <c r="J81" i="1"/>
  <c r="O101" i="1"/>
  <c r="J62" i="3"/>
  <c r="J228" i="1"/>
  <c r="H107" i="3"/>
  <c r="N66" i="1"/>
  <c r="O308" i="3"/>
  <c r="P26" i="1"/>
  <c r="H399" i="1"/>
  <c r="J119" i="1"/>
  <c r="Q34" i="1"/>
  <c r="L118" i="1"/>
  <c r="O62" i="3"/>
  <c r="J317" i="1"/>
  <c r="T468" i="1"/>
  <c r="U587" i="1"/>
  <c r="O77" i="3"/>
  <c r="Q226" i="3"/>
  <c r="K224" i="1"/>
  <c r="J226" i="3"/>
  <c r="Q310" i="1"/>
  <c r="T668" i="1"/>
  <c r="L46" i="3"/>
  <c r="T266" i="1"/>
  <c r="P679" i="1"/>
  <c r="L91" i="1"/>
  <c r="H487" i="1"/>
  <c r="J481" i="1"/>
  <c r="G456" i="1"/>
  <c r="H310" i="1"/>
  <c r="L235" i="1"/>
  <c r="M655" i="1"/>
  <c r="J399" i="1"/>
  <c r="J209" i="3"/>
  <c r="N400" i="1"/>
  <c r="J34" i="3"/>
  <c r="P566" i="1"/>
  <c r="Q312" i="3"/>
  <c r="G382" i="1"/>
  <c r="G41" i="1"/>
  <c r="P517" i="1"/>
  <c r="G422" i="1"/>
  <c r="H235" i="1"/>
  <c r="N92" i="1"/>
  <c r="H86" i="3"/>
  <c r="G66" i="1"/>
  <c r="G307" i="3"/>
  <c r="U161" i="3"/>
  <c r="M539" i="1"/>
  <c r="T368" i="3"/>
  <c r="J312" i="3"/>
  <c r="T205" i="1"/>
  <c r="T329" i="1"/>
  <c r="L172" i="3"/>
  <c r="M521" i="1"/>
  <c r="H81" i="1"/>
  <c r="M86" i="3"/>
  <c r="J71" i="1"/>
  <c r="H71" i="1"/>
  <c r="J679" i="1"/>
  <c r="Q296" i="1"/>
  <c r="U73" i="3"/>
  <c r="H26" i="1"/>
  <c r="O648" i="1"/>
  <c r="O92" i="1"/>
  <c r="U264" i="1"/>
  <c r="M308" i="3"/>
  <c r="P271" i="1"/>
  <c r="P77" i="3"/>
  <c r="G566" i="1"/>
  <c r="Q112" i="3"/>
  <c r="P298" i="3"/>
  <c r="U262" i="1"/>
  <c r="T304" i="1"/>
  <c r="T315" i="3"/>
  <c r="U316" i="1"/>
  <c r="L216" i="1"/>
  <c r="U175" i="1"/>
  <c r="T42" i="1"/>
  <c r="O646" i="1"/>
  <c r="U326" i="3"/>
  <c r="L239" i="1"/>
  <c r="L148" i="1"/>
  <c r="T463" i="1"/>
  <c r="O400" i="1"/>
  <c r="M114" i="1"/>
  <c r="T380" i="3"/>
  <c r="U233" i="3"/>
  <c r="J539" i="1"/>
  <c r="M307" i="3"/>
  <c r="O501" i="1"/>
  <c r="H228" i="1"/>
  <c r="Q193" i="3"/>
  <c r="O162" i="1"/>
  <c r="H245" i="1"/>
  <c r="J41" i="1"/>
  <c r="Q552" i="1"/>
  <c r="Q271" i="1"/>
  <c r="T529" i="1"/>
  <c r="L197" i="1"/>
  <c r="Q469" i="1"/>
  <c r="J521" i="1"/>
  <c r="G89" i="3"/>
  <c r="Q570" i="1"/>
  <c r="N639" i="1"/>
  <c r="U318" i="1"/>
  <c r="P655" i="1"/>
  <c r="O505" i="1"/>
  <c r="H539" i="1"/>
  <c r="H106" i="3"/>
  <c r="N46" i="3"/>
  <c r="T73" i="3"/>
  <c r="T326" i="3"/>
  <c r="P648" i="1"/>
  <c r="M370" i="1"/>
  <c r="O539" i="1"/>
  <c r="L620" i="1"/>
  <c r="M245" i="1"/>
  <c r="L646" i="1"/>
  <c r="K346" i="1"/>
  <c r="N197" i="3"/>
  <c r="K481" i="1"/>
  <c r="T283" i="3"/>
  <c r="J74" i="1"/>
  <c r="T73" i="1"/>
  <c r="P215" i="1"/>
  <c r="U445" i="1"/>
  <c r="G193" i="3"/>
  <c r="L230" i="1"/>
  <c r="O675" i="1"/>
  <c r="J422" i="1"/>
  <c r="P92" i="1"/>
  <c r="K91" i="1"/>
  <c r="G340" i="1"/>
  <c r="L317" i="1"/>
  <c r="P536" i="1"/>
  <c r="J525" i="1"/>
  <c r="H209" i="3"/>
  <c r="L548" i="1"/>
  <c r="G81" i="1"/>
  <c r="P106" i="3"/>
  <c r="J66" i="1"/>
  <c r="M34" i="1"/>
  <c r="H370" i="1"/>
  <c r="H670" i="1"/>
  <c r="J168" i="3"/>
  <c r="M460" i="1"/>
  <c r="Q106" i="3"/>
  <c r="P67" i="3"/>
  <c r="H259" i="3"/>
  <c r="K307" i="3"/>
  <c r="L637" i="1"/>
  <c r="J566" i="1"/>
  <c r="T108" i="1"/>
  <c r="T292" i="1"/>
  <c r="T356" i="1"/>
  <c r="J460" i="1"/>
  <c r="L92" i="1"/>
  <c r="N670" i="1"/>
  <c r="G197" i="1"/>
  <c r="J49" i="3"/>
  <c r="N320" i="3"/>
  <c r="P405" i="1"/>
  <c r="L115" i="1"/>
  <c r="Q41" i="1"/>
  <c r="Q101" i="1"/>
  <c r="G428" i="1"/>
  <c r="P245" i="1"/>
  <c r="M26" i="1"/>
  <c r="J370" i="1"/>
  <c r="L112" i="3"/>
  <c r="G298" i="3"/>
  <c r="N382" i="1"/>
  <c r="H308" i="3"/>
  <c r="U695" i="1"/>
  <c r="L102" i="3"/>
  <c r="P168" i="3"/>
  <c r="P222" i="3"/>
  <c r="H102" i="3"/>
  <c r="K456" i="1"/>
  <c r="O298" i="3"/>
  <c r="P172" i="3"/>
  <c r="O548" i="1"/>
  <c r="N533" i="1"/>
  <c r="G26" i="1"/>
  <c r="P68" i="3"/>
  <c r="P675" i="1"/>
  <c r="T320" i="3"/>
  <c r="T615" i="1"/>
  <c r="U290" i="3"/>
  <c r="U678" i="1"/>
  <c r="M469" i="1"/>
  <c r="Q114" i="1"/>
  <c r="Q216" i="1"/>
  <c r="G419" i="1"/>
  <c r="O46" i="3"/>
  <c r="L106" i="3"/>
  <c r="P115" i="1"/>
  <c r="P34" i="3"/>
  <c r="H68" i="3"/>
  <c r="O317" i="1"/>
  <c r="M540" i="1"/>
  <c r="K211" i="1"/>
  <c r="M68" i="3"/>
  <c r="H89" i="3"/>
  <c r="O174" i="3"/>
  <c r="U510" i="1"/>
  <c r="U297" i="3"/>
  <c r="T520" i="1"/>
  <c r="O197" i="3"/>
  <c r="T455" i="1"/>
  <c r="N481" i="1"/>
  <c r="K71" i="1"/>
  <c r="U318" i="3"/>
  <c r="M168" i="3"/>
  <c r="Q435" i="1"/>
  <c r="J86" i="3"/>
  <c r="Q9" i="3"/>
  <c r="L253" i="1"/>
  <c r="N570" i="1"/>
  <c r="G216" i="1"/>
  <c r="K670" i="1"/>
  <c r="H267" i="3"/>
  <c r="G213" i="1"/>
  <c r="G675" i="1"/>
  <c r="U338" i="3"/>
  <c r="T288" i="1"/>
  <c r="U380" i="3"/>
  <c r="P226" i="3"/>
  <c r="J91" i="1"/>
  <c r="M312" i="3"/>
  <c r="K66" i="1"/>
  <c r="L107" i="3"/>
  <c r="P307" i="3"/>
  <c r="P118" i="1"/>
  <c r="T332" i="3"/>
  <c r="M49" i="3"/>
  <c r="Q396" i="1"/>
  <c r="L197" i="3"/>
  <c r="M525" i="1"/>
  <c r="P91" i="1"/>
  <c r="O119" i="1"/>
  <c r="K437" i="1"/>
  <c r="G399" i="1"/>
  <c r="T450" i="1"/>
  <c r="T297" i="1"/>
  <c r="K172" i="3"/>
  <c r="N71" i="1"/>
  <c r="O187" i="3"/>
  <c r="O118" i="1"/>
  <c r="H639" i="1"/>
  <c r="M77" i="3"/>
  <c r="J307" i="3"/>
  <c r="N487" i="1"/>
  <c r="N41" i="3"/>
  <c r="G46" i="3"/>
  <c r="K675" i="1"/>
  <c r="O86" i="3"/>
  <c r="P320" i="3"/>
  <c r="N346" i="1"/>
  <c r="H180" i="3"/>
  <c r="N312" i="3"/>
  <c r="U355" i="3"/>
  <c r="M267" i="3"/>
  <c r="O81" i="1"/>
  <c r="O114" i="1"/>
  <c r="P41" i="1"/>
  <c r="G230" i="1"/>
  <c r="H118" i="1"/>
  <c r="L435" i="1"/>
  <c r="N521" i="1"/>
  <c r="O91" i="1"/>
  <c r="L94" i="3"/>
  <c r="H211" i="1"/>
  <c r="J68" i="3"/>
  <c r="N214" i="1"/>
  <c r="L162" i="1"/>
  <c r="J70" i="1"/>
  <c r="K56" i="1"/>
  <c r="H658" i="1"/>
  <c r="O53" i="3"/>
  <c r="L176" i="1"/>
  <c r="K168" i="1"/>
  <c r="G33" i="1"/>
  <c r="H175" i="3"/>
  <c r="K523" i="1"/>
  <c r="G53" i="3"/>
  <c r="G120" i="1"/>
  <c r="O251" i="3"/>
  <c r="O166" i="1"/>
  <c r="O169" i="3"/>
  <c r="N175" i="3"/>
  <c r="J176" i="1"/>
  <c r="N91" i="3"/>
  <c r="K105" i="1"/>
  <c r="H273" i="3"/>
  <c r="J694" i="1"/>
  <c r="M242" i="1"/>
  <c r="K270" i="3"/>
  <c r="M492" i="1"/>
  <c r="P72" i="1"/>
  <c r="J604" i="1"/>
  <c r="N280" i="1"/>
  <c r="L170" i="3"/>
  <c r="N349" i="1"/>
  <c r="N217" i="3"/>
  <c r="J49" i="1"/>
  <c r="K638" i="1"/>
  <c r="H119" i="3"/>
  <c r="O277" i="1"/>
  <c r="L95" i="1"/>
  <c r="Q519" i="1"/>
  <c r="M24" i="1"/>
  <c r="H19" i="3"/>
  <c r="K222" i="1"/>
  <c r="M221" i="1"/>
  <c r="H626" i="1"/>
  <c r="P683" i="1"/>
  <c r="L127" i="3"/>
  <c r="G478" i="1"/>
  <c r="L410" i="1"/>
  <c r="H78" i="1"/>
  <c r="P458" i="1"/>
  <c r="H260" i="3"/>
  <c r="G322" i="1"/>
  <c r="K130" i="1"/>
  <c r="M273" i="3"/>
  <c r="K606" i="1"/>
  <c r="J160" i="3"/>
  <c r="G467" i="1"/>
  <c r="N452" i="1"/>
  <c r="H385" i="1"/>
  <c r="Q322" i="1"/>
  <c r="Q316" i="3"/>
  <c r="H93" i="3"/>
  <c r="Q68" i="1"/>
  <c r="O53" i="1"/>
  <c r="Q357" i="1"/>
  <c r="M467" i="1"/>
  <c r="M53" i="1"/>
  <c r="H625" i="1"/>
  <c r="M260" i="3"/>
  <c r="M438" i="1"/>
  <c r="P105" i="1"/>
  <c r="G72" i="1"/>
  <c r="G51" i="3"/>
  <c r="K156" i="3"/>
  <c r="H217" i="3"/>
  <c r="L379" i="1"/>
  <c r="Q96" i="1"/>
  <c r="N385" i="1"/>
  <c r="G343" i="1"/>
  <c r="O22" i="3"/>
  <c r="L23" i="1"/>
  <c r="P357" i="1"/>
  <c r="N144" i="3"/>
  <c r="O150" i="3"/>
  <c r="N694" i="1"/>
  <c r="M278" i="1"/>
  <c r="N172" i="1"/>
  <c r="N604" i="1"/>
  <c r="G112" i="1"/>
  <c r="J143" i="3"/>
  <c r="L121" i="1"/>
  <c r="M67" i="1"/>
  <c r="N150" i="3"/>
  <c r="J189" i="3"/>
  <c r="N575" i="1"/>
  <c r="P225" i="1"/>
  <c r="G142" i="3"/>
  <c r="P265" i="3"/>
  <c r="J393" i="1"/>
  <c r="K369" i="1"/>
  <c r="G33" i="3"/>
  <c r="M18" i="3"/>
  <c r="O104" i="1"/>
  <c r="L401" i="1"/>
  <c r="M528" i="1"/>
  <c r="G251" i="3"/>
  <c r="M369" i="1"/>
  <c r="O18" i="3"/>
  <c r="H99" i="3"/>
  <c r="O393" i="1"/>
  <c r="Q95" i="3"/>
  <c r="K331" i="1"/>
  <c r="Q345" i="3"/>
  <c r="J488" i="1"/>
  <c r="O626" i="1"/>
  <c r="K273" i="3"/>
  <c r="O285" i="1"/>
  <c r="M222" i="1"/>
  <c r="J547" i="1"/>
  <c r="K314" i="1"/>
  <c r="H183" i="1"/>
  <c r="O44" i="1"/>
  <c r="L182" i="3"/>
  <c r="J575" i="1"/>
  <c r="O24" i="1"/>
  <c r="G207" i="3"/>
  <c r="L663" i="1"/>
  <c r="K316" i="3"/>
  <c r="K220" i="1"/>
  <c r="M184" i="1"/>
  <c r="M374" i="3"/>
  <c r="O138" i="1"/>
  <c r="K337" i="3"/>
  <c r="H186" i="1"/>
  <c r="O87" i="1"/>
  <c r="P90" i="3"/>
  <c r="O167" i="1"/>
  <c r="M337" i="3"/>
  <c r="H22" i="1"/>
  <c r="N650" i="1"/>
  <c r="M336" i="3"/>
  <c r="G325" i="1"/>
  <c r="Q500" i="1"/>
  <c r="L144" i="3"/>
  <c r="Q140" i="1"/>
  <c r="J156" i="3"/>
  <c r="G248" i="1"/>
  <c r="N59" i="1"/>
  <c r="H608" i="1"/>
  <c r="M688" i="1"/>
  <c r="O173" i="3"/>
  <c r="M57" i="3"/>
  <c r="O82" i="1"/>
  <c r="P38" i="1"/>
  <c r="N170" i="3"/>
  <c r="M286" i="1"/>
  <c r="L38" i="1"/>
  <c r="H178" i="1"/>
  <c r="O234" i="3"/>
  <c r="L325" i="1"/>
  <c r="O331" i="1"/>
  <c r="G643" i="1"/>
  <c r="O372" i="3"/>
  <c r="G494" i="1"/>
  <c r="J200" i="1"/>
  <c r="G345" i="3"/>
  <c r="N23" i="1"/>
  <c r="O614" i="1"/>
  <c r="J258" i="1"/>
  <c r="G19" i="3"/>
  <c r="N146" i="1"/>
  <c r="P344" i="1"/>
  <c r="P356" i="3"/>
  <c r="J650" i="1"/>
  <c r="P543" i="1"/>
  <c r="N576" i="1"/>
  <c r="O191" i="1"/>
  <c r="M191" i="1"/>
  <c r="G178" i="1"/>
  <c r="K172" i="1"/>
  <c r="M64" i="3"/>
  <c r="O143" i="3"/>
  <c r="Q192" i="3"/>
  <c r="O64" i="3"/>
  <c r="L192" i="3"/>
  <c r="H213" i="3"/>
  <c r="L142" i="3"/>
  <c r="M99" i="3"/>
  <c r="P605" i="1"/>
  <c r="J33" i="1"/>
  <c r="O265" i="3"/>
  <c r="G261" i="1"/>
  <c r="M169" i="3"/>
  <c r="K166" i="1"/>
  <c r="Q498" i="1"/>
  <c r="Q480" i="1"/>
  <c r="H176" i="1"/>
  <c r="M104" i="1"/>
  <c r="N696" i="1"/>
  <c r="O270" i="3"/>
  <c r="Q44" i="1"/>
  <c r="G323" i="3"/>
  <c r="J384" i="1"/>
  <c r="P343" i="1"/>
  <c r="K44" i="3"/>
  <c r="N547" i="1"/>
  <c r="P385" i="1"/>
  <c r="J580" i="1"/>
  <c r="L478" i="1"/>
  <c r="H606" i="1"/>
  <c r="L204" i="1"/>
  <c r="H185" i="1"/>
  <c r="J530" i="1"/>
  <c r="K184" i="1"/>
  <c r="H458" i="1"/>
  <c r="P130" i="1"/>
  <c r="J19" i="3"/>
  <c r="O32" i="1"/>
  <c r="P312" i="1"/>
  <c r="J44" i="3"/>
  <c r="K458" i="1"/>
  <c r="Q323" i="3"/>
  <c r="H518" i="1"/>
  <c r="N236" i="1"/>
  <c r="N32" i="3"/>
  <c r="N327" i="1"/>
  <c r="H372" i="3"/>
  <c r="H690" i="1"/>
  <c r="O54" i="1"/>
  <c r="N176" i="3"/>
  <c r="G95" i="1"/>
  <c r="L575" i="1"/>
  <c r="O189" i="3"/>
  <c r="L236" i="1"/>
  <c r="N90" i="3"/>
  <c r="G192" i="1"/>
  <c r="L221" i="1"/>
  <c r="H693" i="1"/>
  <c r="P96" i="1"/>
  <c r="J270" i="3"/>
  <c r="Q118" i="3"/>
  <c r="O20" i="1"/>
  <c r="L572" i="1"/>
  <c r="J51" i="3"/>
  <c r="O248" i="1"/>
  <c r="Q572" i="1"/>
  <c r="G561" i="1"/>
  <c r="Q356" i="3"/>
  <c r="P182" i="1"/>
  <c r="L614" i="1"/>
  <c r="G331" i="1"/>
  <c r="Q44" i="3"/>
  <c r="Q344" i="1"/>
  <c r="K83" i="1"/>
  <c r="H104" i="3"/>
  <c r="O343" i="1"/>
  <c r="P642" i="1"/>
  <c r="G379" i="1"/>
  <c r="L385" i="1"/>
  <c r="M530" i="1"/>
  <c r="L664" i="1"/>
  <c r="M14" i="3"/>
  <c r="G44" i="1"/>
  <c r="P278" i="1"/>
  <c r="O372" i="1"/>
  <c r="L580" i="1"/>
  <c r="N580" i="1"/>
  <c r="J280" i="1"/>
  <c r="O322" i="1"/>
  <c r="J268" i="3"/>
  <c r="K72" i="1"/>
  <c r="K268" i="3"/>
  <c r="L297" i="3"/>
  <c r="H234" i="3"/>
  <c r="H109" i="3"/>
  <c r="N605" i="1"/>
  <c r="K53" i="3"/>
  <c r="H523" i="1"/>
  <c r="J108" i="3"/>
  <c r="K261" i="1"/>
  <c r="Q142" i="3"/>
  <c r="L169" i="3"/>
  <c r="P523" i="1"/>
  <c r="K528" i="1"/>
  <c r="M18" i="1"/>
  <c r="N401" i="1"/>
  <c r="K498" i="1"/>
  <c r="M388" i="1"/>
  <c r="Q18" i="3"/>
  <c r="O18" i="1"/>
  <c r="L57" i="3"/>
  <c r="O492" i="1"/>
  <c r="Q258" i="3"/>
  <c r="J87" i="1"/>
  <c r="N159" i="1"/>
  <c r="N87" i="3"/>
  <c r="K260" i="1"/>
  <c r="N99" i="1"/>
  <c r="J99" i="1"/>
  <c r="L134" i="1"/>
  <c r="H580" i="1"/>
  <c r="Q492" i="1"/>
  <c r="N490" i="1"/>
  <c r="J24" i="1"/>
  <c r="K478" i="1"/>
  <c r="H581" i="1"/>
  <c r="N541" i="1"/>
  <c r="P229" i="3"/>
  <c r="M360" i="1"/>
  <c r="M314" i="1"/>
  <c r="H22" i="3"/>
  <c r="L650" i="1"/>
  <c r="H158" i="3"/>
  <c r="J543" i="1"/>
  <c r="L308" i="1"/>
  <c r="P316" i="3"/>
  <c r="L519" i="1"/>
  <c r="G163" i="3"/>
  <c r="H357" i="1"/>
  <c r="N683" i="1"/>
  <c r="N229" i="3"/>
  <c r="G569" i="1"/>
  <c r="N416" i="1"/>
  <c r="N356" i="3"/>
  <c r="P461" i="1"/>
  <c r="M32" i="3"/>
  <c r="K167" i="1"/>
  <c r="J316" i="3"/>
  <c r="H248" i="1"/>
  <c r="K387" i="1"/>
  <c r="P52" i="3"/>
  <c r="K14" i="3"/>
  <c r="P286" i="1"/>
  <c r="P109" i="1"/>
  <c r="P65" i="3"/>
  <c r="G304" i="3"/>
  <c r="M109" i="1"/>
  <c r="J20" i="1"/>
  <c r="N227" i="3"/>
  <c r="L159" i="1"/>
  <c r="Q493" i="1"/>
  <c r="J500" i="1"/>
  <c r="L150" i="3"/>
  <c r="O316" i="3"/>
  <c r="Q208" i="1"/>
  <c r="Q160" i="3"/>
  <c r="P243" i="1"/>
  <c r="L238" i="1"/>
  <c r="Q413" i="1"/>
  <c r="M642" i="1"/>
  <c r="L83" i="1"/>
  <c r="M186" i="1"/>
  <c r="H286" i="3"/>
  <c r="G82" i="1"/>
  <c r="O576" i="1"/>
  <c r="L604" i="1"/>
  <c r="Q78" i="1"/>
  <c r="P78" i="1"/>
  <c r="J134" i="1"/>
  <c r="M387" i="1"/>
  <c r="J178" i="1"/>
  <c r="H54" i="1"/>
  <c r="H32" i="1"/>
  <c r="N488" i="1"/>
  <c r="P64" i="3"/>
  <c r="O65" i="3"/>
  <c r="P176" i="1"/>
  <c r="P582" i="1"/>
  <c r="H53" i="3"/>
  <c r="K176" i="1"/>
  <c r="H337" i="1"/>
  <c r="K203" i="1"/>
  <c r="P696" i="1"/>
  <c r="K672" i="1"/>
  <c r="N480" i="1"/>
  <c r="Q538" i="1"/>
  <c r="J523" i="1"/>
  <c r="K18" i="3"/>
  <c r="P474" i="1"/>
  <c r="M120" i="1"/>
  <c r="M166" i="1"/>
  <c r="H538" i="1"/>
  <c r="N18" i="1"/>
  <c r="M393" i="1"/>
  <c r="O480" i="1"/>
  <c r="N44" i="3"/>
  <c r="K652" i="1"/>
  <c r="K373" i="3"/>
  <c r="J260" i="1"/>
  <c r="M280" i="1"/>
  <c r="Q104" i="3"/>
  <c r="N225" i="1"/>
  <c r="O415" i="1"/>
  <c r="J688" i="1"/>
  <c r="O185" i="1"/>
  <c r="H387" i="1"/>
  <c r="Q308" i="1"/>
  <c r="N486" i="1"/>
  <c r="J128" i="1"/>
  <c r="M100" i="1"/>
  <c r="H530" i="1"/>
  <c r="L242" i="1"/>
  <c r="J273" i="3"/>
  <c r="N643" i="1"/>
  <c r="P478" i="1"/>
  <c r="K57" i="3"/>
  <c r="Q683" i="1"/>
  <c r="L207" i="3"/>
  <c r="J425" i="1"/>
  <c r="K285" i="1"/>
  <c r="N374" i="3"/>
  <c r="P220" i="1"/>
  <c r="L158" i="3"/>
  <c r="H314" i="1"/>
  <c r="P606" i="1"/>
  <c r="J515" i="1"/>
  <c r="M167" i="1"/>
  <c r="L403" i="1"/>
  <c r="M22" i="3"/>
  <c r="M621" i="1"/>
  <c r="K260" i="3"/>
  <c r="K519" i="1"/>
  <c r="H229" i="3"/>
  <c r="H377" i="1"/>
  <c r="L177" i="1"/>
  <c r="N69" i="3"/>
  <c r="P286" i="3"/>
  <c r="P67" i="1"/>
  <c r="M493" i="1"/>
  <c r="J14" i="3"/>
  <c r="L356" i="3"/>
  <c r="K493" i="1"/>
  <c r="G410" i="1"/>
  <c r="P156" i="3"/>
  <c r="M51" i="1"/>
  <c r="O494" i="1"/>
  <c r="J286" i="1"/>
  <c r="M100" i="3"/>
  <c r="M345" i="3"/>
  <c r="N186" i="1"/>
  <c r="G217" i="3"/>
  <c r="M357" i="1"/>
  <c r="P99" i="1"/>
  <c r="O584" i="1"/>
  <c r="L96" i="1"/>
  <c r="K243" i="1"/>
  <c r="P379" i="1"/>
  <c r="O213" i="3"/>
  <c r="J159" i="1"/>
  <c r="P138" i="1"/>
  <c r="P191" i="1"/>
  <c r="M693" i="1"/>
  <c r="P177" i="1"/>
  <c r="M151" i="1"/>
  <c r="L258" i="1"/>
  <c r="P151" i="1"/>
  <c r="H140" i="1"/>
  <c r="H204" i="1"/>
  <c r="M448" i="1"/>
  <c r="M118" i="3"/>
  <c r="G222" i="1"/>
  <c r="G166" i="1"/>
  <c r="M265" i="3"/>
  <c r="P369" i="1"/>
  <c r="Q108" i="3"/>
  <c r="G153" i="3"/>
  <c r="P120" i="1"/>
  <c r="M474" i="1"/>
  <c r="J265" i="3"/>
  <c r="K108" i="3"/>
  <c r="Q658" i="1"/>
  <c r="Q300" i="3"/>
  <c r="Q79" i="3"/>
  <c r="N572" i="1"/>
  <c r="O104" i="3"/>
  <c r="J386" i="1"/>
  <c r="O314" i="1"/>
  <c r="N273" i="3"/>
  <c r="L223" i="1"/>
  <c r="L452" i="1"/>
  <c r="J541" i="1"/>
  <c r="L508" i="1"/>
  <c r="H23" i="1"/>
  <c r="M285" i="1"/>
  <c r="O51" i="1"/>
  <c r="M220" i="1"/>
  <c r="Q518" i="1"/>
  <c r="H258" i="1"/>
  <c r="N626" i="1"/>
  <c r="N22" i="3"/>
  <c r="M169" i="1"/>
  <c r="K100" i="1"/>
  <c r="G57" i="3"/>
  <c r="P87" i="1"/>
  <c r="G297" i="3"/>
  <c r="J448" i="1"/>
  <c r="Q621" i="1"/>
  <c r="Q37" i="3"/>
  <c r="L32" i="1"/>
  <c r="J373" i="3"/>
  <c r="H221" i="1"/>
  <c r="M236" i="1"/>
  <c r="Q576" i="1"/>
  <c r="L327" i="1"/>
  <c r="N312" i="1"/>
  <c r="O37" i="3"/>
  <c r="O580" i="1"/>
  <c r="P176" i="3"/>
  <c r="Q694" i="1"/>
  <c r="N372" i="3"/>
  <c r="J136" i="1"/>
  <c r="O611" i="1"/>
  <c r="N23" i="3"/>
  <c r="O82" i="3"/>
  <c r="N316" i="3"/>
  <c r="M581" i="1"/>
  <c r="P123" i="3"/>
  <c r="J318" i="3"/>
  <c r="K581" i="1"/>
  <c r="Q103" i="1"/>
  <c r="P234" i="3"/>
  <c r="L248" i="1"/>
  <c r="O22" i="1"/>
  <c r="O105" i="1"/>
  <c r="H415" i="1"/>
  <c r="K69" i="3"/>
  <c r="L372" i="3"/>
  <c r="J490" i="1"/>
  <c r="L158" i="1"/>
  <c r="M23" i="1"/>
  <c r="K457" i="1"/>
  <c r="M37" i="3"/>
  <c r="O609" i="1"/>
  <c r="P258" i="3"/>
  <c r="N109" i="3"/>
  <c r="G452" i="1"/>
  <c r="P372" i="1"/>
  <c r="K208" i="1"/>
  <c r="O561" i="1"/>
  <c r="M561" i="1"/>
  <c r="Q509" i="1"/>
  <c r="O170" i="3"/>
  <c r="L191" i="1"/>
  <c r="H270" i="1"/>
  <c r="H223" i="1"/>
  <c r="O572" i="1"/>
  <c r="G183" i="1"/>
  <c r="J236" i="1"/>
  <c r="Q168" i="1"/>
  <c r="L480" i="1"/>
  <c r="N672" i="1"/>
  <c r="G672" i="1"/>
  <c r="J169" i="3"/>
  <c r="G114" i="3"/>
  <c r="P672" i="1"/>
  <c r="M498" i="1"/>
  <c r="M217" i="1"/>
  <c r="P418" i="1"/>
  <c r="P33" i="3"/>
  <c r="Q163" i="3"/>
  <c r="Q547" i="1"/>
  <c r="Q143" i="3"/>
  <c r="J22" i="1"/>
  <c r="N478" i="1"/>
  <c r="H349" i="1"/>
  <c r="P420" i="1"/>
  <c r="P374" i="3"/>
  <c r="J83" i="1"/>
  <c r="J374" i="3"/>
  <c r="H100" i="1"/>
  <c r="L547" i="1"/>
  <c r="G44" i="3"/>
  <c r="Q32" i="1"/>
  <c r="M185" i="1"/>
  <c r="G413" i="1"/>
  <c r="K416" i="1"/>
  <c r="O87" i="3"/>
  <c r="L425" i="1"/>
  <c r="N518" i="1"/>
  <c r="M19" i="3"/>
  <c r="P236" i="1"/>
  <c r="K127" i="3"/>
  <c r="J545" i="1"/>
  <c r="L692" i="1"/>
  <c r="O95" i="3"/>
  <c r="K643" i="1"/>
  <c r="Q207" i="3"/>
  <c r="J32" i="1"/>
  <c r="Q461" i="1"/>
  <c r="O438" i="1"/>
  <c r="O519" i="1"/>
  <c r="K95" i="1"/>
  <c r="Q318" i="3"/>
  <c r="O14" i="1"/>
  <c r="J420" i="1"/>
  <c r="P457" i="1"/>
  <c r="L305" i="3"/>
  <c r="J183" i="1"/>
  <c r="Q530" i="1"/>
  <c r="O304" i="3"/>
  <c r="H23" i="3"/>
  <c r="H356" i="3"/>
  <c r="L225" i="1"/>
  <c r="H391" i="1"/>
  <c r="K227" i="3"/>
  <c r="K486" i="1"/>
  <c r="L391" i="1"/>
  <c r="M584" i="1"/>
  <c r="O453" i="1"/>
  <c r="M68" i="1"/>
  <c r="L331" i="1"/>
  <c r="H500" i="1"/>
  <c r="O336" i="3"/>
  <c r="P345" i="3"/>
  <c r="P223" i="1"/>
  <c r="K569" i="1"/>
  <c r="O530" i="1"/>
  <c r="Q156" i="1"/>
  <c r="G387" i="1"/>
  <c r="M482" i="1"/>
  <c r="N290" i="3"/>
  <c r="J360" i="1"/>
  <c r="M263" i="1"/>
  <c r="M604" i="1"/>
  <c r="N693" i="1"/>
  <c r="P611" i="1"/>
  <c r="N611" i="1"/>
  <c r="P193" i="1"/>
  <c r="N192" i="3"/>
  <c r="N625" i="1"/>
  <c r="H128" i="1"/>
  <c r="H325" i="1"/>
  <c r="M78" i="1"/>
  <c r="L676" i="1"/>
  <c r="J621" i="1"/>
  <c r="P538" i="1"/>
  <c r="N506" i="1"/>
  <c r="G369" i="1"/>
  <c r="P337" i="1"/>
  <c r="Q166" i="1"/>
  <c r="O300" i="3"/>
  <c r="P169" i="3"/>
  <c r="M153" i="3"/>
  <c r="K33" i="3"/>
  <c r="K696" i="1"/>
  <c r="L388" i="1"/>
  <c r="L506" i="1"/>
  <c r="O175" i="3"/>
  <c r="L109" i="3"/>
  <c r="Q260" i="1"/>
  <c r="K22" i="3"/>
  <c r="J23" i="1"/>
  <c r="N100" i="1"/>
  <c r="H402" i="1"/>
  <c r="N663" i="1"/>
  <c r="H79" i="3"/>
  <c r="J185" i="1"/>
  <c r="K323" i="3"/>
  <c r="G220" i="1"/>
  <c r="N420" i="1"/>
  <c r="N93" i="3"/>
  <c r="M509" i="1"/>
  <c r="P409" i="1"/>
  <c r="G673" i="1"/>
  <c r="P638" i="1"/>
  <c r="Q57" i="3"/>
  <c r="L222" i="1"/>
  <c r="K185" i="1"/>
  <c r="G32" i="3"/>
  <c r="K492" i="1"/>
  <c r="L90" i="3"/>
  <c r="J652" i="1"/>
  <c r="O386" i="1"/>
  <c r="N95" i="3"/>
  <c r="M425" i="1"/>
  <c r="M297" i="3"/>
  <c r="J278" i="1"/>
  <c r="O621" i="1"/>
  <c r="O337" i="3"/>
  <c r="N220" i="1"/>
  <c r="Q482" i="1"/>
  <c r="O273" i="3"/>
  <c r="O692" i="1"/>
  <c r="N140" i="1"/>
  <c r="M183" i="1"/>
  <c r="J100" i="3"/>
  <c r="J138" i="1"/>
  <c r="L690" i="1"/>
  <c r="L51" i="3"/>
  <c r="H327" i="1"/>
  <c r="H227" i="3"/>
  <c r="M486" i="1"/>
  <c r="H663" i="1"/>
  <c r="O260" i="3"/>
  <c r="N49" i="1"/>
  <c r="L183" i="1"/>
  <c r="L482" i="1"/>
  <c r="Q128" i="1"/>
  <c r="K49" i="1"/>
  <c r="K545" i="1"/>
  <c r="J72" i="1"/>
  <c r="O48" i="3"/>
  <c r="M65" i="3"/>
  <c r="Q93" i="3"/>
  <c r="O379" i="1"/>
  <c r="P83" i="1"/>
  <c r="M331" i="1"/>
  <c r="Q664" i="1"/>
  <c r="M104" i="3"/>
  <c r="N24" i="3"/>
  <c r="G650" i="1"/>
  <c r="O694" i="1"/>
  <c r="K140" i="1"/>
  <c r="P561" i="1"/>
  <c r="N178" i="1"/>
  <c r="M178" i="1"/>
  <c r="K349" i="1"/>
  <c r="M204" i="1"/>
  <c r="K121" i="1"/>
  <c r="G391" i="1"/>
  <c r="H184" i="1"/>
  <c r="K189" i="3"/>
  <c r="Q53" i="1"/>
  <c r="G518" i="1"/>
  <c r="O33" i="1"/>
  <c r="G388" i="1"/>
  <c r="L166" i="1"/>
  <c r="P388" i="1"/>
  <c r="N474" i="1"/>
  <c r="J498" i="1"/>
  <c r="H37" i="3"/>
  <c r="N516" i="1"/>
  <c r="G123" i="3"/>
  <c r="J51" i="1"/>
  <c r="N134" i="1"/>
  <c r="H83" i="1"/>
  <c r="Q49" i="1"/>
  <c r="Q229" i="3"/>
  <c r="J221" i="1"/>
  <c r="J52" i="3"/>
  <c r="G584" i="1"/>
  <c r="O112" i="1"/>
  <c r="G14" i="3"/>
  <c r="Q643" i="1"/>
  <c r="N410" i="1"/>
  <c r="G606" i="1"/>
  <c r="N24" i="1"/>
  <c r="G65" i="3"/>
  <c r="L384" i="1"/>
  <c r="N409" i="1"/>
  <c r="Q82" i="3"/>
  <c r="M308" i="1"/>
  <c r="L32" i="3"/>
  <c r="J14" i="1"/>
  <c r="N367" i="1"/>
  <c r="M95" i="3"/>
  <c r="O222" i="1"/>
  <c r="H321" i="3"/>
  <c r="J457" i="1"/>
  <c r="Q580" i="1"/>
  <c r="M304" i="3"/>
  <c r="M72" i="1"/>
  <c r="K452" i="1"/>
  <c r="G119" i="3"/>
  <c r="L386" i="1"/>
  <c r="M575" i="1"/>
  <c r="Q222" i="1"/>
  <c r="Q297" i="3"/>
  <c r="J331" i="1"/>
  <c r="L182" i="1"/>
  <c r="O69" i="3"/>
  <c r="H457" i="1"/>
  <c r="L234" i="3"/>
  <c r="L431" i="1"/>
  <c r="H561" i="1"/>
  <c r="M234" i="3"/>
  <c r="O325" i="1"/>
  <c r="Q255" i="1"/>
  <c r="K413" i="1"/>
  <c r="G305" i="3"/>
  <c r="P23" i="1"/>
  <c r="M38" i="1"/>
  <c r="J643" i="1"/>
  <c r="J642" i="1"/>
  <c r="J69" i="3"/>
  <c r="L65" i="3"/>
  <c r="H345" i="3"/>
  <c r="M243" i="1"/>
  <c r="N545" i="1"/>
  <c r="M290" i="3"/>
  <c r="H290" i="3"/>
  <c r="L23" i="3"/>
  <c r="J68" i="1"/>
  <c r="Q543" i="1"/>
  <c r="N191" i="1"/>
  <c r="O178" i="1"/>
  <c r="M258" i="1"/>
  <c r="M192" i="1"/>
  <c r="Q172" i="1"/>
  <c r="Q581" i="1"/>
  <c r="L316" i="3"/>
  <c r="O349" i="1"/>
  <c r="G312" i="1"/>
  <c r="J95" i="3"/>
  <c r="Q204" i="1"/>
  <c r="G124" i="1"/>
  <c r="M33" i="3"/>
  <c r="Q203" i="1"/>
  <c r="J300" i="3"/>
  <c r="J672" i="1"/>
  <c r="Q99" i="3"/>
  <c r="L528" i="1"/>
  <c r="H401" i="1"/>
  <c r="L538" i="1"/>
  <c r="H33" i="1"/>
  <c r="O523" i="1"/>
  <c r="J696" i="1"/>
  <c r="G658" i="1"/>
  <c r="J18" i="1"/>
  <c r="P153" i="3"/>
  <c r="H672" i="1"/>
  <c r="O158" i="3"/>
  <c r="O111" i="1"/>
  <c r="K290" i="3"/>
  <c r="J357" i="1"/>
  <c r="K377" i="1"/>
  <c r="H664" i="1"/>
  <c r="L541" i="1"/>
  <c r="J345" i="3"/>
  <c r="K103" i="1"/>
  <c r="O373" i="3"/>
  <c r="G169" i="1"/>
  <c r="Q277" i="1"/>
  <c r="L69" i="3"/>
  <c r="P169" i="1"/>
  <c r="L374" i="3"/>
  <c r="G693" i="1"/>
  <c r="N184" i="1"/>
  <c r="P75" i="3"/>
  <c r="K673" i="1"/>
  <c r="P221" i="1"/>
  <c r="H134" i="1"/>
  <c r="L285" i="1"/>
  <c r="P336" i="3"/>
  <c r="J486" i="1"/>
  <c r="L336" i="1"/>
  <c r="M44" i="3"/>
  <c r="N384" i="1"/>
  <c r="L119" i="3"/>
  <c r="J308" i="1"/>
  <c r="Q14" i="1"/>
  <c r="K374" i="3"/>
  <c r="K360" i="1"/>
  <c r="O518" i="1"/>
  <c r="N213" i="3"/>
  <c r="P486" i="1"/>
  <c r="O482" i="1"/>
  <c r="N454" i="1"/>
  <c r="Q321" i="3"/>
  <c r="J172" i="1"/>
  <c r="Q83" i="1"/>
  <c r="H515" i="1"/>
  <c r="H454" i="1"/>
  <c r="K72" i="3"/>
  <c r="L322" i="1"/>
  <c r="H478" i="1"/>
  <c r="N160" i="3"/>
  <c r="M690" i="1"/>
  <c r="K38" i="1"/>
  <c r="P111" i="1"/>
  <c r="M318" i="3"/>
  <c r="M182" i="1"/>
  <c r="P652" i="1"/>
  <c r="G642" i="1"/>
  <c r="J638" i="1"/>
  <c r="K304" i="3"/>
  <c r="J79" i="3"/>
  <c r="J104" i="3"/>
  <c r="Q609" i="1"/>
  <c r="N652" i="1"/>
  <c r="N52" i="3"/>
  <c r="N345" i="3"/>
  <c r="G109" i="3"/>
  <c r="G159" i="1"/>
  <c r="Q278" i="1"/>
  <c r="P516" i="1"/>
  <c r="K402" i="1"/>
  <c r="K664" i="1"/>
  <c r="P121" i="1"/>
  <c r="Q65" i="3"/>
  <c r="L387" i="1"/>
  <c r="G242" i="1"/>
  <c r="Q177" i="1"/>
  <c r="P200" i="1"/>
  <c r="L78" i="1"/>
  <c r="P581" i="1"/>
  <c r="Q582" i="1"/>
  <c r="M605" i="1"/>
  <c r="J251" i="3"/>
  <c r="J168" i="1"/>
  <c r="G18" i="3"/>
  <c r="K153" i="3"/>
  <c r="H166" i="1"/>
  <c r="N388" i="1"/>
  <c r="P18" i="3"/>
  <c r="Q672" i="1"/>
  <c r="K33" i="1"/>
  <c r="G418" i="1"/>
  <c r="L108" i="3"/>
  <c r="H200" i="1"/>
  <c r="N223" i="1"/>
  <c r="G82" i="3"/>
  <c r="J314" i="1"/>
  <c r="O508" i="1"/>
  <c r="H410" i="1"/>
  <c r="N325" i="1"/>
  <c r="J57" i="3"/>
  <c r="N136" i="1"/>
  <c r="M123" i="3"/>
  <c r="G193" i="1"/>
  <c r="P663" i="1"/>
  <c r="O356" i="3"/>
  <c r="Q384" i="1"/>
  <c r="G337" i="3"/>
  <c r="G626" i="1"/>
  <c r="Q314" i="1"/>
  <c r="K109" i="3"/>
  <c r="N458" i="1"/>
  <c r="J337" i="3"/>
  <c r="H379" i="1"/>
  <c r="L260" i="1"/>
  <c r="K176" i="3"/>
  <c r="J223" i="1"/>
  <c r="L693" i="1"/>
  <c r="P189" i="3"/>
  <c r="K138" i="1"/>
  <c r="O127" i="3"/>
  <c r="J109" i="1"/>
  <c r="Q238" i="1"/>
  <c r="K91" i="3"/>
  <c r="O643" i="1"/>
  <c r="Q410" i="1"/>
  <c r="H384" i="1"/>
  <c r="Q367" i="1"/>
  <c r="G87" i="3"/>
  <c r="O490" i="1"/>
  <c r="J119" i="3"/>
  <c r="J572" i="1"/>
  <c r="L20" i="1"/>
  <c r="H425" i="1"/>
  <c r="H683" i="1"/>
  <c r="N111" i="1"/>
  <c r="P68" i="1"/>
  <c r="J519" i="1"/>
  <c r="J372" i="1"/>
  <c r="Q159" i="1"/>
  <c r="P572" i="1"/>
  <c r="P569" i="1"/>
  <c r="P72" i="3"/>
  <c r="L51" i="1"/>
  <c r="K614" i="1"/>
  <c r="G638" i="1"/>
  <c r="L515" i="1"/>
  <c r="G415" i="1"/>
  <c r="P109" i="3"/>
  <c r="P22" i="3"/>
  <c r="L357" i="1"/>
  <c r="M385" i="1"/>
  <c r="K82" i="3"/>
  <c r="J285" i="1"/>
  <c r="O118" i="3"/>
  <c r="J100" i="1"/>
  <c r="L576" i="1"/>
  <c r="M208" i="1"/>
  <c r="N258" i="1"/>
  <c r="N192" i="1"/>
  <c r="H189" i="3"/>
  <c r="J242" i="1"/>
  <c r="N664" i="1"/>
  <c r="O151" i="1"/>
  <c r="N20" i="1"/>
  <c r="Q488" i="1"/>
  <c r="L189" i="3"/>
  <c r="Q377" i="1"/>
  <c r="O528" i="1"/>
  <c r="O261" i="1"/>
  <c r="N33" i="3"/>
  <c r="G265" i="3"/>
  <c r="K658" i="1"/>
  <c r="Q369" i="1"/>
  <c r="Q120" i="1"/>
  <c r="M251" i="3"/>
  <c r="N369" i="1"/>
  <c r="H388" i="1"/>
  <c r="N120" i="1"/>
  <c r="G498" i="1"/>
  <c r="L18" i="1"/>
  <c r="N523" i="1"/>
  <c r="Q114" i="3"/>
  <c r="H109" i="1"/>
  <c r="Q112" i="1"/>
  <c r="J217" i="3"/>
  <c r="J121" i="1"/>
  <c r="L128" i="1"/>
  <c r="G151" i="1"/>
  <c r="N343" i="1"/>
  <c r="P118" i="3"/>
  <c r="M488" i="1"/>
  <c r="O290" i="3"/>
  <c r="G54" i="1"/>
  <c r="O625" i="1"/>
  <c r="J72" i="3"/>
  <c r="M673" i="1"/>
  <c r="M323" i="3"/>
  <c r="G377" i="1"/>
  <c r="Q478" i="1"/>
  <c r="Q52" i="3"/>
  <c r="Q650" i="1"/>
  <c r="P323" i="3"/>
  <c r="G543" i="1"/>
  <c r="K14" i="1"/>
  <c r="G182" i="3"/>
  <c r="J177" i="1"/>
  <c r="N130" i="1"/>
  <c r="O14" i="3"/>
  <c r="L458" i="1"/>
  <c r="Q32" i="3"/>
  <c r="J78" i="1"/>
  <c r="M386" i="1"/>
  <c r="J91" i="3"/>
  <c r="Q169" i="1"/>
  <c r="Q59" i="1"/>
  <c r="H285" i="1"/>
  <c r="N608" i="1"/>
  <c r="H91" i="3"/>
  <c r="Q448" i="1"/>
  <c r="N127" i="3"/>
  <c r="J494" i="1"/>
  <c r="K609" i="1"/>
  <c r="H111" i="1"/>
  <c r="H547" i="1"/>
  <c r="L143" i="3"/>
  <c r="N82" i="1"/>
  <c r="G509" i="1"/>
  <c r="N413" i="1"/>
  <c r="N51" i="1"/>
  <c r="N614" i="1"/>
  <c r="N270" i="1"/>
  <c r="P260" i="3"/>
  <c r="K248" i="1"/>
  <c r="M494" i="1"/>
  <c r="M515" i="1"/>
  <c r="Q136" i="1"/>
  <c r="G609" i="1"/>
  <c r="O52" i="3"/>
  <c r="M160" i="3"/>
  <c r="P186" i="1"/>
  <c r="Q270" i="1"/>
  <c r="G24" i="3"/>
  <c r="G482" i="1"/>
  <c r="K321" i="3"/>
  <c r="N263" i="1"/>
  <c r="Q372" i="1"/>
  <c r="Q178" i="1"/>
  <c r="O192" i="1"/>
  <c r="M377" i="1"/>
  <c r="J170" i="3"/>
  <c r="Q431" i="1"/>
  <c r="P170" i="3"/>
  <c r="K191" i="1"/>
  <c r="Q286" i="1"/>
  <c r="N255" i="1"/>
  <c r="H150" i="3"/>
  <c r="Q170" i="3"/>
  <c r="N114" i="3"/>
  <c r="O176" i="1"/>
  <c r="P168" i="1"/>
  <c r="O605" i="1"/>
  <c r="P203" i="1"/>
  <c r="H369" i="1"/>
  <c r="M203" i="1"/>
  <c r="M108" i="3"/>
  <c r="G506" i="1"/>
  <c r="L18" i="3"/>
  <c r="P104" i="1"/>
  <c r="H692" i="1"/>
  <c r="L277" i="1"/>
  <c r="Q182" i="3"/>
  <c r="J508" i="1"/>
  <c r="G374" i="3"/>
  <c r="G105" i="1"/>
  <c r="M159" i="1"/>
  <c r="H65" i="3"/>
  <c r="L509" i="1"/>
  <c r="J82" i="3"/>
  <c r="G349" i="1"/>
  <c r="K541" i="1"/>
  <c r="H72" i="3"/>
  <c r="N676" i="1"/>
  <c r="N373" i="3"/>
  <c r="P327" i="1"/>
  <c r="L100" i="1"/>
  <c r="O109" i="3"/>
  <c r="M606" i="1"/>
  <c r="G158" i="3"/>
  <c r="G425" i="1"/>
  <c r="M692" i="1"/>
  <c r="L176" i="3"/>
  <c r="J243" i="1"/>
  <c r="L438" i="1"/>
  <c r="H69" i="3"/>
  <c r="O650" i="1"/>
  <c r="G260" i="3"/>
  <c r="J111" i="1"/>
  <c r="K336" i="1"/>
  <c r="L95" i="3"/>
  <c r="P183" i="1"/>
  <c r="Q221" i="1"/>
  <c r="H177" i="1"/>
  <c r="P693" i="1"/>
  <c r="G22" i="3"/>
  <c r="L87" i="1"/>
  <c r="K160" i="3"/>
  <c r="J112" i="1"/>
  <c r="Q248" i="1"/>
  <c r="H20" i="1"/>
  <c r="H322" i="1"/>
  <c r="O515" i="1"/>
  <c r="O182" i="1"/>
  <c r="J255" i="1"/>
  <c r="M146" i="1"/>
  <c r="L467" i="1"/>
  <c r="L109" i="1"/>
  <c r="Q91" i="3"/>
  <c r="P500" i="1"/>
  <c r="M453" i="1"/>
  <c r="M99" i="1"/>
  <c r="Q105" i="1"/>
  <c r="N105" i="1"/>
  <c r="K515" i="1"/>
  <c r="H90" i="3"/>
  <c r="O96" i="1"/>
  <c r="M158" i="1"/>
  <c r="O99" i="1"/>
  <c r="G200" i="1"/>
  <c r="L545" i="1"/>
  <c r="Q213" i="3"/>
  <c r="L278" i="1"/>
  <c r="P604" i="1"/>
  <c r="L402" i="1"/>
  <c r="N377" i="1"/>
  <c r="G189" i="3"/>
  <c r="Q286" i="3"/>
  <c r="K177" i="1"/>
  <c r="J336" i="1"/>
  <c r="O177" i="1"/>
  <c r="Q100" i="1"/>
  <c r="L611" i="1"/>
  <c r="K258" i="3"/>
  <c r="Q69" i="3"/>
  <c r="Q33" i="1"/>
  <c r="M168" i="1"/>
  <c r="L124" i="1"/>
  <c r="H582" i="1"/>
  <c r="J369" i="1"/>
  <c r="G582" i="1"/>
  <c r="J203" i="1"/>
  <c r="M523" i="1"/>
  <c r="O99" i="3"/>
  <c r="H124" i="1"/>
  <c r="O108" i="3"/>
  <c r="Q104" i="1"/>
  <c r="H431" i="1"/>
  <c r="Q663" i="1"/>
  <c r="J454" i="1"/>
  <c r="M103" i="1"/>
  <c r="H323" i="3"/>
  <c r="G576" i="1"/>
  <c r="Q638" i="1"/>
  <c r="P79" i="3"/>
  <c r="O425" i="1"/>
  <c r="M217" i="3"/>
  <c r="G492" i="1"/>
  <c r="O242" i="1"/>
  <c r="L286" i="3"/>
  <c r="Q458" i="1"/>
  <c r="G127" i="3"/>
  <c r="L220" i="1"/>
  <c r="L185" i="1"/>
  <c r="N48" i="3"/>
  <c r="L492" i="1"/>
  <c r="Q373" i="3"/>
  <c r="G448" i="1"/>
  <c r="P386" i="1"/>
  <c r="O323" i="3"/>
  <c r="J158" i="1"/>
  <c r="K626" i="1"/>
  <c r="H44" i="3"/>
  <c r="O683" i="1"/>
  <c r="J336" i="3"/>
  <c r="J608" i="1"/>
  <c r="Q415" i="1"/>
  <c r="O79" i="3"/>
  <c r="K384" i="1"/>
  <c r="G316" i="3"/>
  <c r="H121" i="1"/>
  <c r="N415" i="1"/>
  <c r="L213" i="3"/>
  <c r="O606" i="1"/>
  <c r="M156" i="3"/>
  <c r="J96" i="1"/>
  <c r="K344" i="1"/>
  <c r="H280" i="1"/>
  <c r="H159" i="1"/>
  <c r="O156" i="1"/>
  <c r="N286" i="1"/>
  <c r="G191" i="1"/>
  <c r="N104" i="3"/>
  <c r="N248" i="1"/>
  <c r="Q494" i="1"/>
  <c r="N118" i="3"/>
  <c r="Q372" i="3"/>
  <c r="P128" i="1"/>
  <c r="N22" i="1"/>
  <c r="L652" i="1"/>
  <c r="L156" i="1"/>
  <c r="M136" i="1"/>
  <c r="G136" i="1"/>
  <c r="O604" i="1"/>
  <c r="N482" i="1"/>
  <c r="M111" i="1"/>
  <c r="J458" i="1"/>
  <c r="L688" i="1"/>
  <c r="M79" i="3"/>
  <c r="M576" i="1"/>
  <c r="L140" i="1"/>
  <c r="P258" i="1"/>
  <c r="G170" i="3"/>
  <c r="H170" i="3"/>
  <c r="J64" i="3"/>
  <c r="L625" i="1"/>
  <c r="P270" i="3"/>
  <c r="M316" i="3"/>
  <c r="N67" i="1"/>
  <c r="P82" i="1"/>
  <c r="G664" i="1"/>
  <c r="J156" i="1"/>
  <c r="K480" i="1"/>
  <c r="M261" i="1"/>
  <c r="M582" i="1"/>
  <c r="J388" i="1"/>
  <c r="H265" i="3"/>
  <c r="O337" i="1"/>
  <c r="G300" i="3"/>
  <c r="N203" i="1"/>
  <c r="O658" i="1"/>
  <c r="G56" i="1"/>
  <c r="O217" i="1"/>
  <c r="P166" i="1"/>
  <c r="O33" i="3"/>
  <c r="H112" i="1"/>
  <c r="K625" i="1"/>
  <c r="J192" i="1"/>
  <c r="K543" i="1"/>
  <c r="G48" i="3"/>
  <c r="G604" i="1"/>
  <c r="L280" i="1"/>
  <c r="Q109" i="3"/>
  <c r="O673" i="1"/>
  <c r="O182" i="3"/>
  <c r="G614" i="1"/>
  <c r="Q626" i="1"/>
  <c r="K48" i="3"/>
  <c r="K683" i="1"/>
  <c r="K123" i="3"/>
  <c r="P32" i="1"/>
  <c r="O409" i="1"/>
  <c r="P51" i="3"/>
  <c r="N308" i="1"/>
  <c r="H207" i="3"/>
  <c r="G545" i="1"/>
  <c r="O367" i="1"/>
  <c r="J103" i="1"/>
  <c r="J409" i="1"/>
  <c r="Q416" i="1"/>
  <c r="J163" i="3"/>
  <c r="N87" i="1"/>
  <c r="M176" i="3"/>
  <c r="J663" i="1"/>
  <c r="L130" i="1"/>
  <c r="M270" i="3"/>
  <c r="P454" i="1"/>
  <c r="K372" i="3"/>
  <c r="J676" i="1"/>
  <c r="Q438" i="1"/>
  <c r="G93" i="3"/>
  <c r="P140" i="1"/>
  <c r="O90" i="3"/>
  <c r="J561" i="1"/>
  <c r="M664" i="1"/>
  <c r="H409" i="1"/>
  <c r="H312" i="1"/>
  <c r="L530" i="1"/>
  <c r="P248" i="1"/>
  <c r="G367" i="1"/>
  <c r="H144" i="3"/>
  <c r="H304" i="3"/>
  <c r="M49" i="1"/>
  <c r="J213" i="3"/>
  <c r="L270" i="3"/>
  <c r="H305" i="3"/>
  <c r="L68" i="1"/>
  <c r="K494" i="1"/>
  <c r="Q331" i="1"/>
  <c r="M105" i="1"/>
  <c r="J415" i="1"/>
  <c r="P304" i="3"/>
  <c r="O569" i="1"/>
  <c r="O688" i="1"/>
  <c r="G372" i="1"/>
  <c r="N609" i="1"/>
  <c r="N51" i="3"/>
  <c r="Q604" i="1"/>
  <c r="Q191" i="1"/>
  <c r="L344" i="1"/>
  <c r="M286" i="3"/>
  <c r="N286" i="3"/>
  <c r="J192" i="3"/>
  <c r="K20" i="1"/>
  <c r="N37" i="3"/>
  <c r="N268" i="3"/>
  <c r="J150" i="3"/>
  <c r="L192" i="1"/>
  <c r="M461" i="1"/>
  <c r="G208" i="1"/>
  <c r="N142" i="3"/>
  <c r="O538" i="1"/>
  <c r="H203" i="1"/>
  <c r="N176" i="1"/>
  <c r="H169" i="3"/>
  <c r="Q56" i="1"/>
  <c r="M53" i="3"/>
  <c r="H418" i="1"/>
  <c r="O56" i="1"/>
  <c r="Q388" i="1"/>
  <c r="M418" i="1"/>
  <c r="K393" i="1"/>
  <c r="H104" i="1"/>
  <c r="L175" i="3"/>
  <c r="J33" i="3"/>
  <c r="H286" i="1"/>
  <c r="Q541" i="1"/>
  <c r="M454" i="1"/>
  <c r="P136" i="1"/>
  <c r="G52" i="3"/>
  <c r="G547" i="1"/>
  <c r="N314" i="1"/>
  <c r="M150" i="3"/>
  <c r="P676" i="1"/>
  <c r="P19" i="3"/>
  <c r="G581" i="1"/>
  <c r="K343" i="1"/>
  <c r="K95" i="3"/>
  <c r="L44" i="1"/>
  <c r="P82" i="3"/>
  <c r="O360" i="1"/>
  <c r="M410" i="1"/>
  <c r="K32" i="3"/>
  <c r="N285" i="1"/>
  <c r="J297" i="3"/>
  <c r="G652" i="1"/>
  <c r="L608" i="1"/>
  <c r="Q200" i="1"/>
  <c r="J67" i="1"/>
  <c r="M403" i="1"/>
  <c r="Q23" i="3"/>
  <c r="Q606" i="1"/>
  <c r="P694" i="1"/>
  <c r="J611" i="1"/>
  <c r="O416" i="1"/>
  <c r="Q75" i="3"/>
  <c r="L138" i="1"/>
  <c r="O163" i="3"/>
  <c r="J461" i="1"/>
  <c r="P146" i="1"/>
  <c r="G373" i="3"/>
  <c r="K236" i="1"/>
  <c r="O32" i="3"/>
  <c r="J344" i="1"/>
  <c r="K186" i="1"/>
  <c r="G327" i="1"/>
  <c r="H67" i="1"/>
  <c r="M258" i="3"/>
  <c r="O67" i="1"/>
  <c r="Q391" i="1"/>
  <c r="G53" i="1"/>
  <c r="J356" i="3"/>
  <c r="N438" i="1"/>
  <c r="O144" i="3"/>
  <c r="P263" i="1"/>
  <c r="N318" i="3"/>
  <c r="P49" i="1"/>
  <c r="K99" i="1"/>
  <c r="N642" i="1"/>
  <c r="N457" i="1"/>
  <c r="G182" i="1"/>
  <c r="J207" i="3"/>
  <c r="N379" i="1"/>
  <c r="N96" i="1"/>
  <c r="G572" i="1"/>
  <c r="K96" i="1"/>
  <c r="G360" i="1"/>
  <c r="O140" i="1"/>
  <c r="K78" i="1"/>
  <c r="P192" i="1"/>
  <c r="Q90" i="3"/>
  <c r="G64" i="3"/>
  <c r="Q268" i="3"/>
  <c r="O286" i="1"/>
  <c r="J518" i="1"/>
  <c r="P431" i="1"/>
  <c r="P143" i="3"/>
  <c r="P150" i="3"/>
  <c r="M189" i="3"/>
  <c r="K676" i="1"/>
  <c r="N582" i="1"/>
  <c r="G203" i="1"/>
  <c r="K124" i="1"/>
  <c r="H142" i="3"/>
  <c r="G401" i="1"/>
  <c r="G175" i="3"/>
  <c r="J175" i="3"/>
  <c r="H605" i="1"/>
  <c r="O506" i="1"/>
  <c r="J538" i="1"/>
  <c r="J474" i="1"/>
  <c r="M672" i="1"/>
  <c r="H480" i="1"/>
  <c r="N418" i="1"/>
  <c r="O153" i="3"/>
  <c r="P401" i="1"/>
  <c r="L114" i="3"/>
  <c r="Q18" i="1"/>
  <c r="M114" i="3"/>
  <c r="G488" i="1"/>
  <c r="L82" i="1"/>
  <c r="H95" i="3"/>
  <c r="N44" i="1"/>
  <c r="P104" i="3"/>
  <c r="G99" i="1"/>
  <c r="M134" i="1"/>
  <c r="K100" i="3"/>
  <c r="M349" i="1"/>
  <c r="J248" i="1"/>
  <c r="G277" i="1"/>
  <c r="P24" i="1"/>
  <c r="H360" i="1"/>
  <c r="P492" i="1"/>
  <c r="O217" i="3"/>
  <c r="N169" i="1"/>
  <c r="H337" i="3"/>
  <c r="O100" i="3"/>
  <c r="M260" i="1"/>
  <c r="K90" i="3"/>
  <c r="G486" i="1"/>
  <c r="M336" i="1"/>
  <c r="P238" i="1"/>
  <c r="O327" i="1"/>
  <c r="L184" i="1"/>
  <c r="H575" i="1"/>
  <c r="K308" i="1"/>
  <c r="K19" i="3"/>
  <c r="J403" i="1"/>
  <c r="Q312" i="1"/>
  <c r="K150" i="3"/>
  <c r="N54" i="1"/>
  <c r="O207" i="3"/>
  <c r="J325" i="1"/>
  <c r="P403" i="1"/>
  <c r="J48" i="3"/>
  <c r="O461" i="1"/>
  <c r="Q176" i="3"/>
  <c r="N391" i="1"/>
  <c r="Q453" i="1"/>
  <c r="G458" i="1"/>
  <c r="J402" i="1"/>
  <c r="N208" i="1"/>
  <c r="G318" i="3"/>
  <c r="K54" i="1"/>
  <c r="K143" i="3"/>
  <c r="K318" i="3"/>
  <c r="K690" i="1"/>
  <c r="N119" i="3"/>
  <c r="N337" i="3"/>
  <c r="Q72" i="3"/>
  <c r="Q690" i="1"/>
  <c r="Q688" i="1"/>
  <c r="L494" i="1"/>
  <c r="Q545" i="1"/>
  <c r="G59" i="1"/>
  <c r="L75" i="3"/>
  <c r="K104" i="3"/>
  <c r="K23" i="1"/>
  <c r="J343" i="1"/>
  <c r="L14" i="3"/>
  <c r="O263" i="1"/>
  <c r="O223" i="1"/>
  <c r="Q516" i="1"/>
  <c r="Q508" i="1"/>
  <c r="M268" i="3"/>
  <c r="H192" i="3"/>
  <c r="M144" i="3"/>
  <c r="L286" i="1"/>
  <c r="O121" i="1"/>
  <c r="K225" i="1"/>
  <c r="M625" i="1"/>
  <c r="H236" i="1"/>
  <c r="Q123" i="3"/>
  <c r="P322" i="1"/>
  <c r="N33" i="1"/>
  <c r="O168" i="1"/>
  <c r="K99" i="3"/>
  <c r="L605" i="1"/>
  <c r="P175" i="3"/>
  <c r="N261" i="1"/>
  <c r="H120" i="1"/>
  <c r="G168" i="1"/>
  <c r="N217" i="1"/>
  <c r="Q169" i="3"/>
  <c r="O401" i="1"/>
  <c r="N265" i="3"/>
  <c r="K401" i="1"/>
  <c r="L33" i="3"/>
  <c r="G384" i="1"/>
  <c r="P242" i="1"/>
  <c r="P87" i="3"/>
  <c r="N492" i="1"/>
  <c r="H123" i="3"/>
  <c r="G688" i="1"/>
  <c r="P185" i="1"/>
  <c r="K158" i="3"/>
  <c r="P44" i="1"/>
  <c r="K692" i="1"/>
  <c r="G49" i="1"/>
  <c r="P184" i="1"/>
  <c r="H68" i="1"/>
  <c r="P308" i="1"/>
  <c r="H176" i="3"/>
  <c r="Q425" i="1"/>
  <c r="N323" i="3"/>
  <c r="H156" i="1"/>
  <c r="Q692" i="1"/>
  <c r="L99" i="3"/>
  <c r="L33" i="1"/>
  <c r="K337" i="1"/>
  <c r="K114" i="3"/>
  <c r="M56" i="1"/>
  <c r="L369" i="1"/>
  <c r="K506" i="1"/>
  <c r="P300" i="3"/>
  <c r="G23" i="1"/>
  <c r="H642" i="1"/>
  <c r="M91" i="3"/>
  <c r="P48" i="3"/>
  <c r="H270" i="3"/>
  <c r="N123" i="3"/>
  <c r="M182" i="3"/>
  <c r="J90" i="3"/>
  <c r="M541" i="1"/>
  <c r="M643" i="1"/>
  <c r="H49" i="1"/>
  <c r="H508" i="1"/>
  <c r="M93" i="3"/>
  <c r="J372" i="3"/>
  <c r="P14" i="1"/>
  <c r="K576" i="1"/>
  <c r="G38" i="1"/>
  <c r="H263" i="1"/>
  <c r="G156" i="1"/>
  <c r="H372" i="1"/>
  <c r="K572" i="1"/>
  <c r="K22" i="1"/>
  <c r="P103" i="1"/>
  <c r="K213" i="3"/>
  <c r="H173" i="3"/>
  <c r="M569" i="1"/>
  <c r="Q22" i="3"/>
  <c r="Q515" i="1"/>
  <c r="K561" i="1"/>
  <c r="L52" i="3"/>
  <c r="L694" i="1"/>
  <c r="H182" i="1"/>
  <c r="H268" i="3"/>
  <c r="H278" i="1"/>
  <c r="P69" i="3"/>
  <c r="P142" i="3"/>
  <c r="P541" i="1"/>
  <c r="M327" i="1"/>
  <c r="L160" i="3"/>
  <c r="Q605" i="1"/>
  <c r="J53" i="3"/>
  <c r="Q124" i="1"/>
  <c r="P124" i="1"/>
  <c r="N108" i="3"/>
  <c r="L120" i="1"/>
  <c r="K388" i="1"/>
  <c r="M300" i="3"/>
  <c r="N528" i="1"/>
  <c r="G51" i="1"/>
  <c r="H96" i="1"/>
  <c r="G580" i="1"/>
  <c r="P158" i="3"/>
  <c r="K65" i="3"/>
  <c r="P290" i="3"/>
  <c r="Q158" i="3"/>
  <c r="G336" i="3"/>
  <c r="K242" i="1"/>
  <c r="L169" i="1"/>
  <c r="P167" i="1"/>
  <c r="G32" i="1"/>
  <c r="L93" i="3"/>
  <c r="N163" i="3"/>
  <c r="K238" i="1"/>
  <c r="O454" i="1"/>
  <c r="G493" i="1"/>
  <c r="H676" i="1"/>
  <c r="G204" i="1"/>
  <c r="H494" i="1"/>
  <c r="O109" i="1"/>
  <c r="J130" i="1"/>
  <c r="K391" i="1"/>
  <c r="M170" i="3"/>
  <c r="O321" i="3"/>
  <c r="J609" i="1"/>
  <c r="Q14" i="3"/>
  <c r="N584" i="1"/>
  <c r="P402" i="1"/>
  <c r="J173" i="3"/>
  <c r="N543" i="1"/>
  <c r="G263" i="1"/>
  <c r="K151" i="1"/>
  <c r="H277" i="1"/>
  <c r="J208" i="1"/>
  <c r="O286" i="3"/>
  <c r="O305" i="3"/>
  <c r="Q176" i="1"/>
  <c r="H528" i="1"/>
  <c r="L251" i="3"/>
  <c r="G99" i="3"/>
  <c r="P18" i="1"/>
  <c r="G357" i="1"/>
  <c r="H51" i="1"/>
  <c r="G541" i="1"/>
  <c r="H643" i="1"/>
  <c r="O57" i="3"/>
  <c r="L82" i="3"/>
  <c r="J493" i="1"/>
  <c r="P217" i="3"/>
  <c r="M626" i="1"/>
  <c r="K425" i="1"/>
  <c r="M519" i="1"/>
  <c r="G278" i="1"/>
  <c r="K93" i="3"/>
  <c r="M158" i="3"/>
  <c r="K386" i="1"/>
  <c r="Q490" i="1"/>
  <c r="G238" i="1"/>
  <c r="J410" i="1"/>
  <c r="G285" i="1"/>
  <c r="H82" i="1"/>
  <c r="L493" i="1"/>
  <c r="Q186" i="1"/>
  <c r="M614" i="1"/>
  <c r="H136" i="1"/>
  <c r="O160" i="3"/>
  <c r="O413" i="1"/>
  <c r="O516" i="1"/>
  <c r="P156" i="1"/>
  <c r="P530" i="1"/>
  <c r="J109" i="3"/>
  <c r="M200" i="1"/>
  <c r="J204" i="1"/>
  <c r="N177" i="1"/>
  <c r="J312" i="1"/>
  <c r="L193" i="1"/>
  <c r="M508" i="1"/>
  <c r="P692" i="1"/>
  <c r="H191" i="1"/>
  <c r="P498" i="1"/>
  <c r="P99" i="3"/>
  <c r="J506" i="1"/>
  <c r="G314" i="1"/>
  <c r="H638" i="1"/>
  <c r="G83" i="1"/>
  <c r="H308" i="1"/>
  <c r="K37" i="3"/>
  <c r="M48" i="3"/>
  <c r="M14" i="1"/>
  <c r="G176" i="3"/>
  <c r="Q403" i="1"/>
  <c r="K112" i="1"/>
  <c r="Q220" i="1"/>
  <c r="G457" i="1"/>
  <c r="G270" i="3"/>
  <c r="N207" i="3"/>
  <c r="Q486" i="1"/>
  <c r="L54" i="1"/>
  <c r="G420" i="1"/>
  <c r="Q151" i="1"/>
  <c r="G692" i="1"/>
  <c r="H416" i="1"/>
  <c r="L581" i="1"/>
  <c r="K584" i="1"/>
  <c r="K109" i="1"/>
  <c r="H87" i="1"/>
  <c r="O238" i="1"/>
  <c r="P515" i="1"/>
  <c r="P32" i="3"/>
  <c r="K490" i="1"/>
  <c r="L609" i="1"/>
  <c r="J44" i="1"/>
  <c r="K278" i="1"/>
  <c r="J225" i="1"/>
  <c r="G37" i="3"/>
  <c r="O200" i="1"/>
  <c r="Q225" i="1"/>
  <c r="N606" i="1"/>
  <c r="J305" i="3"/>
  <c r="J692" i="1"/>
  <c r="N337" i="1"/>
  <c r="M124" i="1"/>
  <c r="L217" i="1"/>
  <c r="H18" i="3"/>
  <c r="G121" i="1"/>
  <c r="H482" i="1"/>
  <c r="G185" i="1"/>
  <c r="H260" i="1"/>
  <c r="H163" i="3"/>
  <c r="H609" i="1"/>
  <c r="O146" i="1"/>
  <c r="N182" i="3"/>
  <c r="O638" i="1"/>
  <c r="M277" i="1"/>
  <c r="M32" i="1"/>
  <c r="G308" i="1"/>
  <c r="J65" i="3"/>
  <c r="N297" i="3"/>
  <c r="K367" i="1"/>
  <c r="K372" i="1"/>
  <c r="Q385" i="1"/>
  <c r="M413" i="1"/>
  <c r="G431" i="1"/>
  <c r="H344" i="1"/>
  <c r="L486" i="1"/>
  <c r="P57" i="3"/>
  <c r="P494" i="1"/>
  <c r="H367" i="1"/>
  <c r="L99" i="1"/>
  <c r="L136" i="1"/>
  <c r="Q379" i="1"/>
  <c r="M545" i="1"/>
  <c r="N357" i="1"/>
  <c r="J82" i="1"/>
  <c r="N372" i="1"/>
  <c r="Q64" i="3"/>
  <c r="J263" i="1"/>
  <c r="P488" i="1"/>
  <c r="N322" i="1"/>
  <c r="M676" i="1"/>
  <c r="Q146" i="1"/>
  <c r="G140" i="1"/>
  <c r="O203" i="1"/>
  <c r="J99" i="3"/>
  <c r="Q528" i="1"/>
  <c r="J261" i="1"/>
  <c r="Q251" i="3"/>
  <c r="J418" i="1"/>
  <c r="G508" i="1"/>
  <c r="O509" i="1"/>
  <c r="G221" i="1"/>
  <c r="H208" i="1"/>
  <c r="P144" i="3"/>
  <c r="H452" i="1"/>
  <c r="L91" i="3"/>
  <c r="N19" i="3"/>
  <c r="J127" i="3"/>
  <c r="K415" i="1"/>
  <c r="P360" i="1"/>
  <c r="G109" i="1"/>
  <c r="L118" i="3"/>
  <c r="J321" i="3"/>
  <c r="O608" i="1"/>
  <c r="M87" i="1"/>
  <c r="L621" i="1"/>
  <c r="N200" i="1"/>
  <c r="G625" i="1"/>
  <c r="H158" i="1"/>
  <c r="K431" i="1"/>
  <c r="L345" i="3"/>
  <c r="O68" i="1"/>
  <c r="O23" i="1"/>
  <c r="P688" i="1"/>
  <c r="Q584" i="1"/>
  <c r="L304" i="3"/>
  <c r="M652" i="1"/>
  <c r="N344" i="1"/>
  <c r="G416" i="1"/>
  <c r="K604" i="1"/>
  <c r="G143" i="3"/>
  <c r="L151" i="1"/>
  <c r="O78" i="1"/>
  <c r="K178" i="1"/>
  <c r="N425" i="1"/>
  <c r="H650" i="1"/>
  <c r="P321" i="3"/>
  <c r="Q33" i="3"/>
  <c r="J56" i="1"/>
  <c r="N103" i="1"/>
  <c r="P285" i="1"/>
  <c r="L103" i="1"/>
  <c r="H130" i="1"/>
  <c r="H14" i="3"/>
  <c r="J220" i="1"/>
  <c r="Q189" i="3"/>
  <c r="J38" i="1"/>
  <c r="H32" i="3"/>
  <c r="O130" i="1"/>
  <c r="L643" i="1"/>
  <c r="G78" i="1"/>
  <c r="L336" i="3"/>
  <c r="M119" i="3"/>
  <c r="Q693" i="1"/>
  <c r="M416" i="1"/>
  <c r="K580" i="1"/>
  <c r="L584" i="1"/>
  <c r="G146" i="1"/>
  <c r="G519" i="1"/>
  <c r="K322" i="1"/>
  <c r="G95" i="3"/>
  <c r="L49" i="1"/>
  <c r="K182" i="1"/>
  <c r="L500" i="1"/>
  <c r="L105" i="1"/>
  <c r="P173" i="3"/>
  <c r="K385" i="1"/>
  <c r="P664" i="1"/>
  <c r="J452" i="1"/>
  <c r="L24" i="3"/>
  <c r="L53" i="1"/>
  <c r="O431" i="1"/>
  <c r="K611" i="1"/>
  <c r="O377" i="1"/>
  <c r="P100" i="1"/>
  <c r="Q24" i="1"/>
  <c r="H53" i="1"/>
  <c r="P20" i="1"/>
  <c r="G605" i="1"/>
  <c r="J582" i="1"/>
  <c r="L337" i="1"/>
  <c r="M401" i="1"/>
  <c r="J153" i="3"/>
  <c r="L543" i="1"/>
  <c r="P547" i="1"/>
  <c r="O136" i="1"/>
  <c r="H438" i="1"/>
  <c r="G516" i="1"/>
  <c r="J584" i="1"/>
  <c r="N65" i="3"/>
  <c r="O457" i="1"/>
  <c r="N336" i="3"/>
  <c r="L626" i="1"/>
  <c r="K169" i="1"/>
  <c r="G111" i="1"/>
  <c r="H51" i="3"/>
  <c r="P127" i="3"/>
  <c r="P415" i="1"/>
  <c r="K312" i="1"/>
  <c r="N14" i="1"/>
  <c r="M156" i="1"/>
  <c r="G286" i="1"/>
  <c r="G255" i="1"/>
  <c r="N68" i="1"/>
  <c r="Q144" i="3"/>
  <c r="P337" i="3"/>
  <c r="K51" i="1"/>
  <c r="O690" i="1"/>
  <c r="M457" i="1"/>
  <c r="J24" i="3"/>
  <c r="O642" i="1"/>
  <c r="L186" i="1"/>
  <c r="L263" i="1"/>
  <c r="O268" i="3"/>
  <c r="O172" i="1"/>
  <c r="M177" i="1"/>
  <c r="Q82" i="1"/>
  <c r="G213" i="3"/>
  <c r="O498" i="1"/>
  <c r="M518" i="1"/>
  <c r="K234" i="3"/>
  <c r="O258" i="1"/>
  <c r="L265" i="3"/>
  <c r="L658" i="1"/>
  <c r="Q53" i="3"/>
  <c r="L672" i="1"/>
  <c r="O369" i="1"/>
  <c r="H114" i="3"/>
  <c r="P509" i="1"/>
  <c r="N260" i="1"/>
  <c r="K488" i="1"/>
  <c r="J151" i="1"/>
  <c r="G575" i="1"/>
  <c r="J169" i="1"/>
  <c r="L229" i="3"/>
  <c r="Q611" i="1"/>
  <c r="Q217" i="3"/>
  <c r="N403" i="1"/>
  <c r="P425" i="1"/>
  <c r="G608" i="1"/>
  <c r="M24" i="3"/>
  <c r="G160" i="3"/>
  <c r="G100" i="3"/>
  <c r="P482" i="1"/>
  <c r="N692" i="1"/>
  <c r="L255" i="1"/>
  <c r="G100" i="1"/>
  <c r="P255" i="1"/>
  <c r="Q325" i="1"/>
  <c r="H448" i="1"/>
  <c r="G144" i="3"/>
  <c r="Q467" i="1"/>
  <c r="N83" i="1"/>
  <c r="M490" i="1"/>
  <c r="L19" i="3"/>
  <c r="L516" i="1"/>
  <c r="G286" i="3"/>
  <c r="P377" i="1"/>
  <c r="N173" i="3"/>
  <c r="O387" i="1"/>
  <c r="K286" i="1"/>
  <c r="K192" i="1"/>
  <c r="M69" i="3"/>
  <c r="J277" i="1"/>
  <c r="Q22" i="1"/>
  <c r="K694" i="1"/>
  <c r="J18" i="3"/>
  <c r="M480" i="1"/>
  <c r="G217" i="1"/>
  <c r="K265" i="3"/>
  <c r="N99" i="3"/>
  <c r="K325" i="1"/>
  <c r="O225" i="1"/>
  <c r="N509" i="1"/>
  <c r="J105" i="1"/>
  <c r="G530" i="1"/>
  <c r="J193" i="1"/>
  <c r="G69" i="3"/>
  <c r="J37" i="3"/>
  <c r="J176" i="3"/>
  <c r="L638" i="1"/>
  <c r="O183" i="1"/>
  <c r="G663" i="1"/>
  <c r="Q48" i="3"/>
  <c r="H156" i="3"/>
  <c r="O297" i="3"/>
  <c r="O452" i="1"/>
  <c r="O486" i="1"/>
  <c r="O38" i="1"/>
  <c r="Q263" i="1"/>
  <c r="P673" i="1"/>
  <c r="M82" i="1"/>
  <c r="M325" i="1"/>
  <c r="M51" i="3"/>
  <c r="Q158" i="1"/>
  <c r="Q243" i="1"/>
  <c r="P331" i="1"/>
  <c r="G90" i="3"/>
  <c r="K111" i="1"/>
  <c r="P24" i="3"/>
  <c r="P192" i="3"/>
  <c r="Q119" i="3"/>
  <c r="K575" i="1"/>
  <c r="K51" i="3"/>
  <c r="Q150" i="3"/>
  <c r="G236" i="1"/>
  <c r="H498" i="1"/>
  <c r="M538" i="1"/>
  <c r="N168" i="1"/>
  <c r="J605" i="1"/>
  <c r="L498" i="1"/>
  <c r="P658" i="1"/>
  <c r="Q343" i="1"/>
  <c r="L111" i="1"/>
  <c r="Q673" i="1"/>
  <c r="J576" i="1"/>
  <c r="G24" i="1"/>
  <c r="J54" i="1"/>
  <c r="N79" i="3"/>
  <c r="H490" i="1"/>
  <c r="P182" i="3"/>
  <c r="L24" i="1"/>
  <c r="P222" i="1"/>
  <c r="G611" i="1"/>
  <c r="H255" i="1"/>
  <c r="J75" i="3"/>
  <c r="O119" i="3"/>
  <c r="L518" i="1"/>
  <c r="M608" i="1"/>
  <c r="P172" i="1"/>
  <c r="M391" i="1"/>
  <c r="L454" i="1"/>
  <c r="N690" i="1"/>
  <c r="Q182" i="1"/>
  <c r="L44" i="3"/>
  <c r="L453" i="1"/>
  <c r="O467" i="1"/>
  <c r="P545" i="1"/>
  <c r="G138" i="1"/>
  <c r="K688" i="1"/>
  <c r="M270" i="1"/>
  <c r="L268" i="3"/>
  <c r="J167" i="1"/>
  <c r="J234" i="3"/>
  <c r="G402" i="1"/>
  <c r="G344" i="1"/>
  <c r="G621" i="1"/>
  <c r="O270" i="1"/>
  <c r="K482" i="1"/>
  <c r="H486" i="1"/>
  <c r="J401" i="1"/>
  <c r="Q474" i="1"/>
  <c r="L474" i="1"/>
  <c r="J142" i="3"/>
  <c r="O159" i="1"/>
  <c r="M223" i="1"/>
  <c r="Q676" i="1"/>
  <c r="M683" i="1"/>
  <c r="G128" i="1"/>
  <c r="J349" i="1"/>
  <c r="Q100" i="3"/>
  <c r="H545" i="1"/>
  <c r="H182" i="3"/>
  <c r="O184" i="1"/>
  <c r="O384" i="1"/>
  <c r="G690" i="1"/>
  <c r="H461" i="1"/>
  <c r="P23" i="3"/>
  <c r="Q127" i="3"/>
  <c r="O59" i="1"/>
  <c r="O693" i="1"/>
  <c r="N109" i="1"/>
  <c r="N151" i="1"/>
  <c r="M54" i="1"/>
  <c r="P270" i="1"/>
  <c r="P159" i="1"/>
  <c r="G91" i="3"/>
  <c r="L59" i="1"/>
  <c r="Q280" i="1"/>
  <c r="O385" i="1"/>
  <c r="J683" i="1"/>
  <c r="M96" i="1"/>
  <c r="L208" i="1"/>
  <c r="J182" i="3"/>
  <c r="G172" i="1"/>
  <c r="L258" i="3"/>
  <c r="N431" i="1"/>
  <c r="O488" i="1"/>
  <c r="G336" i="1"/>
  <c r="O19" i="3"/>
  <c r="P114" i="3"/>
  <c r="L56" i="1"/>
  <c r="P393" i="1"/>
  <c r="Q217" i="1"/>
  <c r="G523" i="1"/>
  <c r="K258" i="1"/>
  <c r="Q420" i="1"/>
  <c r="Q349" i="1"/>
  <c r="O204" i="1"/>
  <c r="K136" i="1"/>
  <c r="J492" i="1"/>
  <c r="L79" i="3"/>
  <c r="H336" i="1"/>
  <c r="P37" i="3"/>
  <c r="O312" i="1"/>
  <c r="K454" i="1"/>
  <c r="G403" i="1"/>
  <c r="J690" i="1"/>
  <c r="J304" i="3"/>
  <c r="H160" i="3"/>
  <c r="N221" i="1"/>
  <c r="M415" i="1"/>
  <c r="N493" i="1"/>
  <c r="L413" i="1"/>
  <c r="K448" i="1"/>
  <c r="P163" i="3"/>
  <c r="P51" i="1"/>
  <c r="K173" i="3"/>
  <c r="O128" i="1"/>
  <c r="O158" i="1"/>
  <c r="P614" i="1"/>
  <c r="J270" i="1"/>
  <c r="H24" i="3"/>
  <c r="N561" i="1"/>
  <c r="P93" i="3"/>
  <c r="G225" i="1"/>
  <c r="M52" i="3"/>
  <c r="Q20" i="1"/>
  <c r="N448" i="1"/>
  <c r="K193" i="1"/>
  <c r="K223" i="1"/>
  <c r="P453" i="1"/>
  <c r="K142" i="3"/>
  <c r="J217" i="1"/>
  <c r="M506" i="1"/>
  <c r="O696" i="1"/>
  <c r="K474" i="1"/>
  <c r="O418" i="1"/>
  <c r="O280" i="1"/>
  <c r="L112" i="1"/>
  <c r="M44" i="1"/>
  <c r="M547" i="1"/>
  <c r="L488" i="1"/>
  <c r="J614" i="1"/>
  <c r="P643" i="1"/>
  <c r="H541" i="1"/>
  <c r="L48" i="3"/>
  <c r="L314" i="1"/>
  <c r="N138" i="1"/>
  <c r="G184" i="1"/>
  <c r="J184" i="1"/>
  <c r="P44" i="3"/>
  <c r="G156" i="3"/>
  <c r="H316" i="3"/>
  <c r="N500" i="1"/>
  <c r="K270" i="1"/>
  <c r="K200" i="1"/>
  <c r="K356" i="3"/>
  <c r="N75" i="3"/>
  <c r="K467" i="1"/>
  <c r="K75" i="3"/>
  <c r="K305" i="3"/>
  <c r="N453" i="1"/>
  <c r="Q642" i="1"/>
  <c r="J438" i="1"/>
  <c r="P14" i="3"/>
  <c r="N402" i="1"/>
  <c r="G258" i="3"/>
  <c r="J146" i="1"/>
  <c r="K53" i="1"/>
  <c r="M143" i="3"/>
  <c r="N78" i="1"/>
  <c r="H59" i="1"/>
  <c r="M83" i="1"/>
  <c r="K582" i="1"/>
  <c r="H217" i="1"/>
  <c r="P506" i="1"/>
  <c r="K538" i="1"/>
  <c r="N104" i="1"/>
  <c r="P314" i="1"/>
  <c r="K277" i="1"/>
  <c r="P204" i="1"/>
  <c r="P260" i="1"/>
  <c r="K509" i="1"/>
  <c r="J581" i="1"/>
  <c r="P384" i="1"/>
  <c r="H243" i="1"/>
  <c r="H99" i="1"/>
  <c r="O95" i="1"/>
  <c r="M458" i="1"/>
  <c r="Q236" i="1"/>
  <c r="J478" i="1"/>
  <c r="H584" i="1"/>
  <c r="M90" i="3"/>
  <c r="G229" i="3"/>
  <c r="P438" i="1"/>
  <c r="N494" i="1"/>
  <c r="P91" i="3"/>
  <c r="J227" i="3"/>
  <c r="O44" i="3"/>
  <c r="M248" i="1"/>
  <c r="G227" i="3"/>
  <c r="O318" i="3"/>
  <c r="L569" i="1"/>
  <c r="M238" i="1"/>
  <c r="O500" i="1"/>
  <c r="Q273" i="3"/>
  <c r="M344" i="1"/>
  <c r="N189" i="3"/>
  <c r="G280" i="1"/>
  <c r="L172" i="1"/>
  <c r="J327" i="1"/>
  <c r="Q67" i="1"/>
  <c r="Q336" i="3"/>
  <c r="Q227" i="3"/>
  <c r="J337" i="1"/>
  <c r="L582" i="1"/>
  <c r="M142" i="3"/>
  <c r="H300" i="3"/>
  <c r="Q261" i="1"/>
  <c r="J528" i="1"/>
  <c r="L153" i="3"/>
  <c r="P251" i="3"/>
  <c r="G104" i="1"/>
  <c r="O478" i="1"/>
  <c r="O663" i="1"/>
  <c r="M478" i="1"/>
  <c r="M225" i="1"/>
  <c r="O169" i="1"/>
  <c r="J516" i="1"/>
  <c r="L673" i="1"/>
  <c r="H453" i="1"/>
  <c r="Q138" i="1"/>
  <c r="P452" i="1"/>
  <c r="K650" i="1"/>
  <c r="P621" i="1"/>
  <c r="N167" i="1"/>
  <c r="H105" i="1"/>
  <c r="J260" i="3"/>
  <c r="M372" i="3"/>
  <c r="P575" i="1"/>
  <c r="Q99" i="1"/>
  <c r="J222" i="1"/>
  <c r="G72" i="3"/>
  <c r="H509" i="1"/>
  <c r="K158" i="1"/>
  <c r="H519" i="1"/>
  <c r="G173" i="3"/>
  <c r="P59" i="1"/>
  <c r="M22" i="1"/>
  <c r="N530" i="1"/>
  <c r="J53" i="1"/>
  <c r="O664" i="1"/>
  <c r="K79" i="3"/>
  <c r="G134" i="1"/>
  <c r="N387" i="1"/>
  <c r="P349" i="1"/>
  <c r="K144" i="3"/>
  <c r="J664" i="1"/>
  <c r="O114" i="3"/>
  <c r="J480" i="1"/>
  <c r="M337" i="1"/>
  <c r="H18" i="1"/>
  <c r="N300" i="3"/>
  <c r="G176" i="1"/>
  <c r="J104" i="1"/>
  <c r="O134" i="1"/>
  <c r="P325" i="1"/>
  <c r="K128" i="1"/>
  <c r="O420" i="1"/>
  <c r="N673" i="1"/>
  <c r="K204" i="1"/>
  <c r="O458" i="1"/>
  <c r="J413" i="1"/>
  <c r="K621" i="1"/>
  <c r="M409" i="1"/>
  <c r="M312" i="1"/>
  <c r="N386" i="1"/>
  <c r="P519" i="1"/>
  <c r="H331" i="1"/>
  <c r="O176" i="3"/>
  <c r="H100" i="3"/>
  <c r="Q51" i="1"/>
  <c r="Q192" i="1"/>
  <c r="O391" i="1"/>
  <c r="N182" i="1"/>
  <c r="H420" i="1"/>
  <c r="G273" i="3"/>
  <c r="H242" i="1"/>
  <c r="P119" i="3"/>
  <c r="P160" i="3"/>
  <c r="H57" i="3"/>
  <c r="L243" i="1"/>
  <c r="J387" i="1"/>
  <c r="Q24" i="3"/>
  <c r="G385" i="1"/>
  <c r="M543" i="1"/>
  <c r="K170" i="3"/>
  <c r="Q173" i="3"/>
  <c r="L461" i="1"/>
  <c r="G393" i="1"/>
  <c r="M33" i="1"/>
  <c r="J166" i="1"/>
  <c r="H261" i="1"/>
  <c r="Q418" i="1"/>
  <c r="O120" i="1"/>
  <c r="J120" i="1"/>
  <c r="P480" i="1"/>
  <c r="O388" i="1"/>
  <c r="H696" i="1"/>
  <c r="Q185" i="1"/>
  <c r="K82" i="1"/>
  <c r="H374" i="3"/>
  <c r="P112" i="1"/>
  <c r="O676" i="1"/>
  <c r="L367" i="1"/>
  <c r="K87" i="1"/>
  <c r="J673" i="1"/>
  <c r="M500" i="1"/>
  <c r="Q54" i="1"/>
  <c r="P95" i="1"/>
  <c r="M367" i="1"/>
  <c r="O220" i="1"/>
  <c r="H38" i="1"/>
  <c r="J238" i="1"/>
  <c r="P297" i="3"/>
  <c r="Q95" i="1"/>
  <c r="Q121" i="1"/>
  <c r="M255" i="1"/>
  <c r="G270" i="1"/>
  <c r="H146" i="1"/>
  <c r="M356" i="3"/>
  <c r="J431" i="1"/>
  <c r="O258" i="3"/>
  <c r="K156" i="1"/>
  <c r="G683" i="1"/>
  <c r="P609" i="1"/>
  <c r="O278" i="1"/>
  <c r="K192" i="3"/>
  <c r="J416" i="1"/>
  <c r="L200" i="1"/>
  <c r="M192" i="3"/>
  <c r="J144" i="3"/>
  <c r="O72" i="1"/>
  <c r="L203" i="1"/>
  <c r="M658" i="1"/>
  <c r="H393" i="1"/>
  <c r="P108" i="3"/>
  <c r="G108" i="3"/>
  <c r="K120" i="1"/>
  <c r="K418" i="1"/>
  <c r="K18" i="1"/>
  <c r="L377" i="1"/>
  <c r="L373" i="3"/>
  <c r="J323" i="3"/>
  <c r="P625" i="1"/>
  <c r="M650" i="1"/>
  <c r="M420" i="1"/>
  <c r="K44" i="1"/>
  <c r="J606" i="1"/>
  <c r="Q337" i="3"/>
  <c r="Q387" i="1"/>
  <c r="M452" i="1"/>
  <c r="Q608" i="1"/>
  <c r="K32" i="1"/>
  <c r="H572" i="1"/>
  <c r="Q374" i="3"/>
  <c r="N321" i="3"/>
  <c r="N260" i="3"/>
  <c r="K379" i="1"/>
  <c r="M193" i="1"/>
  <c r="Q134" i="1"/>
  <c r="H95" i="1"/>
  <c r="P305" i="3"/>
  <c r="G500" i="1"/>
  <c r="M109" i="3"/>
  <c r="Q652" i="1"/>
  <c r="G96" i="1"/>
  <c r="K357" i="1"/>
  <c r="L14" i="1"/>
  <c r="G268" i="3"/>
  <c r="G453" i="1"/>
  <c r="Q193" i="1"/>
  <c r="L561" i="1"/>
  <c r="H167" i="1"/>
  <c r="K461" i="1"/>
  <c r="O142" i="3"/>
  <c r="Q337" i="1"/>
  <c r="P217" i="1"/>
  <c r="H474" i="1"/>
  <c r="H108" i="3"/>
  <c r="K251" i="3"/>
  <c r="Q569" i="1"/>
  <c r="L290" i="3"/>
  <c r="H48" i="3"/>
  <c r="Q242" i="1"/>
  <c r="L683" i="1"/>
  <c r="M112" i="1"/>
  <c r="O308" i="1"/>
  <c r="J693" i="1"/>
  <c r="G14" i="1"/>
  <c r="M59" i="1"/>
  <c r="K518" i="1"/>
  <c r="N336" i="1"/>
  <c r="Q72" i="1"/>
  <c r="H493" i="1"/>
  <c r="H87" i="3"/>
  <c r="M127" i="3"/>
  <c r="L321" i="3"/>
  <c r="L67" i="1"/>
  <c r="P54" i="1"/>
  <c r="G490" i="1"/>
  <c r="H569" i="1"/>
  <c r="L318" i="3"/>
  <c r="J186" i="1"/>
  <c r="L22" i="1"/>
  <c r="Q614" i="1"/>
  <c r="G438" i="1"/>
  <c r="O186" i="1"/>
  <c r="J258" i="3"/>
  <c r="K263" i="1"/>
  <c r="M372" i="1"/>
  <c r="J118" i="3"/>
  <c r="H543" i="1"/>
  <c r="Q575" i="1"/>
  <c r="J124" i="1"/>
  <c r="H168" i="1"/>
  <c r="K217" i="1"/>
  <c r="K300" i="3"/>
  <c r="L696" i="1"/>
  <c r="P508" i="1"/>
  <c r="M82" i="3"/>
  <c r="H52" i="3"/>
  <c r="M343" i="1"/>
  <c r="M638" i="1"/>
  <c r="Q336" i="1"/>
  <c r="Q285" i="1"/>
  <c r="J626" i="1"/>
  <c r="G223" i="1"/>
  <c r="M305" i="3"/>
  <c r="L409" i="1"/>
  <c r="M130" i="1"/>
  <c r="L360" i="1"/>
  <c r="H225" i="1"/>
  <c r="J93" i="3"/>
  <c r="O23" i="3"/>
  <c r="N461" i="1"/>
  <c r="G356" i="3"/>
  <c r="L448" i="1"/>
  <c r="P490" i="1"/>
  <c r="J509" i="1"/>
  <c r="M227" i="3"/>
  <c r="O103" i="1"/>
  <c r="K68" i="1"/>
  <c r="K642" i="1"/>
  <c r="J182" i="1"/>
  <c r="K516" i="1"/>
  <c r="L273" i="3"/>
  <c r="M694" i="1"/>
  <c r="N304" i="3"/>
  <c r="L100" i="3"/>
  <c r="H172" i="1"/>
  <c r="O192" i="3"/>
  <c r="O672" i="1"/>
  <c r="G337" i="1"/>
  <c r="N498" i="1"/>
  <c r="G696" i="1"/>
  <c r="K104" i="1"/>
  <c r="N153" i="3"/>
  <c r="Q393" i="1"/>
  <c r="N251" i="3"/>
  <c r="M128" i="1"/>
  <c r="K217" i="3"/>
  <c r="M373" i="3"/>
  <c r="K159" i="1"/>
  <c r="K280" i="1"/>
  <c r="P277" i="1"/>
  <c r="K547" i="1"/>
  <c r="J377" i="1"/>
  <c r="G177" i="1"/>
  <c r="M23" i="3"/>
  <c r="O410" i="1"/>
  <c r="K438" i="1"/>
  <c r="Q183" i="1"/>
  <c r="H403" i="1"/>
  <c r="O229" i="3"/>
  <c r="H220" i="1"/>
  <c r="N57" i="3"/>
  <c r="P53" i="1"/>
  <c r="Q111" i="1"/>
  <c r="J191" i="1"/>
  <c r="O72" i="3"/>
  <c r="P227" i="3"/>
  <c r="O49" i="1"/>
  <c r="N238" i="1"/>
  <c r="G258" i="1"/>
  <c r="P134" i="1"/>
  <c r="O208" i="1"/>
  <c r="N270" i="3"/>
  <c r="O543" i="1"/>
  <c r="P213" i="3"/>
  <c r="O193" i="1"/>
  <c r="M172" i="1"/>
  <c r="H56" i="1"/>
  <c r="N56" i="1"/>
  <c r="K175" i="3"/>
  <c r="G528" i="1"/>
  <c r="N18" i="3"/>
  <c r="O93" i="3"/>
  <c r="J229" i="3"/>
  <c r="J123" i="3"/>
  <c r="N638" i="1"/>
  <c r="O100" i="1"/>
  <c r="M663" i="1"/>
  <c r="M696" i="1"/>
  <c r="G538" i="1"/>
  <c r="N158" i="3"/>
  <c r="P410" i="1"/>
  <c r="G158" i="1"/>
  <c r="M580" i="1"/>
  <c r="H44" i="1"/>
  <c r="L642" i="1"/>
  <c r="J482" i="1"/>
  <c r="K345" i="3"/>
  <c r="G150" i="3"/>
  <c r="P387" i="1"/>
  <c r="K336" i="3"/>
  <c r="K508" i="1"/>
  <c r="G409" i="1"/>
  <c r="O374" i="3"/>
  <c r="H386" i="1"/>
  <c r="N100" i="3"/>
  <c r="L146" i="1"/>
  <c r="N569" i="1"/>
  <c r="G167" i="1"/>
  <c r="M213" i="3"/>
  <c r="O75" i="3"/>
  <c r="L323" i="3"/>
  <c r="G67" i="1"/>
  <c r="J23" i="3"/>
  <c r="H467" i="1"/>
  <c r="O402" i="1"/>
  <c r="N258" i="3"/>
  <c r="M379" i="1"/>
  <c r="J140" i="1"/>
  <c r="O123" i="3"/>
  <c r="G474" i="1"/>
  <c r="L163" i="3"/>
  <c r="K605" i="1"/>
  <c r="H604" i="1"/>
  <c r="K52" i="3"/>
  <c r="Q167" i="1"/>
  <c r="N222" i="1"/>
  <c r="H24" i="1"/>
  <c r="J290" i="3"/>
  <c r="Q51" i="3"/>
  <c r="O345" i="3"/>
  <c r="J385" i="1"/>
  <c r="N72" i="1"/>
  <c r="L261" i="1"/>
  <c r="N393" i="1"/>
  <c r="Q175" i="3"/>
  <c r="L104" i="1"/>
  <c r="H652" i="1"/>
  <c r="H373" i="3"/>
  <c r="Q327" i="1"/>
  <c r="M384" i="1"/>
  <c r="G103" i="1"/>
  <c r="Q270" i="3"/>
  <c r="Q87" i="3"/>
  <c r="L104" i="3"/>
  <c r="J453" i="1"/>
  <c r="P493" i="1"/>
  <c r="Q265" i="3"/>
  <c r="K163" i="3"/>
  <c r="Q130" i="1"/>
  <c r="N519" i="1"/>
  <c r="Q454" i="1"/>
  <c r="G515" i="1"/>
  <c r="N156" i="1"/>
  <c r="H143" i="3"/>
  <c r="J22" i="3"/>
  <c r="O51" i="3"/>
  <c r="O575" i="1"/>
  <c r="M611" i="1"/>
  <c r="N169" i="3"/>
  <c r="K183" i="1"/>
  <c r="Q625" i="1"/>
  <c r="N32" i="1"/>
  <c r="M138" i="1"/>
  <c r="G454" i="1"/>
  <c r="M516" i="1"/>
  <c r="P690" i="1"/>
  <c r="G290" i="3"/>
  <c r="L37" i="3"/>
  <c r="G104" i="3"/>
  <c r="K118" i="3"/>
  <c r="K169" i="3"/>
  <c r="P448" i="1"/>
  <c r="O541" i="1"/>
  <c r="Q360" i="1"/>
  <c r="O403" i="1"/>
  <c r="N14" i="3"/>
  <c r="K255" i="1"/>
  <c r="O83" i="1"/>
  <c r="G130" i="1"/>
  <c r="H103" i="1"/>
  <c r="O581" i="1"/>
  <c r="Q109" i="1"/>
  <c r="N242" i="1"/>
  <c r="K87" i="3"/>
  <c r="M95" i="1"/>
  <c r="M173" i="3"/>
  <c r="O448" i="1"/>
  <c r="N243" i="1"/>
  <c r="J379" i="1"/>
  <c r="H413" i="1"/>
  <c r="L178" i="1"/>
  <c r="N124" i="1"/>
  <c r="G18" i="1"/>
  <c r="K608" i="1"/>
  <c r="P626" i="1"/>
  <c r="K229" i="3"/>
  <c r="Q452" i="1"/>
  <c r="M321" i="3"/>
  <c r="N53" i="1"/>
  <c r="P467" i="1"/>
  <c r="P413" i="1"/>
  <c r="H673" i="1"/>
  <c r="Q153" i="3"/>
  <c r="L393" i="1"/>
  <c r="P372" i="3"/>
  <c r="L343" i="1"/>
  <c r="L22" i="3"/>
  <c r="P518" i="1"/>
  <c r="K207" i="3"/>
  <c r="N38" i="1"/>
  <c r="P158" i="1"/>
  <c r="K146" i="1"/>
  <c r="H621" i="1"/>
  <c r="G75" i="3"/>
  <c r="L416" i="1"/>
  <c r="L72" i="3"/>
  <c r="K410" i="1"/>
  <c r="K286" i="3"/>
  <c r="J367" i="1"/>
  <c r="K453" i="1"/>
  <c r="Q402" i="1"/>
  <c r="H238" i="1"/>
  <c r="L300" i="3"/>
  <c r="P261" i="1"/>
  <c r="L53" i="3"/>
  <c r="L87" i="3"/>
  <c r="H336" i="3"/>
  <c r="Q19" i="3"/>
  <c r="G676" i="1"/>
  <c r="M163" i="3"/>
  <c r="G20" i="1"/>
  <c r="K59" i="1"/>
  <c r="K530" i="1"/>
  <c r="H516" i="1"/>
  <c r="N95" i="1"/>
  <c r="M176" i="1"/>
  <c r="Q290" i="3"/>
  <c r="O260" i="1"/>
  <c r="H694" i="1"/>
  <c r="G461" i="1"/>
  <c r="P273" i="3"/>
  <c r="P391" i="1"/>
  <c r="N128" i="1"/>
  <c r="M609" i="1"/>
  <c r="H611" i="1"/>
  <c r="P53" i="3"/>
  <c r="H193" i="1"/>
  <c r="P336" i="1"/>
  <c r="H14" i="1"/>
  <c r="Q87" i="1"/>
  <c r="H318" i="3"/>
  <c r="M72" i="3"/>
  <c r="N688" i="1"/>
  <c r="P576" i="1"/>
  <c r="G118" i="3"/>
  <c r="Q38" i="1"/>
  <c r="K134" i="1"/>
  <c r="N581" i="1"/>
  <c r="K182" i="3"/>
  <c r="H33" i="3"/>
  <c r="N185" i="1"/>
  <c r="H169" i="1"/>
  <c r="M431" i="1"/>
  <c r="Q260" i="3"/>
  <c r="G79" i="3"/>
  <c r="K67" i="1"/>
  <c r="J114" i="3"/>
  <c r="G243" i="1"/>
  <c r="M322" i="1"/>
  <c r="P318" i="3"/>
  <c r="H82" i="3"/>
  <c r="L420" i="1"/>
  <c r="H488" i="1"/>
  <c r="P650" i="1"/>
  <c r="H64" i="3"/>
  <c r="N305" i="3"/>
  <c r="Q305" i="3"/>
  <c r="G68" i="1"/>
  <c r="Q561" i="1"/>
  <c r="L217" i="3"/>
  <c r="N112" i="1"/>
  <c r="H222" i="1"/>
  <c r="L372" i="1"/>
  <c r="P100" i="3"/>
  <c r="L227" i="3"/>
  <c r="P22" i="1"/>
  <c r="N278" i="1"/>
  <c r="N121" i="1"/>
  <c r="G480" i="1"/>
  <c r="N658" i="1"/>
  <c r="J467" i="1"/>
  <c r="N508" i="1"/>
  <c r="O221" i="1"/>
  <c r="L606" i="1"/>
  <c r="O227" i="3"/>
  <c r="N156" i="3"/>
  <c r="K500" i="1"/>
  <c r="M140" i="1"/>
  <c r="K64" i="3"/>
  <c r="O474" i="1"/>
  <c r="J286" i="3"/>
  <c r="P373" i="3"/>
  <c r="L337" i="3"/>
  <c r="O236" i="1"/>
  <c r="N72" i="3"/>
  <c r="L260" i="3"/>
  <c r="Q23" i="1"/>
  <c r="Q223" i="1"/>
  <c r="M207" i="3"/>
  <c r="Q523" i="1"/>
  <c r="G23" i="3"/>
  <c r="H297" i="3"/>
  <c r="G372" i="3"/>
  <c r="N621" i="1"/>
  <c r="L156" i="3"/>
  <c r="N234" i="3"/>
  <c r="O243" i="1"/>
  <c r="L173" i="3"/>
  <c r="N193" i="1"/>
  <c r="P528" i="1"/>
  <c r="N82" i="3"/>
  <c r="H127" i="3"/>
  <c r="J158" i="3"/>
  <c r="P580" i="1"/>
  <c r="N64" i="3"/>
  <c r="O156" i="3"/>
  <c r="N467" i="1"/>
  <c r="H75" i="3"/>
  <c r="M121" i="1"/>
  <c r="P56" i="1"/>
  <c r="Q184" i="1"/>
  <c r="L123" i="3"/>
  <c r="P207" i="3"/>
  <c r="J322" i="1"/>
  <c r="O24" i="3"/>
  <c r="M75" i="3"/>
  <c r="O357" i="1"/>
  <c r="L270" i="1"/>
  <c r="H118" i="3"/>
  <c r="L523" i="1"/>
  <c r="G87" i="1"/>
  <c r="Q304" i="3"/>
  <c r="P608" i="1"/>
  <c r="H151" i="1"/>
  <c r="K327" i="1"/>
  <c r="H614" i="1"/>
  <c r="N515" i="1"/>
  <c r="Q258" i="1"/>
  <c r="J391" i="1"/>
  <c r="O582" i="1"/>
  <c r="J658" i="1"/>
  <c r="G260" i="1"/>
  <c r="K23" i="3"/>
  <c r="K420" i="1"/>
  <c r="P416" i="1"/>
  <c r="L72" i="1"/>
  <c r="N204" i="1"/>
  <c r="H192" i="1"/>
  <c r="P584" i="1"/>
  <c r="O344" i="1"/>
  <c r="O255" i="1"/>
  <c r="H251" i="3"/>
  <c r="L418" i="1"/>
  <c r="G386" i="1"/>
  <c r="J87" i="3"/>
  <c r="O336" i="1"/>
  <c r="K403" i="1"/>
  <c r="N360" i="1"/>
  <c r="M572" i="1"/>
  <c r="J625" i="1"/>
  <c r="L457" i="1"/>
  <c r="M229" i="3"/>
  <c r="L349" i="1"/>
  <c r="M175" i="3"/>
  <c r="N166" i="1"/>
  <c r="G22" i="1"/>
  <c r="P95" i="3"/>
  <c r="K24" i="1"/>
  <c r="Q457" i="1"/>
  <c r="O493" i="1"/>
  <c r="G186" i="1"/>
  <c r="L490" i="1"/>
  <c r="K24" i="3"/>
  <c r="P33" i="1"/>
  <c r="N53" i="3"/>
  <c r="Q401" i="1"/>
  <c r="N143" i="3"/>
  <c r="K663" i="1"/>
  <c r="L312" i="1"/>
  <c r="N183" i="1"/>
  <c r="Q156" i="3"/>
  <c r="N331" i="1"/>
  <c r="M20" i="1"/>
  <c r="L415" i="1"/>
  <c r="O545" i="1"/>
  <c r="Q409" i="1"/>
  <c r="K409" i="1"/>
  <c r="H576" i="1"/>
  <c r="Q234" i="3"/>
  <c r="H258" i="3"/>
  <c r="L168" i="1"/>
  <c r="Q506" i="1"/>
  <c r="N538" i="1"/>
  <c r="M87" i="3"/>
  <c r="J32" i="3"/>
  <c r="O547" i="1"/>
  <c r="K297" i="3"/>
  <c r="J95" i="1"/>
  <c r="G192" i="3"/>
  <c r="H72" i="1"/>
  <c r="P280" i="1"/>
  <c r="P208" i="1"/>
  <c r="L64" i="3"/>
  <c r="Q696" i="1"/>
  <c r="O124" i="1"/>
  <c r="H153" i="3"/>
  <c r="O91" i="3"/>
  <c r="K693" i="1"/>
  <c r="Q386" i="1"/>
  <c r="G321" i="3"/>
  <c r="J569" i="1"/>
  <c r="G234" i="3"/>
  <c r="H138" i="1"/>
  <c r="N158" i="1"/>
  <c r="P178" i="1"/>
  <c r="H688" i="1"/>
  <c r="G169" i="3"/>
  <c r="H506" i="1"/>
  <c r="G694" i="1"/>
  <c r="K221" i="1"/>
  <c r="P367" i="1"/>
  <c r="K119" i="3"/>
  <c r="L167" i="1"/>
  <c r="P268" i="3"/>
  <c r="H492" i="1"/>
  <c r="J59" i="1"/>
  <c r="M402" i="1"/>
  <c r="H343" i="1"/>
  <c r="N277" i="1"/>
  <c r="O652" i="1"/>
  <c r="J188" i="1"/>
  <c r="O327" i="3"/>
  <c r="H295" i="1"/>
  <c r="J527" i="1"/>
  <c r="G544" i="1"/>
  <c r="K101" i="3"/>
  <c r="H334" i="1"/>
  <c r="M111" i="3"/>
  <c r="L237" i="1"/>
  <c r="L274" i="3"/>
  <c r="K392" i="1"/>
  <c r="P196" i="1"/>
  <c r="G149" i="1"/>
  <c r="P309" i="1"/>
  <c r="N71" i="3"/>
  <c r="K667" i="1"/>
  <c r="Q537" i="1"/>
  <c r="H535" i="1"/>
  <c r="K60" i="1"/>
  <c r="K43" i="3"/>
  <c r="O522" i="1"/>
  <c r="N299" i="3"/>
  <c r="G681" i="1"/>
  <c r="P412" i="1"/>
  <c r="H59" i="3"/>
  <c r="N644" i="1"/>
  <c r="K30" i="1"/>
  <c r="H411" i="1"/>
  <c r="N631" i="1"/>
  <c r="H146" i="3"/>
  <c r="K131" i="1"/>
  <c r="L25" i="1"/>
  <c r="H141" i="1"/>
  <c r="M141" i="1"/>
  <c r="O256" i="3"/>
  <c r="J341" i="1"/>
  <c r="L58" i="1"/>
  <c r="G269" i="1"/>
  <c r="L432" i="1"/>
  <c r="Q55" i="3"/>
  <c r="Q46" i="1"/>
  <c r="N7" i="3"/>
  <c r="G351" i="1"/>
  <c r="M257" i="1"/>
  <c r="N231" i="3"/>
  <c r="J634" i="1"/>
  <c r="L194" i="1"/>
  <c r="J551" i="1"/>
  <c r="N502" i="1"/>
  <c r="H578" i="1"/>
  <c r="G261" i="3"/>
  <c r="M56" i="3"/>
  <c r="H277" i="3"/>
  <c r="P685" i="1"/>
  <c r="J535" i="1"/>
  <c r="G21" i="1"/>
  <c r="H322" i="3"/>
  <c r="L199" i="1"/>
  <c r="Q96" i="3"/>
  <c r="L404" i="1"/>
  <c r="O129" i="3"/>
  <c r="P682" i="1"/>
  <c r="H211" i="3"/>
  <c r="K155" i="1"/>
  <c r="K78" i="3"/>
  <c r="G618" i="1"/>
  <c r="G171" i="1"/>
  <c r="O324" i="1"/>
  <c r="H619" i="1"/>
  <c r="K20" i="3"/>
  <c r="N145" i="3"/>
  <c r="P253" i="3"/>
  <c r="G371" i="1"/>
  <c r="P185" i="3"/>
  <c r="N363" i="3"/>
  <c r="M335" i="3"/>
  <c r="L83" i="3"/>
  <c r="Q208" i="3"/>
  <c r="K228" i="3"/>
  <c r="Q282" i="1"/>
  <c r="J155" i="3"/>
  <c r="N125" i="1"/>
  <c r="L125" i="1"/>
  <c r="O132" i="3"/>
  <c r="G662" i="1"/>
  <c r="P7" i="1"/>
  <c r="N10" i="1"/>
  <c r="G157" i="1"/>
  <c r="P475" i="1"/>
  <c r="G343" i="3"/>
  <c r="J370" i="3"/>
  <c r="N381" i="1"/>
  <c r="M641" i="1"/>
  <c r="M77" i="1"/>
  <c r="H54" i="3"/>
  <c r="L43" i="1"/>
  <c r="Q317" i="3"/>
  <c r="J583" i="1"/>
  <c r="N120" i="3"/>
  <c r="O295" i="1"/>
  <c r="N499" i="1"/>
  <c r="Q433" i="1"/>
  <c r="K352" i="1"/>
  <c r="P555" i="1"/>
  <c r="H335" i="1"/>
  <c r="O92" i="3"/>
  <c r="H157" i="3"/>
  <c r="P12" i="3"/>
  <c r="L333" i="1"/>
  <c r="O244" i="3"/>
  <c r="N149" i="1"/>
  <c r="N550" i="1"/>
  <c r="G617" i="1"/>
  <c r="K412" i="1"/>
  <c r="N56" i="3"/>
  <c r="L392" i="1"/>
  <c r="O154" i="1"/>
  <c r="H440" i="1"/>
  <c r="P594" i="1"/>
  <c r="G134" i="3"/>
  <c r="P618" i="1"/>
  <c r="J256" i="3"/>
  <c r="G127" i="1"/>
  <c r="P631" i="1"/>
  <c r="H10" i="3"/>
  <c r="P137" i="1"/>
  <c r="K196" i="1"/>
  <c r="H77" i="1"/>
  <c r="P257" i="1"/>
  <c r="O200" i="3"/>
  <c r="P426" i="1"/>
  <c r="P153" i="1"/>
  <c r="H309" i="1"/>
  <c r="O269" i="1"/>
  <c r="L266" i="3"/>
  <c r="J440" i="1"/>
  <c r="O347" i="1"/>
  <c r="G279" i="1"/>
  <c r="Q560" i="1"/>
  <c r="H324" i="1"/>
  <c r="L142" i="1"/>
  <c r="M165" i="3"/>
  <c r="G567" i="1"/>
  <c r="O560" i="1"/>
  <c r="Q200" i="3"/>
  <c r="P199" i="1"/>
  <c r="O57" i="1"/>
  <c r="J424" i="1"/>
  <c r="K274" i="1"/>
  <c r="H58" i="1"/>
  <c r="M326" i="3"/>
  <c r="L261" i="3"/>
  <c r="P328" i="3"/>
  <c r="N206" i="1"/>
  <c r="G152" i="1"/>
  <c r="J43" i="1"/>
  <c r="M261" i="3"/>
  <c r="M404" i="1"/>
  <c r="G360" i="3"/>
  <c r="Q421" i="1"/>
  <c r="O261" i="3"/>
  <c r="Q133" i="1"/>
  <c r="K274" i="3"/>
  <c r="O610" i="1"/>
  <c r="P111" i="3"/>
  <c r="J542" i="1"/>
  <c r="J347" i="1"/>
  <c r="L10" i="1"/>
  <c r="H661" i="1"/>
  <c r="O121" i="3"/>
  <c r="Q206" i="3"/>
  <c r="O338" i="3"/>
  <c r="O7" i="1"/>
  <c r="O10" i="3"/>
  <c r="O317" i="3"/>
  <c r="K145" i="3"/>
  <c r="K15" i="3"/>
  <c r="K58" i="3"/>
  <c r="H228" i="3"/>
  <c r="M414" i="1"/>
  <c r="O126" i="3"/>
  <c r="Q123" i="1"/>
  <c r="N123" i="1"/>
  <c r="N322" i="3"/>
  <c r="J206" i="1"/>
  <c r="P181" i="1"/>
  <c r="N661" i="1"/>
  <c r="O342" i="1"/>
  <c r="P267" i="1"/>
  <c r="P159" i="3"/>
  <c r="P358" i="3"/>
  <c r="O562" i="1"/>
  <c r="M55" i="1"/>
  <c r="P124" i="3"/>
  <c r="O442" i="1"/>
  <c r="P264" i="3"/>
  <c r="O63" i="3"/>
  <c r="Q459" i="1"/>
  <c r="N78" i="3"/>
  <c r="G50" i="3"/>
  <c r="M295" i="1"/>
  <c r="M98" i="3"/>
  <c r="M353" i="1"/>
  <c r="J50" i="3"/>
  <c r="G309" i="3"/>
  <c r="N554" i="1"/>
  <c r="O544" i="1"/>
  <c r="O364" i="3"/>
  <c r="H252" i="3"/>
  <c r="O279" i="1"/>
  <c r="J357" i="3"/>
  <c r="K577" i="1"/>
  <c r="J355" i="3"/>
  <c r="G394" i="1"/>
  <c r="O276" i="1"/>
  <c r="N252" i="3"/>
  <c r="O681" i="1"/>
  <c r="K479" i="1"/>
  <c r="G475" i="1"/>
  <c r="O157" i="1"/>
  <c r="O78" i="3"/>
  <c r="P107" i="1"/>
  <c r="G274" i="3"/>
  <c r="G141" i="1"/>
  <c r="Q257" i="1"/>
  <c r="L117" i="3"/>
  <c r="N681" i="1"/>
  <c r="M361" i="3"/>
  <c r="H180" i="1"/>
  <c r="N432" i="1"/>
  <c r="P346" i="3"/>
  <c r="M522" i="1"/>
  <c r="K249" i="1"/>
  <c r="G636" i="1"/>
  <c r="K365" i="1"/>
  <c r="P366" i="3"/>
  <c r="J35" i="1"/>
  <c r="P194" i="1"/>
  <c r="G180" i="1"/>
  <c r="K657" i="1"/>
  <c r="H394" i="1"/>
  <c r="L398" i="1"/>
  <c r="H73" i="3"/>
  <c r="G15" i="1"/>
  <c r="Q502" i="1"/>
  <c r="K299" i="3"/>
  <c r="P503" i="1"/>
  <c r="Q218" i="1"/>
  <c r="J618" i="1"/>
  <c r="P546" i="1"/>
  <c r="G234" i="1"/>
  <c r="Q196" i="3"/>
  <c r="P326" i="3"/>
  <c r="N303" i="3"/>
  <c r="Q366" i="1"/>
  <c r="G63" i="1"/>
  <c r="J598" i="1"/>
  <c r="Q326" i="3"/>
  <c r="M421" i="1"/>
  <c r="L146" i="3"/>
  <c r="L149" i="1"/>
  <c r="K242" i="3"/>
  <c r="Q395" i="1"/>
  <c r="L7" i="3"/>
  <c r="L502" i="1"/>
  <c r="L15" i="3"/>
  <c r="J276" i="1"/>
  <c r="L551" i="1"/>
  <c r="N395" i="1"/>
  <c r="H398" i="1"/>
  <c r="J63" i="3"/>
  <c r="J239" i="3"/>
  <c r="M370" i="3"/>
  <c r="O181" i="1"/>
  <c r="G551" i="1"/>
  <c r="Q141" i="3"/>
  <c r="Q279" i="3"/>
  <c r="J616" i="1"/>
  <c r="H117" i="3"/>
  <c r="K296" i="3"/>
  <c r="O129" i="1"/>
  <c r="J96" i="3"/>
  <c r="Q601" i="1"/>
  <c r="P601" i="1"/>
  <c r="P363" i="3"/>
  <c r="G155" i="1"/>
  <c r="M439" i="1"/>
  <c r="M430" i="1"/>
  <c r="K10" i="1"/>
  <c r="L430" i="1"/>
  <c r="L88" i="3"/>
  <c r="M537" i="1"/>
  <c r="P301" i="3"/>
  <c r="L562" i="1"/>
  <c r="M325" i="3"/>
  <c r="J54" i="3"/>
  <c r="Q325" i="3"/>
  <c r="G439" i="1"/>
  <c r="P598" i="1"/>
  <c r="J122" i="3"/>
  <c r="P309" i="3"/>
  <c r="K275" i="3"/>
  <c r="Q17" i="3"/>
  <c r="N433" i="1"/>
  <c r="Q19" i="1"/>
  <c r="L433" i="1"/>
  <c r="H554" i="1"/>
  <c r="K633" i="1"/>
  <c r="K93" i="1"/>
  <c r="G188" i="1"/>
  <c r="O101" i="3"/>
  <c r="O353" i="1"/>
  <c r="P289" i="1"/>
  <c r="J353" i="1"/>
  <c r="P353" i="1"/>
  <c r="G117" i="3"/>
  <c r="K61" i="1"/>
  <c r="H357" i="3"/>
  <c r="L324" i="1"/>
  <c r="H281" i="3"/>
  <c r="G267" i="1"/>
  <c r="M60" i="1"/>
  <c r="P146" i="3"/>
  <c r="M574" i="1"/>
  <c r="K281" i="3"/>
  <c r="G426" i="1"/>
  <c r="L339" i="1"/>
  <c r="O245" i="3"/>
  <c r="O459" i="1"/>
  <c r="K366" i="3"/>
  <c r="G558" i="1"/>
  <c r="Q432" i="1"/>
  <c r="J211" i="3"/>
  <c r="M131" i="1"/>
  <c r="P299" i="3"/>
  <c r="H218" i="1"/>
  <c r="P657" i="1"/>
  <c r="L211" i="3"/>
  <c r="M573" i="1"/>
  <c r="L154" i="1"/>
  <c r="G181" i="1"/>
  <c r="O567" i="1"/>
  <c r="G357" i="3"/>
  <c r="L424" i="1"/>
  <c r="N153" i="1"/>
  <c r="G560" i="1"/>
  <c r="M274" i="1"/>
  <c r="H237" i="1"/>
  <c r="O180" i="1"/>
  <c r="L228" i="3"/>
  <c r="G592" i="1"/>
  <c r="O657" i="1"/>
  <c r="N245" i="3"/>
  <c r="K40" i="1"/>
  <c r="N414" i="1"/>
  <c r="J333" i="1"/>
  <c r="N390" i="1"/>
  <c r="G365" i="1"/>
  <c r="M159" i="3"/>
  <c r="G242" i="3"/>
  <c r="J238" i="3"/>
  <c r="Q207" i="1"/>
  <c r="O199" i="1"/>
  <c r="J594" i="1"/>
  <c r="H242" i="3"/>
  <c r="P361" i="1"/>
  <c r="L303" i="3"/>
  <c r="Q324" i="1"/>
  <c r="N155" i="3"/>
  <c r="P483" i="1"/>
  <c r="Q54" i="3"/>
  <c r="O549" i="1"/>
  <c r="H296" i="3"/>
  <c r="G347" i="1"/>
  <c r="N421" i="1"/>
  <c r="P333" i="3"/>
  <c r="H79" i="1"/>
  <c r="J644" i="1"/>
  <c r="G502" i="1"/>
  <c r="J358" i="3"/>
  <c r="P43" i="1"/>
  <c r="J125" i="1"/>
  <c r="L126" i="3"/>
  <c r="P355" i="3"/>
  <c r="J76" i="1"/>
  <c r="P196" i="3"/>
  <c r="G421" i="1"/>
  <c r="G289" i="3"/>
  <c r="G212" i="3"/>
  <c r="P63" i="1"/>
  <c r="O63" i="1"/>
  <c r="K167" i="3"/>
  <c r="G339" i="1"/>
  <c r="Q61" i="1"/>
  <c r="M590" i="1"/>
  <c r="K430" i="1"/>
  <c r="M145" i="1"/>
  <c r="H42" i="3"/>
  <c r="O77" i="1"/>
  <c r="N162" i="3"/>
  <c r="Q444" i="1"/>
  <c r="G164" i="1"/>
  <c r="J483" i="1"/>
  <c r="G143" i="1"/>
  <c r="P484" i="1"/>
  <c r="Q430" i="1"/>
  <c r="M38" i="3"/>
  <c r="P499" i="1"/>
  <c r="H110" i="1"/>
  <c r="M17" i="3"/>
  <c r="H374" i="1"/>
  <c r="G354" i="1"/>
  <c r="L289" i="1"/>
  <c r="O13" i="3"/>
  <c r="J106" i="1"/>
  <c r="P13" i="1"/>
  <c r="K188" i="1"/>
  <c r="M554" i="1"/>
  <c r="G295" i="1"/>
  <c r="L358" i="3"/>
  <c r="N366" i="1"/>
  <c r="H212" i="3"/>
  <c r="P574" i="1"/>
  <c r="M206" i="3"/>
  <c r="G411" i="1"/>
  <c r="N549" i="1"/>
  <c r="L346" i="3"/>
  <c r="K234" i="1"/>
  <c r="H299" i="3"/>
  <c r="G573" i="1"/>
  <c r="K563" i="1"/>
  <c r="N244" i="3"/>
  <c r="Q619" i="1"/>
  <c r="O376" i="3"/>
  <c r="G610" i="1"/>
  <c r="P628" i="1"/>
  <c r="J166" i="3"/>
  <c r="P234" i="1"/>
  <c r="L256" i="3"/>
  <c r="G661" i="1"/>
  <c r="P60" i="1"/>
  <c r="Q59" i="3"/>
  <c r="K163" i="1"/>
  <c r="M30" i="1"/>
  <c r="G131" i="1"/>
  <c r="M259" i="1"/>
  <c r="O269" i="3"/>
  <c r="N680" i="1"/>
  <c r="G346" i="3"/>
  <c r="G274" i="1"/>
  <c r="K371" i="1"/>
  <c r="H466" i="1"/>
  <c r="M15" i="1"/>
  <c r="J61" i="3"/>
  <c r="G126" i="1"/>
  <c r="O274" i="1"/>
  <c r="N185" i="3"/>
  <c r="O426" i="1"/>
  <c r="G335" i="3"/>
  <c r="J142" i="1"/>
  <c r="O88" i="1"/>
  <c r="G309" i="1"/>
  <c r="M199" i="3"/>
  <c r="H199" i="3"/>
  <c r="K294" i="3"/>
  <c r="G344" i="3"/>
  <c r="P404" i="1"/>
  <c r="G123" i="1"/>
  <c r="L155" i="3"/>
  <c r="Q489" i="1"/>
  <c r="L354" i="3"/>
  <c r="O361" i="1"/>
  <c r="O199" i="3"/>
  <c r="O12" i="1"/>
  <c r="G35" i="3"/>
  <c r="M102" i="1"/>
  <c r="H459" i="1"/>
  <c r="J218" i="1"/>
  <c r="M616" i="1"/>
  <c r="Q355" i="3"/>
  <c r="H157" i="1"/>
  <c r="O135" i="1"/>
  <c r="J466" i="1"/>
  <c r="G253" i="3"/>
  <c r="N61" i="1"/>
  <c r="J371" i="1"/>
  <c r="Q88" i="3"/>
  <c r="J301" i="3"/>
  <c r="J117" i="1"/>
  <c r="K253" i="3"/>
  <c r="G680" i="1"/>
  <c r="G132" i="3"/>
  <c r="O201" i="3"/>
  <c r="J377" i="3"/>
  <c r="G296" i="3"/>
  <c r="G317" i="3"/>
  <c r="Q7" i="1"/>
  <c r="P542" i="1"/>
  <c r="K641" i="1"/>
  <c r="L590" i="1"/>
  <c r="Q657" i="1"/>
  <c r="Q598" i="1"/>
  <c r="Q472" i="1"/>
  <c r="J253" i="3"/>
  <c r="O634" i="1"/>
  <c r="M7" i="1"/>
  <c r="M342" i="1"/>
  <c r="N267" i="1"/>
  <c r="M597" i="1"/>
  <c r="L145" i="1"/>
  <c r="O186" i="3"/>
  <c r="N106" i="1"/>
  <c r="P275" i="3"/>
  <c r="N295" i="1"/>
  <c r="L295" i="1"/>
  <c r="K295" i="1"/>
  <c r="H52" i="1"/>
  <c r="P17" i="3"/>
  <c r="L93" i="1"/>
  <c r="H289" i="1"/>
  <c r="K555" i="1"/>
  <c r="L13" i="1"/>
  <c r="L449" i="1"/>
  <c r="P98" i="1"/>
  <c r="L554" i="1"/>
  <c r="J544" i="1"/>
  <c r="H279" i="1"/>
  <c r="L462" i="1"/>
  <c r="G111" i="3"/>
  <c r="M234" i="1"/>
  <c r="N274" i="3"/>
  <c r="G77" i="1"/>
  <c r="N594" i="1"/>
  <c r="K200" i="3"/>
  <c r="P394" i="1"/>
  <c r="P274" i="3"/>
  <c r="G284" i="1"/>
  <c r="P341" i="1"/>
  <c r="H244" i="3"/>
  <c r="O117" i="1"/>
  <c r="L360" i="3"/>
  <c r="G628" i="1"/>
  <c r="M341" i="1"/>
  <c r="Q132" i="3"/>
  <c r="N426" i="1"/>
  <c r="M366" i="3"/>
  <c r="G590" i="1"/>
  <c r="L628" i="1"/>
  <c r="P252" i="3"/>
  <c r="K107" i="1"/>
  <c r="P361" i="3"/>
  <c r="G522" i="1"/>
  <c r="K46" i="1"/>
  <c r="M277" i="3"/>
  <c r="M137" i="1"/>
  <c r="Q354" i="3"/>
  <c r="G472" i="1"/>
  <c r="O595" i="1"/>
  <c r="H321" i="1"/>
  <c r="P143" i="1"/>
  <c r="N354" i="3"/>
  <c r="G630" i="1"/>
  <c r="N65" i="1"/>
  <c r="N165" i="3"/>
  <c r="Q163" i="1"/>
  <c r="J279" i="3"/>
  <c r="J309" i="1"/>
  <c r="P440" i="1"/>
  <c r="G207" i="1"/>
  <c r="L60" i="3"/>
  <c r="O60" i="3"/>
  <c r="M357" i="3"/>
  <c r="J277" i="3"/>
  <c r="L617" i="1"/>
  <c r="J152" i="1"/>
  <c r="L199" i="3"/>
  <c r="M617" i="1"/>
  <c r="L43" i="3"/>
  <c r="O489" i="1"/>
  <c r="L66" i="3"/>
  <c r="Q84" i="1"/>
  <c r="O38" i="3"/>
  <c r="P350" i="3"/>
  <c r="H125" i="1"/>
  <c r="P551" i="1"/>
  <c r="P149" i="1"/>
  <c r="P200" i="3"/>
  <c r="J135" i="1"/>
  <c r="N342" i="1"/>
  <c r="L484" i="1"/>
  <c r="M186" i="3"/>
  <c r="O590" i="1"/>
  <c r="G88" i="1"/>
  <c r="J25" i="3"/>
  <c r="G616" i="1"/>
  <c r="J55" i="1"/>
  <c r="G121" i="3"/>
  <c r="N483" i="1"/>
  <c r="N58" i="3"/>
  <c r="M132" i="3"/>
  <c r="L289" i="3"/>
  <c r="M289" i="3"/>
  <c r="H74" i="3"/>
  <c r="N392" i="1"/>
  <c r="L641" i="1"/>
  <c r="Q466" i="1"/>
  <c r="O466" i="1"/>
  <c r="P442" i="1"/>
  <c r="M237" i="1"/>
  <c r="O462" i="1"/>
  <c r="H370" i="3"/>
  <c r="H254" i="3"/>
  <c r="N475" i="1"/>
  <c r="K466" i="1"/>
  <c r="N598" i="1"/>
  <c r="P590" i="1"/>
  <c r="K145" i="1"/>
  <c r="M317" i="3"/>
  <c r="K117" i="3"/>
  <c r="N602" i="1"/>
  <c r="Q101" i="3"/>
  <c r="Q93" i="1"/>
  <c r="H499" i="1"/>
  <c r="Q17" i="1"/>
  <c r="N354" i="1"/>
  <c r="J214" i="3"/>
  <c r="J52" i="1"/>
  <c r="Q309" i="3"/>
  <c r="O653" i="1"/>
  <c r="H462" i="1"/>
  <c r="M412" i="1"/>
  <c r="K303" i="3"/>
  <c r="O618" i="1"/>
  <c r="P244" i="3"/>
  <c r="G685" i="1"/>
  <c r="M628" i="1"/>
  <c r="O111" i="3"/>
  <c r="Q522" i="1"/>
  <c r="J269" i="3"/>
  <c r="G84" i="1"/>
  <c r="Q375" i="1"/>
  <c r="H617" i="1"/>
  <c r="P365" i="1"/>
  <c r="J302" i="3"/>
  <c r="G578" i="1"/>
  <c r="M152" i="1"/>
  <c r="G211" i="3"/>
  <c r="K522" i="1"/>
  <c r="G116" i="3"/>
  <c r="G507" i="1"/>
  <c r="Q157" i="1"/>
  <c r="G250" i="3"/>
  <c r="P491" i="1"/>
  <c r="O354" i="3"/>
  <c r="G395" i="1"/>
  <c r="O142" i="1"/>
  <c r="G328" i="3"/>
  <c r="L426" i="1"/>
  <c r="P285" i="3"/>
  <c r="G196" i="1"/>
  <c r="N341" i="1"/>
  <c r="J137" i="1"/>
  <c r="N257" i="1"/>
  <c r="N296" i="3"/>
  <c r="G634" i="1"/>
  <c r="M390" i="1"/>
  <c r="K7" i="3"/>
  <c r="Q43" i="1"/>
  <c r="K350" i="3"/>
  <c r="J79" i="1"/>
  <c r="L603" i="1"/>
  <c r="J65" i="1"/>
  <c r="P166" i="3"/>
  <c r="O355" i="3"/>
  <c r="Q302" i="3"/>
  <c r="Q328" i="3"/>
  <c r="K439" i="1"/>
  <c r="G69" i="1"/>
  <c r="J66" i="3"/>
  <c r="K682" i="1"/>
  <c r="J59" i="3"/>
  <c r="O617" i="1"/>
  <c r="M133" i="3"/>
  <c r="P279" i="1"/>
  <c r="P7" i="3"/>
  <c r="N285" i="3"/>
  <c r="H88" i="1"/>
  <c r="K636" i="1"/>
  <c r="N489" i="1"/>
  <c r="Q165" i="3"/>
  <c r="G424" i="1"/>
  <c r="L171" i="1"/>
  <c r="P171" i="1"/>
  <c r="P60" i="3"/>
  <c r="L542" i="1"/>
  <c r="N7" i="1"/>
  <c r="Q269" i="3"/>
  <c r="G76" i="1"/>
  <c r="K171" i="1"/>
  <c r="G60" i="3"/>
  <c r="Q351" i="1"/>
  <c r="H326" i="3"/>
  <c r="J252" i="3"/>
  <c r="G294" i="3"/>
  <c r="N132" i="3"/>
  <c r="M141" i="3"/>
  <c r="Q181" i="1"/>
  <c r="O79" i="1"/>
  <c r="K562" i="1"/>
  <c r="P562" i="1"/>
  <c r="H245" i="3"/>
  <c r="M610" i="1"/>
  <c r="N537" i="1"/>
  <c r="O66" i="3"/>
  <c r="J129" i="3"/>
  <c r="L616" i="1"/>
  <c r="N442" i="1"/>
  <c r="O430" i="1"/>
  <c r="L472" i="1"/>
  <c r="J343" i="3"/>
  <c r="M25" i="3"/>
  <c r="N61" i="3"/>
  <c r="O98" i="1"/>
  <c r="O19" i="1"/>
  <c r="N19" i="1"/>
  <c r="N527" i="1"/>
  <c r="G98" i="1"/>
  <c r="G633" i="1"/>
  <c r="M92" i="3"/>
  <c r="L364" i="3"/>
  <c r="P364" i="3"/>
  <c r="J248" i="3"/>
  <c r="G602" i="1"/>
  <c r="K554" i="1"/>
  <c r="O17" i="1"/>
  <c r="L309" i="3"/>
  <c r="H143" i="1"/>
  <c r="O381" i="1"/>
  <c r="L355" i="3"/>
  <c r="N662" i="1"/>
  <c r="M302" i="3"/>
  <c r="G462" i="1"/>
  <c r="M339" i="1"/>
  <c r="K358" i="3"/>
  <c r="M618" i="1"/>
  <c r="K355" i="3"/>
  <c r="G432" i="1"/>
  <c r="O152" i="1"/>
  <c r="H381" i="1"/>
  <c r="N567" i="1"/>
  <c r="N25" i="3"/>
  <c r="G194" i="1"/>
  <c r="L250" i="1"/>
  <c r="M124" i="3"/>
  <c r="N407" i="1"/>
  <c r="L25" i="3"/>
  <c r="G408" i="1"/>
  <c r="Q65" i="1"/>
  <c r="N264" i="3"/>
  <c r="N619" i="1"/>
  <c r="G185" i="3"/>
  <c r="G254" i="1"/>
  <c r="O398" i="1"/>
  <c r="O55" i="3"/>
  <c r="P407" i="1"/>
  <c r="J185" i="3"/>
  <c r="P40" i="1"/>
  <c r="K321" i="1"/>
  <c r="J163" i="1"/>
  <c r="K432" i="1"/>
  <c r="K74" i="3"/>
  <c r="Q199" i="1"/>
  <c r="P371" i="1"/>
  <c r="Q267" i="1"/>
  <c r="J361" i="3"/>
  <c r="J375" i="1"/>
  <c r="M57" i="1"/>
  <c r="J88" i="1"/>
  <c r="L96" i="3"/>
  <c r="K354" i="3"/>
  <c r="J360" i="3"/>
  <c r="P303" i="3"/>
  <c r="O682" i="1"/>
  <c r="J63" i="1"/>
  <c r="P96" i="3"/>
  <c r="M12" i="1"/>
  <c r="K166" i="3"/>
  <c r="Q682" i="1"/>
  <c r="L242" i="3"/>
  <c r="M558" i="1"/>
  <c r="L361" i="3"/>
  <c r="K330" i="3"/>
  <c r="H634" i="1"/>
  <c r="K421" i="1"/>
  <c r="O10" i="1"/>
  <c r="P58" i="3"/>
  <c r="G489" i="1"/>
  <c r="O598" i="1"/>
  <c r="K12" i="1"/>
  <c r="Q338" i="3"/>
  <c r="P641" i="1"/>
  <c r="M503" i="1"/>
  <c r="M377" i="3"/>
  <c r="G117" i="1"/>
  <c r="K592" i="1"/>
  <c r="M338" i="3"/>
  <c r="N333" i="1"/>
  <c r="Q121" i="3"/>
  <c r="J550" i="1"/>
  <c r="K132" i="3"/>
  <c r="M322" i="3"/>
  <c r="N88" i="3"/>
  <c r="Q439" i="1"/>
  <c r="Q546" i="1"/>
  <c r="P472" i="1"/>
  <c r="O472" i="1"/>
  <c r="K264" i="3"/>
  <c r="N630" i="1"/>
  <c r="P282" i="3"/>
  <c r="Q245" i="3"/>
  <c r="L253" i="3"/>
  <c r="M133" i="1"/>
  <c r="K54" i="3"/>
  <c r="O412" i="1"/>
  <c r="M231" i="3"/>
  <c r="N377" i="3"/>
  <c r="K73" i="3"/>
  <c r="L106" i="1"/>
  <c r="O329" i="3"/>
  <c r="L499" i="1"/>
  <c r="M473" i="1"/>
  <c r="J98" i="1"/>
  <c r="G532" i="1"/>
  <c r="J532" i="1"/>
  <c r="O348" i="3"/>
  <c r="J334" i="1"/>
  <c r="Q335" i="1"/>
  <c r="H50" i="3"/>
  <c r="N374" i="1"/>
  <c r="L653" i="1"/>
  <c r="H502" i="1"/>
  <c r="N145" i="1"/>
  <c r="L377" i="3"/>
  <c r="K573" i="1"/>
  <c r="N344" i="3"/>
  <c r="G641" i="1"/>
  <c r="M563" i="1"/>
  <c r="K63" i="3"/>
  <c r="L662" i="1"/>
  <c r="J212" i="3"/>
  <c r="G381" i="1"/>
  <c r="K408" i="1"/>
  <c r="H657" i="1"/>
  <c r="K142" i="1"/>
  <c r="P238" i="3"/>
  <c r="N21" i="1"/>
  <c r="K69" i="1"/>
  <c r="P20" i="3"/>
  <c r="P573" i="1"/>
  <c r="K178" i="3"/>
  <c r="G442" i="1"/>
  <c r="Q371" i="1"/>
  <c r="O83" i="3"/>
  <c r="Q411" i="1"/>
  <c r="N256" i="3"/>
  <c r="G237" i="1"/>
  <c r="M631" i="1"/>
  <c r="L201" i="3"/>
  <c r="N163" i="1"/>
  <c r="P256" i="3"/>
  <c r="K424" i="1"/>
  <c r="M578" i="1"/>
  <c r="J459" i="1"/>
  <c r="P560" i="1"/>
  <c r="P145" i="3"/>
  <c r="Q503" i="1"/>
  <c r="Q535" i="1"/>
  <c r="M201" i="3"/>
  <c r="K411" i="1"/>
  <c r="J285" i="3"/>
  <c r="J102" i="1"/>
  <c r="M218" i="1"/>
  <c r="J537" i="1"/>
  <c r="M358" i="3"/>
  <c r="H354" i="3"/>
  <c r="K333" i="3"/>
  <c r="K238" i="3"/>
  <c r="P163" i="1"/>
  <c r="M199" i="1"/>
  <c r="J242" i="3"/>
  <c r="L117" i="1"/>
  <c r="G325" i="3"/>
  <c r="Q483" i="1"/>
  <c r="N133" i="3"/>
  <c r="K309" i="1"/>
  <c r="H636" i="1"/>
  <c r="M228" i="3"/>
  <c r="H479" i="1"/>
  <c r="N616" i="1"/>
  <c r="L127" i="1"/>
  <c r="N63" i="3"/>
  <c r="J682" i="1"/>
  <c r="M351" i="1"/>
  <c r="L77" i="1"/>
  <c r="O358" i="3"/>
  <c r="L79" i="1"/>
  <c r="N181" i="1"/>
  <c r="P245" i="3"/>
  <c r="G55" i="1"/>
  <c r="P381" i="1"/>
  <c r="Q133" i="3"/>
  <c r="N84" i="1"/>
  <c r="K60" i="3"/>
  <c r="Q662" i="1"/>
  <c r="L322" i="3"/>
  <c r="K134" i="3"/>
  <c r="N200" i="3"/>
  <c r="K206" i="1"/>
  <c r="P123" i="1"/>
  <c r="L634" i="1"/>
  <c r="K634" i="1"/>
  <c r="L231" i="3"/>
  <c r="J282" i="3"/>
  <c r="P162" i="3"/>
  <c r="K7" i="1"/>
  <c r="Q342" i="1"/>
  <c r="Q77" i="1"/>
  <c r="G124" i="3"/>
  <c r="Q264" i="3"/>
  <c r="Q78" i="3"/>
  <c r="J143" i="1"/>
  <c r="Q484" i="1"/>
  <c r="K206" i="3"/>
  <c r="K395" i="1"/>
  <c r="N98" i="3"/>
  <c r="M106" i="1"/>
  <c r="L98" i="3"/>
  <c r="Q633" i="1"/>
  <c r="Q157" i="3"/>
  <c r="M499" i="1"/>
  <c r="G374" i="1"/>
  <c r="L527" i="1"/>
  <c r="P348" i="3"/>
  <c r="K527" i="1"/>
  <c r="H329" i="3"/>
  <c r="N309" i="3"/>
  <c r="G353" i="1"/>
  <c r="J433" i="1"/>
  <c r="K327" i="3"/>
  <c r="M13" i="1"/>
  <c r="N532" i="1"/>
  <c r="J19" i="1"/>
  <c r="Q329" i="3"/>
  <c r="O21" i="3"/>
  <c r="H341" i="1"/>
  <c r="N276" i="1"/>
  <c r="P56" i="3"/>
  <c r="N459" i="1"/>
  <c r="P360" i="3"/>
  <c r="G257" i="1"/>
  <c r="N375" i="1"/>
  <c r="P294" i="3"/>
  <c r="N573" i="1"/>
  <c r="Q35" i="3"/>
  <c r="G390" i="1"/>
  <c r="K58" i="1"/>
  <c r="H123" i="1"/>
  <c r="K366" i="1"/>
  <c r="M238" i="3"/>
  <c r="L667" i="1"/>
  <c r="O25" i="1"/>
  <c r="H551" i="1"/>
  <c r="Q11" i="1"/>
  <c r="O31" i="3"/>
  <c r="G249" i="1"/>
  <c r="P595" i="1"/>
  <c r="N43" i="3"/>
  <c r="O76" i="1"/>
  <c r="J266" i="3"/>
  <c r="G46" i="1"/>
  <c r="L257" i="1"/>
  <c r="M35" i="3"/>
  <c r="N11" i="1"/>
  <c r="M266" i="3"/>
  <c r="M680" i="1"/>
  <c r="M347" i="1"/>
  <c r="J269" i="1"/>
  <c r="L657" i="1"/>
  <c r="G244" i="3"/>
  <c r="N40" i="1"/>
  <c r="Q321" i="1"/>
  <c r="O151" i="3"/>
  <c r="O254" i="1"/>
  <c r="K278" i="3"/>
  <c r="N199" i="1"/>
  <c r="L414" i="1"/>
  <c r="J30" i="1"/>
  <c r="H133" i="3"/>
  <c r="L212" i="3"/>
  <c r="P335" i="3"/>
  <c r="O294" i="3"/>
  <c r="P12" i="1"/>
  <c r="N404" i="1"/>
  <c r="K66" i="3"/>
  <c r="N279" i="1"/>
  <c r="G141" i="3"/>
  <c r="Q279" i="1"/>
  <c r="N301" i="3"/>
  <c r="M155" i="1"/>
  <c r="H680" i="1"/>
  <c r="P201" i="3"/>
  <c r="J342" i="1"/>
  <c r="Q149" i="1"/>
  <c r="L133" i="1"/>
  <c r="M252" i="3"/>
  <c r="G57" i="1"/>
  <c r="N507" i="1"/>
  <c r="M180" i="1"/>
  <c r="L338" i="3"/>
  <c r="L274" i="1"/>
  <c r="N43" i="1"/>
  <c r="L20" i="3"/>
  <c r="K133" i="1"/>
  <c r="Q88" i="1"/>
  <c r="M360" i="3"/>
  <c r="O125" i="1"/>
  <c r="G126" i="3"/>
  <c r="O483" i="1"/>
  <c r="J134" i="3"/>
  <c r="O363" i="3"/>
  <c r="N11" i="3"/>
  <c r="Q542" i="1"/>
  <c r="O440" i="1"/>
  <c r="G303" i="3"/>
  <c r="G245" i="3"/>
  <c r="Q375" i="3"/>
  <c r="M343" i="3"/>
  <c r="N117" i="3"/>
  <c r="Q74" i="3"/>
  <c r="M542" i="1"/>
  <c r="H122" i="3"/>
  <c r="P145" i="1"/>
  <c r="N98" i="1"/>
  <c r="Q327" i="3"/>
  <c r="M98" i="1"/>
  <c r="L348" i="3"/>
  <c r="M602" i="1"/>
  <c r="Q499" i="1"/>
  <c r="Q106" i="1"/>
  <c r="M329" i="3"/>
  <c r="G110" i="1"/>
  <c r="J110" i="1"/>
  <c r="P653" i="1"/>
  <c r="Q289" i="1"/>
  <c r="H353" i="1"/>
  <c r="L353" i="1"/>
  <c r="L327" i="3"/>
  <c r="L214" i="3"/>
  <c r="M532" i="1"/>
  <c r="Q13" i="3"/>
  <c r="G407" i="1"/>
  <c r="M507" i="1"/>
  <c r="H71" i="3"/>
  <c r="K333" i="1"/>
  <c r="M299" i="3"/>
  <c r="G563" i="1"/>
  <c r="Q152" i="1"/>
  <c r="H124" i="3"/>
  <c r="Q107" i="1"/>
  <c r="H201" i="3"/>
  <c r="G595" i="1"/>
  <c r="Q250" i="1"/>
  <c r="H472" i="1"/>
  <c r="M654" i="1"/>
  <c r="J274" i="3"/>
  <c r="N62" i="1"/>
  <c r="O249" i="1"/>
  <c r="H681" i="1"/>
  <c r="M107" i="1"/>
  <c r="M254" i="3"/>
  <c r="Q40" i="1"/>
  <c r="Q341" i="1"/>
  <c r="N212" i="3"/>
  <c r="M284" i="1"/>
  <c r="O366" i="3"/>
  <c r="G654" i="1"/>
  <c r="P432" i="1"/>
  <c r="K301" i="3"/>
  <c r="M491" i="1"/>
  <c r="Q366" i="3"/>
  <c r="M94" i="1"/>
  <c r="O194" i="1"/>
  <c r="J279" i="1"/>
  <c r="Q274" i="1"/>
  <c r="O166" i="3"/>
  <c r="K680" i="1"/>
  <c r="L578" i="1"/>
  <c r="O206" i="3"/>
  <c r="N284" i="1"/>
  <c r="Q266" i="3"/>
  <c r="L503" i="1"/>
  <c r="L376" i="3"/>
  <c r="M181" i="1"/>
  <c r="L56" i="3"/>
  <c r="P38" i="3"/>
  <c r="J111" i="3"/>
  <c r="G311" i="3"/>
  <c r="N685" i="1"/>
  <c r="O421" i="1"/>
  <c r="L133" i="3"/>
  <c r="P259" i="1"/>
  <c r="H7" i="1"/>
  <c r="N558" i="1"/>
  <c r="O231" i="3"/>
  <c r="P610" i="1"/>
  <c r="H76" i="1"/>
  <c r="K208" i="3"/>
  <c r="G94" i="1"/>
  <c r="M10" i="1"/>
  <c r="O267" i="1"/>
  <c r="O117" i="3"/>
  <c r="P636" i="1"/>
  <c r="M562" i="1"/>
  <c r="N412" i="1"/>
  <c r="P133" i="3"/>
  <c r="O546" i="1"/>
  <c r="L395" i="1"/>
  <c r="J502" i="1"/>
  <c r="M171" i="1"/>
  <c r="K194" i="1"/>
  <c r="J245" i="3"/>
  <c r="Q592" i="1"/>
  <c r="H96" i="3"/>
  <c r="K84" i="1"/>
  <c r="L326" i="3"/>
  <c r="J167" i="3"/>
  <c r="Q146" i="3"/>
  <c r="P79" i="1"/>
  <c r="O601" i="1"/>
  <c r="O285" i="3"/>
  <c r="H264" i="3"/>
  <c r="H239" i="3"/>
  <c r="M88" i="3"/>
  <c r="Q159" i="3"/>
  <c r="L466" i="1"/>
  <c r="N115" i="3"/>
  <c r="M594" i="1"/>
  <c r="J365" i="3"/>
  <c r="M267" i="1"/>
  <c r="G324" i="1"/>
  <c r="M546" i="1"/>
  <c r="L597" i="1"/>
  <c r="O602" i="1"/>
  <c r="H327" i="3"/>
  <c r="J98" i="3"/>
  <c r="Q50" i="3"/>
  <c r="N93" i="1"/>
  <c r="O532" i="1"/>
  <c r="G473" i="1"/>
  <c r="Q348" i="3"/>
  <c r="M555" i="1"/>
  <c r="G364" i="3"/>
  <c r="Q554" i="1"/>
  <c r="O214" i="3"/>
  <c r="N101" i="3"/>
  <c r="K17" i="1"/>
  <c r="G430" i="1"/>
  <c r="M549" i="1"/>
  <c r="L73" i="3"/>
  <c r="M279" i="1"/>
  <c r="H266" i="3"/>
  <c r="G250" i="1"/>
  <c r="K250" i="1"/>
  <c r="H127" i="1"/>
  <c r="L459" i="1"/>
  <c r="L335" i="3"/>
  <c r="G97" i="1"/>
  <c r="N97" i="1"/>
  <c r="J475" i="1"/>
  <c r="M309" i="1"/>
  <c r="K346" i="3"/>
  <c r="Q680" i="1"/>
  <c r="Q154" i="1"/>
  <c r="H163" i="1"/>
  <c r="P76" i="1"/>
  <c r="N97" i="3"/>
  <c r="P424" i="1"/>
  <c r="L535" i="1"/>
  <c r="H155" i="3"/>
  <c r="N164" i="1"/>
  <c r="O344" i="3"/>
  <c r="G60" i="1"/>
  <c r="N657" i="1"/>
  <c r="J228" i="3"/>
  <c r="K619" i="1"/>
  <c r="O333" i="3"/>
  <c r="Q131" i="1"/>
  <c r="Q57" i="1"/>
  <c r="J180" i="1"/>
  <c r="O65" i="1"/>
  <c r="P73" i="3"/>
  <c r="L361" i="1"/>
  <c r="Q440" i="1"/>
  <c r="N10" i="3"/>
  <c r="K164" i="1"/>
  <c r="Q376" i="3"/>
  <c r="M636" i="1"/>
  <c r="J335" i="3"/>
  <c r="P439" i="1"/>
  <c r="M134" i="3"/>
  <c r="H145" i="3"/>
  <c r="N31" i="3"/>
  <c r="K56" i="3"/>
  <c r="M206" i="1"/>
  <c r="K617" i="1"/>
  <c r="M66" i="3"/>
  <c r="P558" i="1"/>
  <c r="H667" i="1"/>
  <c r="L309" i="1"/>
  <c r="O58" i="3"/>
  <c r="K502" i="1"/>
  <c r="H206" i="1"/>
  <c r="O311" i="3"/>
  <c r="G542" i="1"/>
  <c r="O127" i="1"/>
  <c r="O395" i="1"/>
  <c r="M196" i="3"/>
  <c r="M344" i="3"/>
  <c r="K546" i="1"/>
  <c r="L610" i="1"/>
  <c r="G377" i="3"/>
  <c r="P444" i="1"/>
  <c r="L61" i="1"/>
  <c r="G537" i="1"/>
  <c r="M333" i="1"/>
  <c r="K282" i="1"/>
  <c r="K11" i="3"/>
  <c r="P276" i="1"/>
  <c r="L601" i="1"/>
  <c r="Q125" i="1"/>
  <c r="M363" i="3"/>
  <c r="K141" i="3"/>
  <c r="K162" i="3"/>
  <c r="K123" i="1"/>
  <c r="Q634" i="1"/>
  <c r="G264" i="3"/>
  <c r="K231" i="3"/>
  <c r="K311" i="3"/>
  <c r="H358" i="3"/>
  <c r="G199" i="3"/>
  <c r="Q344" i="3"/>
  <c r="Q616" i="1"/>
  <c r="L208" i="3"/>
  <c r="H178" i="3"/>
  <c r="K598" i="1"/>
  <c r="J439" i="1"/>
  <c r="K343" i="3"/>
  <c r="Q590" i="1"/>
  <c r="P602" i="1"/>
  <c r="K106" i="1"/>
  <c r="Q21" i="3"/>
  <c r="O98" i="3"/>
  <c r="P106" i="1"/>
  <c r="P354" i="1"/>
  <c r="L101" i="3"/>
  <c r="H92" i="3"/>
  <c r="H352" i="1"/>
  <c r="G248" i="3"/>
  <c r="O248" i="3"/>
  <c r="P544" i="1"/>
  <c r="L544" i="1"/>
  <c r="G145" i="1"/>
  <c r="P466" i="1"/>
  <c r="G145" i="3"/>
  <c r="M366" i="1"/>
  <c r="H97" i="3"/>
  <c r="G153" i="1"/>
  <c r="O35" i="1"/>
  <c r="H558" i="1"/>
  <c r="N76" i="1"/>
  <c r="P43" i="3"/>
  <c r="G129" i="1"/>
  <c r="Q69" i="1"/>
  <c r="J426" i="1"/>
  <c r="Q412" i="1"/>
  <c r="K12" i="3"/>
  <c r="P94" i="1"/>
  <c r="L30" i="1"/>
  <c r="H276" i="1"/>
  <c r="M117" i="1"/>
  <c r="O303" i="3"/>
  <c r="N94" i="1"/>
  <c r="P578" i="1"/>
  <c r="N111" i="3"/>
  <c r="Q269" i="1"/>
  <c r="L178" i="3"/>
  <c r="G341" i="1"/>
  <c r="N60" i="1"/>
  <c r="K375" i="3"/>
  <c r="O411" i="1"/>
  <c r="K269" i="3"/>
  <c r="K426" i="1"/>
  <c r="M153" i="1"/>
  <c r="J560" i="1"/>
  <c r="O390" i="1"/>
  <c r="N15" i="3"/>
  <c r="O131" i="1"/>
  <c r="K347" i="1"/>
  <c r="G59" i="3"/>
  <c r="O141" i="1"/>
  <c r="P344" i="3"/>
  <c r="Q361" i="1"/>
  <c r="L279" i="3"/>
  <c r="K43" i="1"/>
  <c r="P129" i="3"/>
  <c r="J200" i="3"/>
  <c r="M55" i="3"/>
  <c r="N134" i="3"/>
  <c r="P366" i="1"/>
  <c r="L682" i="1"/>
  <c r="G302" i="3"/>
  <c r="L207" i="1"/>
  <c r="H616" i="1"/>
  <c r="O155" i="1"/>
  <c r="Q278" i="3"/>
  <c r="K126" i="1"/>
  <c r="H592" i="1"/>
  <c r="O165" i="3"/>
  <c r="G276" i="1"/>
  <c r="O133" i="1"/>
  <c r="L357" i="3"/>
  <c r="J244" i="3"/>
  <c r="G354" i="3"/>
  <c r="O123" i="1"/>
  <c r="N560" i="1"/>
  <c r="L294" i="3"/>
  <c r="N440" i="1"/>
  <c r="N46" i="1"/>
  <c r="K484" i="1"/>
  <c r="N180" i="1"/>
  <c r="P129" i="1"/>
  <c r="J619" i="1"/>
  <c r="P390" i="1"/>
  <c r="O113" i="3"/>
  <c r="N592" i="1"/>
  <c r="G167" i="3"/>
  <c r="H126" i="3"/>
  <c r="G63" i="3"/>
  <c r="K440" i="1"/>
  <c r="L35" i="1"/>
  <c r="H231" i="3"/>
  <c r="N375" i="3"/>
  <c r="G120" i="3"/>
  <c r="N462" i="1"/>
  <c r="G338" i="3"/>
  <c r="O43" i="3"/>
  <c r="K77" i="1"/>
  <c r="O250" i="3"/>
  <c r="L111" i="3"/>
  <c r="N242" i="3"/>
  <c r="O484" i="1"/>
  <c r="K88" i="3"/>
  <c r="M472" i="1"/>
  <c r="H354" i="1"/>
  <c r="Q13" i="1"/>
  <c r="N21" i="3"/>
  <c r="M348" i="3"/>
  <c r="O473" i="1"/>
  <c r="J633" i="1"/>
  <c r="O433" i="1"/>
  <c r="L275" i="3"/>
  <c r="H433" i="1"/>
  <c r="N544" i="1"/>
  <c r="H214" i="3"/>
  <c r="G653" i="1"/>
  <c r="Q555" i="1"/>
  <c r="K289" i="1"/>
  <c r="P188" i="1"/>
  <c r="G321" i="1"/>
  <c r="L594" i="1"/>
  <c r="M10" i="3"/>
  <c r="Q654" i="1"/>
  <c r="G73" i="3"/>
  <c r="K135" i="1"/>
  <c r="M69" i="1"/>
  <c r="H546" i="1"/>
  <c r="Q117" i="1"/>
  <c r="L145" i="3"/>
  <c r="K583" i="1"/>
  <c r="Q30" i="1"/>
  <c r="J573" i="1"/>
  <c r="Q631" i="1"/>
  <c r="O54" i="3"/>
  <c r="P577" i="1"/>
  <c r="L196" i="1"/>
  <c r="H274" i="1"/>
  <c r="L284" i="1"/>
  <c r="M7" i="3"/>
  <c r="N577" i="1"/>
  <c r="K152" i="1"/>
  <c r="P132" i="3"/>
  <c r="L365" i="1"/>
  <c r="Q271" i="3"/>
  <c r="G440" i="1"/>
  <c r="N628" i="1"/>
  <c r="O116" i="3"/>
  <c r="K76" i="1"/>
  <c r="G11" i="3"/>
  <c r="M407" i="1"/>
  <c r="H346" i="3"/>
  <c r="J274" i="1"/>
  <c r="N371" i="1"/>
  <c r="M303" i="3"/>
  <c r="Q426" i="1"/>
  <c r="M194" i="1"/>
  <c r="M11" i="3"/>
  <c r="M269" i="1"/>
  <c r="K344" i="3"/>
  <c r="P489" i="1"/>
  <c r="M350" i="3"/>
  <c r="Q685" i="1"/>
  <c r="J261" i="3"/>
  <c r="O11" i="3"/>
  <c r="G61" i="3"/>
  <c r="Q129" i="3"/>
  <c r="P15" i="1"/>
  <c r="M254" i="1"/>
  <c r="K271" i="3"/>
  <c r="O502" i="1"/>
  <c r="H137" i="1"/>
  <c r="Q610" i="1"/>
  <c r="N20" i="3"/>
  <c r="P549" i="1"/>
  <c r="H63" i="1"/>
  <c r="J322" i="3"/>
  <c r="M551" i="1"/>
  <c r="N357" i="3"/>
  <c r="L269" i="3"/>
  <c r="H361" i="1"/>
  <c r="P31" i="3"/>
  <c r="L278" i="3"/>
  <c r="K55" i="1"/>
  <c r="J132" i="3"/>
  <c r="P634" i="1"/>
  <c r="N590" i="1"/>
  <c r="N133" i="1"/>
  <c r="L592" i="1"/>
  <c r="K550" i="1"/>
  <c r="G333" i="1"/>
  <c r="N282" i="1"/>
  <c r="O238" i="3"/>
  <c r="M601" i="1"/>
  <c r="K121" i="3"/>
  <c r="L141" i="3"/>
  <c r="Q25" i="3"/>
  <c r="M35" i="1"/>
  <c r="N57" i="1"/>
  <c r="M375" i="3"/>
  <c r="G239" i="3"/>
  <c r="O282" i="3"/>
  <c r="L159" i="3"/>
  <c r="G370" i="3"/>
  <c r="N503" i="1"/>
  <c r="O55" i="1"/>
  <c r="G365" i="3"/>
  <c r="M63" i="3"/>
  <c r="H159" i="3"/>
  <c r="P507" i="1"/>
  <c r="J146" i="3"/>
  <c r="N328" i="3"/>
  <c r="L373" i="1"/>
  <c r="J327" i="3"/>
  <c r="N473" i="1"/>
  <c r="N50" i="3"/>
  <c r="N633" i="1"/>
  <c r="L473" i="1"/>
  <c r="K433" i="1"/>
  <c r="L352" i="1"/>
  <c r="P329" i="3"/>
  <c r="G373" i="1"/>
  <c r="G335" i="1"/>
  <c r="L354" i="1"/>
  <c r="O555" i="1"/>
  <c r="G555" i="1"/>
  <c r="K353" i="1"/>
  <c r="K449" i="1"/>
  <c r="G334" i="1"/>
  <c r="G21" i="3"/>
  <c r="P449" i="1"/>
  <c r="P295" i="1"/>
  <c r="K374" i="1"/>
  <c r="P532" i="1"/>
  <c r="J101" i="3"/>
  <c r="G282" i="1"/>
  <c r="Q563" i="1"/>
  <c r="K361" i="3"/>
  <c r="Q309" i="1"/>
  <c r="M264" i="3"/>
  <c r="L583" i="1"/>
  <c r="N249" i="1"/>
  <c r="H375" i="1"/>
  <c r="P237" i="1"/>
  <c r="O61" i="3"/>
  <c r="P21" i="1"/>
  <c r="O196" i="1"/>
  <c r="J284" i="1"/>
  <c r="K549" i="1"/>
  <c r="N228" i="3"/>
  <c r="O644" i="1"/>
  <c r="P550" i="1"/>
  <c r="H390" i="1"/>
  <c r="Q164" i="1"/>
  <c r="N355" i="3"/>
  <c r="M644" i="1"/>
  <c r="P408" i="1"/>
  <c r="H133" i="1"/>
  <c r="N259" i="1"/>
  <c r="G15" i="3"/>
  <c r="G35" i="1"/>
  <c r="L157" i="1"/>
  <c r="H55" i="3"/>
  <c r="N269" i="1"/>
  <c r="M146" i="3"/>
  <c r="M127" i="1"/>
  <c r="Q285" i="3"/>
  <c r="J472" i="1"/>
  <c r="N595" i="1"/>
  <c r="M73" i="3"/>
  <c r="K127" i="1"/>
  <c r="P57" i="1"/>
  <c r="M15" i="3"/>
  <c r="L685" i="1"/>
  <c r="K111" i="3"/>
  <c r="P617" i="1"/>
  <c r="L328" i="3"/>
  <c r="L46" i="1"/>
  <c r="N326" i="3"/>
  <c r="M294" i="3"/>
  <c r="K97" i="3"/>
  <c r="K261" i="3"/>
  <c r="P207" i="1"/>
  <c r="N12" i="1"/>
  <c r="Q43" i="3"/>
  <c r="N126" i="1"/>
  <c r="H682" i="1"/>
  <c r="M502" i="1"/>
  <c r="K211" i="3"/>
  <c r="Q630" i="1"/>
  <c r="G342" i="1"/>
  <c r="H250" i="3"/>
  <c r="L636" i="1"/>
  <c r="M376" i="3"/>
  <c r="O35" i="3"/>
  <c r="H484" i="1"/>
  <c r="J113" i="3"/>
  <c r="J264" i="3"/>
  <c r="K381" i="1"/>
  <c r="K322" i="3"/>
  <c r="K35" i="1"/>
  <c r="K542" i="1"/>
  <c r="N171" i="1"/>
  <c r="Q381" i="1"/>
  <c r="Q212" i="3"/>
  <c r="K489" i="1"/>
  <c r="P414" i="1"/>
  <c r="N346" i="3"/>
  <c r="L282" i="1"/>
  <c r="J141" i="3"/>
  <c r="K324" i="1"/>
  <c r="H63" i="3"/>
  <c r="K63" i="1"/>
  <c r="G271" i="3"/>
  <c r="L54" i="3"/>
  <c r="J311" i="3"/>
  <c r="M250" i="3"/>
  <c r="H338" i="3"/>
  <c r="N83" i="3"/>
  <c r="Q171" i="1"/>
  <c r="L129" i="3"/>
  <c r="L475" i="1"/>
  <c r="P25" i="3"/>
  <c r="H261" i="3"/>
  <c r="K472" i="1"/>
  <c r="P42" i="3"/>
  <c r="G231" i="3"/>
  <c r="H19" i="1"/>
  <c r="Q334" i="1"/>
  <c r="L92" i="3"/>
  <c r="Q98" i="1"/>
  <c r="M373" i="1"/>
  <c r="O17" i="3"/>
  <c r="K19" i="1"/>
  <c r="K329" i="3"/>
  <c r="G449" i="1"/>
  <c r="J354" i="1"/>
  <c r="P92" i="3"/>
  <c r="J602" i="1"/>
  <c r="L50" i="3"/>
  <c r="M214" i="3"/>
  <c r="Q449" i="1"/>
  <c r="K110" i="1"/>
  <c r="K21" i="1"/>
  <c r="K601" i="1"/>
  <c r="H489" i="1"/>
  <c r="M276" i="1"/>
  <c r="L63" i="3"/>
  <c r="O392" i="1"/>
  <c r="P30" i="1"/>
  <c r="J503" i="1"/>
  <c r="O654" i="1"/>
  <c r="M61" i="3"/>
  <c r="Q644" i="1"/>
  <c r="H256" i="3"/>
  <c r="J381" i="1"/>
  <c r="K339" i="1"/>
  <c r="P151" i="3"/>
  <c r="N574" i="1"/>
  <c r="H274" i="3"/>
  <c r="H550" i="1"/>
  <c r="K143" i="1"/>
  <c r="P278" i="3"/>
  <c r="L131" i="1"/>
  <c r="M25" i="1"/>
  <c r="K631" i="1"/>
  <c r="K245" i="3"/>
  <c r="M424" i="1"/>
  <c r="K595" i="1"/>
  <c r="J159" i="3"/>
  <c r="L259" i="1"/>
  <c r="P97" i="3"/>
  <c r="L491" i="1"/>
  <c r="N266" i="3"/>
  <c r="L680" i="1"/>
  <c r="N194" i="1"/>
  <c r="L42" i="3"/>
  <c r="Q597" i="1"/>
  <c r="O414" i="1"/>
  <c r="H21" i="1"/>
  <c r="O46" i="1"/>
  <c r="Q61" i="3"/>
  <c r="O163" i="1"/>
  <c r="N376" i="3"/>
  <c r="P563" i="1"/>
  <c r="P167" i="3"/>
  <c r="G597" i="1"/>
  <c r="H483" i="1"/>
  <c r="G146" i="3"/>
  <c r="Q303" i="3"/>
  <c r="L15" i="1"/>
  <c r="P377" i="3"/>
  <c r="P603" i="1"/>
  <c r="H641" i="1"/>
  <c r="K390" i="1"/>
  <c r="H155" i="1"/>
  <c r="P97" i="1"/>
  <c r="N551" i="1"/>
  <c r="L363" i="3"/>
  <c r="P271" i="3"/>
  <c r="H328" i="3"/>
  <c r="N54" i="3"/>
  <c r="G135" i="1"/>
  <c r="J205" i="3"/>
  <c r="Q324" i="3"/>
  <c r="L218" i="1"/>
  <c r="K155" i="3"/>
  <c r="M301" i="3"/>
  <c r="O444" i="1"/>
  <c r="K462" i="1"/>
  <c r="L88" i="1"/>
  <c r="H58" i="3"/>
  <c r="Q276" i="1"/>
  <c r="G326" i="3"/>
  <c r="G42" i="3"/>
  <c r="K289" i="3"/>
  <c r="L167" i="3"/>
  <c r="G102" i="1"/>
  <c r="J58" i="1"/>
  <c r="P322" i="3"/>
  <c r="G151" i="3"/>
  <c r="Q162" i="3"/>
  <c r="J325" i="3"/>
  <c r="Q242" i="3"/>
  <c r="M282" i="3"/>
  <c r="J61" i="1"/>
  <c r="M381" i="1"/>
  <c r="L370" i="3"/>
  <c r="P342" i="1"/>
  <c r="M442" i="1"/>
  <c r="K71" i="3"/>
  <c r="M484" i="1"/>
  <c r="G466" i="1"/>
  <c r="P186" i="3"/>
  <c r="O110" i="1"/>
  <c r="N110" i="1"/>
  <c r="P633" i="1"/>
  <c r="N352" i="1"/>
  <c r="K499" i="1"/>
  <c r="J374" i="1"/>
  <c r="M527" i="1"/>
  <c r="L21" i="3"/>
  <c r="L17" i="3"/>
  <c r="J13" i="3"/>
  <c r="M374" i="1"/>
  <c r="H21" i="3"/>
  <c r="H106" i="1"/>
  <c r="G527" i="1"/>
  <c r="Q214" i="3"/>
  <c r="Q295" i="1"/>
  <c r="N17" i="1"/>
  <c r="Q667" i="1"/>
  <c r="O250" i="1"/>
  <c r="H10" i="1"/>
  <c r="P52" i="1"/>
  <c r="P157" i="3"/>
  <c r="P334" i="1"/>
  <c r="H602" i="1"/>
  <c r="N373" i="1"/>
  <c r="K602" i="1"/>
  <c r="P527" i="1"/>
  <c r="Q602" i="1"/>
  <c r="G101" i="3"/>
  <c r="P433" i="1"/>
  <c r="P13" i="3"/>
  <c r="G433" i="1"/>
  <c r="J352" i="1"/>
  <c r="G98" i="3"/>
  <c r="N188" i="1"/>
  <c r="K532" i="1"/>
  <c r="K113" i="3"/>
  <c r="L681" i="1"/>
  <c r="P69" i="1"/>
  <c r="H610" i="1"/>
  <c r="N563" i="1"/>
  <c r="N361" i="3"/>
  <c r="L234" i="1"/>
  <c r="N206" i="3"/>
  <c r="J411" i="1"/>
  <c r="P157" i="1"/>
  <c r="L238" i="3"/>
  <c r="K662" i="1"/>
  <c r="M271" i="3"/>
  <c r="O21" i="1"/>
  <c r="M250" i="1"/>
  <c r="Q73" i="3"/>
  <c r="O407" i="1"/>
  <c r="L55" i="3"/>
  <c r="J558" i="1"/>
  <c r="Q595" i="1"/>
  <c r="H325" i="3"/>
  <c r="L107" i="1"/>
  <c r="M354" i="3"/>
  <c r="J442" i="1"/>
  <c r="O628" i="1"/>
  <c r="L11" i="3"/>
  <c r="M426" i="1"/>
  <c r="M58" i="1"/>
  <c r="J636" i="1"/>
  <c r="K257" i="1"/>
  <c r="Q60" i="3"/>
  <c r="O164" i="1"/>
  <c r="P35" i="3"/>
  <c r="L11" i="1"/>
  <c r="G279" i="3"/>
  <c r="H107" i="1"/>
  <c r="P141" i="1"/>
  <c r="H278" i="3"/>
  <c r="J392" i="1"/>
  <c r="P155" i="1"/>
  <c r="Q71" i="3"/>
  <c r="L141" i="1"/>
  <c r="M205" i="3"/>
  <c r="L63" i="1"/>
  <c r="M96" i="3"/>
  <c r="G375" i="1"/>
  <c r="J597" i="1"/>
  <c r="H46" i="1"/>
  <c r="P83" i="3"/>
  <c r="Q102" i="1"/>
  <c r="H475" i="1"/>
  <c r="M244" i="3"/>
  <c r="H30" i="1"/>
  <c r="Q97" i="1"/>
  <c r="G107" i="1"/>
  <c r="J208" i="3"/>
  <c r="M361" i="1"/>
  <c r="O281" i="3"/>
  <c r="L344" i="3"/>
  <c r="M151" i="3"/>
  <c r="H199" i="1"/>
  <c r="K551" i="1"/>
  <c r="J489" i="1"/>
  <c r="L162" i="3"/>
  <c r="G196" i="3"/>
  <c r="H317" i="3"/>
  <c r="O74" i="3"/>
  <c r="O301" i="3"/>
  <c r="L55" i="1"/>
  <c r="M212" i="3"/>
  <c r="O252" i="3"/>
  <c r="L58" i="3"/>
  <c r="M333" i="3"/>
  <c r="L84" i="1"/>
  <c r="J10" i="3"/>
  <c r="M200" i="3"/>
  <c r="K351" i="1"/>
  <c r="M126" i="1"/>
  <c r="Q97" i="3"/>
  <c r="G363" i="3"/>
  <c r="K115" i="3"/>
  <c r="L115" i="3"/>
  <c r="L166" i="3"/>
  <c r="N430" i="1"/>
  <c r="N634" i="1"/>
  <c r="O162" i="3"/>
  <c r="Q66" i="3"/>
  <c r="J164" i="1"/>
  <c r="L78" i="3"/>
  <c r="K120" i="3"/>
  <c r="G583" i="1"/>
  <c r="M120" i="3"/>
  <c r="M449" i="1"/>
  <c r="M52" i="1"/>
  <c r="L110" i="1"/>
  <c r="K157" i="3"/>
  <c r="P93" i="1"/>
  <c r="O93" i="1"/>
  <c r="G275" i="3"/>
  <c r="N329" i="3"/>
  <c r="Q354" i="1"/>
  <c r="G52" i="1"/>
  <c r="H248" i="3"/>
  <c r="G214" i="3"/>
  <c r="K214" i="3"/>
  <c r="L17" i="1"/>
  <c r="L301" i="3"/>
  <c r="N484" i="1"/>
  <c r="N196" i="1"/>
  <c r="J430" i="1"/>
  <c r="N250" i="1"/>
  <c r="H207" i="1"/>
  <c r="M662" i="1"/>
  <c r="Q281" i="3"/>
  <c r="J462" i="1"/>
  <c r="P152" i="1"/>
  <c r="N151" i="3"/>
  <c r="P117" i="1"/>
  <c r="H25" i="3"/>
  <c r="O424" i="1"/>
  <c r="P25" i="1"/>
  <c r="M71" i="3"/>
  <c r="P619" i="1"/>
  <c r="M12" i="3"/>
  <c r="J578" i="1"/>
  <c r="L152" i="1"/>
  <c r="K10" i="3"/>
  <c r="M76" i="1"/>
  <c r="N366" i="3"/>
  <c r="M40" i="1"/>
  <c r="O371" i="1"/>
  <c r="M117" i="3"/>
  <c r="L163" i="1"/>
  <c r="K25" i="1"/>
  <c r="J522" i="1"/>
  <c r="K157" i="1"/>
  <c r="Q10" i="3"/>
  <c r="K567" i="1"/>
  <c r="Q350" i="3"/>
  <c r="M411" i="1"/>
  <c r="G285" i="3"/>
  <c r="H507" i="1"/>
  <c r="K661" i="1"/>
  <c r="H377" i="3"/>
  <c r="J491" i="1"/>
  <c r="N274" i="1"/>
  <c r="L325" i="3"/>
  <c r="M46" i="1"/>
  <c r="O25" i="3"/>
  <c r="J303" i="3"/>
  <c r="K199" i="3"/>
  <c r="K254" i="1"/>
  <c r="G535" i="1"/>
  <c r="H250" i="1"/>
  <c r="G162" i="3"/>
  <c r="G333" i="3"/>
  <c r="J21" i="1"/>
  <c r="P311" i="3"/>
  <c r="J412" i="1"/>
  <c r="L330" i="3"/>
  <c r="O551" i="1"/>
  <c r="G322" i="3"/>
  <c r="P133" i="1"/>
  <c r="G178" i="3"/>
  <c r="H135" i="1"/>
  <c r="H149" i="1"/>
  <c r="H15" i="1"/>
  <c r="M31" i="3"/>
  <c r="N636" i="1"/>
  <c r="Q186" i="3"/>
  <c r="N338" i="3"/>
  <c r="J317" i="3"/>
  <c r="K363" i="3"/>
  <c r="K151" i="3"/>
  <c r="N88" i="1"/>
  <c r="G58" i="3"/>
  <c r="Q127" i="1"/>
  <c r="M121" i="3"/>
  <c r="J680" i="1"/>
  <c r="M282" i="1"/>
  <c r="G601" i="1"/>
  <c r="J601" i="1"/>
  <c r="K79" i="1"/>
  <c r="M63" i="1"/>
  <c r="H375" i="3"/>
  <c r="O141" i="3"/>
  <c r="L302" i="3"/>
  <c r="J42" i="3"/>
  <c r="G30" i="1"/>
  <c r="P462" i="1"/>
  <c r="K338" i="3"/>
  <c r="H66" i="3"/>
  <c r="O616" i="1"/>
  <c r="P77" i="1"/>
  <c r="Q10" i="1"/>
  <c r="P228" i="3"/>
  <c r="O507" i="1"/>
  <c r="H83" i="3"/>
  <c r="O449" i="1"/>
  <c r="O334" i="1"/>
  <c r="N92" i="3"/>
  <c r="M19" i="1"/>
  <c r="P101" i="3"/>
  <c r="P50" i="3"/>
  <c r="Q92" i="3"/>
  <c r="O13" i="1"/>
  <c r="G554" i="1"/>
  <c r="M101" i="3"/>
  <c r="P17" i="1"/>
  <c r="H309" i="3"/>
  <c r="L35" i="3"/>
  <c r="N234" i="1"/>
  <c r="L550" i="1"/>
  <c r="J145" i="1"/>
  <c r="Q442" i="1"/>
  <c r="H65" i="1"/>
  <c r="L573" i="1"/>
  <c r="Q352" i="1"/>
  <c r="J13" i="1"/>
  <c r="J275" i="3"/>
  <c r="P374" i="1"/>
  <c r="N77" i="1"/>
  <c r="K444" i="1"/>
  <c r="L537" i="1"/>
  <c r="L60" i="1"/>
  <c r="O237" i="1"/>
  <c r="K574" i="1"/>
  <c r="N131" i="1"/>
  <c r="J610" i="1"/>
  <c r="K116" i="3"/>
  <c r="H194" i="1"/>
  <c r="G25" i="3"/>
  <c r="Q194" i="1"/>
  <c r="N535" i="1"/>
  <c r="Q256" i="3"/>
  <c r="J346" i="3"/>
  <c r="K398" i="1"/>
  <c r="J126" i="1"/>
  <c r="O43" i="1"/>
  <c r="G277" i="3"/>
  <c r="O563" i="1"/>
  <c r="Q126" i="1"/>
  <c r="J296" i="3"/>
  <c r="J657" i="1"/>
  <c r="M489" i="1"/>
  <c r="P155" i="3"/>
  <c r="M245" i="3"/>
  <c r="G228" i="3"/>
  <c r="M630" i="1"/>
  <c r="J151" i="3"/>
  <c r="P282" i="1"/>
  <c r="G238" i="3"/>
  <c r="G218" i="1"/>
  <c r="O15" i="3"/>
  <c r="H113" i="3"/>
  <c r="K282" i="3"/>
  <c r="N159" i="3"/>
  <c r="K370" i="3"/>
  <c r="G166" i="3"/>
  <c r="P10" i="1"/>
  <c r="L38" i="3"/>
  <c r="H282" i="1"/>
  <c r="L267" i="1"/>
  <c r="M444" i="1"/>
  <c r="Q113" i="3"/>
  <c r="J549" i="1"/>
  <c r="N617" i="1"/>
  <c r="Q199" i="3"/>
  <c r="M239" i="3"/>
  <c r="P88" i="1"/>
  <c r="G282" i="3"/>
  <c r="L324" i="3"/>
  <c r="O324" i="3"/>
  <c r="G550" i="1"/>
  <c r="J40" i="1"/>
  <c r="N35" i="3"/>
  <c r="M115" i="3"/>
  <c r="Q507" i="1"/>
  <c r="N166" i="3"/>
  <c r="K279" i="3"/>
  <c r="N186" i="3"/>
  <c r="J115" i="3"/>
  <c r="O228" i="3"/>
  <c r="G38" i="3"/>
  <c r="O641" i="1"/>
  <c r="N122" i="3"/>
  <c r="N59" i="3"/>
  <c r="O73" i="3"/>
  <c r="M253" i="3"/>
  <c r="J394" i="1"/>
  <c r="K335" i="1"/>
  <c r="O106" i="1"/>
  <c r="K354" i="1"/>
  <c r="G350" i="3"/>
  <c r="J407" i="1"/>
  <c r="M667" i="1"/>
  <c r="J267" i="1"/>
  <c r="H40" i="1"/>
  <c r="M97" i="3"/>
  <c r="H121" i="3"/>
  <c r="Q335" i="3"/>
  <c r="Q153" i="1"/>
  <c r="N347" i="1"/>
  <c r="P11" i="1"/>
  <c r="J654" i="1"/>
  <c r="P597" i="1"/>
  <c r="K491" i="1"/>
  <c r="G392" i="1"/>
  <c r="M211" i="3"/>
  <c r="P120" i="3"/>
  <c r="Q358" i="3"/>
  <c r="N60" i="3"/>
  <c r="O321" i="1"/>
  <c r="O134" i="3"/>
  <c r="P134" i="3"/>
  <c r="O636" i="1"/>
  <c r="P10" i="3"/>
  <c r="G603" i="1"/>
  <c r="P375" i="3"/>
  <c r="Q126" i="3"/>
  <c r="H282" i="3"/>
  <c r="G12" i="3"/>
  <c r="P121" i="3"/>
  <c r="G40" i="1"/>
  <c r="N601" i="1"/>
  <c r="G206" i="3"/>
  <c r="K159" i="3"/>
  <c r="K503" i="1"/>
  <c r="O124" i="3"/>
  <c r="M43" i="1"/>
  <c r="G17" i="1"/>
  <c r="Q188" i="1"/>
  <c r="N205" i="3"/>
  <c r="J321" i="1"/>
  <c r="Q62" i="1"/>
  <c r="J77" i="1"/>
  <c r="H94" i="1"/>
  <c r="J84" i="1"/>
  <c r="J97" i="3"/>
  <c r="J12" i="3"/>
  <c r="M249" i="1"/>
  <c r="L249" i="1"/>
  <c r="P274" i="1"/>
  <c r="N491" i="1"/>
  <c r="H13" i="3"/>
  <c r="H555" i="1"/>
  <c r="O375" i="1"/>
  <c r="K97" i="1"/>
  <c r="P154" i="1"/>
  <c r="K594" i="1"/>
  <c r="Q365" i="1"/>
  <c r="N394" i="1"/>
  <c r="Q234" i="1"/>
  <c r="J628" i="1"/>
  <c r="H583" i="1"/>
  <c r="P178" i="3"/>
  <c r="O153" i="1"/>
  <c r="L321" i="1"/>
  <c r="O212" i="3"/>
  <c r="H350" i="3"/>
  <c r="Q180" i="1"/>
  <c r="J630" i="1"/>
  <c r="O328" i="3"/>
  <c r="Q479" i="1"/>
  <c r="P55" i="3"/>
  <c r="K250" i="3"/>
  <c r="Q60" i="1"/>
  <c r="P392" i="1"/>
  <c r="H527" i="1"/>
  <c r="M110" i="1"/>
  <c r="J289" i="1"/>
  <c r="L329" i="3"/>
  <c r="L188" i="1"/>
  <c r="J473" i="1"/>
  <c r="K17" i="3"/>
  <c r="L444" i="1"/>
  <c r="P35" i="1"/>
  <c r="N479" i="1"/>
  <c r="P339" i="1"/>
  <c r="M567" i="1"/>
  <c r="Q628" i="1"/>
  <c r="M394" i="1"/>
  <c r="J194" i="1"/>
  <c r="H577" i="1"/>
  <c r="H43" i="3"/>
  <c r="P218" i="1"/>
  <c r="N578" i="1"/>
  <c r="H360" i="3"/>
  <c r="G361" i="3"/>
  <c r="K15" i="1"/>
  <c r="L661" i="1"/>
  <c r="N597" i="1"/>
  <c r="H238" i="3"/>
  <c r="L102" i="1"/>
  <c r="L311" i="3"/>
  <c r="H145" i="1"/>
  <c r="G444" i="1"/>
  <c r="M321" i="1"/>
  <c r="N66" i="3"/>
  <c r="H131" i="1"/>
  <c r="O20" i="3"/>
  <c r="J254" i="3"/>
  <c r="H78" i="3"/>
  <c r="N208" i="3"/>
  <c r="O333" i="1"/>
  <c r="K483" i="1"/>
  <c r="Q135" i="1"/>
  <c r="O122" i="3"/>
  <c r="P281" i="3"/>
  <c r="O503" i="1"/>
  <c r="M466" i="1"/>
  <c r="J12" i="1"/>
  <c r="M577" i="1"/>
  <c r="M324" i="3"/>
  <c r="O633" i="1"/>
  <c r="P248" i="3"/>
  <c r="G93" i="1"/>
  <c r="K653" i="1"/>
  <c r="K442" i="1"/>
  <c r="O69" i="1"/>
  <c r="M550" i="1"/>
  <c r="L563" i="1"/>
  <c r="L366" i="1"/>
  <c r="M157" i="1"/>
  <c r="L522" i="1"/>
  <c r="M21" i="1"/>
  <c r="H234" i="1"/>
  <c r="J661" i="1"/>
  <c r="P205" i="3"/>
  <c r="K414" i="1"/>
  <c r="N254" i="3"/>
  <c r="L271" i="3"/>
  <c r="G278" i="3"/>
  <c r="O143" i="1"/>
  <c r="Q259" i="1"/>
  <c r="L254" i="1"/>
  <c r="Q289" i="3"/>
  <c r="K603" i="1"/>
  <c r="Q134" i="3"/>
  <c r="G7" i="1"/>
  <c r="J479" i="1"/>
  <c r="N102" i="1"/>
  <c r="G88" i="3"/>
  <c r="H662" i="1"/>
  <c r="M296" i="3"/>
  <c r="K324" i="3"/>
  <c r="H20" i="3"/>
  <c r="J186" i="3"/>
  <c r="P125" i="1"/>
  <c r="L351" i="1"/>
  <c r="Q392" i="1"/>
  <c r="Q15" i="3"/>
  <c r="O242" i="3"/>
  <c r="P113" i="3"/>
  <c r="K618" i="1"/>
  <c r="L375" i="3"/>
  <c r="J324" i="3"/>
  <c r="M395" i="1"/>
  <c r="O597" i="1"/>
  <c r="O30" i="1"/>
  <c r="O115" i="3"/>
  <c r="N289" i="1"/>
  <c r="L13" i="3"/>
  <c r="O335" i="1"/>
  <c r="H17" i="3"/>
  <c r="K13" i="3"/>
  <c r="G348" i="3"/>
  <c r="L374" i="1"/>
  <c r="L97" i="1"/>
  <c r="O537" i="1"/>
  <c r="J281" i="3"/>
  <c r="N408" i="1"/>
  <c r="N654" i="1"/>
  <c r="O341" i="1"/>
  <c r="Q573" i="1"/>
  <c r="L62" i="1"/>
  <c r="N137" i="1"/>
  <c r="J590" i="1"/>
  <c r="H11" i="3"/>
  <c r="Q361" i="3"/>
  <c r="Q211" i="3"/>
  <c r="N146" i="3"/>
  <c r="O266" i="3"/>
  <c r="Q155" i="1"/>
  <c r="Q558" i="1"/>
  <c r="M661" i="1"/>
  <c r="H294" i="3"/>
  <c r="P116" i="3"/>
  <c r="O254" i="3"/>
  <c r="G412" i="1"/>
  <c r="K199" i="1"/>
  <c r="O350" i="3"/>
  <c r="Q277" i="3"/>
  <c r="H685" i="1"/>
  <c r="Q205" i="3"/>
  <c r="M208" i="3"/>
  <c r="O167" i="3"/>
  <c r="N370" i="3"/>
  <c r="Q390" i="1"/>
  <c r="O592" i="1"/>
  <c r="L181" i="1"/>
  <c r="G252" i="3"/>
  <c r="K267" i="1"/>
  <c r="K365" i="3"/>
  <c r="Q58" i="3"/>
  <c r="Q63" i="1"/>
  <c r="P373" i="1"/>
  <c r="M433" i="1"/>
  <c r="P19" i="1"/>
  <c r="J499" i="1"/>
  <c r="Q35" i="1"/>
  <c r="L479" i="1"/>
  <c r="G299" i="3"/>
  <c r="O58" i="1"/>
  <c r="N309" i="1"/>
  <c r="K375" i="1"/>
  <c r="N107" i="1"/>
  <c r="Q424" i="1"/>
  <c r="K681" i="1"/>
  <c r="J507" i="1"/>
  <c r="H31" i="3"/>
  <c r="P354" i="3"/>
  <c r="J15" i="3"/>
  <c r="H366" i="3"/>
  <c r="P212" i="3"/>
  <c r="K153" i="1"/>
  <c r="P180" i="1"/>
  <c r="O259" i="1"/>
  <c r="J56" i="3"/>
  <c r="K244" i="3"/>
  <c r="M43" i="3"/>
  <c r="G657" i="1"/>
  <c r="Q551" i="1"/>
  <c r="M285" i="3"/>
  <c r="K25" i="3"/>
  <c r="H595" i="1"/>
  <c r="M74" i="3"/>
  <c r="P117" i="3"/>
  <c r="L317" i="3"/>
  <c r="Q333" i="3"/>
  <c r="K129" i="1"/>
  <c r="O339" i="1"/>
  <c r="N351" i="1"/>
  <c r="P289" i="3"/>
  <c r="N365" i="3"/>
  <c r="N237" i="1"/>
  <c r="P55" i="1"/>
  <c r="M355" i="3"/>
  <c r="K186" i="3"/>
  <c r="K590" i="1"/>
  <c r="M54" i="3"/>
  <c r="G13" i="1"/>
  <c r="P327" i="3"/>
  <c r="J309" i="3"/>
  <c r="P537" i="1"/>
  <c r="K61" i="3"/>
  <c r="O274" i="3"/>
  <c r="O97" i="1"/>
  <c r="L281" i="3"/>
  <c r="N152" i="1"/>
  <c r="Q76" i="1"/>
  <c r="O94" i="1"/>
  <c r="N522" i="1"/>
  <c r="J408" i="1"/>
  <c r="O145" i="3"/>
  <c r="H185" i="3"/>
  <c r="J11" i="3"/>
  <c r="N12" i="3"/>
  <c r="Q254" i="3"/>
  <c r="K218" i="1"/>
  <c r="Q15" i="1"/>
  <c r="P430" i="1"/>
  <c r="L134" i="3"/>
  <c r="H542" i="1"/>
  <c r="G129" i="3"/>
  <c r="G549" i="1"/>
  <c r="L126" i="1"/>
  <c r="G330" i="3"/>
  <c r="Q238" i="3"/>
  <c r="H152" i="1"/>
  <c r="Q20" i="3"/>
  <c r="L343" i="3"/>
  <c r="P141" i="3"/>
  <c r="K276" i="1"/>
  <c r="P324" i="3"/>
  <c r="N129" i="1"/>
  <c r="P61" i="1"/>
  <c r="L74" i="3"/>
  <c r="H166" i="3"/>
  <c r="N610" i="1"/>
  <c r="N641" i="1"/>
  <c r="N277" i="3"/>
  <c r="K239" i="3"/>
  <c r="N472" i="1"/>
  <c r="P164" i="1"/>
  <c r="M129" i="1"/>
  <c r="H449" i="1"/>
  <c r="M50" i="3"/>
  <c r="Q473" i="1"/>
  <c r="M479" i="1"/>
  <c r="O377" i="3"/>
  <c r="Q244" i="3"/>
  <c r="L69" i="1"/>
  <c r="L299" i="3"/>
  <c r="M408" i="1"/>
  <c r="N117" i="1"/>
  <c r="O577" i="1"/>
  <c r="K407" i="1"/>
  <c r="J249" i="1"/>
  <c r="G205" i="3"/>
  <c r="Q111" i="3"/>
  <c r="M145" i="3"/>
  <c r="P11" i="3"/>
  <c r="L113" i="3"/>
  <c r="H279" i="3"/>
  <c r="L143" i="1"/>
  <c r="O558" i="1"/>
  <c r="M129" i="3"/>
  <c r="G404" i="1"/>
  <c r="K59" i="3"/>
  <c r="J123" i="1"/>
  <c r="Q549" i="1"/>
  <c r="N201" i="3"/>
  <c r="Q346" i="3"/>
  <c r="H347" i="1"/>
  <c r="H430" i="1"/>
  <c r="N253" i="3"/>
  <c r="K126" i="3"/>
  <c r="M375" i="1"/>
  <c r="G56" i="3"/>
  <c r="G376" i="3"/>
  <c r="M79" i="1"/>
  <c r="M167" i="3"/>
  <c r="O88" i="3"/>
  <c r="O145" i="1"/>
  <c r="N55" i="1"/>
  <c r="M116" i="3"/>
  <c r="L120" i="3"/>
  <c r="M328" i="3"/>
  <c r="O299" i="3"/>
  <c r="J10" i="1"/>
  <c r="P335" i="1"/>
  <c r="G289" i="1"/>
  <c r="G17" i="3"/>
  <c r="J364" i="3"/>
  <c r="K98" i="3"/>
  <c r="H355" i="3"/>
  <c r="O296" i="3"/>
  <c r="N333" i="3"/>
  <c r="Q25" i="1"/>
  <c r="Q274" i="3"/>
  <c r="M97" i="1"/>
  <c r="K237" i="1"/>
  <c r="N365" i="1"/>
  <c r="O573" i="1"/>
  <c r="K62" i="1"/>
  <c r="G43" i="3"/>
  <c r="Q38" i="3"/>
  <c r="M274" i="3"/>
  <c r="L59" i="3"/>
  <c r="N360" i="3"/>
  <c r="J350" i="3"/>
  <c r="K560" i="1"/>
  <c r="L180" i="1"/>
  <c r="G10" i="3"/>
  <c r="G574" i="1"/>
  <c r="N121" i="3"/>
  <c r="J69" i="1"/>
  <c r="N321" i="1"/>
  <c r="H311" i="3"/>
  <c r="H200" i="3"/>
  <c r="K196" i="3"/>
  <c r="H257" i="1"/>
  <c r="Q370" i="3"/>
  <c r="P88" i="3"/>
  <c r="O282" i="1"/>
  <c r="Q155" i="3"/>
  <c r="J289" i="3"/>
  <c r="L132" i="3"/>
  <c r="N141" i="3"/>
  <c r="K328" i="3"/>
  <c r="L546" i="1"/>
  <c r="N562" i="1"/>
  <c r="L7" i="1"/>
  <c r="K38" i="3"/>
  <c r="H120" i="3"/>
  <c r="G71" i="3"/>
  <c r="G644" i="1"/>
  <c r="N52" i="1"/>
  <c r="L157" i="3"/>
  <c r="J17" i="3"/>
  <c r="L532" i="1"/>
  <c r="K277" i="3"/>
  <c r="G155" i="3"/>
  <c r="Q31" i="3"/>
  <c r="Q249" i="1"/>
  <c r="G366" i="3"/>
  <c r="N69" i="1"/>
  <c r="O365" i="1"/>
  <c r="Q567" i="1"/>
  <c r="O11" i="1"/>
  <c r="N424" i="1"/>
  <c r="P206" i="3"/>
  <c r="G159" i="3"/>
  <c r="L10" i="3"/>
  <c r="Q120" i="3"/>
  <c r="Q116" i="3"/>
  <c r="H361" i="3"/>
  <c r="P502" i="1"/>
  <c r="O15" i="1"/>
  <c r="J199" i="3"/>
  <c r="J11" i="1"/>
  <c r="H503" i="1"/>
  <c r="G479" i="1"/>
  <c r="O102" i="1"/>
  <c r="L165" i="3"/>
  <c r="Q252" i="3"/>
  <c r="O279" i="3"/>
  <c r="G577" i="1"/>
  <c r="K133" i="3"/>
  <c r="O97" i="3"/>
  <c r="Q129" i="1"/>
  <c r="O253" i="3"/>
  <c r="J294" i="3"/>
  <c r="G631" i="1"/>
  <c r="M126" i="3"/>
  <c r="M78" i="3"/>
  <c r="O630" i="1"/>
  <c r="N218" i="1"/>
  <c r="M475" i="1"/>
  <c r="L186" i="3"/>
  <c r="P78" i="3"/>
  <c r="P357" i="3"/>
  <c r="O479" i="1"/>
  <c r="H196" i="3"/>
  <c r="G54" i="3"/>
  <c r="O352" i="1"/>
  <c r="N17" i="3"/>
  <c r="J554" i="1"/>
  <c r="O554" i="1"/>
  <c r="H348" i="3"/>
  <c r="G281" i="3"/>
  <c r="L121" i="3"/>
  <c r="J271" i="3"/>
  <c r="M185" i="3"/>
  <c r="N269" i="3"/>
  <c r="P249" i="1"/>
  <c r="P567" i="1"/>
  <c r="O631" i="1"/>
  <c r="Q491" i="1"/>
  <c r="P680" i="1"/>
  <c r="H181" i="1"/>
  <c r="H11" i="1"/>
  <c r="O71" i="3"/>
  <c r="K252" i="3"/>
  <c r="G133" i="3"/>
  <c r="H285" i="3"/>
  <c r="M65" i="1"/>
  <c r="N155" i="1"/>
  <c r="M60" i="3"/>
  <c r="J562" i="1"/>
  <c r="H618" i="1"/>
  <c r="L630" i="1"/>
  <c r="P250" i="1"/>
  <c r="P261" i="3"/>
  <c r="J73" i="3"/>
  <c r="G122" i="3"/>
  <c r="J57" i="1"/>
  <c r="K254" i="3"/>
  <c r="Q641" i="1"/>
  <c r="O550" i="1"/>
  <c r="H60" i="3"/>
  <c r="H132" i="3"/>
  <c r="G58" i="1"/>
  <c r="O264" i="3"/>
  <c r="J43" i="3"/>
  <c r="M598" i="1"/>
  <c r="Q301" i="3"/>
  <c r="N466" i="1"/>
  <c r="P317" i="3"/>
  <c r="H43" i="1"/>
  <c r="N350" i="3"/>
  <c r="M440" i="1"/>
  <c r="K348" i="3"/>
  <c r="N334" i="1"/>
  <c r="G13" i="3"/>
  <c r="K473" i="1"/>
  <c r="Q353" i="1"/>
  <c r="K92" i="3"/>
  <c r="O374" i="1"/>
  <c r="Q330" i="3"/>
  <c r="O12" i="3"/>
  <c r="P63" i="3"/>
  <c r="J333" i="3"/>
  <c r="N335" i="3"/>
  <c r="K154" i="1"/>
  <c r="K654" i="1"/>
  <c r="O432" i="1"/>
  <c r="O619" i="1"/>
  <c r="L94" i="1"/>
  <c r="M62" i="1"/>
  <c r="H259" i="1"/>
  <c r="H404" i="1"/>
  <c r="Q7" i="3"/>
  <c r="G55" i="3"/>
  <c r="P266" i="3"/>
  <c r="L390" i="1"/>
  <c r="M560" i="1"/>
  <c r="G115" i="3"/>
  <c r="J546" i="1"/>
  <c r="H284" i="1"/>
  <c r="P102" i="1"/>
  <c r="O603" i="1"/>
  <c r="O155" i="3"/>
  <c r="Q178" i="3"/>
  <c r="Q12" i="3"/>
  <c r="M583" i="1"/>
  <c r="Q117" i="3"/>
  <c r="N546" i="1"/>
  <c r="P254" i="3"/>
  <c r="P338" i="3"/>
  <c r="J326" i="3"/>
  <c r="P135" i="1"/>
  <c r="K377" i="3"/>
  <c r="M42" i="3"/>
  <c r="Q462" i="1"/>
  <c r="G254" i="3"/>
  <c r="Q201" i="3"/>
  <c r="N38" i="3"/>
  <c r="H35" i="1"/>
  <c r="L421" i="1"/>
  <c r="P15" i="3"/>
  <c r="G327" i="3"/>
  <c r="Q364" i="3"/>
  <c r="O188" i="1"/>
  <c r="K544" i="1"/>
  <c r="G113" i="3"/>
  <c r="L206" i="3"/>
  <c r="L40" i="1"/>
  <c r="H644" i="1"/>
  <c r="J366" i="3"/>
  <c r="P535" i="1"/>
  <c r="L285" i="3"/>
  <c r="Q166" i="3"/>
  <c r="J414" i="1"/>
  <c r="H371" i="1"/>
  <c r="P199" i="3"/>
  <c r="H376" i="3"/>
  <c r="J162" i="3"/>
  <c r="Q527" i="1"/>
  <c r="M13" i="3"/>
  <c r="K13" i="1"/>
  <c r="K334" i="1"/>
  <c r="Q653" i="1"/>
  <c r="Q231" i="3"/>
  <c r="L244" i="3"/>
  <c r="O325" i="3"/>
  <c r="K122" i="3"/>
  <c r="Q296" i="3"/>
  <c r="O357" i="3"/>
  <c r="M196" i="1"/>
  <c r="K256" i="3"/>
  <c r="K628" i="1"/>
  <c r="M365" i="1"/>
  <c r="L644" i="1"/>
  <c r="O680" i="1"/>
  <c r="J181" i="1"/>
  <c r="H254" i="1"/>
  <c r="J196" i="1"/>
  <c r="H439" i="1"/>
  <c r="P302" i="3"/>
  <c r="P321" i="1"/>
  <c r="M278" i="3"/>
  <c r="G66" i="3"/>
  <c r="Q404" i="1"/>
  <c r="H57" i="1"/>
  <c r="H333" i="3"/>
  <c r="K285" i="3"/>
  <c r="G269" i="3"/>
  <c r="P376" i="3"/>
  <c r="H205" i="3"/>
  <c r="K335" i="3"/>
  <c r="O343" i="3"/>
  <c r="M634" i="1"/>
  <c r="O208" i="3"/>
  <c r="K96" i="3"/>
  <c r="Q196" i="1"/>
  <c r="K394" i="1"/>
  <c r="K42" i="3"/>
  <c r="G398" i="1"/>
  <c r="H343" i="3"/>
  <c r="J338" i="3"/>
  <c r="P250" i="3"/>
  <c r="J324" i="1"/>
  <c r="N13" i="1"/>
  <c r="J21" i="3"/>
  <c r="J17" i="1"/>
  <c r="K52" i="1"/>
  <c r="O50" i="3"/>
  <c r="O157" i="3"/>
  <c r="K248" i="3"/>
  <c r="Q110" i="1"/>
  <c r="J373" i="1"/>
  <c r="O289" i="1"/>
  <c r="L555" i="1"/>
  <c r="M275" i="3"/>
  <c r="Q544" i="1"/>
  <c r="M309" i="3"/>
  <c r="O185" i="3"/>
  <c r="H421" i="1"/>
  <c r="H630" i="1"/>
  <c r="H408" i="1"/>
  <c r="Q42" i="3"/>
  <c r="L12" i="3"/>
  <c r="Q550" i="1"/>
  <c r="L366" i="3"/>
  <c r="L375" i="1"/>
  <c r="Q142" i="1"/>
  <c r="L137" i="1"/>
  <c r="K94" i="1"/>
  <c r="J131" i="1"/>
  <c r="G137" i="1"/>
  <c r="O40" i="1"/>
  <c r="H426" i="1"/>
  <c r="O302" i="3"/>
  <c r="L440" i="1"/>
  <c r="O271" i="3"/>
  <c r="N358" i="3"/>
  <c r="Q617" i="1"/>
  <c r="M685" i="1"/>
  <c r="L350" i="3"/>
  <c r="J201" i="3"/>
  <c r="L277" i="3"/>
  <c r="J83" i="3"/>
  <c r="H407" i="1"/>
  <c r="M59" i="3"/>
  <c r="H134" i="3"/>
  <c r="K57" i="1"/>
  <c r="J124" i="3"/>
  <c r="J376" i="3"/>
  <c r="P61" i="3"/>
  <c r="N141" i="1"/>
  <c r="J662" i="1"/>
  <c r="L282" i="3"/>
  <c r="H363" i="3"/>
  <c r="P370" i="3"/>
  <c r="M166" i="3"/>
  <c r="K507" i="1"/>
  <c r="Q373" i="1"/>
  <c r="L602" i="1"/>
  <c r="M157" i="3"/>
  <c r="H275" i="3"/>
  <c r="J335" i="1"/>
  <c r="M188" i="1"/>
  <c r="G7" i="3"/>
  <c r="H573" i="1"/>
  <c r="H537" i="1"/>
  <c r="J199" i="1"/>
  <c r="N239" i="3"/>
  <c r="G324" i="3"/>
  <c r="M281" i="3"/>
  <c r="K360" i="3"/>
  <c r="Q578" i="1"/>
  <c r="Q398" i="1"/>
  <c r="P142" i="1"/>
  <c r="K644" i="1"/>
  <c r="J395" i="1"/>
  <c r="G163" i="1"/>
  <c r="K361" i="1"/>
  <c r="H117" i="1"/>
  <c r="K302" i="3"/>
  <c r="N603" i="1"/>
  <c r="O59" i="3"/>
  <c r="O133" i="3"/>
  <c r="N439" i="1"/>
  <c r="L206" i="1"/>
  <c r="J330" i="3"/>
  <c r="O205" i="3"/>
  <c r="L254" i="3"/>
  <c r="P211" i="3"/>
  <c r="H84" i="1"/>
  <c r="Q377" i="3"/>
  <c r="K326" i="3"/>
  <c r="G355" i="3"/>
  <c r="J196" i="3"/>
  <c r="K266" i="3"/>
  <c r="J344" i="3"/>
  <c r="M61" i="1"/>
  <c r="G79" i="1"/>
  <c r="L250" i="3"/>
  <c r="G358" i="3"/>
  <c r="Q250" i="3"/>
  <c r="G259" i="1"/>
  <c r="P115" i="3"/>
  <c r="M269" i="3"/>
  <c r="N282" i="3"/>
  <c r="P21" i="3"/>
  <c r="P473" i="1"/>
  <c r="J295" i="1"/>
  <c r="N214" i="3"/>
  <c r="G499" i="1"/>
  <c r="J449" i="1"/>
  <c r="G19" i="1"/>
  <c r="H373" i="1"/>
  <c r="O309" i="3"/>
  <c r="K201" i="3"/>
  <c r="H164" i="1"/>
  <c r="H196" i="1"/>
  <c r="J149" i="1"/>
  <c r="Q11" i="3"/>
  <c r="O42" i="3"/>
  <c r="H61" i="3"/>
  <c r="N302" i="3"/>
  <c r="Q408" i="1"/>
  <c r="L654" i="1"/>
  <c r="P398" i="1"/>
  <c r="K137" i="1"/>
  <c r="J254" i="1"/>
  <c r="G459" i="1"/>
  <c r="P131" i="1"/>
  <c r="H269" i="1"/>
  <c r="N113" i="3"/>
  <c r="Q63" i="3"/>
  <c r="Q151" i="3"/>
  <c r="Q167" i="3"/>
  <c r="M682" i="1"/>
  <c r="O207" i="1"/>
  <c r="G201" i="3"/>
  <c r="G208" i="3"/>
  <c r="J107" i="1"/>
  <c r="Q185" i="3"/>
  <c r="H603" i="1"/>
  <c r="G375" i="3"/>
  <c r="H167" i="3"/>
  <c r="O330" i="3"/>
  <c r="P343" i="3"/>
  <c r="H56" i="3"/>
  <c r="P54" i="3"/>
  <c r="K125" i="1"/>
  <c r="J155" i="1"/>
  <c r="P122" i="3"/>
  <c r="J259" i="1"/>
  <c r="Q583" i="1"/>
  <c r="K55" i="3"/>
  <c r="H101" i="3"/>
  <c r="L633" i="1"/>
  <c r="N157" i="3"/>
  <c r="M17" i="1"/>
  <c r="G92" i="3"/>
  <c r="N335" i="1"/>
  <c r="M544" i="1"/>
  <c r="O375" i="3"/>
  <c r="H567" i="1"/>
  <c r="G199" i="1"/>
  <c r="J617" i="1"/>
  <c r="M346" i="3"/>
  <c r="K212" i="3"/>
  <c r="G301" i="3"/>
  <c r="O211" i="3"/>
  <c r="P58" i="1"/>
  <c r="N143" i="1"/>
  <c r="O257" i="1"/>
  <c r="P522" i="1"/>
  <c r="J237" i="1"/>
  <c r="M163" i="1"/>
  <c r="L407" i="1"/>
  <c r="H601" i="1"/>
  <c r="P231" i="3"/>
  <c r="L333" i="3"/>
  <c r="O146" i="3"/>
  <c r="H115" i="3"/>
  <c r="Q12" i="1"/>
  <c r="O126" i="1"/>
  <c r="L205" i="3"/>
  <c r="Q311" i="3"/>
  <c r="J154" i="1"/>
  <c r="L245" i="3"/>
  <c r="H129" i="1"/>
  <c r="J74" i="3"/>
  <c r="J121" i="3"/>
  <c r="J206" i="3"/>
  <c r="L97" i="3"/>
  <c r="M58" i="3"/>
  <c r="O277" i="3"/>
  <c r="P126" i="1"/>
  <c r="J339" i="1"/>
  <c r="P242" i="3"/>
  <c r="L598" i="1"/>
  <c r="O360" i="3"/>
  <c r="K342" i="1"/>
  <c r="O278" i="3"/>
  <c r="O499" i="1"/>
  <c r="H532" i="1"/>
  <c r="K98" i="1"/>
  <c r="M633" i="1"/>
  <c r="H98" i="3"/>
  <c r="J329" i="3"/>
  <c r="L248" i="3"/>
  <c r="L71" i="3"/>
  <c r="H55" i="1"/>
  <c r="G503" i="1"/>
  <c r="G266" i="3"/>
  <c r="K129" i="3"/>
  <c r="P277" i="3"/>
  <c r="J145" i="3"/>
  <c r="N25" i="1"/>
  <c r="Q58" i="1"/>
  <c r="L560" i="1"/>
  <c r="Q407" i="1"/>
  <c r="J46" i="1"/>
  <c r="M11" i="1"/>
  <c r="N127" i="1"/>
  <c r="G62" i="1"/>
  <c r="H111" i="3"/>
  <c r="M178" i="3"/>
  <c r="P239" i="3"/>
  <c r="N96" i="3"/>
  <c r="O326" i="3"/>
  <c r="P630" i="1"/>
  <c r="J165" i="3"/>
  <c r="K165" i="3"/>
  <c r="O404" i="1"/>
  <c r="L61" i="3"/>
  <c r="J171" i="1"/>
  <c r="J231" i="3"/>
  <c r="H141" i="3"/>
  <c r="P165" i="3"/>
  <c r="H344" i="3"/>
  <c r="Q253" i="3"/>
  <c r="J116" i="3"/>
  <c r="M123" i="1"/>
  <c r="M330" i="3"/>
  <c r="H38" i="3"/>
  <c r="H151" i="3"/>
  <c r="J35" i="3"/>
  <c r="J375" i="3"/>
  <c r="O60" i="1"/>
  <c r="J348" i="3"/>
  <c r="M289" i="1"/>
  <c r="L334" i="1"/>
  <c r="M354" i="1"/>
  <c r="O574" i="1"/>
  <c r="J595" i="1"/>
  <c r="K35" i="3"/>
  <c r="H303" i="3"/>
  <c r="K558" i="1"/>
  <c r="H60" i="1"/>
  <c r="M603" i="1"/>
  <c r="H165" i="3"/>
  <c r="L394" i="1"/>
  <c r="M83" i="3"/>
  <c r="L155" i="1"/>
  <c r="O84" i="1"/>
  <c r="Q475" i="1"/>
  <c r="O475" i="1"/>
  <c r="P411" i="1"/>
  <c r="J88" i="3"/>
  <c r="N13" i="3"/>
  <c r="G31" i="3"/>
  <c r="O354" i="1"/>
  <c r="H364" i="3"/>
  <c r="Q394" i="1"/>
  <c r="J97" i="1"/>
  <c r="M279" i="3"/>
  <c r="M619" i="1"/>
  <c r="N15" i="1"/>
  <c r="H69" i="1"/>
  <c r="J133" i="3"/>
  <c r="H35" i="3"/>
  <c r="P395" i="1"/>
  <c r="O239" i="3"/>
  <c r="K610" i="1"/>
  <c r="O61" i="1"/>
  <c r="H12" i="3"/>
  <c r="N542" i="1"/>
  <c r="J62" i="1"/>
  <c r="L279" i="1"/>
  <c r="O159" i="3"/>
  <c r="H633" i="1"/>
  <c r="N618" i="1"/>
  <c r="J129" i="1"/>
  <c r="N278" i="3"/>
  <c r="Q143" i="1"/>
  <c r="G165" i="3"/>
  <c r="Q83" i="3"/>
  <c r="M483" i="1"/>
  <c r="O120" i="3"/>
  <c r="M592" i="1"/>
  <c r="N79" i="1"/>
  <c r="L151" i="3"/>
  <c r="Q594" i="1"/>
  <c r="H267" i="1"/>
  <c r="G352" i="1"/>
  <c r="G157" i="3"/>
  <c r="O107" i="1"/>
  <c r="O667" i="1"/>
  <c r="Q239" i="3"/>
  <c r="L76" i="1"/>
  <c r="K185" i="3"/>
  <c r="J484" i="1"/>
  <c r="J234" i="1"/>
  <c r="J299" i="3"/>
  <c r="L12" i="1"/>
  <c r="Q282" i="3"/>
  <c r="L276" i="1"/>
  <c r="O96" i="3"/>
  <c r="K31" i="3"/>
  <c r="N250" i="3"/>
  <c r="N116" i="3"/>
  <c r="H365" i="1"/>
  <c r="J141" i="1"/>
  <c r="P110" i="1"/>
  <c r="O527" i="1"/>
  <c r="M459" i="1"/>
  <c r="O62" i="1"/>
  <c r="H129" i="3"/>
  <c r="K284" i="1"/>
  <c r="K597" i="1"/>
  <c r="J133" i="1"/>
  <c r="G11" i="1"/>
  <c r="P84" i="1"/>
  <c r="J58" i="3"/>
  <c r="K630" i="1"/>
  <c r="Q363" i="3"/>
  <c r="J577" i="1"/>
  <c r="Q365" i="3"/>
  <c r="L19" i="1"/>
  <c r="Q414" i="1"/>
  <c r="N398" i="1"/>
  <c r="L341" i="1"/>
  <c r="Q237" i="1"/>
  <c r="Q94" i="1"/>
  <c r="G97" i="3"/>
  <c r="L65" i="1"/>
  <c r="Q254" i="1"/>
  <c r="J351" i="1"/>
  <c r="J365" i="1"/>
  <c r="N129" i="3"/>
  <c r="L558" i="1"/>
  <c r="N343" i="3"/>
  <c r="N324" i="3"/>
  <c r="H15" i="3"/>
  <c r="G483" i="1"/>
  <c r="L122" i="3"/>
  <c r="L442" i="1"/>
  <c r="K141" i="1"/>
  <c r="L52" i="1"/>
  <c r="M88" i="1"/>
  <c r="G361" i="1"/>
  <c r="M334" i="1"/>
  <c r="J653" i="1"/>
  <c r="N364" i="3"/>
  <c r="K279" i="1"/>
  <c r="Q577" i="1"/>
  <c r="L296" i="3"/>
  <c r="M371" i="1"/>
  <c r="P284" i="1"/>
  <c r="J567" i="1"/>
  <c r="J207" i="1"/>
  <c r="N261" i="3"/>
  <c r="O542" i="1"/>
  <c r="P365" i="3"/>
  <c r="P208" i="3"/>
  <c r="N211" i="3"/>
  <c r="J398" i="1"/>
  <c r="G186" i="3"/>
  <c r="K325" i="3"/>
  <c r="M125" i="1"/>
  <c r="H574" i="1"/>
  <c r="O366" i="1"/>
  <c r="J354" i="3"/>
  <c r="L549" i="1"/>
  <c r="Q347" i="1"/>
  <c r="M335" i="1"/>
  <c r="J157" i="3"/>
  <c r="M93" i="1"/>
  <c r="M135" i="1"/>
  <c r="P654" i="1"/>
  <c r="P644" i="1"/>
  <c r="O196" i="3"/>
  <c r="K341" i="1"/>
  <c r="M164" i="1"/>
  <c r="J15" i="1"/>
  <c r="G562" i="1"/>
  <c r="M155" i="3"/>
  <c r="Q261" i="3"/>
  <c r="N317" i="3"/>
  <c r="K124" i="3"/>
  <c r="N178" i="3"/>
  <c r="J157" i="1"/>
  <c r="G65" i="1"/>
  <c r="K357" i="3"/>
  <c r="O56" i="3"/>
  <c r="K376" i="3"/>
  <c r="Q52" i="1"/>
  <c r="O52" i="1"/>
  <c r="N348" i="3"/>
  <c r="P583" i="1"/>
  <c r="J685" i="1"/>
  <c r="O137" i="1"/>
  <c r="L31" i="3"/>
  <c r="K535" i="1"/>
  <c r="Q141" i="1"/>
  <c r="J592" i="1"/>
  <c r="G546" i="1"/>
  <c r="N199" i="3"/>
  <c r="M242" i="3"/>
  <c r="P126" i="3"/>
  <c r="N196" i="3"/>
  <c r="L185" i="3"/>
  <c r="L342" i="1"/>
  <c r="O583" i="1"/>
  <c r="K21" i="3"/>
  <c r="K364" i="3"/>
  <c r="N142" i="1"/>
  <c r="P214" i="3"/>
  <c r="M392" i="1"/>
  <c r="J641" i="1"/>
  <c r="L252" i="3"/>
  <c r="L196" i="3"/>
  <c r="O578" i="1"/>
  <c r="K269" i="1"/>
  <c r="Q357" i="3"/>
  <c r="G414" i="1"/>
  <c r="H12" i="1"/>
  <c r="H62" i="1"/>
  <c r="O370" i="3"/>
  <c r="Q343" i="3"/>
  <c r="N63" i="1"/>
  <c r="Q145" i="3"/>
  <c r="Q206" i="1"/>
  <c r="M113" i="3"/>
  <c r="H473" i="1"/>
  <c r="Q532" i="1"/>
  <c r="M364" i="3"/>
  <c r="O149" i="1"/>
  <c r="J257" i="1"/>
  <c r="H162" i="3"/>
  <c r="M154" i="1"/>
  <c r="L408" i="1"/>
  <c r="O661" i="1"/>
  <c r="G74" i="3"/>
  <c r="O439" i="1"/>
  <c r="H142" i="1"/>
  <c r="H491" i="1"/>
  <c r="P269" i="3"/>
  <c r="H253" i="3"/>
  <c r="N289" i="3"/>
  <c r="Q122" i="3"/>
  <c r="H324" i="3"/>
  <c r="H442" i="1"/>
  <c r="O662" i="1"/>
  <c r="J363" i="3"/>
  <c r="L129" i="1"/>
  <c r="J92" i="3"/>
  <c r="Q248" i="3"/>
  <c r="Q275" i="3"/>
  <c r="M324" i="1"/>
  <c r="J563" i="1"/>
  <c r="N73" i="3"/>
  <c r="N30" i="1"/>
  <c r="P347" i="1"/>
  <c r="K578" i="1"/>
  <c r="J55" i="3"/>
  <c r="O206" i="1"/>
  <c r="H631" i="1"/>
  <c r="H351" i="1"/>
  <c r="O335" i="3"/>
  <c r="P71" i="3"/>
  <c r="G206" i="1"/>
  <c r="J38" i="3"/>
  <c r="J120" i="3"/>
  <c r="H88" i="3"/>
  <c r="J7" i="1"/>
  <c r="H444" i="1"/>
  <c r="H97" i="1"/>
  <c r="H7" i="3"/>
  <c r="O373" i="1"/>
  <c r="L439" i="1"/>
  <c r="J250" i="1"/>
  <c r="N42" i="3"/>
  <c r="O361" i="3"/>
  <c r="J60" i="1"/>
  <c r="L347" i="1"/>
  <c r="P325" i="3"/>
  <c r="M207" i="1"/>
  <c r="H628" i="1"/>
  <c r="H563" i="1"/>
  <c r="Q360" i="3"/>
  <c r="G619" i="1"/>
  <c r="J631" i="1"/>
  <c r="O365" i="3"/>
  <c r="Q124" i="3"/>
  <c r="H186" i="3"/>
  <c r="K50" i="3"/>
  <c r="H269" i="3"/>
  <c r="Q79" i="1"/>
  <c r="P352" i="1"/>
  <c r="N248" i="3"/>
  <c r="Q574" i="1"/>
  <c r="J153" i="1"/>
  <c r="H116" i="3"/>
  <c r="Q299" i="3"/>
  <c r="Q661" i="1"/>
  <c r="L153" i="1"/>
  <c r="N238" i="3"/>
  <c r="J178" i="3"/>
  <c r="H102" i="1"/>
  <c r="H249" i="1"/>
  <c r="J126" i="3"/>
  <c r="P333" i="1"/>
  <c r="N135" i="1"/>
  <c r="M162" i="3"/>
  <c r="M122" i="3"/>
  <c r="G329" i="3"/>
  <c r="H654" i="1"/>
  <c r="P459" i="1"/>
  <c r="L335" i="1"/>
  <c r="J93" i="1"/>
  <c r="Q618" i="1"/>
  <c r="Q21" i="1"/>
  <c r="H598" i="1"/>
  <c r="M256" i="3"/>
  <c r="L567" i="1"/>
  <c r="O218" i="1"/>
  <c r="H342" i="1"/>
  <c r="J94" i="1"/>
  <c r="J117" i="3"/>
  <c r="H522" i="1"/>
  <c r="G484" i="1"/>
  <c r="H412" i="1"/>
  <c r="H392" i="1"/>
  <c r="K117" i="1"/>
  <c r="O309" i="1"/>
  <c r="G667" i="1"/>
  <c r="N281" i="3"/>
  <c r="M143" i="1"/>
  <c r="G133" i="1"/>
  <c r="H126" i="1"/>
  <c r="H432" i="1"/>
  <c r="L124" i="3"/>
  <c r="J7" i="3"/>
  <c r="K83" i="3"/>
  <c r="J60" i="3"/>
  <c r="L123" i="1"/>
  <c r="G61" i="1"/>
  <c r="H335" i="3"/>
  <c r="Q681" i="1"/>
  <c r="K11" i="1"/>
  <c r="H25" i="1"/>
  <c r="J71" i="3"/>
  <c r="O289" i="3"/>
  <c r="K309" i="3"/>
  <c r="N583" i="1"/>
  <c r="G83" i="3"/>
  <c r="O491" i="1"/>
  <c r="J404" i="1"/>
  <c r="O7" i="3"/>
  <c r="J421" i="1"/>
  <c r="M462" i="1"/>
  <c r="J555" i="1"/>
  <c r="H590" i="1"/>
  <c r="L411" i="1"/>
  <c r="G25" i="1"/>
  <c r="Q322" i="3"/>
  <c r="H544" i="1"/>
  <c r="N55" i="3"/>
  <c r="L164" i="1"/>
  <c r="G154" i="1"/>
  <c r="P592" i="1"/>
  <c r="G12" i="1"/>
  <c r="P269" i="1"/>
  <c r="G682" i="1"/>
  <c r="P74" i="3"/>
  <c r="N167" i="3"/>
  <c r="O594" i="1"/>
  <c r="M535" i="1"/>
  <c r="O685" i="1"/>
  <c r="K149" i="1"/>
  <c r="O535" i="1"/>
  <c r="J328" i="3"/>
  <c r="H17" i="1"/>
  <c r="Q98" i="3"/>
  <c r="N339" i="1"/>
  <c r="L269" i="1"/>
  <c r="H330" i="3"/>
  <c r="J20" i="3"/>
  <c r="P616" i="1"/>
  <c r="P375" i="1"/>
  <c r="J681" i="1"/>
  <c r="P661" i="1"/>
  <c r="N207" i="1"/>
  <c r="J25" i="1"/>
  <c r="P59" i="3"/>
  <c r="K373" i="1"/>
  <c r="N555" i="1"/>
  <c r="L619" i="1"/>
  <c r="N444" i="1"/>
  <c r="Q333" i="1"/>
  <c r="L577" i="1"/>
  <c r="M142" i="1"/>
  <c r="K102" i="1"/>
  <c r="N324" i="1"/>
  <c r="P662" i="1"/>
  <c r="H653" i="1"/>
  <c r="N154" i="1"/>
  <c r="K88" i="1"/>
  <c r="K180" i="1"/>
  <c r="P554" i="1"/>
  <c r="M327" i="3"/>
  <c r="J282" i="1"/>
  <c r="Q145" i="1"/>
  <c r="Q137" i="1"/>
  <c r="H301" i="3"/>
  <c r="L631" i="1"/>
  <c r="G491" i="1"/>
  <c r="H594" i="1"/>
  <c r="H339" i="1"/>
  <c r="H395" i="1"/>
  <c r="N279" i="3"/>
  <c r="G256" i="3"/>
  <c r="G96" i="3"/>
  <c r="N35" i="1"/>
  <c r="G366" i="1"/>
  <c r="P330" i="3"/>
  <c r="L135" i="1"/>
  <c r="M432" i="1"/>
  <c r="H560" i="1"/>
  <c r="G200" i="3"/>
  <c r="O171" i="1"/>
  <c r="G106" i="1"/>
  <c r="H61" i="1"/>
  <c r="M657" i="1"/>
  <c r="P127" i="1"/>
  <c r="H153" i="1"/>
  <c r="G125" i="1"/>
  <c r="O322" i="3"/>
  <c r="N311" i="3"/>
  <c r="L98" i="1"/>
  <c r="N667" i="1"/>
  <c r="P279" i="3"/>
  <c r="K65" i="1"/>
  <c r="N294" i="3"/>
  <c r="H414" i="1"/>
  <c r="L57" i="1"/>
  <c r="Q55" i="1"/>
  <c r="N327" i="3"/>
  <c r="L595" i="1"/>
  <c r="G594" i="1"/>
  <c r="H206" i="3"/>
  <c r="J278" i="3"/>
  <c r="N254" i="1"/>
  <c r="K404" i="1"/>
  <c r="Q339" i="1"/>
  <c r="O234" i="1"/>
  <c r="O394" i="1"/>
  <c r="Q284" i="1"/>
  <c r="P479" i="1"/>
  <c r="J78" i="3"/>
  <c r="K317" i="3"/>
  <c r="J667" i="1"/>
  <c r="P206" i="1"/>
  <c r="J603" i="1"/>
  <c r="N126" i="3"/>
  <c r="N58" i="1"/>
  <c r="N361" i="1"/>
  <c r="P296" i="3"/>
  <c r="L239" i="3"/>
  <c r="J127" i="1"/>
  <c r="N124" i="3"/>
  <c r="Q294" i="3"/>
  <c r="L21" i="1"/>
  <c r="K181" i="1"/>
  <c r="J250" i="3"/>
  <c r="M352" i="1"/>
  <c r="H13" i="1"/>
  <c r="J432" i="1"/>
  <c r="J31" i="3"/>
  <c r="Q636" i="1"/>
  <c r="G10" i="1"/>
  <c r="H188" i="1"/>
  <c r="J390" i="1"/>
  <c r="M398" i="1"/>
  <c r="L489" i="1"/>
  <c r="O351" i="1"/>
  <c r="K475" i="1"/>
  <c r="N353" i="1"/>
  <c r="M248" i="3"/>
  <c r="H597" i="1"/>
  <c r="N271" i="3"/>
  <c r="N682" i="1"/>
  <c r="L116" i="3"/>
  <c r="L264" i="3"/>
  <c r="H302" i="3"/>
  <c r="J574" i="1"/>
  <c r="L483" i="1"/>
  <c r="N325" i="3"/>
  <c r="L507" i="1"/>
  <c r="N411" i="1"/>
  <c r="H333" i="1"/>
  <c r="H549" i="1"/>
  <c r="G20" i="3"/>
  <c r="H98" i="1"/>
  <c r="Q603" i="1"/>
  <c r="L365" i="3"/>
  <c r="H93" i="1"/>
  <c r="H154" i="1"/>
  <c r="H562" i="1"/>
  <c r="G142" i="1"/>
  <c r="P66" i="3"/>
  <c r="L618" i="1"/>
  <c r="O408" i="1"/>
  <c r="P46" i="1"/>
  <c r="P324" i="1"/>
  <c r="O178" i="3"/>
  <c r="Q228" i="3"/>
  <c r="P98" i="3"/>
  <c r="M21" i="3"/>
  <c r="K459" i="1"/>
  <c r="K205" i="3"/>
  <c r="H365" i="3"/>
  <c r="K207" i="1"/>
  <c r="M149" i="1"/>
  <c r="K259" i="1"/>
  <c r="P421" i="1"/>
  <c r="M20" i="3"/>
  <c r="N449" i="1"/>
  <c r="K146" i="3"/>
  <c r="H208" i="3"/>
  <c r="K685" i="1"/>
  <c r="M365" i="3"/>
  <c r="P681" i="1"/>
  <c r="L200" i="3"/>
  <c r="M311" i="3"/>
  <c r="J366" i="1"/>
  <c r="O275" i="3"/>
  <c r="N275" i="3"/>
  <c r="N653" i="1"/>
  <c r="L412" i="1"/>
  <c r="P667" i="1"/>
  <c r="H289" i="3"/>
  <c r="N157" i="1"/>
  <c r="L371" i="1"/>
  <c r="P254" i="1"/>
  <c r="H424" i="1"/>
  <c r="G43" i="1"/>
  <c r="J361" i="1"/>
  <c r="K616" i="1"/>
  <c r="H271" i="3"/>
  <c r="P351" i="1"/>
  <c r="N74" i="3"/>
  <c r="Q562" i="1"/>
  <c r="Q115" i="3"/>
  <c r="Q374" i="1"/>
  <c r="M653" i="1"/>
  <c r="L381" i="1"/>
  <c r="P62" i="1"/>
  <c r="O346" i="3"/>
  <c r="P65" i="1"/>
  <c r="M595" i="1"/>
  <c r="O284" i="1"/>
  <c r="H171" i="1"/>
  <c r="G598" i="1"/>
  <c r="J444" i="1"/>
  <c r="H366" i="1"/>
  <c r="N330" i="3"/>
  <c r="M84" i="1"/>
  <c r="G78" i="3"/>
  <c r="K537" i="1"/>
  <c r="Q56" i="3"/>
  <c r="M681" i="1"/>
  <c r="L574" i="1"/>
  <c r="Q179" i="1"/>
  <c r="Q27" i="3"/>
  <c r="G229" i="1"/>
  <c r="N240" i="1"/>
  <c r="N591" i="1"/>
  <c r="H204" i="3"/>
  <c r="P191" i="3"/>
  <c r="Q16" i="1"/>
  <c r="O16" i="1"/>
  <c r="N281" i="1"/>
  <c r="J362" i="3"/>
  <c r="L85" i="1"/>
  <c r="K16" i="1"/>
  <c r="K306" i="3"/>
  <c r="O330" i="1"/>
  <c r="L389" i="1"/>
  <c r="L568" i="1"/>
  <c r="P75" i="1"/>
  <c r="N249" i="3"/>
  <c r="J70" i="3"/>
  <c r="J39" i="1"/>
  <c r="Q659" i="1"/>
  <c r="N225" i="3"/>
  <c r="J113" i="1"/>
  <c r="N332" i="3"/>
  <c r="Q225" i="3"/>
  <c r="N315" i="3"/>
  <c r="P135" i="3"/>
  <c r="K623" i="1"/>
  <c r="K589" i="1"/>
  <c r="L306" i="1"/>
  <c r="K148" i="3"/>
  <c r="H195" i="3"/>
  <c r="K586" i="1"/>
  <c r="N288" i="3"/>
  <c r="G89" i="1"/>
  <c r="L268" i="1"/>
  <c r="G293" i="3"/>
  <c r="P526" i="1"/>
  <c r="J110" i="3"/>
  <c r="K669" i="1"/>
  <c r="H307" i="1"/>
  <c r="L600" i="1"/>
  <c r="H36" i="1"/>
  <c r="O302" i="1"/>
  <c r="K161" i="3"/>
  <c r="K526" i="1"/>
  <c r="O202" i="3"/>
  <c r="L671" i="1"/>
  <c r="J423" i="1"/>
  <c r="M147" i="1"/>
  <c r="K471" i="1"/>
  <c r="H188" i="3"/>
  <c r="K514" i="1"/>
  <c r="Q255" i="3"/>
  <c r="K298" i="1"/>
  <c r="G283" i="3"/>
  <c r="M651" i="1"/>
  <c r="G170" i="1"/>
  <c r="J378" i="3"/>
  <c r="P233" i="1"/>
  <c r="M224" i="3"/>
  <c r="N695" i="1"/>
  <c r="K188" i="3"/>
  <c r="L233" i="1"/>
  <c r="O154" i="3"/>
  <c r="Q665" i="1"/>
  <c r="H189" i="1"/>
  <c r="G218" i="3"/>
  <c r="M240" i="3"/>
  <c r="J187" i="1"/>
  <c r="O293" i="1"/>
  <c r="P599" i="1"/>
  <c r="N307" i="1"/>
  <c r="P406" i="1"/>
  <c r="J298" i="1"/>
  <c r="N292" i="1"/>
  <c r="N268" i="1"/>
  <c r="L132" i="1"/>
  <c r="N80" i="1"/>
  <c r="L314" i="3"/>
  <c r="L212" i="1"/>
  <c r="J355" i="1"/>
  <c r="H262" i="3"/>
  <c r="Q593" i="1"/>
  <c r="K359" i="1"/>
  <c r="K332" i="1"/>
  <c r="P332" i="1"/>
  <c r="Q219" i="1"/>
  <c r="N668" i="1"/>
  <c r="G427" i="1"/>
  <c r="G691" i="1"/>
  <c r="M495" i="1"/>
  <c r="M304" i="1"/>
  <c r="Q240" i="3"/>
  <c r="G534" i="1"/>
  <c r="Q39" i="1"/>
  <c r="O465" i="1"/>
  <c r="Q362" i="3"/>
  <c r="J28" i="3"/>
  <c r="H191" i="3"/>
  <c r="K198" i="3"/>
  <c r="N144" i="1"/>
  <c r="Q152" i="3"/>
  <c r="Q565" i="1"/>
  <c r="L144" i="1"/>
  <c r="H252" i="1"/>
  <c r="H47" i="3"/>
  <c r="G86" i="1"/>
  <c r="H330" i="1"/>
  <c r="L330" i="1"/>
  <c r="K183" i="3"/>
  <c r="J666" i="1"/>
  <c r="O272" i="1"/>
  <c r="N323" i="1"/>
  <c r="Q331" i="3"/>
  <c r="J27" i="1"/>
  <c r="Q332" i="3"/>
  <c r="J135" i="3"/>
  <c r="Q362" i="1"/>
  <c r="L173" i="1"/>
  <c r="Q75" i="1"/>
  <c r="G265" i="1"/>
  <c r="N363" i="1"/>
  <c r="O294" i="1"/>
  <c r="H557" i="1"/>
  <c r="K85" i="3"/>
  <c r="J589" i="1"/>
  <c r="H131" i="3"/>
  <c r="J568" i="1"/>
  <c r="L362" i="3"/>
  <c r="O225" i="3"/>
  <c r="L291" i="3"/>
  <c r="H339" i="3"/>
  <c r="J125" i="3"/>
  <c r="P656" i="1"/>
  <c r="J272" i="1"/>
  <c r="H367" i="3"/>
  <c r="N689" i="1"/>
  <c r="M531" i="1"/>
  <c r="Q671" i="1"/>
  <c r="H513" i="1"/>
  <c r="L622" i="1"/>
  <c r="M45" i="3"/>
  <c r="N607" i="1"/>
  <c r="H579" i="1"/>
  <c r="P29" i="1"/>
  <c r="H283" i="1"/>
  <c r="M526" i="1"/>
  <c r="O349" i="3"/>
  <c r="Q247" i="1"/>
  <c r="O272" i="3"/>
  <c r="M302" i="1"/>
  <c r="J520" i="1"/>
  <c r="P632" i="1"/>
  <c r="Q329" i="1"/>
  <c r="H241" i="3"/>
  <c r="P427" i="1"/>
  <c r="H224" i="3"/>
  <c r="O316" i="1"/>
  <c r="J202" i="1"/>
  <c r="K383" i="1"/>
  <c r="G514" i="1"/>
  <c r="M188" i="3"/>
  <c r="M329" i="1"/>
  <c r="J171" i="3"/>
  <c r="P587" i="1"/>
  <c r="G233" i="3"/>
  <c r="Q202" i="1"/>
  <c r="H128" i="3"/>
  <c r="P226" i="1"/>
  <c r="J293" i="1"/>
  <c r="K232" i="3"/>
  <c r="K218" i="3"/>
  <c r="G205" i="1"/>
  <c r="Q292" i="3"/>
  <c r="K161" i="1"/>
  <c r="J564" i="1"/>
  <c r="O599" i="1"/>
  <c r="P359" i="1"/>
  <c r="N198" i="1"/>
  <c r="M320" i="1"/>
  <c r="O326" i="1"/>
  <c r="J674" i="1"/>
  <c r="N221" i="3"/>
  <c r="K195" i="1"/>
  <c r="G684" i="1"/>
  <c r="H348" i="1"/>
  <c r="N319" i="1"/>
  <c r="Q369" i="3"/>
  <c r="N187" i="1"/>
  <c r="M588" i="1"/>
  <c r="G587" i="1"/>
  <c r="L579" i="1"/>
  <c r="G470" i="1"/>
  <c r="K455" i="1"/>
  <c r="O273" i="1"/>
  <c r="Q154" i="3"/>
  <c r="H227" i="1"/>
  <c r="J229" i="1"/>
  <c r="H511" i="1"/>
  <c r="P160" i="1"/>
  <c r="J29" i="3"/>
  <c r="H160" i="1"/>
  <c r="M557" i="1"/>
  <c r="N659" i="1"/>
  <c r="L313" i="3"/>
  <c r="K225" i="3"/>
  <c r="G276" i="3"/>
  <c r="G529" i="1"/>
  <c r="G645" i="1"/>
  <c r="L632" i="1"/>
  <c r="M356" i="1"/>
  <c r="G302" i="1"/>
  <c r="G215" i="3"/>
  <c r="K362" i="3"/>
  <c r="N194" i="3"/>
  <c r="K103" i="3"/>
  <c r="Q160" i="1"/>
  <c r="O144" i="1"/>
  <c r="K8" i="1"/>
  <c r="N272" i="1"/>
  <c r="K6" i="1"/>
  <c r="L272" i="1"/>
  <c r="H85" i="1"/>
  <c r="L160" i="1"/>
  <c r="P28" i="1"/>
  <c r="P446" i="1"/>
  <c r="H591" i="1"/>
  <c r="M362" i="3"/>
  <c r="H139" i="1"/>
  <c r="N139" i="1"/>
  <c r="J441" i="1"/>
  <c r="O623" i="1"/>
  <c r="H313" i="3"/>
  <c r="O75" i="1"/>
  <c r="J181" i="3"/>
  <c r="N557" i="1"/>
  <c r="N210" i="3"/>
  <c r="J80" i="3"/>
  <c r="H174" i="1"/>
  <c r="N294" i="1"/>
  <c r="L257" i="3"/>
  <c r="G31" i="1"/>
  <c r="M223" i="3"/>
  <c r="O295" i="3"/>
  <c r="N358" i="1"/>
  <c r="L204" i="3"/>
  <c r="J511" i="1"/>
  <c r="N86" i="1"/>
  <c r="Q512" i="1"/>
  <c r="N205" i="1"/>
  <c r="O233" i="1"/>
  <c r="L303" i="1"/>
  <c r="H476" i="1"/>
  <c r="N612" i="1"/>
  <c r="K247" i="3"/>
  <c r="H429" i="1"/>
  <c r="P559" i="1"/>
  <c r="H73" i="1"/>
  <c r="O559" i="1"/>
  <c r="M342" i="3"/>
  <c r="L526" i="1"/>
  <c r="J36" i="1"/>
  <c r="Q90" i="1"/>
  <c r="M37" i="1"/>
  <c r="O255" i="3"/>
  <c r="O651" i="1"/>
  <c r="Q293" i="3"/>
  <c r="L514" i="1"/>
  <c r="O359" i="3"/>
  <c r="N318" i="1"/>
  <c r="G669" i="1"/>
  <c r="P241" i="3"/>
  <c r="L202" i="1"/>
  <c r="H47" i="1"/>
  <c r="N383" i="1"/>
  <c r="J240" i="3"/>
  <c r="N587" i="1"/>
  <c r="L171" i="3"/>
  <c r="G161" i="3"/>
  <c r="Q529" i="1"/>
  <c r="J495" i="1"/>
  <c r="O232" i="3"/>
  <c r="G632" i="1"/>
  <c r="P154" i="3"/>
  <c r="L175" i="1"/>
  <c r="K110" i="3"/>
  <c r="L161" i="1"/>
  <c r="L304" i="1"/>
  <c r="P345" i="1"/>
  <c r="N640" i="1"/>
  <c r="O579" i="1"/>
  <c r="G329" i="1"/>
  <c r="H468" i="1"/>
  <c r="L477" i="1"/>
  <c r="J116" i="1"/>
  <c r="Q342" i="3"/>
  <c r="M292" i="1"/>
  <c r="N314" i="3"/>
  <c r="K256" i="1"/>
  <c r="K684" i="1"/>
  <c r="N485" i="1"/>
  <c r="P417" i="1"/>
  <c r="L455" i="1"/>
  <c r="M564" i="1"/>
  <c r="M470" i="1"/>
  <c r="O220" i="3"/>
  <c r="G284" i="3"/>
  <c r="O37" i="1"/>
  <c r="N45" i="3"/>
  <c r="Q353" i="3"/>
  <c r="J284" i="3"/>
  <c r="O8" i="1"/>
  <c r="K240" i="1"/>
  <c r="H136" i="3"/>
  <c r="H173" i="1"/>
  <c r="Q139" i="1"/>
  <c r="L28" i="3"/>
  <c r="K229" i="1"/>
  <c r="Q263" i="3"/>
  <c r="K565" i="1"/>
  <c r="O204" i="3"/>
  <c r="H272" i="1"/>
  <c r="L27" i="3"/>
  <c r="H301" i="1"/>
  <c r="O122" i="1"/>
  <c r="N341" i="3"/>
  <c r="P341" i="3"/>
  <c r="Q6" i="3"/>
  <c r="G103" i="3"/>
  <c r="O173" i="1"/>
  <c r="K184" i="3"/>
  <c r="J257" i="3"/>
  <c r="G80" i="3"/>
  <c r="G557" i="1"/>
  <c r="N295" i="3"/>
  <c r="G85" i="1"/>
  <c r="J149" i="3"/>
  <c r="P339" i="3"/>
  <c r="K16" i="3"/>
  <c r="O263" i="3"/>
  <c r="Q138" i="3"/>
  <c r="H194" i="3"/>
  <c r="O194" i="3"/>
  <c r="O291" i="3"/>
  <c r="M174" i="1"/>
  <c r="L47" i="3"/>
  <c r="N131" i="3"/>
  <c r="O446" i="1"/>
  <c r="G524" i="1"/>
  <c r="M201" i="1"/>
  <c r="M301" i="1"/>
  <c r="L294" i="1"/>
  <c r="O148" i="3"/>
  <c r="Q86" i="1"/>
  <c r="K512" i="1"/>
  <c r="N510" i="1"/>
  <c r="N556" i="1"/>
  <c r="Q559" i="1"/>
  <c r="J556" i="1"/>
  <c r="M198" i="1"/>
  <c r="J359" i="1"/>
  <c r="K342" i="3"/>
  <c r="G262" i="1"/>
  <c r="L607" i="1"/>
  <c r="H288" i="1"/>
  <c r="O380" i="1"/>
  <c r="L137" i="3"/>
  <c r="N247" i="1"/>
  <c r="J645" i="1"/>
  <c r="H352" i="3"/>
  <c r="M298" i="1"/>
  <c r="G224" i="3"/>
  <c r="K318" i="1"/>
  <c r="H320" i="1"/>
  <c r="O427" i="1"/>
  <c r="M292" i="3"/>
  <c r="Q256" i="1"/>
  <c r="G90" i="1"/>
  <c r="M255" i="3"/>
  <c r="Q298" i="1"/>
  <c r="N564" i="1"/>
  <c r="M108" i="1"/>
  <c r="N40" i="3"/>
  <c r="M383" i="1"/>
  <c r="Q359" i="3"/>
  <c r="H240" i="3"/>
  <c r="G236" i="3"/>
  <c r="K588" i="1"/>
  <c r="K369" i="3"/>
  <c r="K596" i="1"/>
  <c r="H326" i="1"/>
  <c r="N303" i="1"/>
  <c r="Q314" i="3"/>
  <c r="O686" i="1"/>
  <c r="K529" i="1"/>
  <c r="H283" i="3"/>
  <c r="N359" i="3"/>
  <c r="K132" i="1"/>
  <c r="J256" i="1"/>
  <c r="J266" i="1"/>
  <c r="L345" i="1"/>
  <c r="N264" i="1"/>
  <c r="H221" i="3"/>
  <c r="K678" i="1"/>
  <c r="J315" i="1"/>
  <c r="P383" i="1"/>
  <c r="Q326" i="1"/>
  <c r="P165" i="1"/>
  <c r="N42" i="1"/>
  <c r="P585" i="1"/>
  <c r="M417" i="1"/>
  <c r="N320" i="1"/>
  <c r="P237" i="3"/>
  <c r="H684" i="1"/>
  <c r="O216" i="3"/>
  <c r="M287" i="1"/>
  <c r="G339" i="3"/>
  <c r="O504" i="1"/>
  <c r="G512" i="1"/>
  <c r="G85" i="3"/>
  <c r="J358" i="1"/>
  <c r="N232" i="1"/>
  <c r="M39" i="1"/>
  <c r="K656" i="1"/>
  <c r="Q629" i="1"/>
  <c r="P465" i="1"/>
  <c r="O629" i="1"/>
  <c r="Q465" i="1"/>
  <c r="M363" i="1"/>
  <c r="N6" i="1"/>
  <c r="Q441" i="1"/>
  <c r="P103" i="3"/>
  <c r="O105" i="3"/>
  <c r="P139" i="1"/>
  <c r="H623" i="1"/>
  <c r="O363" i="1"/>
  <c r="O48" i="1"/>
  <c r="G497" i="1"/>
  <c r="O131" i="3"/>
  <c r="P173" i="1"/>
  <c r="K86" i="1"/>
  <c r="G105" i="3"/>
  <c r="O589" i="1"/>
  <c r="P389" i="1"/>
  <c r="L135" i="3"/>
  <c r="L80" i="3"/>
  <c r="H184" i="3"/>
  <c r="J689" i="1"/>
  <c r="J31" i="1"/>
  <c r="J287" i="1"/>
  <c r="L29" i="3"/>
  <c r="Q451" i="1"/>
  <c r="P251" i="1"/>
  <c r="M263" i="3"/>
  <c r="J313" i="3"/>
  <c r="Q246" i="3"/>
  <c r="Q191" i="3"/>
  <c r="H223" i="3"/>
  <c r="P287" i="1"/>
  <c r="N656" i="1"/>
  <c r="Q135" i="3"/>
  <c r="H219" i="3"/>
  <c r="N649" i="1"/>
  <c r="K302" i="1"/>
  <c r="P686" i="1"/>
  <c r="O607" i="1"/>
  <c r="H351" i="3"/>
  <c r="O338" i="1"/>
  <c r="J175" i="1"/>
  <c r="M139" i="3"/>
  <c r="G42" i="1"/>
  <c r="O241" i="1"/>
  <c r="J262" i="1"/>
  <c r="O368" i="1"/>
  <c r="H45" i="3"/>
  <c r="Q463" i="1"/>
  <c r="J429" i="1"/>
  <c r="O351" i="3"/>
  <c r="Q316" i="1"/>
  <c r="P293" i="3"/>
  <c r="O256" i="1"/>
  <c r="G686" i="1"/>
  <c r="N651" i="1"/>
  <c r="J202" i="3"/>
  <c r="L348" i="1"/>
  <c r="Q647" i="1"/>
  <c r="G154" i="3"/>
  <c r="Q556" i="1"/>
  <c r="P352" i="3"/>
  <c r="N332" i="1"/>
  <c r="M154" i="3"/>
  <c r="M332" i="1"/>
  <c r="J351" i="3"/>
  <c r="J232" i="3"/>
  <c r="K76" i="3"/>
  <c r="N230" i="3"/>
  <c r="N624" i="1"/>
  <c r="L447" i="1"/>
  <c r="H165" i="1"/>
  <c r="K80" i="1"/>
  <c r="P272" i="3"/>
  <c r="P292" i="1"/>
  <c r="K307" i="1"/>
  <c r="M287" i="3"/>
  <c r="K359" i="3"/>
  <c r="M205" i="1"/>
  <c r="O596" i="1"/>
  <c r="Q513" i="1"/>
  <c r="N283" i="3"/>
  <c r="P520" i="1"/>
  <c r="H510" i="1"/>
  <c r="Q579" i="1"/>
  <c r="J37" i="1"/>
  <c r="L585" i="1"/>
  <c r="M510" i="1"/>
  <c r="P307" i="1"/>
  <c r="H369" i="3"/>
  <c r="K202" i="1"/>
  <c r="L187" i="1"/>
  <c r="M165" i="1"/>
  <c r="M262" i="3"/>
  <c r="M27" i="1"/>
  <c r="H29" i="3"/>
  <c r="P28" i="3"/>
  <c r="K291" i="1"/>
  <c r="M338" i="1"/>
  <c r="J376" i="1"/>
  <c r="H76" i="3"/>
  <c r="M161" i="3"/>
  <c r="K345" i="1"/>
  <c r="P504" i="1"/>
  <c r="L8" i="1"/>
  <c r="P39" i="1"/>
  <c r="N504" i="1"/>
  <c r="L465" i="1"/>
  <c r="M443" i="1"/>
  <c r="O291" i="1"/>
  <c r="J591" i="1"/>
  <c r="K204" i="3"/>
  <c r="K443" i="1"/>
  <c r="L235" i="3"/>
  <c r="H150" i="1"/>
  <c r="O28" i="1"/>
  <c r="K85" i="1"/>
  <c r="H179" i="1"/>
  <c r="P363" i="1"/>
  <c r="P464" i="1"/>
  <c r="N380" i="3"/>
  <c r="J291" i="1"/>
  <c r="L8" i="3"/>
  <c r="P557" i="1"/>
  <c r="G216" i="3"/>
  <c r="L184" i="3"/>
  <c r="M135" i="3"/>
  <c r="G287" i="1"/>
  <c r="J389" i="1"/>
  <c r="M315" i="3"/>
  <c r="L524" i="1"/>
  <c r="J48" i="1"/>
  <c r="M246" i="3"/>
  <c r="K257" i="3"/>
  <c r="P315" i="3"/>
  <c r="K122" i="1"/>
  <c r="H16" i="3"/>
  <c r="P586" i="1"/>
  <c r="G389" i="1"/>
  <c r="L378" i="1"/>
  <c r="P306" i="1"/>
  <c r="Q371" i="3"/>
  <c r="Q526" i="1"/>
  <c r="P188" i="3"/>
  <c r="M612" i="1"/>
  <c r="P224" i="3"/>
  <c r="K691" i="1"/>
  <c r="J687" i="1"/>
  <c r="O340" i="3"/>
  <c r="G350" i="1"/>
  <c r="P288" i="1"/>
  <c r="J42" i="1"/>
  <c r="Q669" i="1"/>
  <c r="J349" i="3"/>
  <c r="N559" i="1"/>
  <c r="J348" i="1"/>
  <c r="H378" i="3"/>
  <c r="N514" i="1"/>
  <c r="G668" i="1"/>
  <c r="P645" i="1"/>
  <c r="N202" i="1"/>
  <c r="L383" i="1"/>
  <c r="O247" i="3"/>
  <c r="K686" i="1"/>
  <c r="P564" i="1"/>
  <c r="L224" i="3"/>
  <c r="N256" i="1"/>
  <c r="H272" i="3"/>
  <c r="P556" i="1"/>
  <c r="G128" i="3"/>
  <c r="O556" i="1"/>
  <c r="Q287" i="3"/>
  <c r="J627" i="1"/>
  <c r="L243" i="3"/>
  <c r="O383" i="1"/>
  <c r="Q470" i="1"/>
  <c r="P290" i="1"/>
  <c r="M305" i="1"/>
  <c r="Q292" i="1"/>
  <c r="J64" i="1"/>
  <c r="O198" i="1"/>
  <c r="J154" i="3"/>
  <c r="H190" i="3"/>
  <c r="K272" i="3"/>
  <c r="O470" i="1"/>
  <c r="N355" i="1"/>
  <c r="N622" i="1"/>
  <c r="P287" i="3"/>
  <c r="M596" i="1"/>
  <c r="L529" i="1"/>
  <c r="O345" i="1"/>
  <c r="J108" i="1"/>
  <c r="J47" i="1"/>
  <c r="Q495" i="1"/>
  <c r="O356" i="1"/>
  <c r="K215" i="3"/>
  <c r="O587" i="1"/>
  <c r="N108" i="1"/>
  <c r="Q352" i="3"/>
  <c r="M266" i="1"/>
  <c r="P181" i="3"/>
  <c r="H229" i="1"/>
  <c r="O306" i="3"/>
  <c r="G301" i="1"/>
  <c r="M210" i="3"/>
  <c r="H246" i="3"/>
  <c r="H465" i="1"/>
  <c r="P70" i="3"/>
  <c r="Q485" i="1"/>
  <c r="Q632" i="1"/>
  <c r="N273" i="1"/>
  <c r="K513" i="1"/>
  <c r="N195" i="1"/>
  <c r="M678" i="1"/>
  <c r="H306" i="3"/>
  <c r="H70" i="3"/>
  <c r="N265" i="1"/>
  <c r="P291" i="1"/>
  <c r="Q149" i="3"/>
  <c r="G380" i="3"/>
  <c r="L181" i="3"/>
  <c r="J232" i="1"/>
  <c r="K511" i="1"/>
  <c r="H287" i="1"/>
  <c r="O6" i="1"/>
  <c r="Q181" i="3"/>
  <c r="O315" i="3"/>
  <c r="N371" i="3"/>
  <c r="M306" i="3"/>
  <c r="M86" i="1"/>
  <c r="K331" i="3"/>
  <c r="O81" i="3"/>
  <c r="K315" i="3"/>
  <c r="M649" i="1"/>
  <c r="J144" i="1"/>
  <c r="P291" i="3"/>
  <c r="M183" i="3"/>
  <c r="P295" i="3"/>
  <c r="M358" i="1"/>
  <c r="P47" i="3"/>
  <c r="Q315" i="3"/>
  <c r="M152" i="3"/>
  <c r="K464" i="1"/>
  <c r="M85" i="3"/>
  <c r="Q257" i="3"/>
  <c r="O287" i="1"/>
  <c r="M586" i="1"/>
  <c r="J28" i="1"/>
  <c r="K622" i="1"/>
  <c r="Q45" i="3"/>
  <c r="K198" i="1"/>
  <c r="H687" i="1"/>
  <c r="O376" i="1"/>
  <c r="J368" i="1"/>
  <c r="G378" i="3"/>
  <c r="G468" i="1"/>
  <c r="L338" i="1"/>
  <c r="J350" i="1"/>
  <c r="N241" i="1"/>
  <c r="J262" i="3"/>
  <c r="N368" i="1"/>
  <c r="J593" i="1"/>
  <c r="O76" i="3"/>
  <c r="Q427" i="1"/>
  <c r="K647" i="1"/>
  <c r="O348" i="1"/>
  <c r="P627" i="1"/>
  <c r="Q318" i="1"/>
  <c r="Q137" i="3"/>
  <c r="P219" i="1"/>
  <c r="P132" i="1"/>
  <c r="G556" i="1"/>
  <c r="O645" i="1"/>
  <c r="H177" i="3"/>
  <c r="Q684" i="1"/>
  <c r="M171" i="3"/>
  <c r="M599" i="1"/>
  <c r="Q177" i="3"/>
  <c r="N455" i="1"/>
  <c r="K203" i="3"/>
  <c r="G47" i="1"/>
  <c r="N369" i="3"/>
  <c r="Q406" i="1"/>
  <c r="H210" i="1"/>
  <c r="Q198" i="1"/>
  <c r="G262" i="3"/>
  <c r="L476" i="1"/>
  <c r="G293" i="1"/>
  <c r="L340" i="3"/>
  <c r="G232" i="3"/>
  <c r="L189" i="1"/>
  <c r="Q695" i="1"/>
  <c r="H593" i="1"/>
  <c r="K190" i="3"/>
  <c r="L556" i="1"/>
  <c r="L40" i="3"/>
  <c r="M379" i="3"/>
  <c r="G463" i="1"/>
  <c r="M221" i="3"/>
  <c r="L319" i="1"/>
  <c r="H669" i="1"/>
  <c r="Q171" i="3"/>
  <c r="P108" i="1"/>
  <c r="Q588" i="1"/>
  <c r="P128" i="3"/>
  <c r="O47" i="1"/>
  <c r="Q150" i="1"/>
  <c r="J607" i="1"/>
  <c r="N138" i="3"/>
  <c r="Q198" i="3"/>
  <c r="N27" i="1"/>
  <c r="M198" i="3"/>
  <c r="N179" i="1"/>
  <c r="H28" i="3"/>
  <c r="J306" i="3"/>
  <c r="Q229" i="1"/>
  <c r="J464" i="1"/>
  <c r="N150" i="1"/>
  <c r="K191" i="3"/>
  <c r="J244" i="1"/>
  <c r="K591" i="1"/>
  <c r="G353" i="3"/>
  <c r="O139" i="1"/>
  <c r="H666" i="1"/>
  <c r="Q524" i="1"/>
  <c r="O281" i="1"/>
  <c r="P235" i="3"/>
  <c r="O6" i="3"/>
  <c r="N198" i="3"/>
  <c r="N81" i="3"/>
  <c r="P294" i="1"/>
  <c r="K136" i="3"/>
  <c r="L113" i="1"/>
  <c r="G135" i="3"/>
  <c r="G39" i="1"/>
  <c r="G511" i="1"/>
  <c r="O152" i="3"/>
  <c r="O280" i="3"/>
  <c r="L288" i="3"/>
  <c r="J138" i="3"/>
  <c r="M659" i="1"/>
  <c r="N330" i="1"/>
  <c r="H225" i="3"/>
  <c r="M291" i="3"/>
  <c r="J131" i="3"/>
  <c r="M339" i="3"/>
  <c r="O187" i="1"/>
  <c r="K446" i="1"/>
  <c r="Q378" i="1"/>
  <c r="H235" i="3"/>
  <c r="K131" i="3"/>
  <c r="L534" i="1"/>
  <c r="N236" i="3"/>
  <c r="K210" i="1"/>
  <c r="H368" i="1"/>
  <c r="M600" i="1"/>
  <c r="J529" i="1"/>
  <c r="G237" i="3"/>
  <c r="G599" i="1"/>
  <c r="O147" i="1"/>
  <c r="J468" i="1"/>
  <c r="N288" i="1"/>
  <c r="P36" i="3"/>
  <c r="P669" i="1"/>
  <c r="O423" i="1"/>
  <c r="Q237" i="3"/>
  <c r="P651" i="1"/>
  <c r="Q108" i="1"/>
  <c r="L247" i="1"/>
  <c r="O477" i="1"/>
  <c r="N645" i="1"/>
  <c r="H232" i="3"/>
  <c r="L463" i="1"/>
  <c r="Q674" i="1"/>
  <c r="K329" i="1"/>
  <c r="Q348" i="1"/>
  <c r="M369" i="3"/>
  <c r="N599" i="1"/>
  <c r="N76" i="3"/>
  <c r="K326" i="1"/>
  <c r="K40" i="3"/>
  <c r="L256" i="1"/>
  <c r="P179" i="3"/>
  <c r="N513" i="1"/>
  <c r="M230" i="3"/>
  <c r="P161" i="1"/>
  <c r="K231" i="1"/>
  <c r="N210" i="1"/>
  <c r="L307" i="1"/>
  <c r="L226" i="1"/>
  <c r="O80" i="1"/>
  <c r="Q84" i="3"/>
  <c r="J140" i="3"/>
  <c r="M110" i="3"/>
  <c r="O406" i="1"/>
  <c r="Q359" i="1"/>
  <c r="M340" i="3"/>
  <c r="O684" i="1"/>
  <c r="H170" i="1"/>
  <c r="H137" i="3"/>
  <c r="J476" i="1"/>
  <c r="L128" i="3"/>
  <c r="Q612" i="1"/>
  <c r="K305" i="1"/>
  <c r="K230" i="3"/>
  <c r="L205" i="1"/>
  <c r="M283" i="1"/>
  <c r="J230" i="3"/>
  <c r="G240" i="3"/>
  <c r="M272" i="1"/>
  <c r="N441" i="1"/>
  <c r="O181" i="3"/>
  <c r="Q295" i="3"/>
  <c r="J288" i="3"/>
  <c r="N290" i="1"/>
  <c r="H241" i="1"/>
  <c r="L273" i="1"/>
  <c r="K233" i="3"/>
  <c r="H349" i="3"/>
  <c r="N585" i="1"/>
  <c r="Q443" i="1"/>
  <c r="K27" i="1"/>
  <c r="M81" i="3"/>
  <c r="N8" i="1"/>
  <c r="H649" i="1"/>
  <c r="K179" i="1"/>
  <c r="J363" i="1"/>
  <c r="G281" i="1"/>
  <c r="J183" i="3"/>
  <c r="K330" i="1"/>
  <c r="P122" i="1"/>
  <c r="M441" i="1"/>
  <c r="Q497" i="1"/>
  <c r="N362" i="3"/>
  <c r="J122" i="1"/>
  <c r="O323" i="1"/>
  <c r="N8" i="3"/>
  <c r="G565" i="1"/>
  <c r="J565" i="1"/>
  <c r="P113" i="1"/>
  <c r="N136" i="3"/>
  <c r="H288" i="3"/>
  <c r="O195" i="3"/>
  <c r="K149" i="3"/>
  <c r="L358" i="1"/>
  <c r="K353" i="3"/>
  <c r="M323" i="1"/>
  <c r="G240" i="1"/>
  <c r="O135" i="3"/>
  <c r="O252" i="1"/>
  <c r="H8" i="3"/>
  <c r="P187" i="1"/>
  <c r="N47" i="3"/>
  <c r="O243" i="3"/>
  <c r="O303" i="1"/>
  <c r="N215" i="3"/>
  <c r="Q338" i="1"/>
  <c r="H275" i="1"/>
  <c r="N476" i="1"/>
  <c r="J275" i="1"/>
  <c r="N140" i="3"/>
  <c r="G397" i="1"/>
  <c r="M376" i="1"/>
  <c r="J599" i="1"/>
  <c r="O612" i="1"/>
  <c r="H640" i="1"/>
  <c r="P241" i="1"/>
  <c r="N647" i="1"/>
  <c r="O30" i="3"/>
  <c r="L318" i="1"/>
  <c r="K593" i="1"/>
  <c r="N463" i="1"/>
  <c r="N202" i="3"/>
  <c r="M348" i="1"/>
  <c r="K140" i="3"/>
  <c r="M687" i="1"/>
  <c r="N329" i="1"/>
  <c r="Q383" i="1"/>
  <c r="M293" i="1"/>
  <c r="J76" i="3"/>
  <c r="L326" i="1"/>
  <c r="P139" i="3"/>
  <c r="N397" i="1"/>
  <c r="H615" i="1"/>
  <c r="P624" i="1"/>
  <c r="H647" i="1"/>
  <c r="G287" i="3"/>
  <c r="M585" i="1"/>
  <c r="O175" i="1"/>
  <c r="Q320" i="1"/>
  <c r="M476" i="1"/>
  <c r="L64" i="1"/>
  <c r="J287" i="3"/>
  <c r="M529" i="1"/>
  <c r="K152" i="3"/>
  <c r="G674" i="1"/>
  <c r="P243" i="3"/>
  <c r="K556" i="1"/>
  <c r="O110" i="3"/>
  <c r="P218" i="3"/>
  <c r="K283" i="1"/>
  <c r="G231" i="1"/>
  <c r="O190" i="3"/>
  <c r="P423" i="1"/>
  <c r="O615" i="1"/>
  <c r="P195" i="1"/>
  <c r="H161" i="1"/>
  <c r="Q600" i="1"/>
  <c r="N429" i="1"/>
  <c r="K205" i="1"/>
  <c r="P147" i="3"/>
  <c r="Q144" i="1"/>
  <c r="L139" i="1"/>
  <c r="N89" i="1"/>
  <c r="O198" i="3"/>
  <c r="P349" i="3"/>
  <c r="L615" i="1"/>
  <c r="P687" i="1"/>
  <c r="K293" i="1"/>
  <c r="H600" i="1"/>
  <c r="O640" i="1"/>
  <c r="M233" i="1"/>
  <c r="J665" i="1"/>
  <c r="O27" i="1"/>
  <c r="Q29" i="3"/>
  <c r="P331" i="3"/>
  <c r="O511" i="1"/>
  <c r="G28" i="3"/>
  <c r="K232" i="1"/>
  <c r="H105" i="3"/>
  <c r="J659" i="1"/>
  <c r="L591" i="1"/>
  <c r="J173" i="1"/>
  <c r="G451" i="1"/>
  <c r="J443" i="1"/>
  <c r="K70" i="3"/>
  <c r="O353" i="3"/>
  <c r="P85" i="1"/>
  <c r="N276" i="3"/>
  <c r="P81" i="3"/>
  <c r="M89" i="1"/>
  <c r="H586" i="1"/>
  <c r="Q216" i="3"/>
  <c r="G27" i="3"/>
  <c r="J332" i="3"/>
  <c r="K649" i="1"/>
  <c r="Q125" i="3"/>
  <c r="H6" i="3"/>
  <c r="M194" i="3"/>
  <c r="H152" i="3"/>
  <c r="L125" i="3"/>
  <c r="L441" i="1"/>
  <c r="N524" i="1"/>
  <c r="G251" i="1"/>
  <c r="O223" i="3"/>
  <c r="L148" i="3"/>
  <c r="M85" i="1"/>
  <c r="L122" i="1"/>
  <c r="L220" i="3"/>
  <c r="P607" i="1"/>
  <c r="M147" i="3"/>
  <c r="Q147" i="1"/>
  <c r="J247" i="3"/>
  <c r="M615" i="1"/>
  <c r="J152" i="3"/>
  <c r="G526" i="1"/>
  <c r="K600" i="1"/>
  <c r="J397" i="1"/>
  <c r="K338" i="1"/>
  <c r="H212" i="1"/>
  <c r="M288" i="1"/>
  <c r="K436" i="1"/>
  <c r="K241" i="3"/>
  <c r="Q645" i="1"/>
  <c r="Q147" i="3"/>
  <c r="K559" i="1"/>
  <c r="O379" i="3"/>
  <c r="M463" i="1"/>
  <c r="H596" i="1"/>
  <c r="L380" i="1"/>
  <c r="O202" i="1"/>
  <c r="K347" i="3"/>
  <c r="Q686" i="1"/>
  <c r="L342" i="3"/>
  <c r="O397" i="1"/>
  <c r="G40" i="3"/>
  <c r="N293" i="1"/>
  <c r="H290" i="1"/>
  <c r="P319" i="1"/>
  <c r="H674" i="1"/>
  <c r="K236" i="3"/>
  <c r="H37" i="1"/>
  <c r="Q303" i="1"/>
  <c r="K262" i="3"/>
  <c r="K313" i="1"/>
  <c r="Q80" i="1"/>
  <c r="G190" i="3"/>
  <c r="H678" i="1"/>
  <c r="L233" i="3"/>
  <c r="J297" i="1"/>
  <c r="J436" i="1"/>
  <c r="K397" i="1"/>
  <c r="P356" i="1"/>
  <c r="G171" i="3"/>
  <c r="M326" i="1"/>
  <c r="O221" i="3"/>
  <c r="Q233" i="3"/>
  <c r="N520" i="1"/>
  <c r="P485" i="1"/>
  <c r="K668" i="1"/>
  <c r="G45" i="3"/>
  <c r="O42" i="1"/>
  <c r="K534" i="1"/>
  <c r="L429" i="1"/>
  <c r="O283" i="3"/>
  <c r="O103" i="3"/>
  <c r="G131" i="3"/>
  <c r="K201" i="1"/>
  <c r="P340" i="3"/>
  <c r="P593" i="1"/>
  <c r="K273" i="1"/>
  <c r="L470" i="1"/>
  <c r="J128" i="3"/>
  <c r="N417" i="1"/>
  <c r="P85" i="3"/>
  <c r="K75" i="1"/>
  <c r="P232" i="1"/>
  <c r="L353" i="3"/>
  <c r="P80" i="3"/>
  <c r="L179" i="1"/>
  <c r="N29" i="3"/>
  <c r="H524" i="1"/>
  <c r="M265" i="1"/>
  <c r="O160" i="1"/>
  <c r="K295" i="3"/>
  <c r="Q265" i="1"/>
  <c r="O229" i="1"/>
  <c r="K441" i="1"/>
  <c r="O565" i="1"/>
  <c r="M16" i="1"/>
  <c r="O380" i="3"/>
  <c r="G341" i="3"/>
  <c r="G586" i="1"/>
  <c r="M666" i="1"/>
  <c r="M187" i="1"/>
  <c r="J219" i="3"/>
  <c r="N103" i="3"/>
  <c r="Q184" i="3"/>
  <c r="H276" i="3"/>
  <c r="N16" i="3"/>
  <c r="J75" i="1"/>
  <c r="L16" i="3"/>
  <c r="L216" i="3"/>
  <c r="P149" i="3"/>
  <c r="P201" i="1"/>
  <c r="O362" i="3"/>
  <c r="Q223" i="3"/>
  <c r="N235" i="3"/>
  <c r="N251" i="1"/>
  <c r="O29" i="3"/>
  <c r="P136" i="3"/>
  <c r="H103" i="3"/>
  <c r="O86" i="1"/>
  <c r="Q201" i="1"/>
  <c r="M70" i="3"/>
  <c r="M122" i="1"/>
  <c r="N512" i="1"/>
  <c r="P220" i="3"/>
  <c r="O288" i="1"/>
  <c r="N203" i="3"/>
  <c r="M691" i="1"/>
  <c r="G359" i="1"/>
  <c r="J342" i="3"/>
  <c r="Q436" i="1"/>
  <c r="G164" i="3"/>
  <c r="G319" i="1"/>
  <c r="O29" i="1"/>
  <c r="J526" i="1"/>
  <c r="N147" i="1"/>
  <c r="H445" i="1"/>
  <c r="L612" i="1"/>
  <c r="O328" i="1"/>
  <c r="N255" i="3"/>
  <c r="P348" i="1"/>
  <c r="Q247" i="3"/>
  <c r="O687" i="1"/>
  <c r="K147" i="3"/>
  <c r="N687" i="1"/>
  <c r="H305" i="1"/>
  <c r="Q368" i="1"/>
  <c r="M427" i="1"/>
  <c r="M272" i="3"/>
  <c r="M219" i="1"/>
  <c r="P45" i="3"/>
  <c r="L293" i="1"/>
  <c r="K137" i="3"/>
  <c r="L686" i="1"/>
  <c r="H660" i="1"/>
  <c r="L417" i="1"/>
  <c r="H298" i="1"/>
  <c r="L140" i="3"/>
  <c r="G247" i="1"/>
  <c r="K304" i="1"/>
  <c r="Q272" i="3"/>
  <c r="N226" i="1"/>
  <c r="K485" i="1"/>
  <c r="J340" i="3"/>
  <c r="J651" i="1"/>
  <c r="H218" i="3"/>
  <c r="G256" i="1"/>
  <c r="J292" i="1"/>
  <c r="O510" i="1"/>
  <c r="Q110" i="3"/>
  <c r="K607" i="1"/>
  <c r="L397" i="1"/>
  <c r="L36" i="3"/>
  <c r="N171" i="3"/>
  <c r="L355" i="1"/>
  <c r="P64" i="1"/>
  <c r="M579" i="1"/>
  <c r="O147" i="3"/>
  <c r="N326" i="1"/>
  <c r="O495" i="1"/>
  <c r="N495" i="1"/>
  <c r="N177" i="3"/>
  <c r="H443" i="1"/>
  <c r="H389" i="1"/>
  <c r="J331" i="3"/>
  <c r="P443" i="1"/>
  <c r="J378" i="1"/>
  <c r="Q227" i="1"/>
  <c r="H244" i="1"/>
  <c r="M257" i="3"/>
  <c r="K144" i="1"/>
  <c r="N191" i="3"/>
  <c r="H362" i="1"/>
  <c r="L81" i="3"/>
  <c r="Q339" i="3"/>
  <c r="J586" i="1"/>
  <c r="N446" i="1"/>
  <c r="Q105" i="3"/>
  <c r="Q232" i="1"/>
  <c r="K8" i="3"/>
  <c r="H353" i="3"/>
  <c r="P323" i="1"/>
  <c r="L6" i="3"/>
  <c r="L89" i="1"/>
  <c r="M219" i="3"/>
  <c r="M113" i="1"/>
  <c r="M136" i="3"/>
  <c r="G656" i="1"/>
  <c r="Q85" i="3"/>
  <c r="L586" i="1"/>
  <c r="Q586" i="1"/>
  <c r="K210" i="3"/>
  <c r="H86" i="1"/>
  <c r="M306" i="1"/>
  <c r="M251" i="1"/>
  <c r="K339" i="3"/>
  <c r="J223" i="3"/>
  <c r="N339" i="3"/>
  <c r="G198" i="3"/>
  <c r="K689" i="1"/>
  <c r="N586" i="1"/>
  <c r="K280" i="3"/>
  <c r="P204" i="3"/>
  <c r="N31" i="1"/>
  <c r="P612" i="1"/>
  <c r="N84" i="3"/>
  <c r="P376" i="1"/>
  <c r="G175" i="1"/>
  <c r="L139" i="3"/>
  <c r="N262" i="1"/>
  <c r="L30" i="3"/>
  <c r="G307" i="1"/>
  <c r="P90" i="1"/>
  <c r="J319" i="1"/>
  <c r="L376" i="1"/>
  <c r="G423" i="1"/>
  <c r="P147" i="1"/>
  <c r="L471" i="1"/>
  <c r="Q224" i="3"/>
  <c r="K247" i="1"/>
  <c r="H427" i="1"/>
  <c r="N380" i="1"/>
  <c r="O177" i="3"/>
  <c r="M380" i="1"/>
  <c r="H292" i="1"/>
  <c r="P116" i="1"/>
  <c r="L332" i="1"/>
  <c r="H198" i="1"/>
  <c r="K687" i="1"/>
  <c r="M686" i="1"/>
  <c r="O84" i="3"/>
  <c r="K219" i="1"/>
  <c r="H266" i="1"/>
  <c r="Q678" i="1"/>
  <c r="H463" i="1"/>
  <c r="O36" i="3"/>
  <c r="G612" i="1"/>
  <c r="O210" i="1"/>
  <c r="Q304" i="1"/>
  <c r="H287" i="3"/>
  <c r="G198" i="1"/>
  <c r="O203" i="3"/>
  <c r="O359" i="1"/>
  <c r="Q220" i="3"/>
  <c r="J345" i="1"/>
  <c r="Q231" i="1"/>
  <c r="N161" i="1"/>
  <c r="K36" i="3"/>
  <c r="L215" i="3"/>
  <c r="Q510" i="1"/>
  <c r="J273" i="1"/>
  <c r="G230" i="3"/>
  <c r="O315" i="1"/>
  <c r="P221" i="3"/>
  <c r="M477" i="1"/>
  <c r="G264" i="1"/>
  <c r="P189" i="1"/>
  <c r="K624" i="1"/>
  <c r="N470" i="1"/>
  <c r="P236" i="3"/>
  <c r="P450" i="1"/>
  <c r="P216" i="3"/>
  <c r="H251" i="1"/>
  <c r="L504" i="1"/>
  <c r="M28" i="1"/>
  <c r="N39" i="3"/>
  <c r="H16" i="1"/>
  <c r="P16" i="1"/>
  <c r="J623" i="1"/>
  <c r="O666" i="1"/>
  <c r="K524" i="1"/>
  <c r="Q363" i="1"/>
  <c r="K557" i="1"/>
  <c r="O512" i="1"/>
  <c r="K358" i="1"/>
  <c r="K105" i="3"/>
  <c r="H31" i="1"/>
  <c r="L249" i="3"/>
  <c r="H378" i="1"/>
  <c r="H332" i="3"/>
  <c r="P8" i="3"/>
  <c r="G689" i="1"/>
  <c r="N353" i="3"/>
  <c r="L198" i="3"/>
  <c r="P263" i="3"/>
  <c r="K451" i="1"/>
  <c r="L246" i="3"/>
  <c r="P451" i="1"/>
  <c r="N48" i="1"/>
  <c r="G291" i="1"/>
  <c r="G144" i="1"/>
  <c r="H284" i="3"/>
  <c r="N284" i="3"/>
  <c r="L131" i="3"/>
  <c r="O31" i="1"/>
  <c r="G263" i="3"/>
  <c r="M139" i="1"/>
  <c r="G315" i="3"/>
  <c r="Q367" i="3"/>
  <c r="M565" i="1"/>
  <c r="O85" i="1"/>
  <c r="M137" i="3"/>
  <c r="P198" i="1"/>
  <c r="G203" i="3"/>
  <c r="N600" i="1"/>
  <c r="G687" i="1"/>
  <c r="P203" i="3"/>
  <c r="Q328" i="1"/>
  <c r="G241" i="3"/>
  <c r="G579" i="1"/>
  <c r="Q450" i="1"/>
  <c r="J307" i="1"/>
  <c r="M29" i="1"/>
  <c r="G520" i="1"/>
  <c r="Q275" i="1"/>
  <c r="K73" i="1"/>
  <c r="O293" i="3"/>
  <c r="O463" i="1"/>
  <c r="H318" i="1"/>
  <c r="M669" i="1"/>
  <c r="J36" i="3"/>
  <c r="Q116" i="1"/>
  <c r="H470" i="1"/>
  <c r="O593" i="1"/>
  <c r="M318" i="1"/>
  <c r="J179" i="3"/>
  <c r="K368" i="1"/>
  <c r="H132" i="1"/>
  <c r="N219" i="1"/>
  <c r="H359" i="1"/>
  <c r="O320" i="1"/>
  <c r="H607" i="1"/>
  <c r="P315" i="1"/>
  <c r="H632" i="1"/>
  <c r="H264" i="1"/>
  <c r="P293" i="1"/>
  <c r="O476" i="1"/>
  <c r="L232" i="3"/>
  <c r="J203" i="3"/>
  <c r="K233" i="1"/>
  <c r="M84" i="3"/>
  <c r="O36" i="1"/>
  <c r="O513" i="1"/>
  <c r="J450" i="1"/>
  <c r="O205" i="1"/>
  <c r="K116" i="1"/>
  <c r="H622" i="1"/>
  <c r="J320" i="1"/>
  <c r="O292" i="1"/>
  <c r="Q179" i="3"/>
  <c r="J615" i="1"/>
  <c r="M695" i="1"/>
  <c r="Q36" i="1"/>
  <c r="Q417" i="1"/>
  <c r="G495" i="1"/>
  <c r="H314" i="3"/>
  <c r="Q607" i="1"/>
  <c r="L678" i="1"/>
  <c r="G471" i="1"/>
  <c r="P125" i="3"/>
  <c r="K301" i="1"/>
  <c r="K252" i="1"/>
  <c r="K531" i="1"/>
  <c r="H108" i="1"/>
  <c r="N379" i="3"/>
  <c r="K220" i="3"/>
  <c r="O149" i="3"/>
  <c r="N443" i="1"/>
  <c r="L227" i="1"/>
  <c r="P29" i="3"/>
  <c r="H689" i="1"/>
  <c r="M511" i="1"/>
  <c r="Q16" i="3"/>
  <c r="K39" i="1"/>
  <c r="M144" i="1"/>
  <c r="J227" i="1"/>
  <c r="Q28" i="1"/>
  <c r="L497" i="1"/>
  <c r="Q281" i="1"/>
  <c r="N80" i="3"/>
  <c r="P281" i="1"/>
  <c r="O125" i="3"/>
  <c r="O362" i="1"/>
  <c r="H89" i="1"/>
  <c r="M568" i="1"/>
  <c r="Q649" i="1"/>
  <c r="N6" i="3"/>
  <c r="J198" i="3"/>
  <c r="P252" i="1"/>
  <c r="K235" i="3"/>
  <c r="P531" i="1"/>
  <c r="L659" i="1"/>
  <c r="M48" i="1"/>
  <c r="L244" i="1"/>
  <c r="Q330" i="1"/>
  <c r="G6" i="1"/>
  <c r="M341" i="3"/>
  <c r="Q8" i="3"/>
  <c r="N367" i="3"/>
  <c r="G367" i="3"/>
  <c r="L276" i="3"/>
  <c r="O288" i="3"/>
  <c r="N113" i="1"/>
  <c r="M179" i="3"/>
  <c r="L210" i="1"/>
  <c r="H36" i="3"/>
  <c r="K476" i="1"/>
  <c r="G368" i="1"/>
  <c r="M237" i="3"/>
  <c r="N471" i="1"/>
  <c r="K293" i="3"/>
  <c r="G376" i="1"/>
  <c r="L247" i="3"/>
  <c r="J579" i="1"/>
  <c r="O90" i="1"/>
  <c r="G36" i="1"/>
  <c r="K376" i="1"/>
  <c r="L297" i="1"/>
  <c r="Q293" i="1"/>
  <c r="M559" i="1"/>
  <c r="H380" i="1"/>
  <c r="K241" i="1"/>
  <c r="H233" i="1"/>
  <c r="L669" i="1"/>
  <c r="P275" i="1"/>
  <c r="P256" i="1"/>
  <c r="L369" i="3"/>
  <c r="M116" i="1"/>
  <c r="H332" i="1"/>
  <c r="M624" i="1"/>
  <c r="H175" i="1"/>
  <c r="L624" i="1"/>
  <c r="H338" i="1"/>
  <c r="J534" i="1"/>
  <c r="J695" i="1"/>
  <c r="H355" i="1"/>
  <c r="G64" i="1"/>
  <c r="L313" i="1"/>
  <c r="L292" i="3"/>
  <c r="K84" i="3"/>
  <c r="P47" i="1"/>
  <c r="N161" i="3"/>
  <c r="O137" i="3"/>
  <c r="Q230" i="3"/>
  <c r="L264" i="1"/>
  <c r="L147" i="3"/>
  <c r="M212" i="1"/>
  <c r="M64" i="1"/>
  <c r="O283" i="1"/>
  <c r="N477" i="1"/>
  <c r="L236" i="3"/>
  <c r="O189" i="1"/>
  <c r="K350" i="1"/>
  <c r="N305" i="1"/>
  <c r="G369" i="3"/>
  <c r="G627" i="1"/>
  <c r="Q202" i="3"/>
  <c r="P470" i="1"/>
  <c r="L627" i="1"/>
  <c r="P513" i="1"/>
  <c r="K568" i="1"/>
  <c r="M140" i="3"/>
  <c r="J447" i="1"/>
  <c r="M226" i="1"/>
  <c r="L587" i="1"/>
  <c r="P441" i="1"/>
  <c r="L103" i="3"/>
  <c r="G225" i="3"/>
  <c r="H231" i="1"/>
  <c r="L640" i="1"/>
  <c r="H529" i="1"/>
  <c r="P596" i="1"/>
  <c r="K314" i="3"/>
  <c r="G181" i="3"/>
  <c r="G649" i="1"/>
  <c r="G204" i="3"/>
  <c r="M504" i="1"/>
  <c r="P629" i="1"/>
  <c r="H568" i="1"/>
  <c r="J216" i="3"/>
  <c r="J103" i="3"/>
  <c r="P6" i="1"/>
  <c r="P666" i="1"/>
  <c r="K39" i="3"/>
  <c r="O331" i="3"/>
  <c r="O332" i="3"/>
  <c r="H323" i="1"/>
  <c r="Q389" i="1"/>
  <c r="K135" i="3"/>
  <c r="G75" i="1"/>
  <c r="M39" i="3"/>
  <c r="M281" i="1"/>
  <c r="P249" i="3"/>
  <c r="N181" i="3"/>
  <c r="N252" i="1"/>
  <c r="N378" i="1"/>
  <c r="O649" i="1"/>
  <c r="O235" i="3"/>
  <c r="K251" i="1"/>
  <c r="M589" i="1"/>
  <c r="O191" i="3"/>
  <c r="N223" i="3"/>
  <c r="N287" i="1"/>
  <c r="Q531" i="1"/>
  <c r="P148" i="3"/>
  <c r="L666" i="1"/>
  <c r="H64" i="1"/>
  <c r="O600" i="1"/>
  <c r="J332" i="1"/>
  <c r="H342" i="3"/>
  <c r="O262" i="1"/>
  <c r="J293" i="3"/>
  <c r="O660" i="1"/>
  <c r="P640" i="1"/>
  <c r="P328" i="1"/>
  <c r="O140" i="3"/>
  <c r="L262" i="1"/>
  <c r="G76" i="3"/>
  <c r="G593" i="1"/>
  <c r="G352" i="3"/>
  <c r="Q651" i="1"/>
  <c r="Q283" i="3"/>
  <c r="N669" i="1"/>
  <c r="J585" i="1"/>
  <c r="M275" i="1"/>
  <c r="G447" i="1"/>
  <c r="M627" i="1"/>
  <c r="J622" i="1"/>
  <c r="K450" i="1"/>
  <c r="L687" i="1"/>
  <c r="Q30" i="3"/>
  <c r="P212" i="1"/>
  <c r="J588" i="1"/>
  <c r="K212" i="1"/>
  <c r="G233" i="1"/>
  <c r="O668" i="1"/>
  <c r="G318" i="1"/>
  <c r="J268" i="1"/>
  <c r="L36" i="1"/>
  <c r="J600" i="1"/>
  <c r="K47" i="1"/>
  <c r="N240" i="3"/>
  <c r="H84" i="3"/>
  <c r="O240" i="3"/>
  <c r="L202" i="3"/>
  <c r="N232" i="3"/>
  <c r="J290" i="1"/>
  <c r="H350" i="1"/>
  <c r="O161" i="1"/>
  <c r="N139" i="3"/>
  <c r="O287" i="3"/>
  <c r="G355" i="1"/>
  <c r="H485" i="1"/>
  <c r="L190" i="3"/>
  <c r="Q203" i="3"/>
  <c r="O230" i="3"/>
  <c r="L684" i="1"/>
  <c r="K175" i="1"/>
  <c r="P171" i="3"/>
  <c r="O329" i="1"/>
  <c r="O231" i="1"/>
  <c r="P600" i="1"/>
  <c r="O128" i="3"/>
  <c r="L495" i="1"/>
  <c r="H441" i="1"/>
  <c r="H39" i="3"/>
  <c r="J512" i="1"/>
  <c r="N465" i="1"/>
  <c r="G191" i="3"/>
  <c r="M313" i="3"/>
  <c r="K28" i="1"/>
  <c r="L443" i="1"/>
  <c r="M204" i="3"/>
  <c r="H183" i="3"/>
  <c r="G465" i="1"/>
  <c r="K174" i="1"/>
  <c r="P512" i="1"/>
  <c r="H122" i="1"/>
  <c r="P568" i="1"/>
  <c r="O16" i="3"/>
  <c r="P86" i="1"/>
  <c r="P6" i="3"/>
  <c r="G330" i="1"/>
  <c r="M367" i="3"/>
  <c r="G201" i="1"/>
  <c r="N173" i="1"/>
  <c r="O28" i="3"/>
  <c r="G295" i="3"/>
  <c r="M295" i="3"/>
  <c r="L252" i="1"/>
  <c r="L70" i="3"/>
  <c r="H265" i="1"/>
  <c r="H187" i="1"/>
  <c r="J174" i="1"/>
  <c r="O306" i="1"/>
  <c r="M195" i="3"/>
  <c r="N291" i="3"/>
  <c r="M524" i="1"/>
  <c r="G16" i="1"/>
  <c r="P195" i="3"/>
  <c r="P240" i="1"/>
  <c r="J86" i="1"/>
  <c r="Q39" i="3"/>
  <c r="J315" i="3"/>
  <c r="P589" i="1"/>
  <c r="K195" i="3"/>
  <c r="O497" i="1"/>
  <c r="J446" i="1"/>
  <c r="G477" i="1"/>
  <c r="Q297" i="1"/>
  <c r="P297" i="1"/>
  <c r="O350" i="1"/>
  <c r="N73" i="1"/>
  <c r="M73" i="1"/>
  <c r="K262" i="1"/>
  <c r="M645" i="1"/>
  <c r="K288" i="1"/>
  <c r="N29" i="1"/>
  <c r="N313" i="1"/>
  <c r="Q188" i="3"/>
  <c r="H329" i="1"/>
  <c r="J427" i="1"/>
  <c r="G290" i="1"/>
  <c r="G695" i="1"/>
  <c r="O447" i="1"/>
  <c r="N233" i="1"/>
  <c r="P84" i="3"/>
  <c r="H588" i="1"/>
  <c r="G84" i="3"/>
  <c r="P397" i="1"/>
  <c r="M283" i="3"/>
  <c r="M622" i="1"/>
  <c r="M40" i="3"/>
  <c r="N588" i="1"/>
  <c r="O224" i="3"/>
  <c r="G110" i="3"/>
  <c r="O165" i="1"/>
  <c r="G320" i="1"/>
  <c r="P36" i="1"/>
  <c r="O526" i="1"/>
  <c r="Q140" i="3"/>
  <c r="M656" i="1"/>
  <c r="J252" i="1"/>
  <c r="G591" i="1"/>
  <c r="P229" i="1"/>
  <c r="G323" i="1"/>
  <c r="L16" i="1"/>
  <c r="N183" i="3"/>
  <c r="K332" i="3"/>
  <c r="N105" i="3"/>
  <c r="G249" i="3"/>
  <c r="K313" i="3"/>
  <c r="Q28" i="3"/>
  <c r="N135" i="3"/>
  <c r="O246" i="3"/>
  <c r="Q240" i="1"/>
  <c r="G122" i="1"/>
  <c r="J105" i="3"/>
  <c r="J263" i="3"/>
  <c r="L86" i="1"/>
  <c r="Q615" i="1"/>
  <c r="M660" i="1"/>
  <c r="L660" i="1"/>
  <c r="M514" i="1"/>
  <c r="N297" i="1"/>
  <c r="M297" i="1"/>
  <c r="K674" i="1"/>
  <c r="L302" i="1"/>
  <c r="L147" i="1"/>
  <c r="Q313" i="1"/>
  <c r="L90" i="1"/>
  <c r="O241" i="3"/>
  <c r="H256" i="1"/>
  <c r="J318" i="1"/>
  <c r="G660" i="1"/>
  <c r="G305" i="1"/>
  <c r="Q175" i="1"/>
  <c r="H514" i="1"/>
  <c r="H436" i="1"/>
  <c r="K45" i="3"/>
  <c r="G297" i="1"/>
  <c r="Q302" i="1"/>
  <c r="H202" i="3"/>
  <c r="G417" i="1"/>
  <c r="J596" i="1"/>
  <c r="P510" i="1"/>
  <c r="L230" i="3"/>
  <c r="J369" i="3"/>
  <c r="N275" i="1"/>
  <c r="N445" i="1"/>
  <c r="H116" i="1"/>
  <c r="J161" i="1"/>
  <c r="G266" i="1"/>
  <c r="M303" i="1"/>
  <c r="H90" i="1"/>
  <c r="H328" i="1"/>
  <c r="H564" i="1"/>
  <c r="K292" i="1"/>
  <c r="M190" i="3"/>
  <c r="H556" i="1"/>
  <c r="G315" i="1"/>
  <c r="L315" i="1"/>
  <c r="O215" i="3"/>
  <c r="O292" i="3"/>
  <c r="M319" i="1"/>
  <c r="M520" i="1"/>
  <c r="J304" i="1"/>
  <c r="K651" i="1"/>
  <c r="G531" i="1"/>
  <c r="L332" i="3"/>
  <c r="O150" i="1"/>
  <c r="O227" i="1"/>
  <c r="Q272" i="1"/>
  <c r="M103" i="3"/>
  <c r="J465" i="1"/>
  <c r="P48" i="1"/>
  <c r="Q341" i="3"/>
  <c r="J16" i="3"/>
  <c r="N362" i="1"/>
  <c r="J136" i="3"/>
  <c r="L75" i="1"/>
  <c r="G27" i="1"/>
  <c r="J8" i="1"/>
  <c r="M464" i="1"/>
  <c r="J6" i="1"/>
  <c r="Q280" i="3"/>
  <c r="L331" i="3"/>
  <c r="P31" i="1"/>
  <c r="N85" i="1"/>
  <c r="P447" i="1"/>
  <c r="K42" i="1"/>
  <c r="M42" i="1"/>
  <c r="L651" i="1"/>
  <c r="N660" i="1"/>
  <c r="K660" i="1"/>
  <c r="L73" i="1"/>
  <c r="M247" i="1"/>
  <c r="M90" i="1"/>
  <c r="L255" i="3"/>
  <c r="L359" i="1"/>
  <c r="J671" i="1"/>
  <c r="M534" i="1"/>
  <c r="J316" i="1"/>
  <c r="J224" i="3"/>
  <c r="G306" i="3"/>
  <c r="O27" i="3"/>
  <c r="G464" i="1"/>
  <c r="P565" i="1"/>
  <c r="N16" i="1"/>
  <c r="K244" i="1"/>
  <c r="H565" i="1"/>
  <c r="O89" i="1"/>
  <c r="L295" i="3"/>
  <c r="Q8" i="1"/>
  <c r="M284" i="3"/>
  <c r="J280" i="3"/>
  <c r="O659" i="1"/>
  <c r="O358" i="1"/>
  <c r="L290" i="1"/>
  <c r="O266" i="1"/>
  <c r="O170" i="1"/>
  <c r="Q468" i="1"/>
  <c r="M170" i="1"/>
  <c r="Q37" i="1"/>
  <c r="K297" i="1"/>
  <c r="P463" i="1"/>
  <c r="Q627" i="1"/>
  <c r="O445" i="1"/>
  <c r="L450" i="1"/>
  <c r="K224" i="3"/>
  <c r="H627" i="1"/>
  <c r="J380" i="1"/>
  <c r="G108" i="1"/>
  <c r="Q447" i="1"/>
  <c r="K320" i="1"/>
  <c r="K665" i="1"/>
  <c r="H247" i="1"/>
  <c r="H383" i="1"/>
  <c r="G380" i="1"/>
  <c r="L198" i="1"/>
  <c r="K340" i="3"/>
  <c r="K64" i="1"/>
  <c r="G37" i="1"/>
  <c r="O678" i="1"/>
  <c r="H147" i="3"/>
  <c r="N147" i="3"/>
  <c r="J198" i="1"/>
  <c r="J314" i="3"/>
  <c r="M350" i="1"/>
  <c r="O656" i="1"/>
  <c r="G510" i="1"/>
  <c r="K47" i="3"/>
  <c r="J294" i="1"/>
  <c r="M591" i="1"/>
  <c r="N160" i="1"/>
  <c r="P144" i="1"/>
  <c r="K497" i="1"/>
  <c r="K216" i="3"/>
  <c r="J306" i="1"/>
  <c r="K323" i="1"/>
  <c r="J210" i="3"/>
  <c r="M288" i="3"/>
  <c r="H291" i="3"/>
  <c r="P362" i="1"/>
  <c r="J148" i="3"/>
  <c r="Q187" i="1"/>
  <c r="J89" i="1"/>
  <c r="M371" i="3"/>
  <c r="Q89" i="1"/>
  <c r="Q73" i="1"/>
  <c r="Q350" i="1"/>
  <c r="P350" i="1"/>
  <c r="N671" i="1"/>
  <c r="Q266" i="1"/>
  <c r="Q42" i="1"/>
  <c r="P37" i="1"/>
  <c r="L559" i="1"/>
  <c r="O632" i="1"/>
  <c r="N450" i="1"/>
  <c r="L352" i="3"/>
  <c r="P379" i="3"/>
  <c r="H313" i="1"/>
  <c r="J80" i="1"/>
  <c r="G624" i="1"/>
  <c r="L266" i="1"/>
  <c r="M80" i="1"/>
  <c r="L262" i="3"/>
  <c r="H559" i="1"/>
  <c r="H293" i="1"/>
  <c r="G345" i="1"/>
  <c r="N345" i="1"/>
  <c r="Q36" i="3"/>
  <c r="N304" i="1"/>
  <c r="J684" i="1"/>
  <c r="L292" i="1"/>
  <c r="N189" i="1"/>
  <c r="G298" i="1"/>
  <c r="N179" i="3"/>
  <c r="K264" i="1"/>
  <c r="K579" i="1"/>
  <c r="Q288" i="1"/>
  <c r="K179" i="3"/>
  <c r="L280" i="3"/>
  <c r="H81" i="3"/>
  <c r="M47" i="3"/>
  <c r="G659" i="1"/>
  <c r="G29" i="3"/>
  <c r="H280" i="3"/>
  <c r="L557" i="1"/>
  <c r="J341" i="3"/>
  <c r="J179" i="1"/>
  <c r="P497" i="1"/>
  <c r="H358" i="1"/>
  <c r="G362" i="3"/>
  <c r="L362" i="1"/>
  <c r="O136" i="3"/>
  <c r="N27" i="3"/>
  <c r="H125" i="3"/>
  <c r="L149" i="3"/>
  <c r="P138" i="3"/>
  <c r="H149" i="3"/>
  <c r="K367" i="3"/>
  <c r="N301" i="1"/>
  <c r="P353" i="3"/>
  <c r="M148" i="3"/>
  <c r="K294" i="1"/>
  <c r="Q131" i="3"/>
  <c r="J371" i="3"/>
  <c r="P660" i="1"/>
  <c r="M468" i="1"/>
  <c r="O514" i="1"/>
  <c r="P302" i="1"/>
  <c r="M316" i="1"/>
  <c r="L170" i="1"/>
  <c r="P42" i="1"/>
  <c r="Q687" i="1"/>
  <c r="Q29" i="1"/>
  <c r="K352" i="3"/>
  <c r="Q351" i="3"/>
  <c r="Q379" i="3"/>
  <c r="J170" i="1"/>
  <c r="J241" i="1"/>
  <c r="G607" i="1"/>
  <c r="M36" i="1"/>
  <c r="M210" i="1"/>
  <c r="M347" i="3"/>
  <c r="H147" i="1"/>
  <c r="H219" i="1"/>
  <c r="G450" i="1"/>
  <c r="J283" i="3"/>
  <c r="N233" i="3"/>
  <c r="H347" i="3"/>
  <c r="G678" i="1"/>
  <c r="Q195" i="1"/>
  <c r="N165" i="1"/>
  <c r="Q190" i="3"/>
  <c r="J328" i="1"/>
  <c r="L668" i="1"/>
  <c r="Q40" i="3"/>
  <c r="L511" i="1"/>
  <c r="O378" i="3"/>
  <c r="N349" i="3"/>
  <c r="M291" i="1"/>
  <c r="H181" i="3"/>
  <c r="G629" i="1"/>
  <c r="M497" i="1"/>
  <c r="Q194" i="3"/>
  <c r="L367" i="3"/>
  <c r="K113" i="1"/>
  <c r="M380" i="3"/>
  <c r="H39" i="1"/>
  <c r="N589" i="1"/>
  <c r="J81" i="3"/>
  <c r="P659" i="1"/>
  <c r="M28" i="3"/>
  <c r="G8" i="1"/>
  <c r="O586" i="1"/>
  <c r="Q31" i="1"/>
  <c r="L42" i="1"/>
  <c r="K406" i="1"/>
  <c r="O468" i="1"/>
  <c r="N526" i="1"/>
  <c r="N350" i="1"/>
  <c r="P266" i="1"/>
  <c r="K170" i="1"/>
  <c r="Q380" i="1"/>
  <c r="N90" i="1"/>
  <c r="P351" i="3"/>
  <c r="L188" i="3"/>
  <c r="M220" i="3"/>
  <c r="J514" i="1"/>
  <c r="J678" i="1"/>
  <c r="G273" i="1"/>
  <c r="M268" i="1"/>
  <c r="O691" i="1"/>
  <c r="G316" i="1"/>
  <c r="P264" i="1"/>
  <c r="N287" i="3"/>
  <c r="L218" i="3"/>
  <c r="H417" i="1"/>
  <c r="G476" i="1"/>
  <c r="N678" i="1"/>
  <c r="H471" i="1"/>
  <c r="H447" i="1"/>
  <c r="G161" i="1"/>
  <c r="O247" i="1"/>
  <c r="N359" i="1"/>
  <c r="G252" i="1"/>
  <c r="P164" i="3"/>
  <c r="N511" i="1"/>
  <c r="K171" i="3"/>
  <c r="K227" i="1"/>
  <c r="G378" i="1"/>
  <c r="J281" i="1"/>
  <c r="K29" i="3"/>
  <c r="H75" i="1"/>
  <c r="P380" i="3"/>
  <c r="J504" i="1"/>
  <c r="Q446" i="1"/>
  <c r="Q122" i="1"/>
  <c r="L219" i="3"/>
  <c r="Q306" i="3"/>
  <c r="P210" i="3"/>
  <c r="K27" i="3"/>
  <c r="O80" i="3"/>
  <c r="J339" i="3"/>
  <c r="Q252" i="1"/>
  <c r="N389" i="1"/>
  <c r="Q306" i="1"/>
  <c r="Q504" i="1"/>
  <c r="K266" i="1"/>
  <c r="O268" i="1"/>
  <c r="K268" i="1"/>
  <c r="P514" i="1"/>
  <c r="L316" i="1"/>
  <c r="O298" i="1"/>
  <c r="M368" i="1"/>
  <c r="O450" i="1"/>
  <c r="Q378" i="3"/>
  <c r="L241" i="3"/>
  <c r="Q236" i="3"/>
  <c r="J669" i="1"/>
  <c r="J189" i="1"/>
  <c r="G338" i="1"/>
  <c r="L47" i="1"/>
  <c r="P665" i="1"/>
  <c r="Q221" i="3"/>
  <c r="J205" i="1"/>
  <c r="G202" i="3"/>
  <c r="G436" i="1"/>
  <c r="J559" i="1"/>
  <c r="O534" i="1"/>
  <c r="K427" i="1"/>
  <c r="O591" i="1"/>
  <c r="L240" i="1"/>
  <c r="N629" i="1"/>
  <c r="G280" i="3"/>
  <c r="J451" i="1"/>
  <c r="N229" i="1"/>
  <c r="P362" i="3"/>
  <c r="H371" i="3"/>
  <c r="G331" i="3"/>
  <c r="P378" i="1"/>
  <c r="H294" i="1"/>
  <c r="G148" i="3"/>
  <c r="M294" i="1"/>
  <c r="K263" i="3"/>
  <c r="J47" i="3"/>
  <c r="K223" i="3"/>
  <c r="O174" i="1"/>
  <c r="P524" i="1"/>
  <c r="G16" i="3"/>
  <c r="L689" i="1"/>
  <c r="L195" i="3"/>
  <c r="L531" i="1"/>
  <c r="N468" i="1"/>
  <c r="P671" i="1"/>
  <c r="O671" i="1"/>
  <c r="M607" i="1"/>
  <c r="L427" i="1"/>
  <c r="L350" i="1"/>
  <c r="K316" i="1"/>
  <c r="O669" i="1"/>
  <c r="J352" i="3"/>
  <c r="Q76" i="3"/>
  <c r="K255" i="3"/>
  <c r="M36" i="3"/>
  <c r="J90" i="1"/>
  <c r="J417" i="1"/>
  <c r="G600" i="1"/>
  <c r="M175" i="1"/>
  <c r="Q476" i="1"/>
  <c r="H356" i="1"/>
  <c r="J624" i="1"/>
  <c r="G588" i="1"/>
  <c r="Q596" i="1"/>
  <c r="J190" i="3"/>
  <c r="O520" i="1"/>
  <c r="H297" i="1"/>
  <c r="P378" i="3"/>
  <c r="H210" i="3"/>
  <c r="M8" i="1"/>
  <c r="L656" i="1"/>
  <c r="Q313" i="3"/>
  <c r="L39" i="1"/>
  <c r="P105" i="3"/>
  <c r="L565" i="1"/>
  <c r="H240" i="1"/>
  <c r="N666" i="1"/>
  <c r="K219" i="3"/>
  <c r="J39" i="3"/>
  <c r="N246" i="3"/>
  <c r="P330" i="1"/>
  <c r="Q173" i="1"/>
  <c r="N257" i="3"/>
  <c r="P301" i="1"/>
  <c r="G446" i="1"/>
  <c r="M406" i="1"/>
  <c r="K510" i="1"/>
  <c r="M241" i="1"/>
  <c r="P647" i="1"/>
  <c r="Q455" i="1"/>
  <c r="P231" i="1"/>
  <c r="L320" i="1"/>
  <c r="Q226" i="1"/>
  <c r="N175" i="1"/>
  <c r="J668" i="1"/>
  <c r="G671" i="1"/>
  <c r="L406" i="1"/>
  <c r="G340" i="3"/>
  <c r="O429" i="1"/>
  <c r="J272" i="3"/>
  <c r="L596" i="1"/>
  <c r="J379" i="3"/>
  <c r="H236" i="3"/>
  <c r="N691" i="1"/>
  <c r="J691" i="1"/>
  <c r="M227" i="1"/>
  <c r="P313" i="3"/>
  <c r="L232" i="1"/>
  <c r="M465" i="1"/>
  <c r="M160" i="1"/>
  <c r="G70" i="3"/>
  <c r="P184" i="3"/>
  <c r="M216" i="3"/>
  <c r="N184" i="3"/>
  <c r="N464" i="1"/>
  <c r="P194" i="3"/>
  <c r="G8" i="3"/>
  <c r="J235" i="3"/>
  <c r="L691" i="1"/>
  <c r="Q349" i="3"/>
  <c r="P247" i="1"/>
  <c r="N338" i="1"/>
  <c r="P468" i="1"/>
  <c r="L468" i="1"/>
  <c r="K468" i="1"/>
  <c r="L288" i="1"/>
  <c r="P76" i="3"/>
  <c r="G188" i="3"/>
  <c r="H345" i="1"/>
  <c r="H671" i="1"/>
  <c r="O564" i="1"/>
  <c r="L564" i="1"/>
  <c r="P455" i="1"/>
  <c r="P80" i="1"/>
  <c r="J243" i="3"/>
  <c r="Q691" i="1"/>
  <c r="J632" i="1"/>
  <c r="G80" i="1"/>
  <c r="M684" i="1"/>
  <c r="L152" i="3"/>
  <c r="N534" i="1"/>
  <c r="P369" i="3"/>
  <c r="O355" i="1"/>
  <c r="G139" i="3"/>
  <c r="O236" i="3"/>
  <c r="Q356" i="1"/>
  <c r="O585" i="1"/>
  <c r="H164" i="3"/>
  <c r="K463" i="1"/>
  <c r="P691" i="1"/>
  <c r="K447" i="1"/>
  <c r="Q64" i="1"/>
  <c r="N231" i="1"/>
  <c r="K194" i="3"/>
  <c r="L229" i="1"/>
  <c r="H464" i="1"/>
  <c r="N75" i="1"/>
  <c r="G160" i="1"/>
  <c r="N306" i="1"/>
  <c r="L201" i="1"/>
  <c r="J237" i="3"/>
  <c r="J303" i="1"/>
  <c r="O319" i="1"/>
  <c r="N152" i="3"/>
  <c r="H379" i="3"/>
  <c r="J647" i="1"/>
  <c r="H341" i="3"/>
  <c r="K341" i="3"/>
  <c r="H113" i="1"/>
  <c r="G358" i="1"/>
  <c r="J85" i="3"/>
  <c r="L265" i="1"/>
  <c r="L183" i="3"/>
  <c r="H249" i="3"/>
  <c r="Q666" i="1"/>
  <c r="M150" i="1"/>
  <c r="L306" i="3"/>
  <c r="M184" i="3"/>
  <c r="L281" i="1"/>
  <c r="O568" i="1"/>
  <c r="K28" i="3"/>
  <c r="H198" i="3"/>
  <c r="O39" i="3"/>
  <c r="N291" i="1"/>
  <c r="Q70" i="3"/>
  <c r="L174" i="1"/>
  <c r="J240" i="1"/>
  <c r="H295" i="3"/>
  <c r="L223" i="3"/>
  <c r="M446" i="1"/>
  <c r="Q376" i="1"/>
  <c r="H247" i="3"/>
  <c r="K30" i="3"/>
  <c r="N376" i="1"/>
  <c r="M671" i="1"/>
  <c r="N302" i="1"/>
  <c r="P318" i="1"/>
  <c r="K612" i="1"/>
  <c r="O164" i="3"/>
  <c r="J241" i="3"/>
  <c r="N212" i="1"/>
  <c r="H302" i="1"/>
  <c r="N132" i="1"/>
  <c r="O132" i="1"/>
  <c r="K564" i="1"/>
  <c r="P304" i="1"/>
  <c r="H161" i="3"/>
  <c r="K202" i="3"/>
  <c r="G313" i="1"/>
  <c r="G189" i="1"/>
  <c r="L599" i="1"/>
  <c r="M233" i="3"/>
  <c r="G513" i="1"/>
  <c r="L76" i="3"/>
  <c r="P695" i="1"/>
  <c r="O171" i="3"/>
  <c r="M177" i="3"/>
  <c r="J40" i="3"/>
  <c r="Q315" i="1"/>
  <c r="P674" i="1"/>
  <c r="J218" i="3"/>
  <c r="M587" i="1"/>
  <c r="O622" i="1"/>
  <c r="K187" i="1"/>
  <c r="O113" i="1"/>
  <c r="L203" i="3"/>
  <c r="G406" i="1"/>
  <c r="O40" i="3"/>
  <c r="O45" i="3"/>
  <c r="L329" i="1"/>
  <c r="P257" i="3"/>
  <c r="O524" i="1"/>
  <c r="Q85" i="1"/>
  <c r="L194" i="3"/>
  <c r="L287" i="1"/>
  <c r="Q656" i="1"/>
  <c r="L105" i="3"/>
  <c r="M30" i="3"/>
  <c r="K275" i="1"/>
  <c r="H495" i="1"/>
  <c r="O305" i="1"/>
  <c r="L231" i="1"/>
  <c r="Q204" i="3"/>
  <c r="K81" i="3"/>
  <c r="G294" i="1"/>
  <c r="Q291" i="1"/>
  <c r="P27" i="3"/>
  <c r="M229" i="1"/>
  <c r="M629" i="1"/>
  <c r="N28" i="1"/>
  <c r="P244" i="1"/>
  <c r="L363" i="1"/>
  <c r="J330" i="1"/>
  <c r="N204" i="3"/>
  <c r="K138" i="3"/>
  <c r="L138" i="3"/>
  <c r="Q464" i="1"/>
  <c r="P288" i="3"/>
  <c r="M378" i="1"/>
  <c r="G149" i="3"/>
  <c r="M149" i="3"/>
  <c r="K226" i="1"/>
  <c r="K139" i="3"/>
  <c r="Q262" i="3"/>
  <c r="M256" i="1"/>
  <c r="M378" i="3"/>
  <c r="M247" i="3"/>
  <c r="K90" i="1"/>
  <c r="H268" i="1"/>
  <c r="J455" i="1"/>
  <c r="H624" i="1"/>
  <c r="H612" i="1"/>
  <c r="M264" i="1"/>
  <c r="M132" i="1"/>
  <c r="Q305" i="1"/>
  <c r="J164" i="3"/>
  <c r="H205" i="1"/>
  <c r="G226" i="1"/>
  <c r="J313" i="1"/>
  <c r="Q397" i="1"/>
  <c r="L356" i="1"/>
  <c r="M243" i="3"/>
  <c r="H230" i="3"/>
  <c r="H80" i="1"/>
  <c r="G150" i="1"/>
  <c r="K80" i="3"/>
  <c r="O347" i="3"/>
  <c r="Q233" i="1"/>
  <c r="K520" i="1"/>
  <c r="N684" i="1"/>
  <c r="K429" i="1"/>
  <c r="L629" i="1"/>
  <c r="M512" i="1"/>
  <c r="H257" i="3"/>
  <c r="O464" i="1"/>
  <c r="L589" i="1"/>
  <c r="L512" i="1"/>
  <c r="J288" i="1"/>
  <c r="Q319" i="1"/>
  <c r="N347" i="3"/>
  <c r="J231" i="1"/>
  <c r="K389" i="1"/>
  <c r="P225" i="3"/>
  <c r="M240" i="1"/>
  <c r="P27" i="1"/>
  <c r="P198" i="3"/>
  <c r="O244" i="1"/>
  <c r="M80" i="3"/>
  <c r="M330" i="1"/>
  <c r="K666" i="1"/>
  <c r="K89" i="1"/>
  <c r="M362" i="1"/>
  <c r="G174" i="1"/>
  <c r="N70" i="3"/>
  <c r="P174" i="1"/>
  <c r="L623" i="1"/>
  <c r="K31" i="1"/>
  <c r="P367" i="3"/>
  <c r="N280" i="3"/>
  <c r="Q148" i="3"/>
  <c r="P89" i="1"/>
  <c r="J359" i="3"/>
  <c r="Q340" i="3"/>
  <c r="G202" i="1"/>
  <c r="O624" i="1"/>
  <c r="H237" i="3"/>
  <c r="N378" i="3"/>
  <c r="M450" i="1"/>
  <c r="H226" i="1"/>
  <c r="J73" i="1"/>
  <c r="H273" i="1"/>
  <c r="J406" i="1"/>
  <c r="O219" i="1"/>
  <c r="L593" i="1"/>
  <c r="M355" i="1"/>
  <c r="Q264" i="1"/>
  <c r="P210" i="1"/>
  <c r="L240" i="3"/>
  <c r="H534" i="1"/>
  <c r="L520" i="1"/>
  <c r="J226" i="1"/>
  <c r="N686" i="1"/>
  <c r="O233" i="3"/>
  <c r="G383" i="1"/>
  <c r="N351" i="3"/>
  <c r="O588" i="1"/>
  <c r="J264" i="1"/>
  <c r="H42" i="1"/>
  <c r="N262" i="3"/>
  <c r="P588" i="1"/>
  <c r="N263" i="3"/>
  <c r="M244" i="1"/>
  <c r="J353" i="3"/>
  <c r="P623" i="1"/>
  <c r="M332" i="3"/>
  <c r="N568" i="1"/>
  <c r="O219" i="3"/>
  <c r="K281" i="1"/>
  <c r="J85" i="1"/>
  <c r="G291" i="3"/>
  <c r="K48" i="1"/>
  <c r="L39" i="3"/>
  <c r="K276" i="3"/>
  <c r="M276" i="3"/>
  <c r="M314" i="3"/>
  <c r="Q599" i="1"/>
  <c r="M313" i="1"/>
  <c r="K237" i="3"/>
  <c r="M351" i="3"/>
  <c r="J326" i="1"/>
  <c r="J510" i="1"/>
  <c r="Q640" i="1"/>
  <c r="Q355" i="1"/>
  <c r="J233" i="1"/>
  <c r="P303" i="1"/>
  <c r="G596" i="1"/>
  <c r="O179" i="3"/>
  <c r="M179" i="1"/>
  <c r="H201" i="1"/>
  <c r="Q195" i="3"/>
  <c r="G125" i="3"/>
  <c r="G28" i="1"/>
  <c r="G313" i="3"/>
  <c r="P273" i="1"/>
  <c r="K380" i="1"/>
  <c r="L110" i="3"/>
  <c r="O218" i="3"/>
  <c r="G564" i="1"/>
  <c r="N292" i="3"/>
  <c r="Q534" i="1"/>
  <c r="N85" i="3"/>
  <c r="P152" i="3"/>
  <c r="P16" i="3"/>
  <c r="N125" i="3"/>
  <c r="Q557" i="1"/>
  <c r="K150" i="1"/>
  <c r="L210" i="3"/>
  <c r="O389" i="1"/>
  <c r="H589" i="1"/>
  <c r="M6" i="3"/>
  <c r="O378" i="1"/>
  <c r="O301" i="1"/>
  <c r="G235" i="3"/>
  <c r="J194" i="3"/>
  <c r="G342" i="3"/>
  <c r="N164" i="3"/>
  <c r="L272" i="3"/>
  <c r="H691" i="1"/>
  <c r="L293" i="3"/>
  <c r="P30" i="3"/>
  <c r="O237" i="3"/>
  <c r="G455" i="1"/>
  <c r="J165" i="1"/>
  <c r="G303" i="1"/>
  <c r="J210" i="1"/>
  <c r="N116" i="1"/>
  <c r="Q668" i="1"/>
  <c r="M195" i="1"/>
  <c r="N579" i="1"/>
  <c r="Q622" i="1"/>
  <c r="N447" i="1"/>
  <c r="N218" i="3"/>
  <c r="M218" i="3"/>
  <c r="P283" i="1"/>
  <c r="J219" i="1"/>
  <c r="O314" i="3"/>
  <c r="J329" i="1"/>
  <c r="P233" i="3"/>
  <c r="L165" i="1"/>
  <c r="L305" i="1"/>
  <c r="O455" i="1"/>
  <c r="M189" i="1"/>
  <c r="O108" i="1"/>
  <c r="M668" i="1"/>
  <c r="L136" i="3"/>
  <c r="G81" i="3"/>
  <c r="L315" i="3"/>
  <c r="O689" i="1"/>
  <c r="H293" i="3"/>
  <c r="N243" i="3"/>
  <c r="M293" i="3"/>
  <c r="G326" i="1"/>
  <c r="J485" i="1"/>
  <c r="K445" i="1"/>
  <c r="L283" i="3"/>
  <c r="Q161" i="1"/>
  <c r="Q624" i="1"/>
  <c r="G221" i="3"/>
  <c r="Q520" i="1"/>
  <c r="K165" i="1"/>
  <c r="K587" i="1"/>
  <c r="K417" i="1"/>
  <c r="O47" i="3"/>
  <c r="H331" i="3"/>
  <c r="J191" i="3"/>
  <c r="H306" i="1"/>
  <c r="G306" i="1"/>
  <c r="O251" i="1"/>
  <c r="J265" i="1"/>
  <c r="G288" i="3"/>
  <c r="O183" i="3"/>
  <c r="K125" i="3"/>
  <c r="G371" i="3"/>
  <c r="Q380" i="3"/>
  <c r="Q301" i="1"/>
  <c r="N28" i="3"/>
  <c r="O8" i="3"/>
  <c r="K173" i="1"/>
  <c r="L380" i="3"/>
  <c r="H138" i="3"/>
  <c r="N306" i="3"/>
  <c r="Q568" i="1"/>
  <c r="G223" i="3"/>
  <c r="Q287" i="1"/>
  <c r="J139" i="3"/>
  <c r="J30" i="3"/>
  <c r="P215" i="3"/>
  <c r="G177" i="3"/>
  <c r="K378" i="3"/>
  <c r="N241" i="3"/>
  <c r="Q164" i="3"/>
  <c r="G73" i="1"/>
  <c r="M423" i="1"/>
  <c r="G640" i="1"/>
  <c r="J212" i="1"/>
  <c r="Q241" i="1"/>
  <c r="P477" i="1"/>
  <c r="M307" i="1"/>
  <c r="Q345" i="1"/>
  <c r="M513" i="1"/>
  <c r="Q290" i="1"/>
  <c r="P232" i="3"/>
  <c r="Q585" i="1"/>
  <c r="G351" i="3"/>
  <c r="N529" i="1"/>
  <c r="O307" i="1"/>
  <c r="G116" i="1"/>
  <c r="Q218" i="3"/>
  <c r="J471" i="1"/>
  <c r="K221" i="3"/>
  <c r="M315" i="1"/>
  <c r="O417" i="1"/>
  <c r="K470" i="1"/>
  <c r="N227" i="1"/>
  <c r="O39" i="1"/>
  <c r="P179" i="1"/>
  <c r="N39" i="1"/>
  <c r="K265" i="1"/>
  <c r="N244" i="1"/>
  <c r="K371" i="3"/>
  <c r="O557" i="1"/>
  <c r="J295" i="3"/>
  <c r="Q589" i="1"/>
  <c r="Q210" i="3"/>
  <c r="H656" i="1"/>
  <c r="O138" i="3"/>
  <c r="P306" i="3"/>
  <c r="Q47" i="3"/>
  <c r="L251" i="1"/>
  <c r="N451" i="1"/>
  <c r="L323" i="1"/>
  <c r="M125" i="3"/>
  <c r="N340" i="3"/>
  <c r="P262" i="3"/>
  <c r="P202" i="3"/>
  <c r="L351" i="3"/>
  <c r="H695" i="1"/>
  <c r="G255" i="3"/>
  <c r="N30" i="3"/>
  <c r="G585" i="1"/>
  <c r="L647" i="1"/>
  <c r="G210" i="1"/>
  <c r="J445" i="1"/>
  <c r="N593" i="1"/>
  <c r="O313" i="1"/>
  <c r="L379" i="3"/>
  <c r="P622" i="1"/>
  <c r="K36" i="1"/>
  <c r="P429" i="1"/>
  <c r="M455" i="1"/>
  <c r="L108" i="1"/>
  <c r="H423" i="1"/>
  <c r="N36" i="1"/>
  <c r="O264" i="1"/>
  <c r="H171" i="3"/>
  <c r="K495" i="1"/>
  <c r="L359" i="3"/>
  <c r="K695" i="1"/>
  <c r="Q165" i="1"/>
  <c r="Q189" i="1"/>
  <c r="O240" i="1"/>
  <c r="M331" i="3"/>
  <c r="L28" i="1"/>
  <c r="J204" i="3"/>
  <c r="H48" i="1"/>
  <c r="L6" i="1"/>
  <c r="G39" i="3"/>
  <c r="K160" i="1"/>
  <c r="N623" i="1"/>
  <c r="M232" i="1"/>
  <c r="H363" i="1"/>
  <c r="H291" i="1"/>
  <c r="H659" i="1"/>
  <c r="Q103" i="3"/>
  <c r="Q284" i="3"/>
  <c r="O339" i="3"/>
  <c r="M31" i="1"/>
  <c r="J195" i="3"/>
  <c r="H203" i="3"/>
  <c r="M202" i="3"/>
  <c r="Q132" i="1"/>
  <c r="Q241" i="3"/>
  <c r="M436" i="1"/>
  <c r="G212" i="1"/>
  <c r="Q212" i="1"/>
  <c r="P579" i="1"/>
  <c r="K292" i="3"/>
  <c r="K315" i="1"/>
  <c r="H316" i="1"/>
  <c r="M47" i="1"/>
  <c r="N237" i="3"/>
  <c r="H668" i="1"/>
  <c r="O369" i="3"/>
  <c r="J201" i="1"/>
  <c r="K6" i="3"/>
  <c r="O276" i="3"/>
  <c r="O210" i="3"/>
  <c r="G244" i="1"/>
  <c r="L150" i="1"/>
  <c r="J557" i="1"/>
  <c r="K284" i="3"/>
  <c r="G194" i="3"/>
  <c r="M131" i="3"/>
  <c r="P280" i="3"/>
  <c r="O290" i="1"/>
  <c r="L45" i="3"/>
  <c r="G195" i="1"/>
  <c r="M632" i="1"/>
  <c r="O188" i="3"/>
  <c r="H262" i="1"/>
  <c r="J383" i="1"/>
  <c r="J137" i="3"/>
  <c r="Q307" i="1"/>
  <c r="K355" i="1"/>
  <c r="G314" i="3"/>
  <c r="K290" i="1"/>
  <c r="J160" i="1"/>
  <c r="H520" i="1"/>
  <c r="P230" i="3"/>
  <c r="N247" i="3"/>
  <c r="K349" i="3"/>
  <c r="P359" i="3"/>
  <c r="H179" i="3"/>
  <c r="P170" i="1"/>
  <c r="K640" i="1"/>
  <c r="H85" i="3"/>
  <c r="G363" i="1"/>
  <c r="Q48" i="1"/>
  <c r="M249" i="3"/>
  <c r="G257" i="3"/>
  <c r="J225" i="3"/>
  <c r="K288" i="3"/>
  <c r="Q27" i="1"/>
  <c r="P73" i="1"/>
  <c r="Q243" i="3"/>
  <c r="G165" i="1"/>
  <c r="L29" i="1"/>
  <c r="P255" i="3"/>
  <c r="L154" i="3"/>
  <c r="J612" i="1"/>
  <c r="H406" i="1"/>
  <c r="G137" i="3"/>
  <c r="N315" i="1"/>
  <c r="Q128" i="3"/>
  <c r="N328" i="1"/>
  <c r="K351" i="3"/>
  <c r="M349" i="3"/>
  <c r="N266" i="1"/>
  <c r="P320" i="1"/>
  <c r="H243" i="3"/>
  <c r="Q423" i="1"/>
  <c r="G589" i="1"/>
  <c r="N665" i="1"/>
  <c r="M451" i="1"/>
  <c r="M429" i="1"/>
  <c r="K627" i="1"/>
  <c r="J347" i="3"/>
  <c r="N174" i="1"/>
  <c r="G173" i="1"/>
  <c r="Q591" i="1"/>
  <c r="G179" i="1"/>
  <c r="K272" i="1"/>
  <c r="Q323" i="1"/>
  <c r="H80" i="3"/>
  <c r="L48" i="1"/>
  <c r="J246" i="3"/>
  <c r="J147" i="3"/>
  <c r="K615" i="1"/>
  <c r="N423" i="1"/>
  <c r="P240" i="3"/>
  <c r="P342" i="3"/>
  <c r="M231" i="1"/>
  <c r="L485" i="1"/>
  <c r="G349" i="3"/>
  <c r="L695" i="1"/>
  <c r="Q205" i="1"/>
  <c r="H477" i="1"/>
  <c r="L287" i="3"/>
  <c r="H202" i="1"/>
  <c r="G485" i="1"/>
  <c r="N188" i="3"/>
  <c r="M273" i="1"/>
  <c r="K287" i="1"/>
  <c r="J524" i="1"/>
  <c r="O116" i="1"/>
  <c r="M353" i="3"/>
  <c r="P39" i="3"/>
  <c r="J184" i="3"/>
  <c r="N216" i="3"/>
  <c r="M235" i="3"/>
  <c r="N531" i="1"/>
  <c r="O139" i="3"/>
  <c r="N436" i="1"/>
  <c r="M647" i="1"/>
  <c r="J640" i="1"/>
  <c r="H154" i="3"/>
  <c r="H645" i="1"/>
  <c r="N137" i="3"/>
  <c r="G147" i="3"/>
  <c r="K128" i="3"/>
  <c r="Q587" i="1"/>
  <c r="N220" i="3"/>
  <c r="P227" i="1"/>
  <c r="G147" i="1"/>
  <c r="P689" i="1"/>
  <c r="N596" i="1"/>
  <c r="N313" i="3"/>
  <c r="M262" i="1"/>
  <c r="P284" i="3"/>
  <c r="H27" i="3"/>
  <c r="M290" i="1"/>
  <c r="N497" i="1"/>
  <c r="L446" i="1"/>
  <c r="M241" i="3"/>
  <c r="P668" i="1"/>
  <c r="H216" i="3"/>
  <c r="K240" i="3"/>
  <c r="K671" i="1"/>
  <c r="N615" i="1"/>
  <c r="H497" i="1"/>
  <c r="L31" i="1"/>
  <c r="G504" i="1"/>
  <c r="Q294" i="1"/>
  <c r="G47" i="3"/>
  <c r="K246" i="3"/>
  <c r="Q249" i="3"/>
  <c r="L85" i="3"/>
  <c r="P223" i="3"/>
  <c r="H263" i="3"/>
  <c r="G36" i="3"/>
  <c r="P137" i="3"/>
  <c r="M328" i="1"/>
  <c r="P436" i="1"/>
  <c r="L423" i="1"/>
  <c r="O64" i="1"/>
  <c r="H233" i="3"/>
  <c r="H686" i="1"/>
  <c r="J147" i="1"/>
  <c r="H139" i="3"/>
  <c r="J513" i="1"/>
  <c r="H455" i="1"/>
  <c r="L275" i="1"/>
  <c r="H27" i="1"/>
  <c r="M359" i="1"/>
  <c r="Q623" i="1"/>
  <c r="L645" i="1"/>
  <c r="K249" i="3"/>
  <c r="P355" i="1"/>
  <c r="O342" i="3"/>
  <c r="M215" i="3"/>
  <c r="M173" i="1"/>
  <c r="L263" i="3"/>
  <c r="H585" i="1"/>
  <c r="O313" i="3"/>
  <c r="N37" i="1"/>
  <c r="J338" i="1"/>
  <c r="M161" i="1"/>
  <c r="L378" i="3"/>
  <c r="G623" i="1"/>
  <c r="Q81" i="3"/>
  <c r="J27" i="3"/>
  <c r="O70" i="3"/>
  <c r="O367" i="3"/>
  <c r="H315" i="1"/>
  <c r="L349" i="3"/>
  <c r="Q564" i="1"/>
  <c r="K348" i="1"/>
  <c r="H651" i="1"/>
  <c r="Q273" i="1"/>
  <c r="G275" i="1"/>
  <c r="Q219" i="3"/>
  <c r="G665" i="1"/>
  <c r="G139" i="1"/>
  <c r="P202" i="1"/>
  <c r="G362" i="1"/>
  <c r="G227" i="1"/>
  <c r="M623" i="1"/>
  <c r="Q174" i="1"/>
  <c r="J276" i="3"/>
  <c r="P371" i="3"/>
  <c r="H304" i="1"/>
  <c r="H599" i="1"/>
  <c r="K164" i="3"/>
  <c r="P380" i="1"/>
  <c r="O471" i="1"/>
  <c r="J356" i="1"/>
  <c r="P268" i="1"/>
  <c r="G268" i="1"/>
  <c r="J236" i="3"/>
  <c r="H450" i="1"/>
  <c r="J29" i="1"/>
  <c r="G219" i="1"/>
  <c r="J215" i="3"/>
  <c r="G48" i="1"/>
  <c r="J362" i="1"/>
  <c r="P262" i="1"/>
  <c r="Q358" i="1"/>
  <c r="N406" i="1"/>
  <c r="P471" i="1"/>
  <c r="N122" i="1"/>
  <c r="J233" i="3"/>
  <c r="J629" i="1"/>
  <c r="J463" i="1"/>
  <c r="J470" i="1"/>
  <c r="M280" i="3"/>
  <c r="G219" i="3"/>
  <c r="G136" i="3"/>
  <c r="L464" i="1"/>
  <c r="K659" i="1"/>
  <c r="H665" i="1"/>
  <c r="H397" i="1"/>
  <c r="P298" i="1"/>
  <c r="L368" i="1"/>
  <c r="L674" i="1"/>
  <c r="M640" i="1"/>
  <c r="G359" i="3"/>
  <c r="K108" i="1"/>
  <c r="P283" i="3"/>
  <c r="G292" i="1"/>
  <c r="O332" i="1"/>
  <c r="M128" i="3"/>
  <c r="L445" i="1"/>
  <c r="P177" i="3"/>
  <c r="O436" i="1"/>
  <c r="H451" i="1"/>
  <c r="J8" i="3"/>
  <c r="H359" i="3"/>
  <c r="P358" i="1"/>
  <c r="G328" i="1"/>
  <c r="P591" i="1"/>
  <c r="G651" i="1"/>
  <c r="G304" i="1"/>
  <c r="O371" i="3"/>
  <c r="O275" i="1"/>
  <c r="M8" i="3"/>
  <c r="P219" i="3"/>
  <c r="Q689" i="1"/>
  <c r="N195" i="3"/>
  <c r="O451" i="1"/>
  <c r="G132" i="1"/>
  <c r="H319" i="1"/>
  <c r="G379" i="3"/>
  <c r="L241" i="1"/>
  <c r="K37" i="1"/>
  <c r="K477" i="1"/>
  <c r="Q47" i="1"/>
  <c r="H292" i="3"/>
  <c r="K599" i="1"/>
  <c r="L221" i="3"/>
  <c r="L588" i="1"/>
  <c r="H526" i="1"/>
  <c r="M27" i="3"/>
  <c r="M202" i="1"/>
  <c r="G241" i="1"/>
  <c r="M471" i="1"/>
  <c r="M138" i="3"/>
  <c r="O529" i="1"/>
  <c r="N298" i="1"/>
  <c r="N674" i="1"/>
  <c r="P40" i="3"/>
  <c r="J649" i="1"/>
  <c r="G232" i="1"/>
  <c r="H29" i="1"/>
  <c r="K504" i="1"/>
  <c r="J249" i="3"/>
  <c r="K362" i="1"/>
  <c r="O249" i="3"/>
  <c r="L339" i="3"/>
  <c r="G332" i="1"/>
  <c r="N154" i="3"/>
  <c r="M593" i="1"/>
  <c r="P445" i="1"/>
  <c r="Q660" i="1"/>
  <c r="J247" i="1"/>
  <c r="H220" i="3"/>
  <c r="Q445" i="1"/>
  <c r="Q283" i="1"/>
  <c r="N47" i="1"/>
  <c r="N352" i="3"/>
  <c r="G445" i="1"/>
  <c r="O695" i="1"/>
  <c r="H512" i="1"/>
  <c r="L116" i="1"/>
  <c r="L177" i="3"/>
  <c r="L513" i="1"/>
  <c r="M665" i="1"/>
  <c r="P8" i="1"/>
  <c r="K181" i="3"/>
  <c r="K465" i="1"/>
  <c r="P649" i="1"/>
  <c r="O341" i="3"/>
  <c r="G247" i="3"/>
  <c r="O73" i="1"/>
  <c r="N272" i="3"/>
  <c r="J195" i="1"/>
  <c r="N316" i="1"/>
  <c r="K379" i="3"/>
  <c r="J305" i="1"/>
  <c r="K585" i="1"/>
  <c r="M485" i="1"/>
  <c r="H376" i="1"/>
  <c r="P326" i="1"/>
  <c r="H195" i="1"/>
  <c r="Q183" i="3"/>
  <c r="P347" i="3"/>
  <c r="G666" i="1"/>
  <c r="K423" i="1"/>
  <c r="M556" i="1"/>
  <c r="G559" i="1"/>
  <c r="J531" i="1"/>
  <c r="O318" i="1"/>
  <c r="J220" i="3"/>
  <c r="L301" i="1"/>
  <c r="G288" i="1"/>
  <c r="O232" i="1"/>
  <c r="L27" i="1"/>
  <c r="K363" i="1"/>
  <c r="M16" i="3"/>
  <c r="Q244" i="1"/>
  <c r="J251" i="1"/>
  <c r="P246" i="3"/>
  <c r="H315" i="3"/>
  <c r="G140" i="3"/>
  <c r="O297" i="1"/>
  <c r="J686" i="1"/>
  <c r="K328" i="1"/>
  <c r="N427" i="1"/>
  <c r="K283" i="3"/>
  <c r="G187" i="1"/>
  <c r="K356" i="1"/>
  <c r="H303" i="1"/>
  <c r="O665" i="1"/>
  <c r="Q429" i="1"/>
  <c r="N201" i="1"/>
  <c r="N632" i="1"/>
  <c r="P247" i="3"/>
  <c r="Q113" i="1"/>
  <c r="P110" i="3"/>
  <c r="H531" i="1"/>
  <c r="K306" i="1"/>
  <c r="J221" i="3"/>
  <c r="L161" i="3"/>
  <c r="Q514" i="1"/>
  <c r="J161" i="3"/>
  <c r="M397" i="1"/>
  <c r="L191" i="3"/>
  <c r="N219" i="3"/>
  <c r="P529" i="1"/>
  <c r="P511" i="1"/>
  <c r="H232" i="1"/>
  <c r="H28" i="1"/>
  <c r="M75" i="1"/>
  <c r="O531" i="1"/>
  <c r="K291" i="3"/>
  <c r="G195" i="3"/>
  <c r="M164" i="3"/>
  <c r="L37" i="1"/>
  <c r="J177" i="3"/>
  <c r="Q471" i="1"/>
  <c r="K29" i="1"/>
  <c r="K287" i="3"/>
  <c r="P175" i="1"/>
  <c r="J292" i="3"/>
  <c r="J188" i="3"/>
  <c r="Q161" i="3"/>
  <c r="L510" i="1"/>
  <c r="J16" i="1"/>
  <c r="P332" i="3"/>
  <c r="G272" i="1"/>
  <c r="G138" i="3"/>
  <c r="G348" i="1"/>
  <c r="H215" i="3"/>
  <c r="H40" i="3"/>
  <c r="M29" i="3"/>
  <c r="Q288" i="3"/>
  <c r="O647" i="1"/>
  <c r="P338" i="1"/>
  <c r="O195" i="1"/>
  <c r="K147" i="1"/>
  <c r="N331" i="3"/>
  <c r="N627" i="1"/>
  <c r="L665" i="1"/>
  <c r="M689" i="1"/>
  <c r="G292" i="3"/>
  <c r="N128" i="3"/>
  <c r="G622" i="1"/>
  <c r="G113" i="1"/>
  <c r="Q347" i="3"/>
  <c r="G356" i="1"/>
  <c r="N565" i="1"/>
  <c r="K177" i="3"/>
  <c r="J323" i="1"/>
  <c r="J301" i="1"/>
  <c r="N190" i="3"/>
  <c r="Q276" i="3"/>
  <c r="P140" i="3"/>
  <c r="G29" i="1"/>
  <c r="O184" i="3"/>
  <c r="K629" i="1"/>
  <c r="O441" i="1"/>
  <c r="L341" i="3"/>
  <c r="H148" i="3"/>
  <c r="G246" i="3"/>
  <c r="J291" i="3"/>
  <c r="Q291" i="3"/>
  <c r="M105" i="3"/>
  <c r="H30" i="3"/>
  <c r="N170" i="1"/>
  <c r="L179" i="3"/>
  <c r="O674" i="1"/>
  <c r="M445" i="1"/>
  <c r="G272" i="3"/>
  <c r="K303" i="1"/>
  <c r="G347" i="3"/>
  <c r="L237" i="3"/>
  <c r="G647" i="1"/>
  <c r="P534" i="1"/>
  <c r="M6" i="1"/>
  <c r="K380" i="3"/>
  <c r="Q232" i="3"/>
  <c r="Q170" i="1"/>
  <c r="Q210" i="1"/>
  <c r="Q215" i="3"/>
  <c r="J656" i="1"/>
  <c r="L298" i="1"/>
  <c r="L219" i="1"/>
  <c r="J255" i="3"/>
  <c r="L284" i="3"/>
  <c r="N148" i="3"/>
  <c r="P190" i="3"/>
  <c r="H110" i="3"/>
  <c r="L164" i="3"/>
  <c r="L225" i="3"/>
  <c r="H140" i="3"/>
  <c r="P272" i="1"/>
  <c r="P265" i="1"/>
  <c r="G568" i="1"/>
  <c r="H281" i="1"/>
  <c r="O161" i="3"/>
  <c r="L649" i="1"/>
  <c r="P684" i="1"/>
  <c r="O352" i="3"/>
  <c r="M236" i="3"/>
  <c r="L328" i="1"/>
  <c r="O443" i="1"/>
  <c r="P131" i="3"/>
  <c r="M252" i="1"/>
  <c r="K378" i="1"/>
  <c r="Q80" i="3"/>
  <c r="O257" i="3"/>
  <c r="O85" i="3"/>
  <c r="O262" i="3"/>
  <c r="J45" i="3"/>
  <c r="G429" i="1"/>
  <c r="P329" i="1"/>
  <c r="M352" i="3"/>
  <c r="G220" i="3"/>
  <c r="L80" i="1"/>
  <c r="P305" i="1"/>
  <c r="O304" i="1"/>
  <c r="K189" i="1"/>
  <c r="P495" i="1"/>
  <c r="O265" i="1"/>
  <c r="H135" i="3"/>
  <c r="N149" i="3"/>
  <c r="Q139" i="3"/>
  <c r="P368" i="1"/>
  <c r="H255" i="3"/>
  <c r="K319" i="1"/>
  <c r="H144" i="1"/>
  <c r="Q6" i="1"/>
  <c r="L371" i="3"/>
  <c r="G332" i="3"/>
  <c r="G243" i="3"/>
  <c r="L195" i="1"/>
  <c r="M181" i="3"/>
  <c r="N293" i="3"/>
  <c r="M345" i="1"/>
  <c r="L291" i="1"/>
  <c r="M447" i="1"/>
  <c r="O485" i="1"/>
  <c r="G30" i="3"/>
  <c r="H587" i="1"/>
  <c r="Q332" i="1"/>
  <c r="L347" i="3"/>
  <c r="Q235" i="3"/>
  <c r="K645" i="1"/>
  <c r="N342" i="3"/>
  <c r="H6" i="1"/>
  <c r="J660" i="1"/>
  <c r="H340" i="3"/>
  <c r="Q511" i="1"/>
  <c r="G210" i="3"/>
  <c r="J497" i="1"/>
  <c r="J150" i="1"/>
  <c r="M389" i="1"/>
  <c r="H446" i="1"/>
  <c r="L451" i="1"/>
  <c r="M225" i="3"/>
  <c r="G6" i="3"/>
  <c r="K139" i="1"/>
  <c r="G441" i="1"/>
  <c r="J132" i="1"/>
  <c r="P161" i="3"/>
  <c r="L436" i="1"/>
  <c r="P316" i="1"/>
  <c r="K632" i="1"/>
  <c r="N110" i="3"/>
  <c r="P476" i="1"/>
  <c r="M232" i="3"/>
  <c r="Q268" i="1"/>
  <c r="J302" i="1"/>
  <c r="P678" i="1"/>
  <c r="H504" i="1"/>
  <c r="G443" i="1"/>
  <c r="P183" i="3"/>
  <c r="H629" i="1"/>
  <c r="Q136" i="3"/>
  <c r="O201" i="1"/>
  <c r="J477" i="1"/>
  <c r="P314" i="3"/>
  <c r="M76" i="3"/>
  <c r="O212" i="1"/>
  <c r="Q477" i="1"/>
  <c r="G615" i="1"/>
  <c r="O226" i="1"/>
  <c r="P205" i="1"/>
  <c r="K154" i="3"/>
  <c r="L84" i="3"/>
  <c r="H8" i="1"/>
  <c r="J380" i="3"/>
  <c r="P150" i="1"/>
  <c r="Q251" i="1"/>
  <c r="J367" i="3"/>
  <c r="P615" i="1"/>
  <c r="N36" i="3"/>
  <c r="P313" i="1"/>
  <c r="K243" i="3"/>
  <c r="N356" i="1"/>
  <c r="M203" i="3"/>
  <c r="N64" i="1"/>
  <c r="O627" i="1"/>
  <c r="M191" i="3"/>
  <c r="Q262" i="1"/>
  <c r="G152" i="3"/>
  <c r="O284" i="3"/>
  <c r="G179" i="3"/>
  <c r="P276" i="3"/>
  <c r="P292" i="3"/>
  <c r="N224" i="3"/>
  <c r="O179" i="1"/>
  <c r="H362" i="3"/>
  <c r="J139" i="1"/>
  <c r="J84" i="3"/>
  <c r="M674" i="1"/>
  <c r="G184" i="3"/>
  <c r="N348" i="1"/>
  <c r="G183" i="3"/>
  <c r="M359" i="3"/>
  <c r="H380" i="3"/>
  <c r="J587" i="1"/>
  <c r="L283" i="1"/>
  <c r="J283" i="1"/>
  <c r="N283" i="1"/>
  <c r="G283" i="1"/>
  <c r="H2" i="3" l="1"/>
  <c r="I225" i="3"/>
  <c r="I293" i="3"/>
  <c r="I133" i="3"/>
  <c r="I142" i="3"/>
  <c r="I230" i="3"/>
  <c r="I358" i="3"/>
  <c r="I86" i="3"/>
  <c r="I171" i="3"/>
  <c r="I182" i="3"/>
  <c r="I248" i="3"/>
  <c r="I149" i="3"/>
  <c r="I370" i="3"/>
  <c r="I88" i="3"/>
  <c r="I96" i="3"/>
  <c r="I128" i="3"/>
  <c r="I224" i="3"/>
  <c r="I268" i="3"/>
  <c r="I284" i="3"/>
  <c r="I138" i="3"/>
  <c r="I234" i="3"/>
  <c r="I336" i="3"/>
  <c r="I154" i="3"/>
  <c r="I68" i="3"/>
  <c r="I260" i="3"/>
  <c r="I126" i="3"/>
  <c r="I166" i="3"/>
  <c r="I218" i="3"/>
  <c r="I18" i="3"/>
  <c r="I115" i="3"/>
  <c r="I317" i="3"/>
  <c r="I82" i="3"/>
  <c r="I192" i="3"/>
  <c r="I186" i="3"/>
  <c r="I16" i="3"/>
  <c r="I40" i="3"/>
  <c r="I167" i="3"/>
  <c r="I253" i="3"/>
  <c r="I319" i="3"/>
  <c r="I24" i="3"/>
  <c r="I159" i="3"/>
  <c r="I233" i="3"/>
  <c r="I363" i="3"/>
  <c r="I241" i="3"/>
  <c r="I290" i="3"/>
  <c r="I365" i="3"/>
  <c r="I156" i="3"/>
  <c r="I38" i="3"/>
  <c r="I164" i="3"/>
  <c r="I221" i="3"/>
  <c r="I343" i="3"/>
  <c r="I160" i="3"/>
  <c r="I110" i="3"/>
  <c r="I123" i="3"/>
  <c r="I242" i="3"/>
  <c r="I131" i="3"/>
  <c r="I152" i="3"/>
  <c r="I169" i="3"/>
  <c r="I184" i="3"/>
  <c r="I80" i="3"/>
  <c r="I140" i="3"/>
  <c r="I148" i="3"/>
  <c r="I174" i="3"/>
  <c r="I257" i="3"/>
  <c r="I265" i="3"/>
  <c r="I78" i="3"/>
  <c r="I157" i="3"/>
  <c r="I196" i="3"/>
  <c r="I237" i="3"/>
  <c r="I291" i="3"/>
  <c r="I297" i="3"/>
  <c r="I378" i="3"/>
  <c r="I108" i="3"/>
  <c r="I150" i="3"/>
  <c r="I203" i="3"/>
  <c r="I207" i="3"/>
  <c r="I315" i="3"/>
  <c r="I62" i="3"/>
  <c r="I104" i="3"/>
  <c r="I134" i="3"/>
  <c r="I227" i="3"/>
  <c r="I250" i="3"/>
  <c r="I373" i="3"/>
  <c r="I58" i="3"/>
  <c r="I153" i="3"/>
  <c r="I219" i="3"/>
  <c r="I223" i="3"/>
  <c r="I246" i="3"/>
  <c r="I282" i="3"/>
  <c r="I322" i="3"/>
  <c r="I56" i="3"/>
  <c r="I102" i="3"/>
  <c r="I120" i="3"/>
  <c r="I54" i="3"/>
  <c r="I165" i="3"/>
  <c r="I132" i="3"/>
  <c r="I190" i="3"/>
  <c r="I311" i="3"/>
  <c r="I50" i="3"/>
  <c r="I158" i="3"/>
  <c r="I208" i="3"/>
  <c r="I367" i="3"/>
  <c r="I48" i="3"/>
  <c r="I151" i="3"/>
  <c r="I194" i="3"/>
  <c r="I216" i="3"/>
  <c r="I235" i="3"/>
  <c r="I239" i="3"/>
  <c r="I294" i="3"/>
  <c r="I137" i="3"/>
  <c r="I263" i="3"/>
  <c r="I274" i="3"/>
  <c r="I256" i="3"/>
  <c r="I305" i="3"/>
  <c r="I371" i="3"/>
  <c r="I206" i="3"/>
  <c r="I323" i="3"/>
  <c r="I380" i="3"/>
  <c r="I215" i="3"/>
  <c r="I231" i="3"/>
  <c r="I247" i="3"/>
  <c r="I372" i="3"/>
  <c r="I259" i="3"/>
  <c r="I264" i="3"/>
  <c r="I309" i="3"/>
  <c r="I185" i="3"/>
  <c r="I204" i="3"/>
  <c r="I222" i="3"/>
  <c r="I238" i="3"/>
  <c r="I254" i="3"/>
  <c r="I278" i="3"/>
  <c r="I292" i="3"/>
  <c r="I352" i="3"/>
  <c r="I183" i="3"/>
  <c r="I327" i="3"/>
  <c r="I330" i="3"/>
  <c r="I341" i="3"/>
  <c r="I356" i="3"/>
  <c r="I181" i="3"/>
  <c r="I202" i="3"/>
  <c r="I213" i="3"/>
  <c r="I229" i="3"/>
  <c r="I245" i="3"/>
  <c r="I179" i="3"/>
  <c r="I285" i="3"/>
  <c r="I299" i="3"/>
  <c r="I313" i="3"/>
  <c r="I345" i="3"/>
  <c r="I334" i="3"/>
  <c r="I361" i="3"/>
  <c r="I287" i="3"/>
  <c r="I320" i="3"/>
  <c r="I339" i="3"/>
  <c r="I350" i="3"/>
  <c r="I283" i="3"/>
  <c r="I316" i="3"/>
  <c r="I314" i="3"/>
  <c r="I337" i="3"/>
  <c r="I348" i="3"/>
  <c r="I279" i="3"/>
  <c r="I312" i="3"/>
  <c r="I364" i="3"/>
  <c r="I277" i="3"/>
  <c r="I310" i="3"/>
  <c r="I275" i="3"/>
  <c r="I346" i="3"/>
  <c r="I374" i="3"/>
  <c r="I273" i="3"/>
  <c r="I306" i="3"/>
  <c r="I355" i="3"/>
  <c r="I369" i="3"/>
  <c r="I379" i="3"/>
  <c r="I271" i="3"/>
  <c r="I304" i="3"/>
  <c r="I333" i="3"/>
  <c r="I362" i="3"/>
  <c r="I98" i="3"/>
  <c r="I116" i="3"/>
  <c r="I244" i="3"/>
  <c r="I70" i="3"/>
  <c r="I168" i="3"/>
  <c r="I26" i="3"/>
  <c r="I92" i="3"/>
  <c r="I262" i="3"/>
  <c r="I180" i="3"/>
  <c r="I296" i="3"/>
  <c r="I37" i="3"/>
  <c r="I101" i="3"/>
  <c r="I198" i="3"/>
  <c r="I64" i="3"/>
  <c r="I205" i="3"/>
  <c r="I9" i="3"/>
  <c r="I10" i="3"/>
  <c r="I119" i="3"/>
  <c r="I136" i="3"/>
  <c r="I232" i="3"/>
  <c r="I252" i="3"/>
  <c r="I42" i="3"/>
  <c r="I39" i="3"/>
  <c r="I45" i="3"/>
  <c r="I145" i="3"/>
  <c r="I55" i="3"/>
  <c r="I325" i="3"/>
  <c r="I251" i="3"/>
  <c r="I155" i="3"/>
  <c r="I175" i="3"/>
  <c r="I255" i="3"/>
  <c r="I94" i="3"/>
  <c r="I57" i="3"/>
  <c r="I121" i="3"/>
  <c r="I349" i="3"/>
  <c r="I286" i="3"/>
  <c r="I129" i="3"/>
  <c r="I71" i="3"/>
  <c r="I163" i="3"/>
  <c r="I75" i="3"/>
  <c r="I375" i="3"/>
  <c r="I289" i="3"/>
  <c r="I298" i="3"/>
  <c r="I331" i="3"/>
  <c r="I226" i="3"/>
  <c r="I261" i="3"/>
  <c r="I340" i="3"/>
  <c r="I353" i="3"/>
  <c r="I72" i="3"/>
  <c r="I228" i="3"/>
  <c r="I22" i="3"/>
  <c r="I65" i="3"/>
  <c r="I114" i="3"/>
  <c r="I44" i="3"/>
  <c r="I280" i="3"/>
  <c r="I61" i="3"/>
  <c r="I143" i="3"/>
  <c r="I69" i="3"/>
  <c r="I76" i="3"/>
  <c r="I209" i="3"/>
  <c r="I249" i="3"/>
  <c r="I302" i="3"/>
  <c r="I41" i="3"/>
  <c r="I107" i="3"/>
  <c r="I35" i="3"/>
  <c r="I25" i="3"/>
  <c r="I33" i="3"/>
  <c r="I27" i="3"/>
  <c r="I103" i="3"/>
  <c r="I303" i="3"/>
  <c r="I49" i="3"/>
  <c r="I210" i="3"/>
  <c r="I99" i="3"/>
  <c r="I270" i="3"/>
  <c r="I351" i="3"/>
  <c r="I200" i="3"/>
  <c r="I211" i="3"/>
  <c r="I93" i="3"/>
  <c r="I266" i="3"/>
  <c r="I91" i="3"/>
  <c r="I328" i="3"/>
  <c r="I359" i="3"/>
  <c r="I366" i="3"/>
  <c r="I87" i="3"/>
  <c r="I258" i="3"/>
  <c r="I300" i="3"/>
  <c r="I85" i="3"/>
  <c r="I178" i="3"/>
  <c r="I329" i="3"/>
  <c r="I347" i="3"/>
  <c r="I83" i="3"/>
  <c r="I220" i="3"/>
  <c r="I81" i="3"/>
  <c r="I79" i="3"/>
  <c r="I144" i="3"/>
  <c r="I201" i="3"/>
  <c r="I15" i="3"/>
  <c r="I354" i="3"/>
  <c r="I332" i="3"/>
  <c r="I301" i="3"/>
  <c r="I269" i="3"/>
  <c r="I295" i="3"/>
  <c r="I360" i="3"/>
  <c r="I272" i="3"/>
  <c r="I376" i="3"/>
  <c r="I267" i="3"/>
  <c r="I368" i="3"/>
  <c r="I377" i="3"/>
  <c r="I357" i="3"/>
  <c r="I217" i="3"/>
  <c r="I141" i="3"/>
  <c r="I106" i="3"/>
  <c r="I326" i="3"/>
  <c r="I52" i="3"/>
  <c r="I100" i="3"/>
  <c r="I118" i="3"/>
  <c r="I344" i="3"/>
  <c r="I113" i="3"/>
  <c r="I77" i="3"/>
  <c r="I32" i="3"/>
  <c r="I240" i="3"/>
  <c r="I214" i="3"/>
  <c r="I117" i="3"/>
  <c r="I125" i="3"/>
  <c r="I173" i="3"/>
  <c r="I191" i="3"/>
  <c r="I90" i="3"/>
  <c r="I147" i="3"/>
  <c r="I73" i="3"/>
  <c r="I12" i="3"/>
  <c r="I177" i="3"/>
  <c r="I197" i="3"/>
  <c r="I338" i="3"/>
  <c r="I188" i="3"/>
  <c r="I30" i="3"/>
  <c r="I195" i="3"/>
  <c r="I122" i="3"/>
  <c r="I74" i="3"/>
  <c r="I342" i="3"/>
  <c r="I46" i="3"/>
  <c r="I187" i="3"/>
  <c r="I124" i="3"/>
  <c r="I162" i="3"/>
  <c r="I43" i="3"/>
  <c r="I95" i="3"/>
  <c r="I47" i="3"/>
  <c r="I89" i="3"/>
  <c r="I146" i="3"/>
  <c r="I111" i="3"/>
  <c r="I112" i="3"/>
  <c r="I321" i="3"/>
  <c r="I193" i="3"/>
  <c r="I63" i="3"/>
  <c r="I53" i="3"/>
  <c r="I130" i="3"/>
  <c r="I28" i="3"/>
  <c r="I31" i="3"/>
  <c r="I212" i="3"/>
  <c r="I13" i="3"/>
  <c r="I8" i="3"/>
  <c r="I307" i="3"/>
  <c r="I199" i="3"/>
  <c r="I172" i="3"/>
  <c r="I135" i="3"/>
  <c r="I127" i="3"/>
  <c r="I161" i="3"/>
  <c r="I276" i="3"/>
  <c r="I243" i="3"/>
  <c r="I288" i="3"/>
  <c r="I308" i="3"/>
  <c r="I335" i="3"/>
  <c r="I14" i="3"/>
  <c r="I59" i="3"/>
  <c r="I36" i="3"/>
  <c r="I67" i="3"/>
  <c r="I29" i="3"/>
  <c r="I105" i="3"/>
  <c r="I11" i="3"/>
  <c r="I21" i="3"/>
  <c r="I7" i="3"/>
  <c r="I17" i="3"/>
  <c r="I109" i="3"/>
  <c r="I176" i="3"/>
  <c r="I66" i="3"/>
  <c r="I34" i="3"/>
  <c r="I60" i="3"/>
  <c r="I20" i="3"/>
  <c r="I139" i="3"/>
  <c r="I170" i="3"/>
  <c r="I324" i="3"/>
  <c r="I318" i="3"/>
  <c r="I189" i="3"/>
  <c r="I281" i="3"/>
  <c r="I84" i="3"/>
  <c r="I51" i="3"/>
  <c r="I23" i="3"/>
  <c r="I236" i="3"/>
  <c r="I97" i="3"/>
  <c r="I19" i="3"/>
  <c r="I6" i="3"/>
  <c r="R211" i="3"/>
  <c r="S270" i="3"/>
  <c r="R331" i="3"/>
  <c r="I2" i="3" l="1"/>
  <c r="J2" i="3" s="1"/>
</calcChain>
</file>

<file path=xl/sharedStrings.xml><?xml version="1.0" encoding="utf-8"?>
<sst xmlns="http://schemas.openxmlformats.org/spreadsheetml/2006/main" count="3296" uniqueCount="729">
  <si>
    <t>연번</t>
  </si>
  <si>
    <t>코드</t>
  </si>
  <si>
    <t>종목명</t>
  </si>
  <si>
    <t>종가</t>
  </si>
  <si>
    <t>대비</t>
  </si>
  <si>
    <t>%</t>
  </si>
  <si>
    <t>거래량</t>
  </si>
  <si>
    <t>대금(백만)</t>
  </si>
  <si>
    <t>가중평균가</t>
  </si>
  <si>
    <t>시가</t>
  </si>
  <si>
    <t>고가</t>
  </si>
  <si>
    <t>저가</t>
  </si>
  <si>
    <t>마켓세션</t>
  </si>
  <si>
    <t>KRX현재가</t>
  </si>
  <si>
    <t>KRX대비</t>
  </si>
  <si>
    <t>KRX대비%</t>
  </si>
  <si>
    <t>KRX거래량</t>
  </si>
  <si>
    <t>KRX거래량%</t>
  </si>
  <si>
    <t>삼성전자</t>
  </si>
  <si>
    <t>SK하이닉스</t>
  </si>
  <si>
    <t>현대차</t>
  </si>
  <si>
    <t>LG에너지솔루션</t>
  </si>
  <si>
    <t>삼성바이오로직스</t>
  </si>
  <si>
    <t>기아</t>
  </si>
  <si>
    <t>한화에어로스페이스</t>
  </si>
  <si>
    <t>HD현대중공업</t>
  </si>
  <si>
    <t>두산에너빌리티</t>
  </si>
  <si>
    <t>SK스퀘어</t>
  </si>
  <si>
    <t>KB금융</t>
  </si>
  <si>
    <t>삼성물산</t>
  </si>
  <si>
    <t>셀트리온</t>
  </si>
  <si>
    <t>현대모비스</t>
  </si>
  <si>
    <t>한화오션</t>
  </si>
  <si>
    <t>한국전력</t>
  </si>
  <si>
    <t>신한지주</t>
  </si>
  <si>
    <t>NAVER</t>
  </si>
  <si>
    <t>삼성생명</t>
  </si>
  <si>
    <t>고려아연</t>
  </si>
  <si>
    <t>HD현대일렉트릭</t>
  </si>
  <si>
    <t>HD한국조선해양</t>
  </si>
  <si>
    <t>POSCO홀딩스</t>
  </si>
  <si>
    <t>하나금융지주</t>
  </si>
  <si>
    <t>삼성중공업</t>
  </si>
  <si>
    <t>삼성SDI</t>
  </si>
  <si>
    <t>카카오</t>
  </si>
  <si>
    <t>LG화학</t>
  </si>
  <si>
    <t>현대로템</t>
  </si>
  <si>
    <t>삼성화재</t>
  </si>
  <si>
    <t>현대글로비스</t>
  </si>
  <si>
    <t>효성중공업</t>
  </si>
  <si>
    <t>SK</t>
  </si>
  <si>
    <t>삼성전기</t>
  </si>
  <si>
    <t>우리금융지주</t>
  </si>
  <si>
    <t>HD현대</t>
  </si>
  <si>
    <t>알테오젠</t>
  </si>
  <si>
    <t>HMM</t>
  </si>
  <si>
    <t>메리츠금융지주</t>
  </si>
  <si>
    <t>LG전자</t>
  </si>
  <si>
    <t>포스코퓨처엠</t>
  </si>
  <si>
    <t>SK이노베이션</t>
  </si>
  <si>
    <t>미래에셋증권</t>
  </si>
  <si>
    <t>KT&amp;G</t>
  </si>
  <si>
    <t>한화시스템</t>
  </si>
  <si>
    <t>한미반도체</t>
  </si>
  <si>
    <t>기업은행</t>
  </si>
  <si>
    <t>한국항공우주</t>
  </si>
  <si>
    <t>에코프로비엠</t>
  </si>
  <si>
    <t>LS ELECTRIC</t>
  </si>
  <si>
    <t>하이브</t>
  </si>
  <si>
    <t>삼성에피스홀딩스</t>
  </si>
  <si>
    <t>현대오토에버</t>
  </si>
  <si>
    <t>KT</t>
  </si>
  <si>
    <t>삼성에스디에스</t>
  </si>
  <si>
    <t>두산</t>
  </si>
  <si>
    <t>LG</t>
  </si>
  <si>
    <t>SK텔레콤</t>
  </si>
  <si>
    <t>에코프로</t>
  </si>
  <si>
    <t>현대건설</t>
  </si>
  <si>
    <t>LIG넥스원</t>
  </si>
  <si>
    <t>크래프톤</t>
  </si>
  <si>
    <t>포스코인터내셔널</t>
  </si>
  <si>
    <t>S-Oil</t>
  </si>
  <si>
    <t>한국금융지주</t>
  </si>
  <si>
    <t>레인보우로보틱스</t>
  </si>
  <si>
    <t>카카오뱅크</t>
  </si>
  <si>
    <t>에이비엘바이오</t>
  </si>
  <si>
    <t>에이피알</t>
  </si>
  <si>
    <t>DB손해보험</t>
  </si>
  <si>
    <t>한화</t>
  </si>
  <si>
    <t>삼양식품</t>
  </si>
  <si>
    <t>SK바이오팜</t>
  </si>
  <si>
    <t>대한항공</t>
  </si>
  <si>
    <t>한진칼</t>
  </si>
  <si>
    <t>한국타이어앤테크놀로지</t>
  </si>
  <si>
    <t>키움증권</t>
  </si>
  <si>
    <t>HD현대마린솔루션</t>
  </si>
  <si>
    <t>유한양행</t>
  </si>
  <si>
    <t>NH투자증권</t>
  </si>
  <si>
    <t>이수페타시스</t>
  </si>
  <si>
    <t>두산로보틱스</t>
  </si>
  <si>
    <t>삼성증권</t>
  </si>
  <si>
    <t>LS</t>
  </si>
  <si>
    <t>아모레퍼시픽</t>
  </si>
  <si>
    <t>LG씨엔에스</t>
  </si>
  <si>
    <t>카카오페이</t>
  </si>
  <si>
    <t>HLB</t>
  </si>
  <si>
    <t>LG이노텍</t>
  </si>
  <si>
    <t>포스코DX</t>
  </si>
  <si>
    <t>LG유플러스</t>
  </si>
  <si>
    <t>삼천당제약</t>
  </si>
  <si>
    <t>삼성카드</t>
  </si>
  <si>
    <t>LG디스플레이</t>
  </si>
  <si>
    <t>두산밥캣</t>
  </si>
  <si>
    <t>GS</t>
  </si>
  <si>
    <t>CJ</t>
  </si>
  <si>
    <t>코웨이</t>
  </si>
  <si>
    <t>한전기술</t>
  </si>
  <si>
    <t>리가켐바이오</t>
  </si>
  <si>
    <t>한미약품</t>
  </si>
  <si>
    <t>대한전선</t>
  </si>
  <si>
    <t>펩트론</t>
  </si>
  <si>
    <t>리노공업</t>
  </si>
  <si>
    <t>삼성E&amp;A</t>
  </si>
  <si>
    <t>엔씨소프트</t>
  </si>
  <si>
    <t>BNK금융지주</t>
  </si>
  <si>
    <t>한화솔루션</t>
  </si>
  <si>
    <t>오리온</t>
  </si>
  <si>
    <t>엘앤에프</t>
  </si>
  <si>
    <t>한화엔진</t>
  </si>
  <si>
    <t>파마리서치</t>
  </si>
  <si>
    <t>JB금융지주</t>
  </si>
  <si>
    <t>산일전기</t>
  </si>
  <si>
    <t>넷마블</t>
  </si>
  <si>
    <t>에코프로머티</t>
  </si>
  <si>
    <t>현대제철</t>
  </si>
  <si>
    <t>SKC</t>
  </si>
  <si>
    <t>LG생활건강</t>
  </si>
  <si>
    <t>DB하이텍</t>
  </si>
  <si>
    <t>케어젠</t>
  </si>
  <si>
    <t>KCC</t>
  </si>
  <si>
    <t>강원랜드</t>
  </si>
  <si>
    <t>클래시스</t>
  </si>
  <si>
    <t>원익IPS</t>
  </si>
  <si>
    <t>SK바이오사이언스</t>
  </si>
  <si>
    <t>로보티즈</t>
  </si>
  <si>
    <t>금호석유화학</t>
  </si>
  <si>
    <t>한국가스공사</t>
  </si>
  <si>
    <t>영원무역</t>
  </si>
  <si>
    <t>이오테크닉스</t>
  </si>
  <si>
    <t>현대엘리베이터</t>
  </si>
  <si>
    <t>디앤디파마텍</t>
  </si>
  <si>
    <t>HL만도</t>
  </si>
  <si>
    <t>서울보증보험</t>
  </si>
  <si>
    <t>풍산</t>
  </si>
  <si>
    <t>한온시스템</t>
  </si>
  <si>
    <t>에임드바이오</t>
  </si>
  <si>
    <t>에스엘</t>
  </si>
  <si>
    <t>보로노이</t>
  </si>
  <si>
    <t>원익홀딩스</t>
  </si>
  <si>
    <t>CJ제일제당</t>
  </si>
  <si>
    <t>HD현대마린엔진</t>
  </si>
  <si>
    <t>롯데케미칼</t>
  </si>
  <si>
    <t>롯데지주</t>
  </si>
  <si>
    <t>메지온</t>
  </si>
  <si>
    <t>한솔케미칼</t>
  </si>
  <si>
    <t>에스원</t>
  </si>
  <si>
    <t>일진전기</t>
  </si>
  <si>
    <t>더존비즈온</t>
  </si>
  <si>
    <t>실리콘투</t>
  </si>
  <si>
    <t>HPSP</t>
  </si>
  <si>
    <t>휴젤</t>
  </si>
  <si>
    <t>이수스페셜티케미컬</t>
  </si>
  <si>
    <t>신세계</t>
  </si>
  <si>
    <t>한화생명</t>
  </si>
  <si>
    <t>펄어비스</t>
  </si>
  <si>
    <t>세아베스틸지주</t>
  </si>
  <si>
    <t>현대위아</t>
  </si>
  <si>
    <t>한미사이언스</t>
  </si>
  <si>
    <t>한전KPS</t>
  </si>
  <si>
    <t>솔브레인</t>
  </si>
  <si>
    <t>셀트리온제약</t>
  </si>
  <si>
    <t>대한조선</t>
  </si>
  <si>
    <t>한화비전</t>
  </si>
  <si>
    <t>한국앤컴퍼니</t>
  </si>
  <si>
    <t>동서</t>
  </si>
  <si>
    <t>영원무역홀딩스</t>
  </si>
  <si>
    <t>효성</t>
  </si>
  <si>
    <t>F&amp;F</t>
  </si>
  <si>
    <t>대덕전자</t>
  </si>
  <si>
    <t>에스엠</t>
  </si>
  <si>
    <t>에스피지</t>
  </si>
  <si>
    <t>농심</t>
  </si>
  <si>
    <t>현대해상</t>
  </si>
  <si>
    <t>신영증권</t>
  </si>
  <si>
    <t>에스티팜</t>
  </si>
  <si>
    <t>두산퓨얼셀</t>
  </si>
  <si>
    <t>제일기획</t>
  </si>
  <si>
    <t>JYP Ent.</t>
  </si>
  <si>
    <t>올릭스</t>
  </si>
  <si>
    <t>한올바이오파마</t>
  </si>
  <si>
    <t>팬오션</t>
  </si>
  <si>
    <t>미스토홀딩스</t>
  </si>
  <si>
    <t>하이젠알앤엠</t>
  </si>
  <si>
    <t>이마트</t>
  </si>
  <si>
    <t>삼현</t>
  </si>
  <si>
    <t>iM금융지주</t>
  </si>
  <si>
    <t>CJ대한통운</t>
  </si>
  <si>
    <t>HJ중공업</t>
  </si>
  <si>
    <t>코리안리</t>
  </si>
  <si>
    <t>오름테라퓨틱</t>
  </si>
  <si>
    <t>ISC</t>
  </si>
  <si>
    <t>OCI홀딩스</t>
  </si>
  <si>
    <t>롯데쇼핑</t>
  </si>
  <si>
    <t>동진쎄미켐</t>
  </si>
  <si>
    <t>고영</t>
  </si>
  <si>
    <t>현대백화점</t>
  </si>
  <si>
    <t>큐리옥스바이오시스템즈</t>
  </si>
  <si>
    <t>코스맥스</t>
  </si>
  <si>
    <t>SK가스</t>
  </si>
  <si>
    <t>아모레퍼시픽홀딩스</t>
  </si>
  <si>
    <t>대우건설</t>
  </si>
  <si>
    <t>알지노믹스</t>
  </si>
  <si>
    <t>BGF리테일</t>
  </si>
  <si>
    <t>SK아이이테크놀로지</t>
  </si>
  <si>
    <t>비에이치아이</t>
  </si>
  <si>
    <t>HD현대건설기계</t>
  </si>
  <si>
    <t>시프트업</t>
  </si>
  <si>
    <t>티씨케이</t>
  </si>
  <si>
    <t>클로봇</t>
  </si>
  <si>
    <t>대웅제약</t>
  </si>
  <si>
    <t>한국카본</t>
  </si>
  <si>
    <t>유진테크</t>
  </si>
  <si>
    <t>심텍</t>
  </si>
  <si>
    <t>씨어스테크놀로지</t>
  </si>
  <si>
    <t>다우기술</t>
  </si>
  <si>
    <t>롯데관광개발</t>
  </si>
  <si>
    <t>금호타이어</t>
  </si>
  <si>
    <t>롯데에너지머티리얼즈</t>
  </si>
  <si>
    <t>호텔신라</t>
  </si>
  <si>
    <t>동원산업</t>
  </si>
  <si>
    <t>서진시스템</t>
  </si>
  <si>
    <t>녹십자</t>
  </si>
  <si>
    <t>하나마이크론</t>
  </si>
  <si>
    <t>효성티앤씨</t>
  </si>
  <si>
    <t>GS리테일</t>
  </si>
  <si>
    <t>달바글로벌</t>
  </si>
  <si>
    <t>SNT다이내믹스</t>
  </si>
  <si>
    <t>DL이앤씨</t>
  </si>
  <si>
    <t>오스코텍</t>
  </si>
  <si>
    <t>씨에스윈드</t>
  </si>
  <si>
    <t>파크시스템스</t>
  </si>
  <si>
    <t>신성델타테크</t>
  </si>
  <si>
    <t>GS건설</t>
  </si>
  <si>
    <t>미래에셋생명</t>
  </si>
  <si>
    <t>파라다이스</t>
  </si>
  <si>
    <t>아시아나항공</t>
  </si>
  <si>
    <t>오뚜기</t>
  </si>
  <si>
    <t>한국콜마</t>
  </si>
  <si>
    <t>STX엔진</t>
  </si>
  <si>
    <t>테크윙</t>
  </si>
  <si>
    <t>주성엔지니어링</t>
  </si>
  <si>
    <t>가온전선</t>
  </si>
  <si>
    <t>코리아써키트</t>
  </si>
  <si>
    <t>DN오토모티브</t>
  </si>
  <si>
    <t>코스모신소재</t>
  </si>
  <si>
    <t>LS마린솔루션</t>
  </si>
  <si>
    <t>에스앤에스텍</t>
  </si>
  <si>
    <t>태성</t>
  </si>
  <si>
    <t>엠앤씨솔루션</t>
  </si>
  <si>
    <t>LX인터내셔널</t>
  </si>
  <si>
    <t>피에스케이홀딩스</t>
  </si>
  <si>
    <t>대신증권</t>
  </si>
  <si>
    <t>CJ ENM</t>
  </si>
  <si>
    <t>스튜디오드래곤</t>
  </si>
  <si>
    <t>HK이노엔</t>
  </si>
  <si>
    <t>엔켐</t>
  </si>
  <si>
    <t>HDC현대산업개발</t>
  </si>
  <si>
    <t>현대지에프홀딩스</t>
  </si>
  <si>
    <t>엘앤씨바이오</t>
  </si>
  <si>
    <t>오리온홀딩스</t>
  </si>
  <si>
    <t>차바이오텍</t>
  </si>
  <si>
    <t>대웅</t>
  </si>
  <si>
    <t>와이지엔터테인먼트</t>
  </si>
  <si>
    <t>지역난방공사</t>
  </si>
  <si>
    <t>네이처셀</t>
  </si>
  <si>
    <t>카카오게임즈</t>
  </si>
  <si>
    <t>하이트진로</t>
  </si>
  <si>
    <t>씨젠</t>
  </si>
  <si>
    <t>하림지주</t>
  </si>
  <si>
    <t>코오롱인더</t>
  </si>
  <si>
    <t>지투지바이오</t>
  </si>
  <si>
    <t>한일시멘트</t>
  </si>
  <si>
    <t>와이씨</t>
  </si>
  <si>
    <t>롯데칠성</t>
  </si>
  <si>
    <t>SK오션플랜트</t>
  </si>
  <si>
    <t>유일로보틱스</t>
  </si>
  <si>
    <t>피에스케이</t>
  </si>
  <si>
    <t>일동제약</t>
  </si>
  <si>
    <t>교보증권</t>
  </si>
  <si>
    <t>롯데정밀화학</t>
  </si>
  <si>
    <t>레이크머티리얼즈</t>
  </si>
  <si>
    <t>LS에코에너지</t>
  </si>
  <si>
    <t>종근당</t>
  </si>
  <si>
    <t>SK디스커버리</t>
  </si>
  <si>
    <t>SK케미칼</t>
  </si>
  <si>
    <t>에이프릴바이오</t>
  </si>
  <si>
    <t>제이앤티씨</t>
  </si>
  <si>
    <t>루닛</t>
  </si>
  <si>
    <t>세진중공업</t>
  </si>
  <si>
    <t>롯데렌탈</t>
  </si>
  <si>
    <t>더블유게임즈</t>
  </si>
  <si>
    <t>SNT모티브</t>
  </si>
  <si>
    <t>하나머티리얼즈</t>
  </si>
  <si>
    <t>한샘</t>
  </si>
  <si>
    <t>씨엠티엑스</t>
  </si>
  <si>
    <t>코미코</t>
  </si>
  <si>
    <t>제주반도체</t>
  </si>
  <si>
    <t>에이치브이엠</t>
  </si>
  <si>
    <t>대한유화</t>
  </si>
  <si>
    <t>롯데웰푸드</t>
  </si>
  <si>
    <t>두산테스나</t>
  </si>
  <si>
    <t>HDC</t>
  </si>
  <si>
    <t>로킷헬스케어</t>
  </si>
  <si>
    <t>필옵틱스</t>
  </si>
  <si>
    <t>에스디바이오센서</t>
  </si>
  <si>
    <t>젬백스</t>
  </si>
  <si>
    <t>NICE평가정보</t>
  </si>
  <si>
    <t>노타</t>
  </si>
  <si>
    <t>NHN</t>
  </si>
  <si>
    <t>대주전자재료</t>
  </si>
  <si>
    <t>HS효성첨단소재</t>
  </si>
  <si>
    <t>테스</t>
  </si>
  <si>
    <t>쿠쿠홀딩스</t>
  </si>
  <si>
    <t>영풍</t>
  </si>
  <si>
    <t>피엔티</t>
  </si>
  <si>
    <t>서부T&amp;D</t>
  </si>
  <si>
    <t>RFHIC</t>
  </si>
  <si>
    <t>SNT홀딩스</t>
  </si>
  <si>
    <t>인벤티지랩</t>
  </si>
  <si>
    <t>에스에프에이</t>
  </si>
  <si>
    <t>비츠로셀</t>
  </si>
  <si>
    <t>로보스타</t>
  </si>
  <si>
    <t>세방전지</t>
  </si>
  <si>
    <t>SFA반도체</t>
  </si>
  <si>
    <t>해성디에스</t>
  </si>
  <si>
    <t>LS머트리얼즈</t>
  </si>
  <si>
    <t>위메이드</t>
  </si>
  <si>
    <t>덕산네오룩스</t>
  </si>
  <si>
    <t>지아이이노베이션</t>
  </si>
  <si>
    <t>프로티나</t>
  </si>
  <si>
    <t>메디톡스</t>
  </si>
  <si>
    <t>명인제약</t>
  </si>
  <si>
    <t>온코닉테라퓨틱스</t>
  </si>
  <si>
    <t>태광산업</t>
  </si>
  <si>
    <t>디아이</t>
  </si>
  <si>
    <t>티에스이</t>
  </si>
  <si>
    <t>동성화인텍</t>
  </si>
  <si>
    <t>LX세미콘</t>
  </si>
  <si>
    <t>큐렉소</t>
  </si>
  <si>
    <t>SNT에너지</t>
  </si>
  <si>
    <t>경동나비엔</t>
  </si>
  <si>
    <t>솔브레인홀딩스</t>
  </si>
  <si>
    <t>케이씨텍</t>
  </si>
  <si>
    <t>GKL</t>
  </si>
  <si>
    <t>한국단자</t>
  </si>
  <si>
    <t>이뮨온시아</t>
  </si>
  <si>
    <t>넥슨게임즈</t>
  </si>
  <si>
    <t>후성</t>
  </si>
  <si>
    <t>인텔리안테크</t>
  </si>
  <si>
    <t>코스메카코리아</t>
  </si>
  <si>
    <t>파미셀</t>
  </si>
  <si>
    <t>GS피앤엘</t>
  </si>
  <si>
    <t>넥스틴</t>
  </si>
  <si>
    <t>성광벤드</t>
  </si>
  <si>
    <t>F&amp;F홀딩스</t>
  </si>
  <si>
    <t>포스코엠텍</t>
  </si>
  <si>
    <t>디어유</t>
  </si>
  <si>
    <t>DL</t>
  </si>
  <si>
    <t>보령</t>
  </si>
  <si>
    <t>카페24</t>
  </si>
  <si>
    <t>동국제약</t>
  </si>
  <si>
    <t>TKG휴켐스</t>
  </si>
  <si>
    <t>SOOP</t>
  </si>
  <si>
    <t>대상</t>
  </si>
  <si>
    <t>원텍</t>
  </si>
  <si>
    <t>아난티</t>
  </si>
  <si>
    <t>한라캐스트</t>
  </si>
  <si>
    <t>이노션</t>
  </si>
  <si>
    <t>케이카</t>
  </si>
  <si>
    <t>솔루엠</t>
  </si>
  <si>
    <t>빙그레</t>
  </si>
  <si>
    <t>에프에스티</t>
  </si>
  <si>
    <t>인투셀</t>
  </si>
  <si>
    <t>동원시스템즈</t>
  </si>
  <si>
    <t>전진건설로봇</t>
  </si>
  <si>
    <t>가온칩스</t>
  </si>
  <si>
    <t>기가비스</t>
  </si>
  <si>
    <t>하나투어</t>
  </si>
  <si>
    <t>태광</t>
  </si>
  <si>
    <t>다우데이타</t>
  </si>
  <si>
    <t>미원에스씨</t>
  </si>
  <si>
    <t>녹십자홀딩스</t>
  </si>
  <si>
    <t>미래에셋벤처투자</t>
  </si>
  <si>
    <t>태웅</t>
  </si>
  <si>
    <t>미원상사</t>
  </si>
  <si>
    <t>펌텍코리아</t>
  </si>
  <si>
    <t>동아쏘시오홀딩스</t>
  </si>
  <si>
    <t>아이에스동서</t>
  </si>
  <si>
    <t>현대힘스</t>
  </si>
  <si>
    <t>율촌화학</t>
  </si>
  <si>
    <t>이엔에프테크놀로지</t>
  </si>
  <si>
    <t>SK이터닉스</t>
  </si>
  <si>
    <t>큐로셀</t>
  </si>
  <si>
    <t>안랩</t>
  </si>
  <si>
    <t>제이에스링크</t>
  </si>
  <si>
    <t>제룡전기</t>
  </si>
  <si>
    <t>성우하이텍</t>
  </si>
  <si>
    <t>원익QnC</t>
  </si>
  <si>
    <t>브이엠</t>
  </si>
  <si>
    <t>JW중외제약</t>
  </si>
  <si>
    <t>신풍제약</t>
  </si>
  <si>
    <t>OCI</t>
  </si>
  <si>
    <t>현대홈쇼핑</t>
  </si>
  <si>
    <t>티로보틱스</t>
  </si>
  <si>
    <t>부국증권</t>
  </si>
  <si>
    <t>케이엠더블유</t>
  </si>
  <si>
    <t>아이쓰리시스템</t>
  </si>
  <si>
    <t>엔젤로보틱스</t>
  </si>
  <si>
    <t>나노신소재</t>
  </si>
  <si>
    <t>LX홀딩스</t>
  </si>
  <si>
    <t>코나아이</t>
  </si>
  <si>
    <t>성일하이텍</t>
  </si>
  <si>
    <t>HD현대에너지솔루션</t>
  </si>
  <si>
    <t>인카금융서비스</t>
  </si>
  <si>
    <t>나라스페이스테크놀로지</t>
  </si>
  <si>
    <t>휴온스글로벌</t>
  </si>
  <si>
    <t>코오롱생명과학</t>
  </si>
  <si>
    <t>우리기술투자</t>
  </si>
  <si>
    <t>고려제강</t>
  </si>
  <si>
    <t>넥스트바이오메디컬</t>
  </si>
  <si>
    <t>토모큐브</t>
  </si>
  <si>
    <t>케이아이엔엑스</t>
  </si>
  <si>
    <t>아세아</t>
  </si>
  <si>
    <t>비나텍</t>
  </si>
  <si>
    <t>지엔씨에너지</t>
  </si>
  <si>
    <t>삼양바이오팜</t>
  </si>
  <si>
    <t>천보</t>
  </si>
  <si>
    <t>메디포스트</t>
  </si>
  <si>
    <t>동운아나텍</t>
  </si>
  <si>
    <t>NHN KCP</t>
  </si>
  <si>
    <t>씨아이에스</t>
  </si>
  <si>
    <t>브이티</t>
  </si>
  <si>
    <t>코오롱</t>
  </si>
  <si>
    <t>한세실업</t>
  </si>
  <si>
    <t>한국쉘석유</t>
  </si>
  <si>
    <t>코스모화학</t>
  </si>
  <si>
    <t>E1</t>
  </si>
  <si>
    <t>네오위즈</t>
  </si>
  <si>
    <t>풍산홀딩스</t>
  </si>
  <si>
    <t>엠씨넥스</t>
  </si>
  <si>
    <t>HLB제약</t>
  </si>
  <si>
    <t>지노믹트리</t>
  </si>
  <si>
    <t>삼양컴텍</t>
  </si>
  <si>
    <t>우진</t>
  </si>
  <si>
    <t>현대바이오</t>
  </si>
  <si>
    <t>티엘비</t>
  </si>
  <si>
    <t>한글과컴퓨터</t>
  </si>
  <si>
    <t>비에이치</t>
  </si>
  <si>
    <t>선익시스템</t>
  </si>
  <si>
    <t>솔루스첨단소재</t>
  </si>
  <si>
    <t>퓨쳐켐</t>
  </si>
  <si>
    <t>현대차증권</t>
  </si>
  <si>
    <t>씨메스</t>
  </si>
  <si>
    <t>자화전자</t>
  </si>
  <si>
    <t>신대양제지</t>
  </si>
  <si>
    <t>켐트로닉스</t>
  </si>
  <si>
    <t>명신산업</t>
  </si>
  <si>
    <t>삼천리</t>
  </si>
  <si>
    <t>세아제강지주</t>
  </si>
  <si>
    <t>덴티움</t>
  </si>
  <si>
    <t>LF</t>
  </si>
  <si>
    <t>이녹스첨단소재</t>
  </si>
  <si>
    <t>쿠쿠홈시스</t>
  </si>
  <si>
    <t>툴젠</t>
  </si>
  <si>
    <t>위메이드맥스</t>
  </si>
  <si>
    <t>시노펙스</t>
  </si>
  <si>
    <t>네오셈</t>
  </si>
  <si>
    <t>퍼시스</t>
  </si>
  <si>
    <t>에코프로에이치엔</t>
  </si>
  <si>
    <t>GST</t>
  </si>
  <si>
    <t>감성코퍼레이션</t>
  </si>
  <si>
    <t>풀무원</t>
  </si>
  <si>
    <t>현대그린푸드</t>
  </si>
  <si>
    <t>일진하이솔루스</t>
  </si>
  <si>
    <t>에코마케팅</t>
  </si>
  <si>
    <t>DB증권</t>
  </si>
  <si>
    <t>유니드</t>
  </si>
  <si>
    <t>케이엔알시스템</t>
  </si>
  <si>
    <t>한국피아이엠</t>
  </si>
  <si>
    <t>제우스</t>
  </si>
  <si>
    <t>NICE</t>
  </si>
  <si>
    <t>한일홀딩스</t>
  </si>
  <si>
    <t>나우로보틱스</t>
  </si>
  <si>
    <t>에이디테크놀로지</t>
  </si>
  <si>
    <t>삼양사</t>
  </si>
  <si>
    <t>쏠리드</t>
  </si>
  <si>
    <t>에스티아이</t>
  </si>
  <si>
    <t>쓰리빌리언</t>
  </si>
  <si>
    <t>동아에스티</t>
  </si>
  <si>
    <t>조광피혁</t>
  </si>
  <si>
    <t>아스테라시스</t>
  </si>
  <si>
    <t>신도리코</t>
  </si>
  <si>
    <t>한양이엔지</t>
  </si>
  <si>
    <t>PI첨단소재</t>
  </si>
  <si>
    <t>삼양홀딩스</t>
  </si>
  <si>
    <t>서연이화</t>
  </si>
  <si>
    <t>원익머트리얼즈</t>
  </si>
  <si>
    <t>HL홀딩스</t>
  </si>
  <si>
    <t>바이넥스</t>
  </si>
  <si>
    <t>휴메딕스</t>
  </si>
  <si>
    <t>한국기업평가</t>
  </si>
  <si>
    <t>엠로</t>
  </si>
  <si>
    <t>한텍</t>
  </si>
  <si>
    <t>SPC삼립</t>
  </si>
  <si>
    <t>제주은행</t>
  </si>
  <si>
    <t>아세아시멘트</t>
  </si>
  <si>
    <t>아이티켐</t>
  </si>
  <si>
    <t>미코</t>
  </si>
  <si>
    <t>KCC글라스</t>
  </si>
  <si>
    <t>가비아</t>
  </si>
  <si>
    <t>한전산업</t>
  </si>
  <si>
    <t>인탑스</t>
  </si>
  <si>
    <t>코세스</t>
  </si>
  <si>
    <t>애경케미칼</t>
  </si>
  <si>
    <t>인화정공</t>
  </si>
  <si>
    <t>웹젠</t>
  </si>
  <si>
    <t>한중엔시에스</t>
  </si>
  <si>
    <t>유티아이</t>
  </si>
  <si>
    <t>큐리오시스</t>
  </si>
  <si>
    <t>동화기업</t>
  </si>
  <si>
    <t>씨앤씨인터내셔널</t>
  </si>
  <si>
    <t>아이센스</t>
  </si>
  <si>
    <t>스틱인베스트먼트</t>
  </si>
  <si>
    <t>유바이오로직스</t>
  </si>
  <si>
    <t>티에프이</t>
  </si>
  <si>
    <t>동국제강</t>
  </si>
  <si>
    <t>데브시스터즈</t>
  </si>
  <si>
    <t>메가스터디교육</t>
  </si>
  <si>
    <t>농심홀딩스</t>
  </si>
  <si>
    <t>쏘카</t>
  </si>
  <si>
    <t>프로텍</t>
  </si>
  <si>
    <t>에브리봇</t>
  </si>
  <si>
    <t>컴투스</t>
  </si>
  <si>
    <t>예스티</t>
  </si>
  <si>
    <t>티엠씨</t>
  </si>
  <si>
    <t>인바디</t>
  </si>
  <si>
    <t>수산인더스트리</t>
  </si>
  <si>
    <t>나이벡</t>
  </si>
  <si>
    <t>DI동일</t>
  </si>
  <si>
    <t>신세계인터내셔날</t>
  </si>
  <si>
    <t>케이프</t>
  </si>
  <si>
    <t>INVENI</t>
  </si>
  <si>
    <t>오리엔탈정공</t>
  </si>
  <si>
    <t>KISCO홀딩스</t>
  </si>
  <si>
    <t>HEM파마</t>
  </si>
  <si>
    <t>안트로젠</t>
  </si>
  <si>
    <t>케이씨</t>
  </si>
  <si>
    <t>하이록코리아</t>
  </si>
  <si>
    <t>칩스앤미디어</t>
  </si>
  <si>
    <t>에스바이오메딕스</t>
  </si>
  <si>
    <t>월덱스</t>
  </si>
  <si>
    <t>티엑스알로보틱스</t>
  </si>
  <si>
    <t>화신</t>
  </si>
  <si>
    <t>네패스</t>
  </si>
  <si>
    <t>콜마비앤에이치</t>
  </si>
  <si>
    <t>강원에너지</t>
  </si>
  <si>
    <t>갤럭시아머니트리</t>
  </si>
  <si>
    <t>한국철강</t>
  </si>
  <si>
    <t>한양디지텍</t>
  </si>
  <si>
    <t>TCC스틸</t>
  </si>
  <si>
    <t>삼아알미늄</t>
  </si>
  <si>
    <t>파인엠텍</t>
  </si>
  <si>
    <t>KH바텍</t>
  </si>
  <si>
    <t>더본코리아</t>
  </si>
  <si>
    <t>티앤엘</t>
  </si>
  <si>
    <t>바이오다인</t>
  </si>
  <si>
    <t>덕산테코피아</t>
  </si>
  <si>
    <t>지씨셀</t>
  </si>
  <si>
    <t>서울반도체</t>
  </si>
  <si>
    <t>SAMG엔터</t>
  </si>
  <si>
    <t>더핑크퐁컴퍼니</t>
  </si>
  <si>
    <t>나무가</t>
  </si>
  <si>
    <t>와이바이오로직스</t>
  </si>
  <si>
    <t>SBS</t>
  </si>
  <si>
    <t>펨트론</t>
  </si>
  <si>
    <t>디아이티</t>
  </si>
  <si>
    <t>한섬</t>
  </si>
  <si>
    <t>대덕</t>
  </si>
  <si>
    <t>국도화학</t>
  </si>
  <si>
    <t>대상홀딩스</t>
  </si>
  <si>
    <t>에이유브랜즈</t>
  </si>
  <si>
    <t>세아제강</t>
  </si>
  <si>
    <t>애경산업</t>
  </si>
  <si>
    <t>솔트룩스</t>
  </si>
  <si>
    <t>골프존</t>
  </si>
  <si>
    <t>롯데이노베이트</t>
  </si>
  <si>
    <t>DS단석</t>
  </si>
  <si>
    <t>삼화콘덴서</t>
  </si>
  <si>
    <t>미래나노텍</t>
  </si>
  <si>
    <t>에코앤드림</t>
  </si>
  <si>
    <t>사조대림</t>
  </si>
  <si>
    <t>제이에스코퍼레이션</t>
  </si>
  <si>
    <t>셀바스AI</t>
  </si>
  <si>
    <t>서울가스</t>
  </si>
  <si>
    <t>콜마홀딩스</t>
  </si>
  <si>
    <t>한솔아이원스</t>
  </si>
  <si>
    <t>한스바이오메드</t>
  </si>
  <si>
    <t>CJ프레시웨이</t>
  </si>
  <si>
    <t>에이직랜드</t>
  </si>
  <si>
    <t>넥스틸</t>
  </si>
  <si>
    <t>코오롱ENP</t>
  </si>
  <si>
    <t>석경에이티</t>
  </si>
  <si>
    <t>에스엔시스</t>
  </si>
  <si>
    <t>휴온스</t>
  </si>
  <si>
    <t>대명에너지</t>
  </si>
  <si>
    <t>바이오니아</t>
  </si>
  <si>
    <t>제이브이엠</t>
  </si>
  <si>
    <t>KPX홀딩스</t>
  </si>
  <si>
    <t>삼영무역</t>
  </si>
  <si>
    <t>남양유업</t>
  </si>
  <si>
    <t>일신방직</t>
  </si>
  <si>
    <t>한진</t>
  </si>
  <si>
    <t>대화제약</t>
  </si>
  <si>
    <t>진성티이씨</t>
  </si>
  <si>
    <t>셀비온</t>
  </si>
  <si>
    <t>SGC에너지</t>
  </si>
  <si>
    <t>오픈엣지테크놀로지</t>
  </si>
  <si>
    <t>유나이티드제약</t>
  </si>
  <si>
    <t>유니셈</t>
  </si>
  <si>
    <t>매커스</t>
  </si>
  <si>
    <t>대동</t>
  </si>
  <si>
    <t>바디텍메드</t>
  </si>
  <si>
    <t>일성아이에스</t>
  </si>
  <si>
    <t>한농화성</t>
  </si>
  <si>
    <t>모토닉</t>
  </si>
  <si>
    <t>한국정보통신</t>
  </si>
  <si>
    <t>신성에스티</t>
  </si>
  <si>
    <t>우주일렉트로</t>
  </si>
  <si>
    <t>현대코퍼레이션</t>
  </si>
  <si>
    <t>폰드그룹</t>
  </si>
  <si>
    <t>에코아이</t>
  </si>
  <si>
    <t>AP시스템</t>
  </si>
  <si>
    <t>한라IMS</t>
  </si>
  <si>
    <t>코난테크놀로지</t>
  </si>
  <si>
    <t>바텍</t>
  </si>
  <si>
    <t>뷰노</t>
  </si>
  <si>
    <t>삼목에스폼</t>
  </si>
  <si>
    <t>네오팜</t>
  </si>
  <si>
    <t>노머스</t>
  </si>
  <si>
    <t>쿠콘</t>
  </si>
  <si>
    <t>필에너지</t>
  </si>
  <si>
    <t>사조산업</t>
  </si>
  <si>
    <t>피에이치에이</t>
  </si>
  <si>
    <t>범한퓨얼셀</t>
  </si>
  <si>
    <t>KG이니시스</t>
  </si>
  <si>
    <t>지누스</t>
  </si>
  <si>
    <t>노루홀딩스</t>
  </si>
  <si>
    <t>매일유업</t>
  </si>
  <si>
    <t>대원산업</t>
  </si>
  <si>
    <t>BYC</t>
  </si>
  <si>
    <t>사피엔반도체</t>
  </si>
  <si>
    <t>세방</t>
  </si>
  <si>
    <t>뉴로핏</t>
  </si>
  <si>
    <t>아이패밀리에스씨</t>
  </si>
  <si>
    <t>플리토</t>
  </si>
  <si>
    <t>백산</t>
  </si>
  <si>
    <t>슈프리마</t>
  </si>
  <si>
    <t>LX하우시스</t>
  </si>
  <si>
    <t>삼진제약</t>
  </si>
  <si>
    <t>대원제약</t>
  </si>
  <si>
    <t>노바렉스</t>
  </si>
  <si>
    <t>대양전기공업</t>
  </si>
  <si>
    <t>에이블씨엔씨</t>
  </si>
  <si>
    <t>도우인시스</t>
  </si>
  <si>
    <t>토비스</t>
  </si>
  <si>
    <t>광주신세계</t>
  </si>
  <si>
    <t>유니테스트</t>
  </si>
  <si>
    <t>듀켐바이오</t>
  </si>
  <si>
    <t>잇츠한불</t>
  </si>
  <si>
    <t>윤성에프앤씨</t>
  </si>
  <si>
    <t>상아프론테크</t>
  </si>
  <si>
    <t>세나테크놀로지</t>
  </si>
  <si>
    <t>대한제분</t>
  </si>
  <si>
    <t>종근당홀딩스</t>
  </si>
  <si>
    <t>한양증권</t>
  </si>
  <si>
    <t>메카로</t>
  </si>
  <si>
    <t>대한제강</t>
  </si>
  <si>
    <t>아크릴</t>
  </si>
  <si>
    <t>서흥</t>
  </si>
  <si>
    <t>에스투더블유</t>
  </si>
  <si>
    <t>나이스정보통신</t>
  </si>
  <si>
    <t>성신양회</t>
  </si>
  <si>
    <t>클리오</t>
  </si>
  <si>
    <t>하나기술</t>
  </si>
  <si>
    <t>마녀공장</t>
  </si>
  <si>
    <t>디오</t>
  </si>
  <si>
    <t>엑스게이트</t>
  </si>
  <si>
    <t>아이티엠반도체</t>
  </si>
  <si>
    <t>이노테크</t>
  </si>
  <si>
    <t>휴장(오전)</t>
  </si>
  <si>
    <t>프리마켓</t>
  </si>
  <si>
    <t>0126Z0</t>
  </si>
  <si>
    <t>0009K0</t>
  </si>
  <si>
    <t>0120G0</t>
  </si>
  <si>
    <t>0008Z0</t>
  </si>
  <si>
    <t>0007C0</t>
  </si>
  <si>
    <t>세로 막대형1</t>
  </si>
  <si>
    <t>세로 막대형2</t>
  </si>
  <si>
    <t>세로 막대형3</t>
  </si>
  <si>
    <t>nxt_code</t>
    <phoneticPr fontId="2" type="noConversion"/>
  </si>
  <si>
    <t>현재가</t>
    <phoneticPr fontId="2" type="noConversion"/>
  </si>
  <si>
    <t>시가총액 (조원)</t>
  </si>
  <si>
    <t>시가총액 (조원)</t>
    <phoneticPr fontId="2" type="noConversion"/>
  </si>
  <si>
    <t>거래소+코스닥</t>
    <phoneticPr fontId="2" type="noConversion"/>
  </si>
  <si>
    <t>메인마켓</t>
  </si>
  <si>
    <t>전 시가총액(조)</t>
  </si>
  <si>
    <t>전 시가총액(조)</t>
    <phoneticPr fontId="2" type="noConversion"/>
  </si>
  <si>
    <t>거래소</t>
    <phoneticPr fontId="2" type="noConversion"/>
  </si>
  <si>
    <t>변동률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</si>
</sst>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);[Red]\(#,##0\)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21" fontId="0" fillId="0" borderId="0" xfId="0" applyNumberFormat="1">
      <alignment vertical="center"/>
    </xf>
    <xf numFmtId="41" fontId="0" fillId="0" borderId="0" xfId="1" applyFont="1">
      <alignment vertical="center"/>
    </xf>
    <xf numFmtId="176" fontId="0" fillId="0" borderId="0" xfId="1" applyNumberFormat="1" applyFont="1">
      <alignment vertical="center"/>
    </xf>
    <xf numFmtId="10" fontId="0" fillId="0" borderId="0" xfId="2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2">
    <dxf>
      <numFmt numFmtId="3" formatCode="#,##0"/>
    </dxf>
    <dxf>
      <numFmt numFmtId="26" formatCode="h:mm:ss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6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93700</v>
        <stp/>
        <stp>P</stp>
        <stp>0</stp>
        <stp>STK</stp>
        <stp>N388720</stp>
        <stp>현재가</stp>
        <stp/>
        <stp/>
        <tr r="G283" s="1"/>
      </tp>
      <tp>
        <v>21650</v>
        <stp/>
        <stp>P</stp>
        <stp>0</stp>
        <stp>STK</stp>
        <stp>N488280</stp>
        <stp>현재가</stp>
        <stp/>
        <stp/>
        <tr r="G687" s="1"/>
      </tp>
      <tp>
        <v>104500</v>
        <stp/>
        <stp>P</stp>
        <stp>0</stp>
        <stp>STK</stp>
        <stp>N388210</stp>
        <stp>현재가</stp>
        <stp/>
        <stp/>
        <tr r="G302" s="1"/>
      </tp>
      <tp>
        <v>3255</v>
        <stp/>
        <stp>P</stp>
        <stp>0</stp>
        <stp>STK</stp>
        <stp>N088350</stp>
        <stp>현재가</stp>
        <stp/>
        <stp/>
        <tr r="G137" s="3"/>
        <tr r="G161" s="1"/>
      </tp>
      <tp>
        <v>76200</v>
        <stp/>
        <stp>P</stp>
        <stp>0</stp>
        <stp>STK</stp>
        <stp>N389650</stp>
        <stp>현재가</stp>
        <stp/>
        <stp/>
        <tr r="G427" s="1"/>
      </tp>
      <tp>
        <v>55100</v>
        <stp/>
        <stp>P</stp>
        <stp>0</stp>
        <stp>STK</stp>
        <stp>N489790</stp>
        <stp>현재가</stp>
        <stp/>
        <stp/>
        <tr r="G139" s="3"/>
        <tr r="G170" s="1"/>
      </tp>
      <tp>
        <v>75900</v>
        <stp/>
        <stp>P</stp>
        <stp>0</stp>
        <stp>STK</stp>
        <stp>N389470</stp>
        <stp>현재가</stp>
        <stp/>
        <stp/>
        <tr r="G326" s="1"/>
      </tp>
      <tp>
        <v>17640</v>
        <stp/>
        <stp>P</stp>
        <stp>0</stp>
        <stp>STK</stp>
        <stp>N389260</stp>
        <stp>현재가</stp>
        <stp/>
        <stp/>
        <tr r="G612" s="1"/>
      </tp>
      <tp>
        <v>76000</v>
        <stp/>
        <stp>P</stp>
        <stp>0</stp>
        <stp>STK</stp>
        <stp>N189300</stp>
        <stp>현재가</stp>
        <stp/>
        <stp/>
        <tr r="G356" s="1"/>
      </tp>
      <tp>
        <v>32100</v>
        <stp/>
        <stp>P</stp>
        <stp>0</stp>
        <stp>STK</stp>
        <stp>N089010</stp>
        <stp>현재가</stp>
        <stp/>
        <stp/>
        <tr r="G463" s="1"/>
      </tp>
      <tp>
        <v>37350</v>
        <stp/>
        <stp>P</stp>
        <stp>0</stp>
        <stp>STK</stp>
        <stp>N089030</stp>
        <stp>현재가</stp>
        <stp/>
        <stp/>
        <tr r="G247" s="1"/>
      </tp>
      <tp>
        <v>26350</v>
        <stp/>
        <stp>P</stp>
        <stp>0</stp>
        <stp>STK</stp>
        <stp>N089890</stp>
        <stp>현재가</stp>
        <stp/>
        <stp/>
        <tr r="G520" s="1"/>
      </tp>
      <tp>
        <v>30600</v>
        <stp/>
        <stp>P</stp>
        <stp>0</stp>
        <stp>STK</stp>
        <stp>N089860</stp>
        <stp>현재가</stp>
        <stp/>
        <stp/>
        <tr r="G220" s="3"/>
        <tr r="G297" s="1"/>
      </tp>
      <tp>
        <v>16180</v>
        <stp/>
        <stp>P</stp>
        <stp>0</stp>
        <stp>STK</stp>
        <stp>N089980</stp>
        <stp>현재가</stp>
        <stp/>
        <stp/>
        <tr r="G678" s="1"/>
      </tp>
      <tp>
        <v>24250</v>
        <stp/>
        <stp>P</stp>
        <stp>0</stp>
        <stp>STK</stp>
        <stp>N089970</stp>
        <stp>현재가</stp>
        <stp/>
        <stp/>
        <tr r="G406" s="1"/>
      </tp>
      <tp>
        <v>9740</v>
        <stp/>
        <stp>P</stp>
        <stp>0</stp>
        <stp>STK</stp>
        <stp>N084690</stp>
        <stp>현재가</stp>
        <stp/>
        <stp/>
        <tr r="G342" s="3"/>
        <tr r="G587" s="1"/>
      </tp>
      <tp>
        <v>22850</v>
        <stp/>
        <stp>P</stp>
        <stp>0</stp>
        <stp>STK</stp>
        <stp>N284740</stp>
        <stp>현재가</stp>
        <stp/>
        <stp/>
        <tr r="G292" s="3"/>
        <tr r="G470" s="1"/>
      </tp>
      <tp>
        <v>12860</v>
        <stp/>
        <stp>P</stp>
        <stp>0</stp>
        <stp>STK</stp>
        <stp>N484590</stp>
        <stp>현재가</stp>
        <stp/>
        <stp/>
        <tr r="G450" s="1"/>
      </tp>
      <tp>
        <v>75100</v>
        <stp/>
        <stp>P</stp>
        <stp>0</stp>
        <stp>STK</stp>
        <stp>N084370</stp>
        <stp>현재가</stp>
        <stp/>
        <stp/>
        <tr r="G219" s="1"/>
      </tp>
      <tp>
        <v>10350</v>
        <stp/>
        <stp>P</stp>
        <stp>0</stp>
        <stp>STK</stp>
        <stp>N084010</stp>
        <stp>현재가</stp>
        <stp/>
        <stp/>
        <tr r="G378" s="3"/>
        <tr r="G684" s="1"/>
      </tp>
      <tp>
        <v>23500</v>
        <stp/>
        <stp>P</stp>
        <stp>0</stp>
        <stp>STK</stp>
        <stp>N484120</stp>
        <stp>현재가</stp>
        <stp/>
        <stp/>
        <tr r="G671" s="1"/>
      </tp>
      <tp>
        <v>50000</v>
        <stp/>
        <stp>P</stp>
        <stp>0</stp>
        <stp>STK</stp>
        <stp>N084110</stp>
        <stp>현재가</stp>
        <stp/>
        <stp/>
        <tr r="G423" s="1"/>
      </tp>
      <tp>
        <v>9300</v>
        <stp/>
        <stp>P</stp>
        <stp>0</stp>
        <stp>STK</stp>
        <stp>N084850</stp>
        <stp>현재가</stp>
        <stp/>
        <stp/>
        <tr r="G695" s="1"/>
      </tp>
      <tp>
        <v>23400</v>
        <stp/>
        <stp>P</stp>
        <stp>0</stp>
        <stp>STK</stp>
        <stp>N484810</stp>
        <stp>현재가</stp>
        <stp/>
        <stp/>
        <tr r="G559" s="1"/>
      </tp>
      <tp>
        <v>145900</v>
        <stp/>
        <stp>P</stp>
        <stp>0</stp>
        <stp>STK</stp>
        <stp>N484870</stp>
        <stp>현재가</stp>
        <stp/>
        <stp/>
        <tr r="G203" s="3"/>
        <tr r="G256" s="1"/>
      </tp>
      <tp>
        <v>15640</v>
        <stp/>
        <stp>P</stp>
        <stp>0</stp>
        <stp>STK</stp>
        <stp>N085660</stp>
        <stp>현재가</stp>
        <stp/>
        <stp/>
        <tr r="G268" s="1"/>
      </tp>
      <tp>
        <v>8990</v>
        <stp/>
        <stp>P</stp>
        <stp>0</stp>
        <stp>STK</stp>
        <stp>N085620</stp>
        <stp>현재가</stp>
        <stp/>
        <stp/>
        <tr r="G241" s="1"/>
        <tr r="G190" s="3"/>
      </tp>
      <tp>
        <v>84000</v>
        <stp/>
        <stp>P</stp>
        <stp>0</stp>
        <stp>STK</stp>
        <stp>N185750</stp>
        <stp>현재가</stp>
        <stp/>
        <stp/>
        <tr r="G290" s="1"/>
        <tr r="G218" s="3"/>
      </tp>
      <tp>
        <v>67200</v>
        <stp/>
        <stp>P</stp>
        <stp>0</stp>
        <stp>STK</stp>
        <stp>N285130</stp>
        <stp>현재가</stp>
        <stp/>
        <stp/>
        <tr r="G292" s="1"/>
        <tr r="G215" s="3"/>
      </tp>
      <tp>
        <v>102000</v>
        <stp/>
        <stp>P</stp>
        <stp>0</stp>
        <stp>STK</stp>
        <stp>N086790</stp>
        <stp>현재가</stp>
        <stp/>
        <stp/>
        <tr r="G30" s="3"/>
        <tr r="G29" s="1"/>
      </tp>
      <tp>
        <v>16670</v>
        <stp/>
        <stp>P</stp>
        <stp>0</stp>
        <stp>STK</stp>
        <stp>N086450</stp>
        <stp>현재가</stp>
        <stp/>
        <stp/>
        <tr r="G368" s="1"/>
      </tp>
      <tp>
        <v>106100</v>
        <stp/>
        <stp>P</stp>
        <stp>0</stp>
        <stp>STK</stp>
        <stp>N086520</stp>
        <stp>현재가</stp>
        <stp/>
        <stp/>
        <tr r="G64" s="1"/>
      </tp>
      <tp>
        <v>258000</v>
        <stp/>
        <stp>P</stp>
        <stp>0</stp>
        <stp>STK</stp>
        <stp>N086280</stp>
        <stp>현재가</stp>
        <stp/>
        <stp/>
        <tr r="G36" s="1"/>
        <tr r="G40" s="3"/>
      </tp>
      <tp>
        <v>11970</v>
        <stp/>
        <stp>P</stp>
        <stp>0</stp>
        <stp>STK</stp>
        <stp>N086390</stp>
        <stp>현재가</stp>
        <stp/>
        <stp/>
        <tr r="G674" s="1"/>
      </tp>
      <tp>
        <v>43800</v>
        <stp/>
        <stp>P</stp>
        <stp>0</stp>
        <stp>STK</stp>
        <stp>N486990</stp>
        <stp>현재가</stp>
        <stp/>
        <stp/>
        <tr r="G315" s="1"/>
      </tp>
      <tp>
        <v>21300</v>
        <stp/>
        <stp>P</stp>
        <stp>0</stp>
        <stp>STK</stp>
        <stp>N286940</stp>
        <stp>현재가</stp>
        <stp/>
        <stp/>
        <tr r="G349" s="3"/>
        <tr r="G593" s="1"/>
      </tp>
      <tp>
        <v>120200</v>
        <stp/>
        <stp>P</stp>
        <stp>0</stp>
        <stp>STK</stp>
        <stp>N086900</stp>
        <stp>현재가</stp>
        <stp/>
        <stp/>
        <tr r="G338" s="1"/>
      </tp>
      <tp>
        <v>239500</v>
        <stp/>
        <stp>P</stp>
        <stp>0</stp>
        <stp>STK</stp>
        <stp>N087010</stp>
        <stp>현재가</stp>
        <stp/>
        <stp/>
        <tr r="G108" s="1"/>
      </tp>
      <tp>
        <v>50100</v>
        <stp/>
        <stp>P</stp>
        <stp>0</stp>
        <stp>STK</stp>
        <stp>N287840</stp>
        <stp>현재가</stp>
        <stp/>
        <stp/>
        <tr r="G380" s="1"/>
      </tp>
      <tp>
        <v>129800</v>
        <stp/>
        <stp>P</stp>
        <stp>0</stp>
        <stp>STK</stp>
        <stp>N180640</stp>
        <stp>현재가</stp>
        <stp/>
        <stp/>
        <tr r="G80" s="1"/>
        <tr r="G76" s="3"/>
      </tp>
      <tp>
        <v>21300</v>
        <stp/>
        <stp>P</stp>
        <stp>0</stp>
        <stp>STK</stp>
        <stp>N380550</stp>
        <stp>현재가</stp>
        <stp/>
        <stp/>
        <tr r="G660" s="1"/>
      </tp>
      <tp>
        <v>29750</v>
        <stp/>
        <stp>P</stp>
        <stp>0</stp>
        <stp>STK</stp>
        <stp>N080220</stp>
        <stp>현재가</stp>
        <stp/>
        <stp/>
        <tr r="G304" s="1"/>
      </tp>
      <tp>
        <v>112500</v>
        <stp/>
        <stp>P</stp>
        <stp>0</stp>
        <stp>STK</stp>
        <stp>N280360</stp>
        <stp>현재가</stp>
        <stp/>
        <stp/>
        <tr r="G307" s="1"/>
        <tr r="G224" s="3"/>
      </tp>
      <tp>
        <v>45250</v>
        <stp/>
        <stp>P</stp>
        <stp>0</stp>
        <stp>STK</stp>
        <stp>N081660</stp>
        <stp>현재가</stp>
        <stp/>
        <stp/>
        <tr r="G189" s="1"/>
        <tr r="G154" s="3"/>
      </tp>
      <tp>
        <v>20600</v>
        <stp/>
        <stp>P</stp>
        <stp>0</stp>
        <stp>STK</stp>
        <stp>N281740</stp>
        <stp>현재가</stp>
        <stp/>
        <stp/>
        <tr r="G288" s="1"/>
      </tp>
      <tp>
        <v>29950</v>
        <stp/>
        <stp>P</stp>
        <stp>0</stp>
        <stp>STK</stp>
        <stp>N181710</stp>
        <stp>현재가</stp>
        <stp/>
        <stp/>
        <tr r="G316" s="1"/>
        <tr r="G230" s="3"/>
      </tp>
      <tp>
        <v>25050</v>
        <stp/>
        <stp>P</stp>
        <stp>0</stp>
        <stp>STK</stp>
        <stp>N481070</stp>
        <stp>현재가</stp>
        <stp/>
        <stp/>
        <tr r="G588" s="1"/>
      </tp>
      <tp>
        <v>38300</v>
        <stp/>
        <stp>P</stp>
        <stp>0</stp>
        <stp>STK</stp>
        <stp>N281820</stp>
        <stp>현재가</stp>
        <stp/>
        <stp/>
        <tr r="G247" s="3"/>
        <tr r="G350" s="1"/>
      </tp>
      <tp>
        <v>15310</v>
        <stp/>
        <stp>P</stp>
        <stp>0</stp>
        <stp>STK</stp>
        <stp>N381970</stp>
        <stp>현재가</stp>
        <stp/>
        <stp/>
        <tr r="G255" s="3"/>
        <tr r="G376" s="1"/>
      </tp>
      <tp>
        <v>53300</v>
        <stp/>
        <stp>P</stp>
        <stp>0</stp>
        <stp>STK</stp>
        <stp>N082740</stp>
        <stp>현재가</stp>
        <stp/>
        <stp/>
        <tr r="G116" s="1"/>
        <tr r="G110" s="3"/>
      </tp>
      <tp>
        <v>23050</v>
        <stp/>
        <stp>P</stp>
        <stp>0</stp>
        <stp>STK</stp>
        <stp>N082270</stp>
        <stp>현재가</stp>
        <stp/>
        <stp/>
        <tr r="G313" s="1"/>
      </tp>
      <tp>
        <v>120000</v>
        <stp/>
        <stp>P</stp>
        <stp>0</stp>
        <stp>STK</stp>
        <stp>N282330</stp>
        <stp>현재가</stp>
        <stp/>
        <stp/>
        <tr r="G210" s="1"/>
        <tr r="G171" s="3"/>
      </tp>
      <tp>
        <v>30950</v>
        <stp/>
        <stp>P</stp>
        <stp>0</stp>
        <stp>STK</stp>
        <stp>N382900</stp>
        <stp>현재가</stp>
        <stp/>
        <stp/>
        <tr r="G651" s="1"/>
      </tp>
      <tp>
        <v>21150</v>
        <stp/>
        <stp>P</stp>
        <stp>0</stp>
        <stp>STK</stp>
        <stp>N082920</stp>
        <stp>현재가</stp>
        <stp/>
        <stp/>
        <tr r="G328" s="1"/>
      </tp>
      <tp>
        <v>61600</v>
        <stp/>
        <stp>P</stp>
        <stp>0</stp>
        <stp>STK</stp>
        <stp>N083650</stp>
        <stp>현재가</stp>
        <stp/>
        <stp/>
        <tr r="G212" s="1"/>
      </tp>
      <tp>
        <v>148000</v>
        <stp/>
        <stp>P</stp>
        <stp>0</stp>
        <stp>STK</stp>
        <stp>N483650</stp>
        <stp>현재가</stp>
        <stp/>
        <stp/>
        <tr r="G177" s="3"/>
        <tr r="G233" s="1"/>
      </tp>
      <tp>
        <v>25900</v>
        <stp/>
        <stp>P</stp>
        <stp>0</stp>
        <stp>STK</stp>
        <stp>N083450</stp>
        <stp>현재가</stp>
        <stp/>
        <stp/>
        <tr r="G477" s="1"/>
      </tp>
      <tp>
        <v>66400</v>
        <stp/>
        <stp>P</stp>
        <stp>0</stp>
        <stp>STK</stp>
        <stp>N383220</stp>
        <stp>현재가</stp>
        <stp/>
        <stp/>
        <tr r="G147" s="3"/>
        <tr r="G175" s="1"/>
      </tp>
      <tp>
        <v>97000</v>
        <stp/>
        <stp>P</stp>
        <stp>0</stp>
        <stp>STK</stp>
        <stp>N183300</stp>
        <stp>현재가</stp>
        <stp/>
        <stp/>
        <tr r="G303" s="1"/>
      </tp>
      <tp>
        <v>24400</v>
        <stp/>
        <stp>P</stp>
        <stp>0</stp>
        <stp>STK</stp>
        <stp>N383310</stp>
        <stp>현재가</stp>
        <stp/>
        <stp/>
        <tr r="G476" s="1"/>
      </tp>
      <tp>
        <v>11810</v>
        <stp/>
        <stp>P</stp>
        <stp>0</stp>
        <stp>STK</stp>
        <stp>N183190</stp>
        <stp>현재가</stp>
        <stp/>
        <stp/>
        <tr r="G314" s="3"/>
        <tr r="G513" s="1"/>
      </tp>
      <tp>
        <v>8240</v>
        <stp/>
        <stp>P</stp>
        <stp>0</stp>
        <stp>STK</stp>
        <stp>N383800</stp>
        <stp>현재가</stp>
        <stp/>
        <stp/>
        <tr r="G272" s="3"/>
        <tr r="G417" s="1"/>
      </tp>
      <tp>
        <v>28650</v>
        <stp/>
        <stp>P</stp>
        <stp>0</stp>
        <stp>STK</stp>
        <stp>N098460</stp>
        <stp>현재가</stp>
        <stp/>
        <stp/>
        <tr r="G202" s="1"/>
      </tp>
      <tp>
        <v>181400</v>
        <stp/>
        <stp>P</stp>
        <stp>0</stp>
        <stp>STK</stp>
        <stp>N298380</stp>
        <stp>현재가</stp>
        <stp/>
        <stp/>
        <tr r="G73" s="1"/>
      </tp>
      <tp>
        <v>37300</v>
        <stp/>
        <stp>P</stp>
        <stp>0</stp>
        <stp>STK</stp>
        <stp>N098070</stp>
        <stp>현재가</stp>
        <stp/>
        <stp/>
        <tr r="G510" s="1"/>
      </tp>
      <tp>
        <v>216000</v>
        <stp/>
        <stp>P</stp>
        <stp>0</stp>
        <stp>STK</stp>
        <stp>N298050</stp>
        <stp>현재가</stp>
        <stp/>
        <stp/>
        <tr r="G318" s="1"/>
        <tr r="G233" s="3"/>
      </tp>
      <tp>
        <v>2306000</v>
        <stp/>
        <stp>P</stp>
        <stp>0</stp>
        <stp>STK</stp>
        <stp>N298040</stp>
        <stp>현재가</stp>
        <stp/>
        <stp/>
        <tr r="G36" s="3"/>
        <tr r="G37" s="1"/>
      </tp>
      <tp>
        <v>380000</v>
        <stp/>
        <stp>P</stp>
        <stp>0</stp>
        <stp>STK</stp>
        <stp>N298020</stp>
        <stp>현재가</stp>
        <stp/>
        <stp/>
        <tr r="G188" s="3"/>
        <tr r="G231" s="1"/>
      </tp>
      <tp>
        <v>41900</v>
        <stp/>
        <stp>P</stp>
        <stp>0</stp>
        <stp>STK</stp>
        <stp>N499790</stp>
        <stp>현재가</stp>
        <stp/>
        <stp/>
        <tr r="G359" s="1"/>
        <tr r="G237" s="3"/>
      </tp>
      <tp>
        <v>60200</v>
        <stp/>
        <stp>P</stp>
        <stp>0</stp>
        <stp>STK</stp>
        <stp>N399720</stp>
        <stp>현재가</stp>
        <stp/>
        <stp/>
        <tr r="G383" s="1"/>
      </tp>
      <tp>
        <v>39900</v>
        <stp/>
        <stp>P</stp>
        <stp>0</stp>
        <stp>STK</stp>
        <stp>N199430</stp>
        <stp>현재가</stp>
        <stp/>
        <stp/>
        <tr r="G485" s="1"/>
      </tp>
      <tp>
        <v>30900</v>
        <stp/>
        <stp>P</stp>
        <stp>0</stp>
        <stp>STK</stp>
        <stp>N299030</stp>
        <stp>현재가</stp>
        <stp/>
        <stp/>
        <tr r="G691" s="1"/>
      </tp>
      <tp>
        <v>15300</v>
        <stp/>
        <stp>P</stp>
        <stp>0</stp>
        <stp>STK</stp>
        <stp>N099190</stp>
        <stp>현재가</stp>
        <stp/>
        <stp/>
        <tr r="G529" s="1"/>
      </tp>
      <tp>
        <v>59000</v>
        <stp/>
        <stp>P</stp>
        <stp>0</stp>
        <stp>STK</stp>
        <stp>N199800</stp>
        <stp>현재가</stp>
        <stp/>
        <stp/>
        <tr r="G471" s="1"/>
      </tp>
      <tp>
        <v>13630</v>
        <stp/>
        <stp>P</stp>
        <stp>0</stp>
        <stp>STK</stp>
        <stp>N194700</stp>
        <stp>현재가</stp>
        <stp/>
        <stp/>
        <tr r="G668" s="1"/>
      </tp>
      <tp>
        <v>34200</v>
        <stp/>
        <stp>P</stp>
        <stp>0</stp>
        <stp>STK</stp>
        <stp>N194480</stp>
        <stp>현재가</stp>
        <stp/>
        <stp/>
        <tr r="G534" s="1"/>
      </tp>
      <tp>
        <v>9540</v>
        <stp/>
        <stp>P</stp>
        <stp>0</stp>
        <stp>STK</stp>
        <stp>N094480</stp>
        <stp>현재가</stp>
        <stp/>
        <stp/>
        <tr r="G564" s="1"/>
      </tp>
      <tp>
        <v>27150</v>
        <stp/>
        <stp>P</stp>
        <stp>0</stp>
        <stp>STK</stp>
        <stp>N294570</stp>
        <stp>현재가</stp>
        <stp/>
        <stp/>
        <tr r="G647" s="1"/>
      </tp>
      <tp>
        <v>13300</v>
        <stp/>
        <stp>P</stp>
        <stp>0</stp>
        <stp>STK</stp>
        <stp>N394280</stp>
        <stp>현재가</stp>
        <stp/>
        <stp/>
        <tr r="G624" s="1"/>
      </tp>
      <tp>
        <v>17190</v>
        <stp/>
        <stp>P</stp>
        <stp>0</stp>
        <stp>STK</stp>
        <stp>N094360</stp>
        <stp>현재가</stp>
        <stp/>
        <stp/>
        <tr r="G556" s="1"/>
      </tp>
      <tp>
        <v>11390</v>
        <stp/>
        <stp>P</stp>
        <stp>0</stp>
        <stp>STK</stp>
        <stp>N194370</stp>
        <stp>현재가</stp>
        <stp/>
        <stp/>
        <tr r="G347" s="3"/>
        <tr r="G599" s="1"/>
      </tp>
      <tp>
        <v>26600</v>
        <stp/>
        <stp>P</stp>
        <stp>0</stp>
        <stp>STK</stp>
        <stp>N094170</stp>
        <stp>현재가</stp>
        <stp/>
        <stp/>
        <tr r="G436" s="1"/>
      </tp>
      <tp>
        <v>55400</v>
        <stp/>
        <stp>P</stp>
        <stp>0</stp>
        <stp>STK</stp>
        <stp>N494120</stp>
        <stp>현재가</stp>
        <stp/>
        <stp/>
        <tr r="G526" s="1"/>
      </tp>
      <tp>
        <v>20400</v>
        <stp/>
        <stp>P</stp>
        <stp>0</stp>
        <stp>STK</stp>
        <stp>N294870</stp>
        <stp>현재가</stp>
        <stp/>
        <stp/>
        <tr r="G202" s="3"/>
        <tr r="G264" s="1"/>
      </tp>
      <tp>
        <v>14280</v>
        <stp/>
        <stp>P</stp>
        <stp>0</stp>
        <stp>STK</stp>
        <stp>N394800</stp>
        <stp>현재가</stp>
        <stp/>
        <stp/>
        <tr r="G495" s="1"/>
      </tp>
      <tp>
        <v>25950</v>
        <stp/>
        <stp>P</stp>
        <stp>0</stp>
        <stp>STK</stp>
        <stp>N095660</stp>
        <stp>현재가</stp>
        <stp/>
        <stp/>
        <tr r="G445" s="1"/>
      </tp>
      <tp>
        <v>48100</v>
        <stp/>
        <stp>P</stp>
        <stp>0</stp>
        <stp>STK</stp>
        <stp>N095610</stp>
        <stp>현재가</stp>
        <stp/>
        <stp/>
        <tr r="G319" s="1"/>
      </tp>
      <tp>
        <v>12340</v>
        <stp/>
        <stp>P</stp>
        <stp>0</stp>
        <stp>STK</stp>
        <stp>N095500</stp>
        <stp>현재가</stp>
        <stp/>
        <stp/>
        <tr r="G596" s="1"/>
      </tp>
      <tp>
        <v>102700</v>
        <stp/>
        <stp>P</stp>
        <stp>0</stp>
        <stp>STK</stp>
        <stp>N095340</stp>
        <stp>현재가</stp>
        <stp/>
        <stp/>
        <tr r="G198" s="1"/>
      </tp>
      <tp>
        <v>87500</v>
        <stp/>
        <stp>P</stp>
        <stp>0</stp>
        <stp>STK</stp>
        <stp>N295310</stp>
        <stp>현재가</stp>
        <stp/>
        <stp/>
        <tr r="G305" s="1"/>
      </tp>
      <tp>
        <v>52300</v>
        <stp/>
        <stp>P</stp>
        <stp>0</stp>
        <stp>STK</stp>
        <stp>N195870</stp>
        <stp>현재가</stp>
        <stp/>
        <stp/>
        <tr r="G332" s="1"/>
        <tr r="G236" s="3"/>
      </tp>
      <tp>
        <v>48000</v>
        <stp/>
        <stp>P</stp>
        <stp>0</stp>
        <stp>STK</stp>
        <stp>N195940</stp>
        <stp>현재가</stp>
        <stp/>
        <stp/>
        <tr r="G262" s="1"/>
      </tp>
      <tp>
        <v>112800</v>
        <stp/>
        <stp>P</stp>
        <stp>0</stp>
        <stp>STK</stp>
        <stp>N096770</stp>
        <stp>현재가</stp>
        <stp/>
        <stp/>
        <tr r="G45" s="3"/>
        <tr r="G47" s="1"/>
      </tp>
      <tp>
        <v>24200</v>
        <stp/>
        <stp>P</stp>
        <stp>0</stp>
        <stp>STK</stp>
        <stp>N096530</stp>
        <stp>현재가</stp>
        <stp/>
        <stp/>
        <tr r="G275" s="1"/>
      </tp>
      <tp>
        <v>375000</v>
        <stp/>
        <stp>P</stp>
        <stp>0</stp>
        <stp>STK</stp>
        <stp>N196170</stp>
        <stp>현재가</stp>
        <stp/>
        <stp/>
        <tr r="G42" s="1"/>
      </tp>
      <tp>
        <v>30500</v>
        <stp/>
        <stp>P</stp>
        <stp>0</stp>
        <stp>STK</stp>
        <stp>N097520</stp>
        <stp>현재가</stp>
        <stp/>
        <stp/>
        <tr r="G447" s="1"/>
        <tr r="G287" s="3"/>
      </tp>
      <tp>
        <v>23850</v>
        <stp/>
        <stp>P</stp>
        <stp>0</stp>
        <stp>STK</stp>
        <stp>N097230</stp>
        <stp>현재가</stp>
        <stp/>
        <stp/>
        <tr r="G195" s="1"/>
        <tr r="G164" s="3"/>
      </tp>
      <tp>
        <v>47600</v>
        <stp/>
        <stp>P</stp>
        <stp>0</stp>
        <stp>STK</stp>
        <stp>N397030</stp>
        <stp>현재가</stp>
        <stp/>
        <stp/>
        <tr r="G293" s="1"/>
      </tp>
      <tp>
        <v>214500</v>
        <stp/>
        <stp>P</stp>
        <stp>0</stp>
        <stp>STK</stp>
        <stp>N097950</stp>
        <stp>현재가</stp>
        <stp/>
        <stp/>
        <tr r="G147" s="1"/>
        <tr r="G128" s="3"/>
      </tp>
      <tp>
        <v>53400</v>
        <stp/>
        <stp>P</stp>
        <stp>0</stp>
        <stp>STK</stp>
        <stp>N290650</stp>
        <stp>현재가</stp>
        <stp/>
        <stp/>
        <tr r="G266" s="1"/>
      </tp>
      <tp>
        <v>16470</v>
        <stp/>
        <stp>P</stp>
        <stp>0</stp>
        <stp>STK</stp>
        <stp>N090460</stp>
        <stp>현재가</stp>
        <stp/>
        <stp/>
        <tr r="G455" s="1"/>
        <tr r="G283" s="3"/>
      </tp>
      <tp>
        <v>126100</v>
        <stp/>
        <stp>P</stp>
        <stp>0</stp>
        <stp>STK</stp>
        <stp>N090430</stp>
        <stp>현재가</stp>
        <stp/>
        <stp/>
        <tr r="G84" s="3"/>
        <tr r="G90" s="1"/>
      </tp>
      <tp>
        <v>24100</v>
        <stp/>
        <stp>P</stp>
        <stp>0</stp>
        <stp>STK</stp>
        <stp>N190510</stp>
        <stp>현재가</stp>
        <stp/>
        <stp/>
        <tr r="G579" s="1"/>
      </tp>
      <tp>
        <v>83900</v>
        <stp/>
        <stp>P</stp>
        <stp>0</stp>
        <stp>STK</stp>
        <stp>N090360</stp>
        <stp>현재가</stp>
        <stp/>
        <stp/>
        <tr r="G329" s="1"/>
      </tp>
      <tp>
        <v>11320</v>
        <stp/>
        <stp>P</stp>
        <stp>0</stp>
        <stp>STK</stp>
        <stp>N092790</stp>
        <stp>현재가</stp>
        <stp/>
        <stp/>
        <tr r="G351" s="3"/>
        <tr r="G607" s="1"/>
      </tp>
      <tp>
        <v>18950</v>
        <stp/>
        <stp>P</stp>
        <stp>0</stp>
        <stp>STK</stp>
        <stp>N092730</stp>
        <stp>현재가</stp>
        <stp/>
        <stp/>
        <tr r="G645" s="1"/>
      </tp>
      <tp>
        <v>16310</v>
        <stp/>
        <stp>P</stp>
        <stp>0</stp>
        <stp>STK</stp>
        <stp>N092460</stp>
        <stp>현재가</stp>
        <stp/>
        <stp/>
        <tr r="G640" s="1"/>
      </tp>
      <tp>
        <v>27300</v>
        <stp/>
        <stp>P</stp>
        <stp>0</stp>
        <stp>STK</stp>
        <stp>N192400</stp>
        <stp>현재가</stp>
        <stp/>
        <stp/>
        <tr r="G320" s="1"/>
        <tr r="G232" s="3"/>
      </tp>
      <tp>
        <v>72000</v>
        <stp/>
        <stp>P</stp>
        <stp>0</stp>
        <stp>STK</stp>
        <stp>N092230</stp>
        <stp>현재가</stp>
        <stp/>
        <stp/>
        <tr r="G615" s="1"/>
        <tr r="G352" s="3"/>
      </tp>
      <tp>
        <v>51100</v>
        <stp/>
        <stp>P</stp>
        <stp>0</stp>
        <stp>STK</stp>
        <stp>N192080</stp>
        <stp>현재가</stp>
        <stp/>
        <stp/>
        <tr r="G221" s="3"/>
        <tr r="G298" s="1"/>
      </tp>
      <tp>
        <v>194700</v>
        <stp/>
        <stp>P</stp>
        <stp>0</stp>
        <stp>STK</stp>
        <stp>N192820</stp>
        <stp>현재가</stp>
        <stp/>
        <stp/>
        <tr r="G161" s="3"/>
        <tr r="G205" s="1"/>
      </tp>
      <tp>
        <v>14370</v>
        <stp/>
        <stp>P</stp>
        <stp>0</stp>
        <stp>STK</stp>
        <stp>N293490</stp>
        <stp>현재가</stp>
        <stp/>
        <stp/>
        <tr r="G273" s="1"/>
      </tp>
      <tp>
        <v>21350</v>
        <stp/>
        <stp>P</stp>
        <stp>0</stp>
        <stp>STK</stp>
        <stp>N093520</stp>
        <stp>현재가</stp>
        <stp/>
        <stp/>
        <tr r="G627" s="1"/>
      </tp>
      <tp>
        <v>8120</v>
        <stp/>
        <stp>P</stp>
        <stp>0</stp>
        <stp>STK</stp>
        <stp>N093370</stp>
        <stp>현재가</stp>
        <stp/>
        <stp/>
        <tr r="G355" s="1"/>
        <tr r="G240" s="3"/>
      </tp>
      <tp>
        <v>119600</v>
        <stp/>
        <stp>P</stp>
        <stp>0</stp>
        <stp>STK</stp>
        <stp>N093320</stp>
        <stp>현재가</stp>
        <stp/>
        <stp/>
        <tr r="G429" s="1"/>
      </tp>
      <tp>
        <v>17450</v>
        <stp/>
        <stp>P</stp>
        <stp>0</stp>
        <stp>STK</stp>
        <stp>N093050</stp>
        <stp>현재가</stp>
        <stp/>
        <stp/>
        <tr r="G468" s="1"/>
        <tr r="G293" s="3"/>
      </tp>
      <tp>
        <v>29000</v>
        <stp/>
        <stp>P</stp>
        <stp>0</stp>
        <stp>STK</stp>
        <stp>N108670</stp>
        <stp>현재가</stp>
        <stp/>
        <stp/>
        <tr r="G665" s="1"/>
        <tr r="G369" s="3"/>
      </tp>
      <tp>
        <v>45400</v>
        <stp/>
        <stp>P</stp>
        <stp>0</stp>
        <stp>STK</stp>
        <stp>N008770</stp>
        <stp>현재가</stp>
        <stp/>
        <stp/>
        <tr r="G179" s="3"/>
        <tr r="G226" s="1"/>
      </tp>
      <tp>
        <v>27900</v>
        <stp/>
        <stp>P</stp>
        <stp>0</stp>
        <stp>STK</stp>
        <stp>N008730</stp>
        <stp>현재가</stp>
        <stp/>
        <stp/>
        <tr r="G397" s="1"/>
        <tr r="G262" s="3"/>
      </tp>
      <tp>
        <v>20850</v>
        <stp/>
        <stp>P</stp>
        <stp>0</stp>
        <stp>STK</stp>
        <stp>N008490</stp>
        <stp>현재가</stp>
        <stp/>
        <stp/>
        <tr r="G379" s="3"/>
        <tr r="G686" s="1"/>
      </tp>
      <tp>
        <v>245000</v>
        <stp/>
        <stp>P</stp>
        <stp>0</stp>
        <stp>STK</stp>
        <stp>N108490</stp>
        <stp>현재가</stp>
        <stp/>
        <stp/>
        <tr r="G132" s="1"/>
      </tp>
      <tp>
        <v>23100</v>
        <stp/>
        <stp>P</stp>
        <stp>0</stp>
        <stp>STK</stp>
        <stp>N308430</stp>
        <stp>현재가</stp>
        <stp/>
        <stp/>
        <tr r="G622" s="1"/>
      </tp>
      <tp>
        <v>26700</v>
        <stp/>
        <stp>P</stp>
        <stp>0</stp>
        <stp>STK</stp>
        <stp>N108380</stp>
        <stp>현재가</stp>
        <stp/>
        <stp/>
        <tr r="G669" s="1"/>
      </tp>
      <tp>
        <v>51000</v>
        <stp/>
        <stp>P</stp>
        <stp>0</stp>
        <stp>STK</stp>
        <stp>N108320</stp>
        <stp>현재가</stp>
        <stp/>
        <stp/>
        <tr r="G345" s="1"/>
        <tr r="G241" s="3"/>
      </tp>
      <tp>
        <v>9950</v>
        <stp/>
        <stp>P</stp>
        <stp>0</stp>
        <stp>STK</stp>
        <stp>N008060</stp>
        <stp>현재가</stp>
        <stp/>
        <stp/>
        <tr r="G585" s="1"/>
        <tr r="G340" s="3"/>
      </tp>
      <tp>
        <v>11960</v>
        <stp/>
        <stp>P</stp>
        <stp>0</stp>
        <stp>STK</stp>
        <stp>N108860</stp>
        <stp>현재가</stp>
        <stp/>
        <stp/>
        <tr r="G600" s="1"/>
      </tp>
      <tp>
        <v>39000</v>
        <stp/>
        <stp>P</stp>
        <stp>0</stp>
        <stp>STK</stp>
        <stp>N008930</stp>
        <stp>현재가</stp>
        <stp/>
        <stp/>
        <tr r="G140" s="3"/>
        <tr r="G165" s="1"/>
      </tp>
      <tp>
        <v>10230</v>
        <stp/>
        <stp>P</stp>
        <stp>0</stp>
        <stp>STK</stp>
        <stp>N009680</stp>
        <stp>현재가</stp>
        <stp/>
        <stp/>
        <tr r="G359" s="3"/>
        <tr r="G632" s="1"/>
      </tp>
      <tp>
        <v>32350</v>
        <stp/>
        <stp>P</stp>
        <stp>0</stp>
        <stp>STK</stp>
        <stp>N309710</stp>
        <stp>현재가</stp>
        <stp/>
        <stp/>
        <tr r="G514" s="1"/>
      </tp>
      <tp>
        <v>56500</v>
        <stp/>
        <stp>P</stp>
        <stp>0</stp>
        <stp>STK</stp>
        <stp>N009450</stp>
        <stp>현재가</stp>
        <stp/>
        <stp/>
        <tr r="G243" s="3"/>
        <tr r="G348" s="1"/>
      </tp>
      <tp>
        <v>48150</v>
        <stp/>
        <stp>P</stp>
        <stp>0</stp>
        <stp>STK</stp>
        <stp>N009420</stp>
        <stp>현재가</stp>
        <stp/>
        <stp/>
        <tr r="G152" s="3"/>
        <tr r="G187" s="1"/>
      </tp>
      <tp>
        <v>430500</v>
        <stp/>
        <stp>P</stp>
        <stp>0</stp>
        <stp>STK</stp>
        <stp>N009540</stp>
        <stp>현재가</stp>
        <stp/>
        <stp/>
        <tr r="G27" s="1"/>
        <tr r="G27" s="3"/>
      </tp>
      <tp>
        <v>18840</v>
        <stp/>
        <stp>P</stp>
        <stp>0</stp>
        <stp>STK</stp>
        <stp>N009520</stp>
        <stp>현재가</stp>
        <stp/>
        <stp/>
        <tr r="G363" s="1"/>
      </tp>
      <tp>
        <v>44250</v>
        <stp/>
        <stp>P</stp>
        <stp>0</stp>
        <stp>STK</stp>
        <stp>N009240</stp>
        <stp>현재가</stp>
        <stp/>
        <stp/>
        <tr r="G223" s="3"/>
        <tr r="G301" s="1"/>
      </tp>
      <tp>
        <v>284500</v>
        <stp/>
        <stp>P</stp>
        <stp>0</stp>
        <stp>STK</stp>
        <stp>N009150</stp>
        <stp>현재가</stp>
        <stp/>
        <stp/>
        <tr r="G39" s="3"/>
        <tr r="G39" s="1"/>
      </tp>
      <tp>
        <v>29450</v>
        <stp/>
        <stp>P</stp>
        <stp>0</stp>
        <stp>STK</stp>
        <stp>N009830</stp>
        <stp>현재가</stp>
        <stp/>
        <stp/>
        <tr r="G113" s="1"/>
        <tr r="G103" s="3"/>
      </tp>
      <tp>
        <v>194300</v>
        <stp/>
        <stp>P</stp>
        <stp>0</stp>
        <stp>STK</stp>
        <stp>N009970</stp>
        <stp>현재가</stp>
        <stp/>
        <stp/>
        <tr r="G138" s="3"/>
        <tr r="G173" s="1"/>
      </tp>
      <tp>
        <v>9490</v>
        <stp/>
        <stp>P</stp>
        <stp>0</stp>
        <stp>STK</stp>
        <stp>N009900</stp>
        <stp>현재가</stp>
        <stp/>
        <stp/>
        <tr r="G464" s="1"/>
        <tr r="G295" s="3"/>
      </tp>
      <tp>
        <v>128500</v>
        <stp/>
        <stp>P</stp>
        <stp>0</stp>
        <stp>STK</stp>
        <stp>N004690</stp>
        <stp>현재가</stp>
        <stp/>
        <stp/>
        <tr r="G291" s="3"/>
        <tr r="G465" s="1"/>
      </tp>
      <tp>
        <v>10000</v>
        <stp/>
        <stp>P</stp>
        <stp>0</stp>
        <stp>STK</stp>
        <stp>N104700</stp>
        <stp>현재가</stp>
        <stp/>
        <stp/>
        <tr r="G332" s="3"/>
        <tr r="G565" s="1"/>
      </tp>
      <tp>
        <v>73800</v>
        <stp/>
        <stp>P</stp>
        <stp>0</stp>
        <stp>STK</stp>
        <stp>N004700</stp>
        <stp>현재가</stp>
        <stp/>
        <stp/>
        <tr r="G306" s="3"/>
        <tr r="G497" s="1"/>
      </tp>
      <tp>
        <v>64700</v>
        <stp/>
        <stp>P</stp>
        <stp>0</stp>
        <stp>STK</stp>
        <stp>N004490</stp>
        <stp>현재가</stp>
        <stp/>
        <stp/>
        <tr r="G235" s="3"/>
        <tr r="G330" s="1"/>
      </tp>
      <tp>
        <v>20350</v>
        <stp/>
        <stp>P</stp>
        <stp>0</stp>
        <stp>STK</stp>
        <stp>N204270</stp>
        <stp>현재가</stp>
        <stp/>
        <stp/>
        <tr r="G294" s="1"/>
      </tp>
      <tp>
        <v>29850</v>
        <stp/>
        <stp>P</stp>
        <stp>0</stp>
        <stp>STK</stp>
        <stp>N304360</stp>
        <stp>현재가</stp>
        <stp/>
        <stp/>
        <tr r="G557" s="1"/>
      </tp>
      <tp>
        <v>409500</v>
        <stp/>
        <stp>P</stp>
        <stp>0</stp>
        <stp>STK</stp>
        <stp>N004370</stp>
        <stp>현재가</stp>
        <stp/>
        <stp/>
        <tr r="G179" s="1"/>
        <tr r="G149" s="3"/>
      </tp>
      <tp>
        <v>13650</v>
        <stp/>
        <stp>P</stp>
        <stp>0</stp>
        <stp>STK</stp>
        <stp>N004360</stp>
        <stp>현재가</stp>
        <stp/>
        <stp/>
        <tr r="G659" s="1"/>
        <tr r="G367" s="3"/>
      </tp>
      <tp>
        <v>66000</v>
        <stp/>
        <stp>P</stp>
        <stp>0</stp>
        <stp>STK</stp>
        <stp>N204320</stp>
        <stp>현재가</stp>
        <stp/>
        <stp/>
        <tr r="G139" s="1"/>
        <tr r="G125" s="3"/>
      </tp>
      <tp>
        <v>45600</v>
        <stp/>
        <stp>P</stp>
        <stp>0</stp>
        <stp>STK</stp>
        <stp>N004000</stp>
        <stp>현재가</stp>
        <stp/>
        <stp/>
        <tr r="G287" s="1"/>
        <tr r="G216" s="3"/>
      </tp>
      <tp>
        <v>34650</v>
        <stp/>
        <stp>P</stp>
        <stp>0</stp>
        <stp>STK</stp>
        <stp>N004020</stp>
        <stp>현재가</stp>
        <stp/>
        <stp/>
        <tr r="G122" s="1"/>
        <tr r="G105" s="3"/>
      </tp>
      <tp>
        <v>287500</v>
        <stp/>
        <stp>P</stp>
        <stp>0</stp>
        <stp>STK</stp>
        <stp>N004170</stp>
        <stp>현재가</stp>
        <stp/>
        <stp/>
        <tr r="G136" s="3"/>
        <tr r="G160" s="1"/>
      </tp>
      <tp>
        <v>26300</v>
        <stp/>
        <stp>P</stp>
        <stp>0</stp>
        <stp>STK</stp>
        <stp>N304100</stp>
        <stp>현재가</stp>
        <stp/>
        <stp/>
        <tr r="G591" s="1"/>
      </tp>
      <tp>
        <v>152500</v>
        <stp/>
        <stp>P</stp>
        <stp>0</stp>
        <stp>STK</stp>
        <stp>N004800</stp>
        <stp>현재가</stp>
        <stp/>
        <stp/>
        <tr r="G174" s="1"/>
        <tr r="G148" s="3"/>
      </tp>
      <tp>
        <v>35800</v>
        <stp/>
        <stp>P</stp>
        <stp>0</stp>
        <stp>STK</stp>
        <stp>N104830</stp>
        <stp>현재가</stp>
        <stp/>
        <stp/>
        <tr r="G504" s="1"/>
      </tp>
      <tp>
        <v>29650</v>
        <stp/>
        <stp>P</stp>
        <stp>0</stp>
        <stp>STK</stp>
        <stp>N004990</stp>
        <stp>현재가</stp>
        <stp/>
        <stp/>
        <tr r="G150" s="1"/>
        <tr r="G131" s="3"/>
      </tp>
      <tp>
        <v>9490</v>
        <stp/>
        <stp>P</stp>
        <stp>0</stp>
        <stp>STK</stp>
        <stp>N004980</stp>
        <stp>현재가</stp>
        <stp/>
        <stp/>
        <tr r="G689" s="1"/>
        <tr r="G380" s="3"/>
      </tp>
      <tp>
        <v>13620</v>
        <stp/>
        <stp>P</stp>
        <stp>0</stp>
        <stp>STK</stp>
        <stp>N005690</stp>
        <stp>현재가</stp>
        <stp/>
        <stp/>
        <tr r="G246" s="3"/>
        <tr r="G358" s="1"/>
      </tp>
      <tp>
        <v>50300</v>
        <stp/>
        <stp>P</stp>
        <stp>0</stp>
        <stp>STK</stp>
        <stp>N005610</stp>
        <stp>현재가</stp>
        <stp/>
        <stp/>
        <tr r="G313" s="3"/>
        <tr r="G511" s="1"/>
      </tp>
      <tp>
        <v>14190</v>
        <stp/>
        <stp>P</stp>
        <stp>0</stp>
        <stp>STK</stp>
        <stp>N105630</stp>
        <stp>현재가</stp>
        <stp/>
        <stp/>
        <tr r="G441" s="1"/>
        <tr r="G280" s="3"/>
      </tp>
      <tp>
        <v>12980</v>
        <stp/>
        <stp>P</stp>
        <stp>0</stp>
        <stp>STK</stp>
        <stp>N005710</stp>
        <stp>현재가</stp>
        <stp/>
        <stp/>
        <tr r="G656" s="1"/>
      </tp>
      <tp>
        <v>383500</v>
        <stp/>
        <stp>P</stp>
        <stp>0</stp>
        <stp>STK</stp>
        <stp>N005490</stp>
        <stp>현재가</stp>
        <stp/>
        <stp/>
        <tr r="G28" s="1"/>
        <tr r="G29" s="3"/>
      </tp>
      <tp>
        <v>8610</v>
        <stp/>
        <stp>P</stp>
        <stp>0</stp>
        <stp>STK</stp>
        <stp>N005440</stp>
        <stp>현재가</stp>
        <stp/>
        <stp/>
        <tr r="G204" s="3"/>
        <tr r="G265" s="1"/>
      </tp>
      <tp>
        <v>16200</v>
        <stp/>
        <stp>P</stp>
        <stp>0</stp>
        <stp>STK</stp>
        <stp>N005420</stp>
        <stp>현재가</stp>
        <stp/>
        <stp/>
        <tr r="G443" s="1"/>
        <tr r="G276" s="3"/>
      </tp>
      <tp>
        <v>134100</v>
        <stp/>
        <stp>P</stp>
        <stp>0</stp>
        <stp>STK</stp>
        <stp>N105560</stp>
        <stp>현재가</stp>
        <stp/>
        <stp/>
        <tr r="G16" s="3"/>
        <tr r="G16" s="1"/>
      </tp>
      <tp>
        <v>19130</v>
        <stp/>
        <stp>P</stp>
        <stp>0</stp>
        <stp>STK</stp>
        <stp>N005500</stp>
        <stp>현재가</stp>
        <stp/>
        <stp/>
        <tr r="G666" s="1"/>
        <tr r="G371" s="3"/>
      </tp>
      <tp>
        <v>40250</v>
        <stp/>
        <stp>P</stp>
        <stp>0</stp>
        <stp>STK</stp>
        <stp>N005290</stp>
        <stp>현재가</stp>
        <stp/>
        <stp/>
        <tr r="G201" s="1"/>
      </tp>
      <tp>
        <v>14710</v>
        <stp/>
        <stp>P</stp>
        <stp>0</stp>
        <stp>STK</stp>
        <stp>N005250</stp>
        <stp>현재가</stp>
        <stp/>
        <stp/>
        <tr r="G263" s="3"/>
        <tr r="G389" s="1"/>
      </tp>
      <tp>
        <v>533000</v>
        <stp/>
        <stp>P</stp>
        <stp>0</stp>
        <stp>STK</stp>
        <stp>N005380</stp>
        <stp>현재가</stp>
        <stp/>
        <stp/>
        <tr r="G8" s="3"/>
        <tr r="G8" s="1"/>
      </tp>
      <tp>
        <v>131500</v>
        <stp/>
        <stp>P</stp>
        <stp>0</stp>
        <stp>STK</stp>
        <stp>N005300</stp>
        <stp>현재가</stp>
        <stp/>
        <stp/>
        <tr r="G210" s="3"/>
        <tr r="G281" s="1"/>
      </tp>
      <tp>
        <v>21050</v>
        <stp/>
        <stp>P</stp>
        <stp>0</stp>
        <stp>STK</stp>
        <stp>N005090</stp>
        <stp>현재가</stp>
        <stp/>
        <stp/>
        <tr r="G623" s="1"/>
        <tr r="G353" s="3"/>
      </tp>
      <tp>
        <v>50400</v>
        <stp/>
        <stp>P</stp>
        <stp>0</stp>
        <stp>STK</stp>
        <stp>N005070</stp>
        <stp>현재가</stp>
        <stp/>
        <stp/>
        <tr r="G195" s="3"/>
        <tr r="G252" s="1"/>
      </tp>
      <tp>
        <v>76400</v>
        <stp/>
        <stp>P</stp>
        <stp>0</stp>
        <stp>STK</stp>
        <stp>N005180</stp>
        <stp>현재가</stp>
        <stp/>
        <stp/>
        <tr r="G257" s="3"/>
        <tr r="G378" s="1"/>
      </tp>
      <tp>
        <v>59800</v>
        <stp/>
        <stp>P</stp>
        <stp>0</stp>
        <stp>STK</stp>
        <stp>N005850</stp>
        <stp>현재가</stp>
        <stp/>
        <stp/>
        <tr r="G144" s="1"/>
        <tr r="G135" s="3"/>
      </tp>
      <tp>
        <v>24950</v>
        <stp/>
        <stp>P</stp>
        <stp>0</stp>
        <stp>STK</stp>
        <stp>N105840</stp>
        <stp>현재가</stp>
        <stp/>
        <stp/>
        <tr r="G288" s="3"/>
        <tr r="G451" s="1"/>
      </tp>
      <tp>
        <v>38650</v>
        <stp/>
        <stp>P</stp>
        <stp>0</stp>
        <stp>STK</stp>
        <stp>N005810</stp>
        <stp>현재가</stp>
        <stp/>
        <stp/>
        <tr r="G446" s="1"/>
        <tr r="G284" s="3"/>
      </tp>
      <tp>
        <v>128900</v>
        <stp/>
        <stp>P</stp>
        <stp>0</stp>
        <stp>STK</stp>
        <stp>N005830</stp>
        <stp>현재가</stp>
        <stp/>
        <stp/>
        <tr r="G70" s="3"/>
        <tr r="G75" s="1"/>
      </tp>
      <tp>
        <v>23600</v>
        <stp/>
        <stp>P</stp>
        <stp>0</stp>
        <stp>STK</stp>
        <stp>N005940</stp>
        <stp>현재가</stp>
        <stp/>
        <stp/>
        <tr r="G85" s="1"/>
        <tr r="G80" s="3"/>
      </tp>
      <tp>
        <v>153400</v>
        <stp/>
        <stp>P</stp>
        <stp>0</stp>
        <stp>STK</stp>
        <stp>N005930</stp>
        <stp>현재가</stp>
        <stp/>
        <stp/>
        <tr r="G6" s="3"/>
        <tr r="G6" s="1"/>
      </tp>
      <tp>
        <v>160200</v>
        <stp/>
        <stp>P</stp>
        <stp>0</stp>
        <stp>STK</stp>
        <stp>N006650</stp>
        <stp>현재가</stp>
        <stp/>
        <stp/>
        <tr r="G306" s="1"/>
        <tr r="G225" s="3"/>
      </tp>
      <tp>
        <v>11130</v>
        <stp/>
        <stp>P</stp>
        <stp>0</stp>
        <stp>STK</stp>
        <stp>N206650</stp>
        <stp>현재가</stp>
        <stp/>
        <stp/>
        <tr r="G531" s="1"/>
      </tp>
      <tp>
        <v>12450</v>
        <stp/>
        <stp>P</stp>
        <stp>0</stp>
        <stp>STK</stp>
        <stp>N206640</stp>
        <stp>현재가</stp>
        <stp/>
        <stp/>
        <tr r="G629" s="1"/>
      </tp>
      <tp>
        <v>15230</v>
        <stp/>
        <stp>P</stp>
        <stp>0</stp>
        <stp>STK</stp>
        <stp>N006730</stp>
        <stp>현재가</stp>
        <stp/>
        <stp/>
        <tr r="G323" s="1"/>
      </tp>
      <tp>
        <v>391500</v>
        <stp/>
        <stp>P</stp>
        <stp>0</stp>
        <stp>STK</stp>
        <stp>N006400</stp>
        <stp>현재가</stp>
        <stp/>
        <stp/>
        <tr r="G28" s="3"/>
        <tr r="G31" s="1"/>
      </tp>
      <tp>
        <v>153800</v>
        <stp/>
        <stp>P</stp>
        <stp>0</stp>
        <stp>STK</stp>
        <stp>N006280</stp>
        <stp>현재가</stp>
        <stp/>
        <stp/>
        <tr r="G184" s="3"/>
        <tr r="G229" s="1"/>
      </tp>
      <tp>
        <v>230000</v>
        <stp/>
        <stp>P</stp>
        <stp>0</stp>
        <stp>STK</stp>
        <stp>N006260</stp>
        <stp>현재가</stp>
        <stp/>
        <stp/>
        <tr r="G85" s="3"/>
        <tr r="G89" s="1"/>
      </tp>
      <tp>
        <v>118900</v>
        <stp/>
        <stp>P</stp>
        <stp>0</stp>
        <stp>STK</stp>
        <stp>N306200</stp>
        <stp>현재가</stp>
        <stp/>
        <stp/>
        <tr r="G589" s="1"/>
        <tr r="G341" s="3"/>
      </tp>
      <tp>
        <v>11520</v>
        <stp/>
        <stp>P</stp>
        <stp>0</stp>
        <stp>STK</stp>
        <stp>N006220</stp>
        <stp>현재가</stp>
        <stp/>
        <stp/>
        <tr r="G315" s="3"/>
        <tr r="G512" s="1"/>
      </tp>
      <tp>
        <v>18840</v>
        <stp/>
        <stp>P</stp>
        <stp>0</stp>
        <stp>STK</stp>
        <stp>N006360</stp>
        <stp>현재가</stp>
        <stp/>
        <stp/>
        <tr r="G191" s="3"/>
        <tr r="G240" s="1"/>
      </tp>
      <tp>
        <v>41100</v>
        <stp/>
        <stp>P</stp>
        <stp>0</stp>
        <stp>STK</stp>
        <stp>N006040</stp>
        <stp>현재가</stp>
        <stp/>
        <stp/>
        <tr r="G227" s="1"/>
        <tr r="G181" s="3"/>
      </tp>
      <tp>
        <v>25650</v>
        <stp/>
        <stp>P</stp>
        <stp>0</stp>
        <stp>STK</stp>
        <stp>N006110</stp>
        <stp>현재가</stp>
        <stp/>
        <stp/>
        <tr r="G568" s="1"/>
        <tr r="G331" s="3"/>
      </tp>
      <tp>
        <v>62900</v>
        <stp/>
        <stp>P</stp>
        <stp>0</stp>
        <stp>STK</stp>
        <stp>N006120</stp>
        <stp>현재가</stp>
        <stp/>
        <stp/>
        <tr r="G219" s="3"/>
        <tr r="G291" s="1"/>
      </tp>
      <tp>
        <v>32100</v>
        <stp/>
        <stp>P</stp>
        <stp>0</stp>
        <stp>STK</stp>
        <stp>N006800</stp>
        <stp>현재가</stp>
        <stp/>
        <stp/>
        <tr r="G48" s="1"/>
        <tr r="G47" s="3"/>
      </tp>
      <tp>
        <v>36800</v>
        <stp/>
        <stp>P</stp>
        <stp>0</stp>
        <stp>STK</stp>
        <stp>N007690</stp>
        <stp>현재가</stp>
        <stp/>
        <stp/>
        <tr r="G586" s="1"/>
        <tr r="G339" s="3"/>
      </tp>
      <tp>
        <v>49800</v>
        <stp/>
        <stp>P</stp>
        <stp>0</stp>
        <stp>STK</stp>
        <stp>N107640</stp>
        <stp>현재가</stp>
        <stp/>
        <stp/>
        <tr r="G524" s="1"/>
      </tp>
      <tp>
        <v>112100</v>
        <stp/>
        <stp>P</stp>
        <stp>0</stp>
        <stp>STK</stp>
        <stp>N007660</stp>
        <stp>현재가</stp>
        <stp/>
        <stp/>
        <tr r="G81" s="3"/>
        <tr r="G86" s="1"/>
      </tp>
      <tp>
        <v>19780</v>
        <stp/>
        <stp>P</stp>
        <stp>0</stp>
        <stp>STK</stp>
        <stp>N007700</stp>
        <stp>현재가</stp>
        <stp/>
        <stp/>
        <tr r="G362" s="1"/>
        <tr r="G249" s="3"/>
      </tp>
      <tp>
        <v>19990</v>
        <stp/>
        <stp>P</stp>
        <stp>0</stp>
        <stp>STK</stp>
        <stp>N007390</stp>
        <stp>현재가</stp>
        <stp/>
        <stp/>
        <tr r="G272" s="1"/>
      </tp>
      <tp>
        <v>25550</v>
        <stp/>
        <stp>P</stp>
        <stp>0</stp>
        <stp>STK</stp>
        <stp>N007340</stp>
        <stp>현재가</stp>
        <stp/>
        <stp/>
        <tr r="G198" s="3"/>
        <tr r="G251" s="1"/>
      </tp>
      <tp>
        <v>389000</v>
        <stp/>
        <stp>P</stp>
        <stp>0</stp>
        <stp>STK</stp>
        <stp>N007310</stp>
        <stp>현재가</stp>
        <stp/>
        <stp/>
        <tr r="G194" s="3"/>
        <tr r="G244" s="1"/>
      </tp>
      <tp>
        <v>21200</v>
        <stp/>
        <stp>P</stp>
        <stp>0</stp>
        <stp>STK</stp>
        <stp>N007070</stp>
        <stp>현재가</stp>
        <stp/>
        <stp/>
        <tr r="G183" s="3"/>
        <tr r="G232" s="1"/>
      </tp>
      <tp>
        <v>56800</v>
        <stp/>
        <stp>P</stp>
        <stp>0</stp>
        <stp>STK</stp>
        <stp>N007160</stp>
        <stp>현재가</stp>
        <stp/>
        <stp/>
        <tr r="G362" s="3"/>
        <tr r="G649" s="1"/>
      </tp>
      <tp>
        <v>62400</v>
        <stp/>
        <stp>P</stp>
        <stp>0</stp>
        <stp>STK</stp>
        <stp>N007810</stp>
        <stp>현재가</stp>
        <stp/>
        <stp/>
        <tr r="G199" s="3"/>
        <tr r="G250" s="1"/>
      </tp>
      <tp>
        <v>1794000</v>
        <stp/>
        <stp>P</stp>
        <stp>0</stp>
        <stp>STK</stp>
        <stp>N207940</stp>
        <stp>현재가</stp>
        <stp/>
        <stp/>
        <tr r="G10" s="1"/>
        <tr r="G10" s="3"/>
      </tp>
      <tp>
        <v>468000</v>
        <stp/>
        <stp>P</stp>
        <stp>0</stp>
        <stp>STK</stp>
        <stp>N307950</stp>
        <stp>현재가</stp>
        <stp/>
        <stp/>
        <tr r="G58" s="1"/>
        <tr r="G60" s="3"/>
      </tp>
      <tp>
        <v>41450</v>
        <stp/>
        <stp>P</stp>
        <stp>0</stp>
        <stp>STK</stp>
        <stp>N200670</stp>
        <stp>현재가</stp>
        <stp/>
        <stp/>
        <tr r="G507" s="1"/>
      </tp>
      <tp>
        <v>104300</v>
        <stp/>
        <stp>P</stp>
        <stp>0</stp>
        <stp>STK</stp>
        <stp>N000640</stp>
        <stp>현재가</stp>
        <stp/>
        <stp/>
        <tr r="G264" s="3"/>
        <tr r="G394" s="1"/>
      </tp>
      <tp>
        <v>54700</v>
        <stp/>
        <stp>P</stp>
        <stp>0</stp>
        <stp>STK</stp>
        <stp>N000670</stp>
        <stp>현재가</stp>
        <stp/>
        <stp/>
        <tr r="G231" s="3"/>
        <tr r="G321" s="1"/>
      </tp>
      <tp>
        <v>750000</v>
        <stp/>
        <stp>P</stp>
        <stp>0</stp>
        <stp>STK</stp>
        <stp>N000660</stp>
        <stp>현재가</stp>
        <stp/>
        <stp/>
        <tr r="G7" s="3"/>
        <tr r="G7" s="1"/>
      </tp>
      <tp>
        <v>37050</v>
        <stp/>
        <stp>P</stp>
        <stp>0</stp>
        <stp>STK</stp>
        <stp>N0007C0</stp>
        <stp>현재가</stp>
        <stp/>
        <stp/>
        <tr r="G685" s="1"/>
      </tp>
      <tp>
        <v>12830</v>
        <stp/>
        <stp>P</stp>
        <stp>0</stp>
        <stp>STK</stp>
        <stp>N100790</stp>
        <stp>현재가</stp>
        <stp/>
        <stp/>
        <tr r="G390" s="1"/>
      </tp>
      <tp>
        <v>16540</v>
        <stp/>
        <stp>P</stp>
        <stp>0</stp>
        <stp>STK</stp>
        <stp>N300720</stp>
        <stp>현재가</stp>
        <stp/>
        <stp/>
        <tr r="G211" s="3"/>
        <tr r="G279" s="1"/>
      </tp>
      <tp>
        <v>33600</v>
        <stp/>
        <stp>P</stp>
        <stp>0</stp>
        <stp>STK</stp>
        <stp>N200710</stp>
        <stp>현재가</stp>
        <stp/>
        <stp/>
        <tr r="G491" s="1"/>
      </tp>
      <tp>
        <v>108200</v>
        <stp/>
        <stp>P</stp>
        <stp>0</stp>
        <stp>STK</stp>
        <stp>N000720</stp>
        <stp>현재가</stp>
        <stp/>
        <stp/>
        <tr r="G65" s="1"/>
        <tr r="G63" s="3"/>
      </tp>
      <tp>
        <v>10210</v>
        <stp/>
        <stp>P</stp>
        <stp>0</stp>
        <stp>STK</stp>
        <stp>N000490</stp>
        <stp>현재가</stp>
        <stp/>
        <stp/>
        <tr r="G628" s="1"/>
        <tr r="G360" s="3"/>
      </tp>
      <tp>
        <v>88800</v>
        <stp/>
        <stp>P</stp>
        <stp>0</stp>
        <stp>STK</stp>
        <stp>N000500</stp>
        <stp>현재가</stp>
        <stp/>
        <stp/>
        <tr r="G196" s="3"/>
        <tr r="G249" s="1"/>
      </tp>
      <tp>
        <v>339500</v>
        <stp/>
        <stp>P</stp>
        <stp>0</stp>
        <stp>STK</stp>
        <stp>N000250</stp>
        <stp>현재가</stp>
        <stp/>
        <stp/>
        <tr r="G97" s="1"/>
      </tp>
      <tp>
        <v>27000</v>
        <stp/>
        <stp>P</stp>
        <stp>0</stp>
        <stp>STK</stp>
        <stp>N000240</stp>
        <stp>현재가</stp>
        <stp/>
        <stp/>
        <tr r="G145" s="3"/>
        <tr r="G171" s="1"/>
      </tp>
      <tp>
        <v>162100</v>
        <stp/>
        <stp>P</stp>
        <stp>0</stp>
        <stp>STK</stp>
        <stp>N000270</stp>
        <stp>현재가</stp>
        <stp/>
        <stp/>
        <tr r="G11" s="1"/>
        <tr r="G12" s="3"/>
      </tp>
      <tp>
        <v>36900</v>
        <stp/>
        <stp>P</stp>
        <stp>0</stp>
        <stp>STK</stp>
        <stp>N000210</stp>
        <stp>현재가</stp>
        <stp/>
        <stp/>
        <tr r="G250" s="3"/>
        <tr r="G365" s="1"/>
      </tp>
      <tp>
        <v>21150</v>
        <stp/>
        <stp>P</stp>
        <stp>0</stp>
        <stp>STK</stp>
        <stp>N000320</stp>
        <stp>현재가</stp>
        <stp/>
        <stp/>
        <tr r="G365" s="3"/>
        <tr r="G654" s="1"/>
      </tp>
      <tp>
        <v>18020</v>
        <stp/>
        <stp>P</stp>
        <stp>0</stp>
        <stp>STK</stp>
        <stp>N000080</stp>
        <stp>현재가</stp>
        <stp/>
        <stp/>
        <tr r="G208" s="3"/>
        <tr r="G274" s="1"/>
      </tp>
      <tp>
        <v>19470</v>
        <stp/>
        <stp>P</stp>
        <stp>0</stp>
        <stp>STK</stp>
        <stp>N100090</stp>
        <stp>현재가</stp>
        <stp/>
        <stp/>
        <tr r="G282" s="1"/>
        <tr r="G212" s="3"/>
      </tp>
      <tp>
        <v>15880</v>
        <stp/>
        <stp>P</stp>
        <stp>0</stp>
        <stp>STK</stp>
        <stp>N300080</stp>
        <stp>현재가</stp>
        <stp/>
        <stp/>
        <tr r="G662" s="1"/>
      </tp>
      <tp>
        <v>59000</v>
        <stp/>
        <stp>P</stp>
        <stp>0</stp>
        <stp>STK</stp>
        <stp>N000070</stp>
        <stp>현재가</stp>
        <stp/>
        <stp/>
        <tr r="G311" s="3"/>
        <tr r="G502" s="1"/>
      </tp>
      <tp>
        <v>907000</v>
        <stp/>
        <stp>P</stp>
        <stp>0</stp>
        <stp>STK</stp>
        <stp>N000150</stp>
        <stp>현재가</stp>
        <stp/>
        <stp/>
        <tr r="G61" s="1"/>
        <tr r="G56" s="3"/>
      </tp>
      <tp>
        <v>12390</v>
        <stp/>
        <stp>P</stp>
        <stp>0</stp>
        <stp>STK</stp>
        <stp>N200130</stp>
        <stp>현재가</stp>
        <stp/>
        <stp/>
        <tr r="G562" s="1"/>
      </tp>
      <tp>
        <v>105800</v>
        <stp/>
        <stp>P</stp>
        <stp>0</stp>
        <stp>STK</stp>
        <stp>N000100</stp>
        <stp>현재가</stp>
        <stp/>
        <stp/>
        <tr r="G78" s="3"/>
        <tr r="G84" s="1"/>
      </tp>
      <tp>
        <v>100100</v>
        <stp/>
        <stp>P</stp>
        <stp>0</stp>
        <stp>STK</stp>
        <stp>N000120</stp>
        <stp>현재가</stp>
        <stp/>
        <stp/>
        <tr r="G159" s="3"/>
        <tr r="G194" s="1"/>
      </tp>
      <tp>
        <v>33000</v>
        <stp/>
        <stp>P</stp>
        <stp>0</stp>
        <stp>STK</stp>
        <stp>N0008Z0</stp>
        <stp>현재가</stp>
        <stp/>
        <stp/>
        <tr r="G610" s="1"/>
      </tp>
      <tp>
        <v>117900</v>
        <stp/>
        <stp>P</stp>
        <stp>0</stp>
        <stp>STK</stp>
        <stp>N000880</stp>
        <stp>현재가</stp>
        <stp/>
        <stp/>
        <tr r="G74" s="3"/>
        <tr r="G76" s="1"/>
      </tp>
      <tp>
        <v>15350</v>
        <stp/>
        <stp>P</stp>
        <stp>0</stp>
        <stp>STK</stp>
        <stp>N200880</stp>
        <stp>현재가</stp>
        <stp/>
        <stp/>
        <tr r="G503" s="1"/>
        <tr r="G317" s="3"/>
      </tp>
      <tp>
        <v>38900</v>
        <stp/>
        <stp>P</stp>
        <stp>0</stp>
        <stp>STK</stp>
        <stp>N100840</stp>
        <stp>현재가</stp>
        <stp/>
        <stp/>
        <tr r="G245" s="3"/>
        <tr r="G347" s="1"/>
      </tp>
      <tp>
        <v>488000</v>
        <stp/>
        <stp>P</stp>
        <stp>0</stp>
        <stp>STK</stp>
        <stp>N000810</stp>
        <stp>현재가</stp>
        <stp/>
        <stp/>
        <tr r="G35" s="1"/>
        <tr r="G35" s="3"/>
      </tp>
      <tp>
        <v>51000</v>
        <stp/>
        <stp>P</stp>
        <stp>0</stp>
        <stp>STK</stp>
        <stp>N0009K0</stp>
        <stp>현재가</stp>
        <stp/>
        <stp/>
        <tr r="G143" s="1"/>
      </tp>
      <tp>
        <v>92200</v>
        <stp/>
        <stp>P</stp>
        <stp>0</stp>
        <stp>STK</stp>
        <stp>N000990</stp>
        <stp>현재가</stp>
        <stp/>
        <stp/>
        <tr r="G125" s="1"/>
        <tr r="G113" s="3"/>
      </tp>
      <tp>
        <v>21950</v>
        <stp/>
        <stp>P</stp>
        <stp>0</stp>
        <stp>STK</stp>
        <stp>N001680</stp>
        <stp>현재가</stp>
        <stp/>
        <stp/>
        <tr r="G253" s="3"/>
        <tr r="G371" s="1"/>
      </tp>
      <tp>
        <v>47200</v>
        <stp/>
        <stp>P</stp>
        <stp>0</stp>
        <stp>STK</stp>
        <stp>N001630</stp>
        <stp>현재가</stp>
        <stp/>
        <stp/>
        <tr r="G376" s="3"/>
        <tr r="G681" s="1"/>
      </tp>
      <tp>
        <v>18690</v>
        <stp/>
        <stp>P</stp>
        <stp>0</stp>
        <stp>STK</stp>
        <stp>N001750</stp>
        <stp>현재가</stp>
        <stp/>
        <stp/>
        <tr r="G682" s="1"/>
        <tr r="G377" s="3"/>
      </tp>
      <tp>
        <v>157300</v>
        <stp/>
        <stp>P</stp>
        <stp>0</stp>
        <stp>STK</stp>
        <stp>N001720</stp>
        <stp>현재가</stp>
        <stp/>
        <stp/>
        <tr r="G155" s="3"/>
        <tr r="G181" s="1"/>
      </tp>
      <tp>
        <v>6040</v>
        <stp/>
        <stp>P</stp>
        <stp>0</stp>
        <stp>STK</stp>
        <stp>N101730</stp>
        <stp>현재가</stp>
        <stp/>
        <stp/>
        <tr r="G472" s="1"/>
      </tp>
      <tp>
        <v>65200</v>
        <stp/>
        <stp>P</stp>
        <stp>0</stp>
        <stp>STK</stp>
        <stp>N101490</stp>
        <stp>현재가</stp>
        <stp/>
        <stp/>
        <tr r="G254" s="1"/>
      </tp>
      <tp>
        <v>27750</v>
        <stp/>
        <stp>P</stp>
        <stp>0</stp>
        <stp>STK</stp>
        <stp>N001450</stp>
        <stp>현재가</stp>
        <stp/>
        <stp/>
        <tr r="G151" s="3"/>
        <tr r="G180" s="1"/>
      </tp>
      <tp>
        <v>27550</v>
        <stp/>
        <stp>P</stp>
        <stp>0</stp>
        <stp>STK</stp>
        <stp>N001440</stp>
        <stp>현재가</stp>
        <stp/>
        <stp/>
        <tr r="G97" s="3"/>
        <tr r="G107" s="1"/>
      </tp>
      <tp>
        <v>41300</v>
        <stp/>
        <stp>P</stp>
        <stp>0</stp>
        <stp>STK</stp>
        <stp>N001460</stp>
        <stp>현재가</stp>
        <stp/>
        <stp/>
        <tr r="G366" s="3"/>
        <tr r="G657" s="1"/>
      </tp>
      <tp>
        <v>74400</v>
        <stp/>
        <stp>P</stp>
        <stp>0</stp>
        <stp>STK</stp>
        <stp>N001430</stp>
        <stp>현재가</stp>
        <stp/>
        <stp/>
        <tr r="G163" s="1"/>
        <tr r="G141" s="3"/>
      </tp>
      <tp>
        <v>8660</v>
        <stp/>
        <stp>P</stp>
        <stp>0</stp>
        <stp>STK</stp>
        <stp>N001500</stp>
        <stp>현재가</stp>
        <stp/>
        <stp/>
        <tr r="G459" s="1"/>
        <tr r="G289" s="3"/>
      </tp>
      <tp>
        <v>19920</v>
        <stp/>
        <stp>P</stp>
        <stp>0</stp>
        <stp>STK</stp>
        <stp>N001530</stp>
        <stp>현재가</stp>
        <stp/>
        <stp/>
        <tr r="G546" s="1"/>
        <tr r="G325" s="3"/>
      </tp>
      <tp>
        <v>66800</v>
        <stp/>
        <stp>P</stp>
        <stp>0</stp>
        <stp>STK</stp>
        <stp>N001270</stp>
        <stp>현재가</stp>
        <stp/>
        <stp/>
        <tr r="G412" s="1"/>
        <tr r="G274" s="3"/>
      </tp>
      <tp>
        <v>19590</v>
        <stp/>
        <stp>P</stp>
        <stp>0</stp>
        <stp>STK</stp>
        <stp>N101360</stp>
        <stp>현재가</stp>
        <stp/>
        <stp/>
        <tr r="G597" s="1"/>
      </tp>
      <tp>
        <v>189400</v>
        <stp/>
        <stp>P</stp>
        <stp>0</stp>
        <stp>STK</stp>
        <stp>N001040</stp>
        <stp>현재가</stp>
        <stp/>
        <stp/>
        <tr r="G96" s="3"/>
        <tr r="G102" s="1"/>
      </tp>
      <tp>
        <v>27700</v>
        <stp/>
        <stp>P</stp>
        <stp>0</stp>
        <stp>STK</stp>
        <stp>N001060</stp>
        <stp>현재가</stp>
        <stp/>
        <stp/>
        <tr r="G271" s="3"/>
        <tr r="G407" s="1"/>
      </tp>
      <tp>
        <v>22650</v>
        <stp/>
        <stp>P</stp>
        <stp>0</stp>
        <stp>STK</stp>
        <stp>N101160</stp>
        <stp>현재가</stp>
        <stp/>
        <stp/>
        <tr r="G558" s="1"/>
      </tp>
      <tp>
        <v>143000</v>
        <stp/>
        <stp>P</stp>
        <stp>0</stp>
        <stp>STK</stp>
        <stp>N001130</stp>
        <stp>현재가</stp>
        <stp/>
        <stp/>
        <tr r="G375" s="3"/>
        <tr r="G680" s="1"/>
      </tp>
      <tp>
        <v>35850</v>
        <stp/>
        <stp>P</stp>
        <stp>0</stp>
        <stp>STK</stp>
        <stp>N001120</stp>
        <stp>현재가</stp>
        <stp/>
        <stp/>
        <tr r="G201" s="3"/>
        <tr r="G257" s="1"/>
      </tp>
      <tp>
        <v>20600</v>
        <stp/>
        <stp>P</stp>
        <stp>0</stp>
        <stp>STK</stp>
        <stp>N001800</stp>
        <stp>현재가</stp>
        <stp/>
        <stp/>
        <tr r="G205" s="3"/>
        <tr r="G267" s="1"/>
      </tp>
      <tp>
        <v>31300</v>
        <stp/>
        <stp>P</stp>
        <stp>0</stp>
        <stp>STK</stp>
        <stp>N001820</stp>
        <stp>현재가</stp>
        <stp/>
        <stp/>
        <tr r="G595" s="1"/>
        <tr r="G344" s="3"/>
      </tp>
      <tp>
        <v>26500</v>
        <stp/>
        <stp>P</stp>
        <stp>0</stp>
        <stp>STK</stp>
        <stp>N001940</stp>
        <stp>현재가</stp>
        <stp/>
        <stp/>
        <tr r="G328" s="3"/>
        <tr r="G551" s="1"/>
      </tp>
      <tp>
        <v>44700</v>
        <stp/>
        <stp>P</stp>
        <stp>0</stp>
        <stp>STK</stp>
        <stp>N101930</stp>
        <stp>현재가</stp>
        <stp/>
        <stp/>
        <tr r="G522" s="1"/>
      </tp>
      <tp>
        <v>26800</v>
        <stp/>
        <stp>P</stp>
        <stp>0</stp>
        <stp>STK</stp>
        <stp>N002790</stp>
        <stp>현재가</stp>
        <stp/>
        <stp/>
        <tr r="G166" s="3"/>
        <tr r="G207" s="1"/>
      </tp>
      <tp>
        <v>15660</v>
        <stp/>
        <stp>P</stp>
        <stp>0</stp>
        <stp>STK</stp>
        <stp>N002710</stp>
        <stp>현재가</stp>
        <stp/>
        <stp/>
        <tr r="G324" s="3"/>
        <tr r="G567" s="1"/>
      </tp>
      <tp>
        <v>48700</v>
        <stp/>
        <stp>P</stp>
        <stp>0</stp>
        <stp>STK</stp>
        <stp>N102710</stp>
        <stp>현재가</stp>
        <stp/>
        <stp/>
        <tr r="G398" s="1"/>
      </tp>
      <tp>
        <v>49400</v>
        <stp/>
        <stp>P</stp>
        <stp>0</stp>
        <stp>STK</stp>
        <stp>N302440</stp>
        <stp>현재가</stp>
        <stp/>
        <stp/>
        <tr r="G116" s="3"/>
        <tr r="G131" s="1"/>
      </tp>
      <tp>
        <v>21900</v>
        <stp/>
        <stp>P</stp>
        <stp>0</stp>
        <stp>STK</stp>
        <stp>N002240</stp>
        <stp>현재가</stp>
        <stp/>
        <stp/>
        <tr r="G277" s="3"/>
        <tr r="G426" s="1"/>
      </tp>
      <tp>
        <v>457500</v>
        <stp/>
        <stp>P</stp>
        <stp>0</stp>
        <stp>STK</stp>
        <stp>N002380</stp>
        <stp>현재가</stp>
        <stp/>
        <stp/>
        <tr r="G115" s="3"/>
        <tr r="G127" s="1"/>
      </tp>
      <tp>
        <v>441500</v>
        <stp/>
        <stp>P</stp>
        <stp>0</stp>
        <stp>STK</stp>
        <stp>N402340</stp>
        <stp>현재가</stp>
        <stp/>
        <stp/>
        <tr r="G15" s="3"/>
        <tr r="G15" s="1"/>
      </tp>
      <tp>
        <v>19510</v>
        <stp/>
        <stp>P</stp>
        <stp>0</stp>
        <stp>STK</stp>
        <stp>N002320</stp>
        <stp>현재가</stp>
        <stp/>
        <stp/>
        <tr r="G619" s="1"/>
        <tr r="G357" s="3"/>
      </tp>
      <tp>
        <v>22200</v>
        <stp/>
        <stp>P</stp>
        <stp>0</stp>
        <stp>STK</stp>
        <stp>N402030</stp>
        <stp>현재가</stp>
        <stp/>
        <stp/>
        <tr r="G641" s="1"/>
      </tp>
      <tp>
        <v>288500</v>
        <stp/>
        <stp>P</stp>
        <stp>0</stp>
        <stp>STK</stp>
        <stp>N002030</stp>
        <stp>현재가</stp>
        <stp/>
        <stp/>
        <tr r="G278" s="3"/>
        <tr r="G430" s="1"/>
      </tp>
      <tp>
        <v>45950</v>
        <stp/>
        <stp>P</stp>
        <stp>0</stp>
        <stp>STK</stp>
        <stp>N002020</stp>
        <stp>현재가</stp>
        <stp/>
        <stp/>
        <tr r="G279" s="3"/>
        <tr r="G440" s="1"/>
      </tp>
      <tp>
        <v>142200</v>
        <stp/>
        <stp>P</stp>
        <stp>0</stp>
        <stp>STK</stp>
        <stp>N002840</stp>
        <stp>현재가</stp>
        <stp/>
        <stp/>
        <tr r="G392" s="1"/>
        <tr r="G261" s="3"/>
      </tp>
      <tp>
        <v>16490</v>
        <stp/>
        <stp>P</stp>
        <stp>0</stp>
        <stp>STK</stp>
        <stp>N002810</stp>
        <stp>현재가</stp>
        <stp/>
        <stp/>
        <tr r="G354" s="3"/>
        <tr r="G616" s="1"/>
      </tp>
      <tp>
        <v>49950</v>
        <stp/>
        <stp>P</stp>
        <stp>0</stp>
        <stp>STK</stp>
        <stp>N102940</stp>
        <stp>현재가</stp>
        <stp/>
        <stp/>
        <tr r="G424" s="1"/>
      </tp>
      <tp>
        <v>434000</v>
        <stp/>
        <stp>P</stp>
        <stp>0</stp>
        <stp>STK</stp>
        <stp>N002960</stp>
        <stp>현재가</stp>
        <stp/>
        <stp/>
        <tr r="G281" s="3"/>
        <tr r="G442" s="1"/>
      </tp>
      <tp>
        <v>11080</v>
        <stp/>
        <stp>P</stp>
        <stp>0</stp>
        <stp>STK</stp>
        <stp>N003690</stp>
        <stp>현재가</stp>
        <stp/>
        <stp/>
        <tr r="G162" s="3"/>
        <tr r="G196" s="1"/>
      </tp>
      <tp>
        <v>215500</v>
        <stp/>
        <stp>P</stp>
        <stp>0</stp>
        <stp>STK</stp>
        <stp>N003670</stp>
        <stp>현재가</stp>
        <stp/>
        <stp/>
        <tr r="G43" s="3"/>
        <tr r="G46" s="1"/>
      </tp>
      <tp>
        <v>24150</v>
        <stp/>
        <stp>P</stp>
        <stp>0</stp>
        <stp>STK</stp>
        <stp>N003490</stp>
        <stp>현재가</stp>
        <stp/>
        <stp/>
        <tr r="G79" s="1"/>
        <tr r="G73" s="3"/>
      </tp>
      <tp>
        <v>60500</v>
        <stp/>
        <stp>P</stp>
        <stp>0</stp>
        <stp>STK</stp>
        <stp>N103590</stp>
        <stp>현재가</stp>
        <stp/>
        <stp/>
        <tr r="G154" s="1"/>
        <tr r="G134" s="3"/>
      </tp>
      <tp>
        <v>89000</v>
        <stp/>
        <stp>P</stp>
        <stp>0</stp>
        <stp>STK</stp>
        <stp>N003550</stp>
        <stp>현재가</stp>
        <stp/>
        <stp/>
        <tr r="G62" s="1"/>
        <tr r="G58" s="3"/>
      </tp>
      <tp>
        <v>28150</v>
        <stp/>
        <stp>P</stp>
        <stp>0</stp>
        <stp>STK</stp>
        <stp>N003540</stp>
        <stp>현재가</stp>
        <stp/>
        <stp/>
        <tr r="G200" s="3"/>
        <tr r="G259" s="1"/>
      </tp>
      <tp>
        <v>50200</v>
        <stp/>
        <stp>P</stp>
        <stp>0</stp>
        <stp>STK</stp>
        <stp>N003570</stp>
        <stp>현재가</stp>
        <stp/>
        <stp/>
        <tr r="G186" s="3"/>
        <tr r="G234" s="1"/>
      </tp>
      <tp>
        <v>12050</v>
        <stp/>
        <stp>P</stp>
        <stp>0</stp>
        <stp>STK</stp>
        <stp>N403550</stp>
        <stp>현재가</stp>
        <stp/>
        <stp/>
        <tr r="G322" s="3"/>
        <tr r="G537" s="1"/>
      </tp>
      <tp>
        <v>785000</v>
        <stp/>
        <stp>P</stp>
        <stp>0</stp>
        <stp>STK</stp>
        <stp>N003240</stp>
        <stp>현재가</stp>
        <stp/>
        <stp/>
        <tr r="G239" s="3"/>
        <tr r="G341" s="1"/>
      </tp>
      <tp>
        <v>12540</v>
        <stp/>
        <stp>P</stp>
        <stp>0</stp>
        <stp>STK</stp>
        <stp>N003200</stp>
        <stp>현재가</stp>
        <stp/>
        <stp/>
        <tr r="G358" s="3"/>
        <tr r="G618" s="1"/>
      </tp>
      <tp>
        <v>1255000</v>
        <stp/>
        <stp>P</stp>
        <stp>0</stp>
        <stp>STK</stp>
        <stp>N003230</stp>
        <stp>현재가</stp>
        <stp/>
        <stp/>
        <tr r="G71" s="3"/>
        <tr r="G77" s="1"/>
      </tp>
      <tp>
        <v>11500</v>
        <stp/>
        <stp>P</stp>
        <stp>0</stp>
        <stp>STK</stp>
        <stp>N003220</stp>
        <stp>현재가</stp>
        <stp/>
        <stp/>
        <tr r="G667" s="1"/>
        <tr r="G370" s="3"/>
      </tp>
      <tp>
        <v>11350</v>
        <stp/>
        <stp>P</stp>
        <stp>0</stp>
        <stp>STK</stp>
        <stp>N003380</stp>
        <stp>현재가</stp>
        <stp/>
        <stp/>
        <tr r="G276" s="1"/>
      </tp>
      <tp>
        <v>15600</v>
        <stp/>
        <stp>P</stp>
        <stp>0</stp>
        <stp>STK</stp>
        <stp>N003300</stp>
        <stp>현재가</stp>
        <stp/>
        <stp/>
        <tr r="G303" s="3"/>
        <tr r="G489" s="1"/>
      </tp>
      <tp>
        <v>22200</v>
        <stp/>
        <stp>P</stp>
        <stp>0</stp>
        <stp>STK</stp>
        <stp>N003090</stp>
        <stp>현재가</stp>
        <stp/>
        <stp/>
        <tr r="G206" s="3"/>
        <tr r="G269" s="1"/>
      </tp>
      <tp>
        <v>131000</v>
        <stp/>
        <stp>P</stp>
        <stp>0</stp>
        <stp>STK</stp>
        <stp>N003030</stp>
        <stp>현재가</stp>
        <stp/>
        <stp/>
        <tr r="G285" s="3"/>
        <tr r="G466" s="1"/>
      </tp>
      <tp>
        <v>119900</v>
        <stp/>
        <stp>P</stp>
        <stp>0</stp>
        <stp>STK</stp>
        <stp>N103140</stp>
        <stp>현재가</stp>
        <stp/>
        <stp/>
        <tr r="G124" s="3"/>
        <tr r="G141" s="1"/>
      </tp>
      <tp>
        <v>28100</v>
        <stp/>
        <stp>P</stp>
        <stp>0</stp>
        <stp>STK</stp>
        <stp>N003160</stp>
        <stp>현재가</stp>
        <stp/>
        <stp/>
        <tr r="G342" s="1"/>
        <tr r="G242" s="3"/>
      </tp>
      <tp>
        <v>21050</v>
        <stp/>
        <stp>P</stp>
        <stp>0</stp>
        <stp>STK</stp>
        <stp>N003120</stp>
        <stp>현재가</stp>
        <stp/>
        <stp/>
        <tr r="G363" s="3"/>
        <tr r="G630" s="1"/>
      </tp>
      <tp>
        <v>8960</v>
        <stp/>
        <stp>P</stp>
        <stp>0</stp>
        <stp>STK</stp>
        <stp>N003850</stp>
        <stp>현재가</stp>
        <stp/>
        <stp/>
        <tr r="G366" s="1"/>
        <tr r="G254" s="3"/>
      </tp>
      <tp>
        <v>23900</v>
        <stp/>
        <stp>P</stp>
        <stp>0</stp>
        <stp>STK</stp>
        <stp>N403850</stp>
        <stp>현재가</stp>
        <stp/>
        <stp/>
        <tr r="G578" s="1"/>
      </tp>
      <tp>
        <v>33250</v>
        <stp/>
        <stp>P</stp>
        <stp>0</stp>
        <stp>STK</stp>
        <stp>N403870</stp>
        <stp>현재가</stp>
        <stp/>
        <stp/>
        <tr r="G157" s="1"/>
      </tp>
      <tp>
        <v>35500</v>
        <stp/>
        <stp>P</stp>
        <stp>0</stp>
        <stp>STK</stp>
        <stp>N003960</stp>
        <stp>현재가</stp>
        <stp/>
        <stp/>
        <tr r="G598" s="1"/>
        <tr r="G346" s="3"/>
      </tp>
      <tp>
        <v>50200</v>
        <stp/>
        <stp>P</stp>
        <stp>0</stp>
        <stp>STK</stp>
        <stp>N003920</stp>
        <stp>현재가</stp>
        <stp/>
        <stp/>
        <tr r="G355" s="3"/>
        <tr r="G617" s="1"/>
      </tp>
      <tp>
        <v>229500</v>
        <stp/>
        <stp>P</stp>
        <stp>0</stp>
        <stp>STK</stp>
        <stp>N018670</stp>
        <stp>현재가</stp>
        <stp/>
        <stp/>
        <tr r="G206" s="1"/>
        <tr r="G167" s="3"/>
      </tp>
      <tp>
        <v>34050</v>
        <stp/>
        <stp>P</stp>
        <stp>0</stp>
        <stp>STK</stp>
        <stp>N218410</stp>
        <stp>현재가</stp>
        <stp/>
        <stp/>
        <tr r="G324" s="1"/>
      </tp>
      <tp>
        <v>16910</v>
        <stp/>
        <stp>P</stp>
        <stp>0</stp>
        <stp>STK</stp>
        <stp>N018290</stp>
        <stp>현재가</stp>
        <stp/>
        <stp/>
        <tr r="G439" s="1"/>
      </tp>
      <tp>
        <v>12840</v>
        <stp/>
        <stp>P</stp>
        <stp>0</stp>
        <stp>STK</stp>
        <stp>N018250</stp>
        <stp>현재가</stp>
        <stp/>
        <stp/>
        <tr r="G590" s="1"/>
        <tr r="G343" s="3"/>
      </tp>
      <tp>
        <v>170700</v>
        <stp/>
        <stp>P</stp>
        <stp>0</stp>
        <stp>STK</stp>
        <stp>N018260</stp>
        <stp>현재가</stp>
        <stp/>
        <stp/>
        <tr r="G59" s="3"/>
        <tr r="G60" s="1"/>
      </tp>
      <tp>
        <v>19030</v>
        <stp/>
        <stp>P</stp>
        <stp>0</stp>
        <stp>STK</stp>
        <stp>N018310</stp>
        <stp>현재가</stp>
        <stp/>
        <stp/>
        <tr r="G644" s="1"/>
      </tp>
      <tp>
        <v>3340</v>
        <stp/>
        <stp>P</stp>
        <stp>0</stp>
        <stp>STK</stp>
        <stp>N018880</stp>
        <stp>현재가</stp>
        <stp/>
        <stp/>
        <tr r="G142" s="1"/>
        <tr r="G122" s="3"/>
      </tp>
      <tp>
        <v>39000</v>
        <stp/>
        <stp>P</stp>
        <stp>0</stp>
        <stp>STK</stp>
        <stp>N319660</stp>
        <stp>현재가</stp>
        <stp/>
        <stp/>
        <tr r="G284" s="1"/>
      </tp>
      <tp>
        <v>37500</v>
        <stp/>
        <stp>P</stp>
        <stp>0</stp>
        <stp>STK</stp>
        <stp>N419530</stp>
        <stp>현재가</stp>
        <stp/>
        <stp/>
        <tr r="G577" s="1"/>
      </tp>
      <tp>
        <v>12330</v>
        <stp/>
        <stp>P</stp>
        <stp>0</stp>
        <stp>STK</stp>
        <stp>N019170</stp>
        <stp>현재가</stp>
        <stp/>
        <stp/>
        <tr r="G269" s="3"/>
        <tr r="G408" s="1"/>
      </tp>
      <tp>
        <v>34400</v>
        <stp/>
        <stp>P</stp>
        <stp>0</stp>
        <stp>STK</stp>
        <stp>N119850</stp>
        <stp>현재가</stp>
        <stp/>
        <stp/>
        <tr r="G432" s="1"/>
      </tp>
      <tp>
        <v>282000</v>
        <stp/>
        <stp>P</stp>
        <stp>0</stp>
        <stp>STK</stp>
        <stp>N014680</stp>
        <stp>현재가</stp>
        <stp/>
        <stp/>
        <tr r="G129" s="3"/>
        <tr r="G152" s="1"/>
      </tp>
      <tp>
        <v>28800</v>
        <stp/>
        <stp>P</stp>
        <stp>0</stp>
        <stp>STK</stp>
        <stp>N014620</stp>
        <stp>현재가</stp>
        <stp/>
        <stp/>
        <tr r="G361" s="1"/>
      </tp>
      <tp>
        <v>464000</v>
        <stp/>
        <stp>P</stp>
        <stp>0</stp>
        <stp>STK</stp>
        <stp>N214450</stp>
        <stp>현재가</stp>
        <stp/>
        <stp/>
        <tr r="G117" s="1"/>
      </tp>
      <tp>
        <v>85900</v>
        <stp/>
        <stp>P</stp>
        <stp>0</stp>
        <stp>STK</stp>
        <stp>N214430</stp>
        <stp>현재가</stp>
        <stp/>
        <stp/>
        <tr r="G414" s="1"/>
      </tp>
      <tp>
        <v>75700</v>
        <stp/>
        <stp>P</stp>
        <stp>0</stp>
        <stp>STK</stp>
        <stp>N214370</stp>
        <stp>현재가</stp>
        <stp/>
        <stp/>
        <tr r="G126" s="1"/>
      </tp>
      <tp>
        <v>18570</v>
        <stp/>
        <stp>P</stp>
        <stp>0</stp>
        <stp>STK</stp>
        <stp>N214320</stp>
        <stp>현재가</stp>
        <stp/>
        <stp/>
        <tr r="G256" s="3"/>
        <tr r="G375" s="1"/>
      </tp>
      <tp>
        <v>13100</v>
        <stp/>
        <stp>P</stp>
        <stp>0</stp>
        <stp>STK</stp>
        <stp>N114090</stp>
        <stp>현재가</stp>
        <stp/>
        <stp/>
        <tr r="G244" s="3"/>
        <tr r="G351" s="1"/>
      </tp>
      <tp>
        <v>18350</v>
        <stp/>
        <stp>P</stp>
        <stp>0</stp>
        <stp>STK</stp>
        <stp>N114190</stp>
        <stp>현재가</stp>
        <stp/>
        <stp/>
        <tr r="G563" s="1"/>
      </tp>
      <tp>
        <v>59900</v>
        <stp/>
        <stp>P</stp>
        <stp>0</stp>
        <stp>STK</stp>
        <stp>N214150</stp>
        <stp>현재가</stp>
        <stp/>
        <stp/>
        <tr r="G129" s="1"/>
      </tp>
      <tp>
        <v>15470</v>
        <stp/>
        <stp>P</stp>
        <stp>0</stp>
        <stp>STK</stp>
        <stp>N114840</stp>
        <stp>현재가</stp>
        <stp/>
        <stp/>
        <tr r="G661" s="1"/>
      </tp>
      <tp>
        <v>11630</v>
        <stp/>
        <stp>P</stp>
        <stp>0</stp>
        <stp>STK</stp>
        <stp>N114810</stp>
        <stp>현재가</stp>
        <stp/>
        <stp/>
        <tr r="G603" s="1"/>
      </tp>
      <tp>
        <v>82500</v>
        <stp/>
        <stp>P</stp>
        <stp>0</stp>
        <stp>STK</stp>
        <stp>N014830</stp>
        <stp>현재가</stp>
        <stp/>
        <stp/>
        <tr r="G484" s="1"/>
        <tr r="G299" s="3"/>
      </tp>
      <tp>
        <v>27150</v>
        <stp/>
        <stp>P</stp>
        <stp>0</stp>
        <stp>STK</stp>
        <stp>N014820</stp>
        <stp>현재가</stp>
        <stp/>
        <stp/>
        <tr r="G252" s="3"/>
        <tr r="G381" s="1"/>
      </tp>
      <tp>
        <v>8120</v>
        <stp/>
        <stp>P</stp>
        <stp>0</stp>
        <stp>STK</stp>
        <stp>N014940</stp>
        <stp>현재가</stp>
        <stp/>
        <stp/>
        <tr r="G550" s="1"/>
      </tp>
      <tp>
        <v>11950</v>
        <stp/>
        <stp>P</stp>
        <stp>0</stp>
        <stp>STK</stp>
        <stp>N314930</stp>
        <stp>현재가</stp>
        <stp/>
        <stp/>
        <tr r="G573" s="1"/>
      </tp>
      <tp>
        <v>7590</v>
        <stp/>
        <stp>P</stp>
        <stp>0</stp>
        <stp>STK</stp>
        <stp>N015750</stp>
        <stp>현재가</stp>
        <stp/>
        <stp/>
        <tr r="G404" s="1"/>
      </tp>
      <tp>
        <v>63700</v>
        <stp/>
        <stp>P</stp>
        <stp>0</stp>
        <stp>STK</stp>
        <stp>N015760</stp>
        <stp>현재가</stp>
        <stp/>
        <stp/>
        <tr r="G20" s="3"/>
        <tr r="G21" s="1"/>
      </tp>
      <tp>
        <v>39450</v>
        <stp/>
        <stp>P</stp>
        <stp>0</stp>
        <stp>STK</stp>
        <stp>N215200</stp>
        <stp>현재가</stp>
        <stp/>
        <stp/>
        <tr r="G535" s="1"/>
      </tp>
      <tp>
        <v>66300</v>
        <stp/>
        <stp>P</stp>
        <stp>0</stp>
        <stp>STK</stp>
        <stp>N015360</stp>
        <stp>현재가</stp>
        <stp/>
        <stp/>
        <tr r="G330" s="3"/>
        <tr r="G549" s="1"/>
      </tp>
      <tp>
        <v>53000</v>
        <stp/>
        <stp>P</stp>
        <stp>0</stp>
        <stp>STK</stp>
        <stp>N215000</stp>
        <stp>현재가</stp>
        <stp/>
        <stp/>
        <tr r="G592" s="1"/>
      </tp>
      <tp>
        <v>11900</v>
        <stp/>
        <stp>P</stp>
        <stp>0</stp>
        <stp>STK</stp>
        <stp>N016610</stp>
        <stp>현재가</stp>
        <stp/>
        <stp/>
        <tr r="G483" s="1"/>
        <tr r="G302" s="3"/>
      </tp>
      <tp>
        <v>12280</v>
        <stp/>
        <stp>P</stp>
        <stp>0</stp>
        <stp>STK</stp>
        <stp>N016590</stp>
        <stp>현재가</stp>
        <stp/>
        <stp/>
        <tr r="G462" s="1"/>
        <tr r="G294" s="3"/>
      </tp>
      <tp>
        <v>85500</v>
        <stp/>
        <stp>P</stp>
        <stp>0</stp>
        <stp>STK</stp>
        <stp>N016360</stp>
        <stp>현재가</stp>
        <stp/>
        <stp/>
        <tr r="G83" s="3"/>
        <tr r="G88" s="1"/>
      </tp>
      <tp>
        <v>33200</v>
        <stp/>
        <stp>P</stp>
        <stp>0</stp>
        <stp>STK</stp>
        <stp>N416180</stp>
        <stp>현재가</stp>
        <stp/>
        <stp/>
        <tr r="G634" s="1"/>
      </tp>
      <tp>
        <v>29200</v>
        <stp/>
        <stp>P</stp>
        <stp>0</stp>
        <stp>STK</stp>
        <stp>N316140</stp>
        <stp>현재가</stp>
        <stp/>
        <stp/>
        <tr r="G40" s="1"/>
        <tr r="G38" s="3"/>
      </tp>
      <tp>
        <v>43350</v>
        <stp/>
        <stp>P</stp>
        <stp>0</stp>
        <stp>STK</stp>
        <stp>N016800</stp>
        <stp>현재가</stp>
        <stp/>
        <stp/>
        <tr r="G296" s="3"/>
        <tr r="G475" s="1"/>
      </tp>
      <tp>
        <v>63300</v>
        <stp/>
        <stp>P</stp>
        <stp>0</stp>
        <stp>STK</stp>
        <stp>N017670</stp>
        <stp>현재가</stp>
        <stp/>
        <stp/>
        <tr r="G61" s="3"/>
        <tr r="G63" s="1"/>
      </tp>
      <tp>
        <v>26050</v>
        <stp/>
        <stp>P</stp>
        <stp>0</stp>
        <stp>STK</stp>
        <stp>N117730</stp>
        <stp>현재가</stp>
        <stp/>
        <stp/>
        <tr r="G411" s="1"/>
      </tp>
      <tp>
        <v>58600</v>
        <stp/>
        <stp>P</stp>
        <stp>0</stp>
        <stp>STK</stp>
        <stp>N317450</stp>
        <stp>현재가</stp>
        <stp/>
        <stp/>
        <tr r="G238" s="3"/>
        <tr r="G339" s="1"/>
      </tp>
      <tp>
        <v>15410</v>
        <stp/>
        <stp>P</stp>
        <stp>0</stp>
        <stp>STK</stp>
        <stp>N217590</stp>
        <stp>현재가</stp>
        <stp/>
        <stp/>
        <tr r="G326" s="3"/>
        <tr r="G542" s="1"/>
      </tp>
      <tp>
        <v>13360</v>
        <stp/>
        <stp>P</stp>
        <stp>0</stp>
        <stp>STK</stp>
        <stp>N417200</stp>
        <stp>현재가</stp>
        <stp/>
        <stp/>
        <tr r="G333" s="1"/>
      </tp>
      <tp>
        <v>64000</v>
        <stp/>
        <stp>P</stp>
        <stp>0</stp>
        <stp>STK</stp>
        <stp>N017390</stp>
        <stp>현재가</stp>
        <stp/>
        <stp/>
        <tr r="G350" s="3"/>
        <tr r="G601" s="1"/>
      </tp>
      <tp>
        <v>18760</v>
        <stp/>
        <stp>P</stp>
        <stp>0</stp>
        <stp>STK</stp>
        <stp>N317330</stp>
        <stp>현재가</stp>
        <stp/>
        <stp/>
        <tr r="G574" s="1"/>
      </tp>
      <tp>
        <v>19210</v>
        <stp/>
        <stp>P</stp>
        <stp>0</stp>
        <stp>STK</stp>
        <stp>N017860</stp>
        <stp>현재가</stp>
        <stp/>
        <stp/>
        <tr r="G594" s="1"/>
        <tr r="G338" s="3"/>
      </tp>
      <tp>
        <v>12960</v>
        <stp/>
        <stp>P</stp>
        <stp>0</stp>
        <stp>STK</stp>
        <stp>N017810</stp>
        <stp>현재가</stp>
        <stp/>
        <stp/>
        <tr r="G301" s="3"/>
        <tr r="G479" s="1"/>
      </tp>
      <tp>
        <v>93500</v>
        <stp/>
        <stp>P</stp>
        <stp>0</stp>
        <stp>STK</stp>
        <stp>N017800</stp>
        <stp>현재가</stp>
        <stp/>
        <stp/>
        <tr r="G137" s="1"/>
        <tr r="G121" s="3"/>
      </tp>
      <tp>
        <v>82500</v>
        <stp/>
        <stp>P</stp>
        <stp>0</stp>
        <stp>STK</stp>
        <stp>N017940</stp>
        <stp>현재가</stp>
        <stp/>
        <stp/>
        <tr r="G444" s="1"/>
        <tr r="G282" s="3"/>
      </tp>
      <tp>
        <v>35600</v>
        <stp/>
        <stp>P</stp>
        <stp>0</stp>
        <stp>STK</stp>
        <stp>N017960</stp>
        <stp>현재가</stp>
        <stp/>
        <stp/>
        <tr r="G218" s="1"/>
        <tr r="G178" s="3"/>
      </tp>
      <tp>
        <v>9640</v>
        <stp/>
        <stp>P</stp>
        <stp>0</stp>
        <stp>STK</stp>
        <stp>N010690</stp>
        <stp>현재가</stp>
        <stp/>
        <stp/>
        <tr r="G335" s="3"/>
        <tr r="G560" s="1"/>
      </tp>
      <tp>
        <v>22750</v>
        <stp/>
        <stp>P</stp>
        <stp>0</stp>
        <stp>STK</stp>
        <stp>N010780</stp>
        <stp>현재가</stp>
        <stp/>
        <stp/>
        <tr r="G266" s="3"/>
        <tr r="G395" s="1"/>
      </tp>
      <tp>
        <v>179900</v>
        <stp/>
        <stp>P</stp>
        <stp>0</stp>
        <stp>STK</stp>
        <stp>N310210</stp>
        <stp>현재가</stp>
        <stp/>
        <stp/>
        <tr r="G145" s="1"/>
      </tp>
      <tp>
        <v>122300</v>
        <stp/>
        <stp>P</stp>
        <stp>0</stp>
        <stp>STK</stp>
        <stp>N010060</stp>
        <stp>현재가</stp>
        <stp/>
        <stp/>
        <tr r="G165" s="3"/>
        <tr r="G199" s="1"/>
      </tp>
      <tp>
        <v>30750</v>
        <stp/>
        <stp>P</stp>
        <stp>0</stp>
        <stp>STK</stp>
        <stp>N010140</stp>
        <stp>현재가</stp>
        <stp/>
        <stp/>
        <tr r="G31" s="3"/>
        <tr r="G30" s="1"/>
      </tp>
      <tp>
        <v>1554000</v>
        <stp/>
        <stp>P</stp>
        <stp>0</stp>
        <stp>STK</stp>
        <stp>N010130</stp>
        <stp>현재가</stp>
        <stp/>
        <stp/>
        <tr r="G25" s="1"/>
        <tr r="G25" s="3"/>
      </tp>
      <tp>
        <v>506000</v>
        <stp/>
        <stp>P</stp>
        <stp>0</stp>
        <stp>STK</stp>
        <stp>N010120</stp>
        <stp>현재가</stp>
        <stp/>
        <stp/>
        <tr r="G55" s="3"/>
        <tr r="G55" s="1"/>
      </tp>
      <tp>
        <v>17740</v>
        <stp/>
        <stp>P</stp>
        <stp>0</stp>
        <stp>STK</stp>
        <stp>N110990</stp>
        <stp>현재가</stp>
        <stp/>
        <stp/>
        <tr r="G583" s="1"/>
      </tp>
      <tp>
        <v>97600</v>
        <stp/>
        <stp>P</stp>
        <stp>0</stp>
        <stp>STK</stp>
        <stp>N010950</stp>
        <stp>현재가</stp>
        <stp/>
        <stp/>
        <tr r="G66" s="3"/>
        <tr r="G69" s="1"/>
      </tp>
      <tp>
        <v>112500</v>
        <stp/>
        <stp>P</stp>
        <stp>0</stp>
        <stp>STK</stp>
        <stp>N011790</stp>
        <stp>현재가</stp>
        <stp/>
        <stp/>
        <tr r="G111" s="3"/>
        <tr r="G123" s="1"/>
      </tp>
      <tp>
        <v>150400</v>
        <stp/>
        <stp>P</stp>
        <stp>0</stp>
        <stp>STK</stp>
        <stp>N011780</stp>
        <stp>현재가</stp>
        <stp/>
        <stp/>
        <tr r="G133" s="1"/>
        <tr r="G117" s="3"/>
      </tp>
      <tp>
        <v>22200</v>
        <stp/>
        <stp>P</stp>
        <stp>0</stp>
        <stp>STK</stp>
        <stp>N011760</stp>
        <stp>현재가</stp>
        <stp/>
        <stp/>
        <tr r="G361" s="3"/>
        <tr r="G636" s="1"/>
      </tp>
      <tp>
        <v>85200</v>
        <stp/>
        <stp>P</stp>
        <stp>0</stp>
        <stp>STK</stp>
        <stp>N111770</stp>
        <stp>현재가</stp>
        <stp/>
        <stp/>
        <tr r="G135" s="1"/>
        <tr r="G120" s="3"/>
      </tp>
      <tp>
        <v>25400</v>
        <stp/>
        <stp>P</stp>
        <stp>0</stp>
        <stp>STK</stp>
        <stp>N011500</stp>
        <stp>현재가</stp>
        <stp/>
        <stp/>
        <tr r="G631" s="1"/>
        <tr r="G333" s="3"/>
      </tp>
      <tp>
        <v>88200</v>
        <stp/>
        <stp>P</stp>
        <stp>0</stp>
        <stp>STK</stp>
        <stp>N011210</stp>
        <stp>현재가</stp>
        <stp/>
        <stp/>
        <tr r="G146" s="3"/>
        <tr r="G164" s="1"/>
      </tp>
      <tp>
        <v>20300</v>
        <stp/>
        <stp>P</stp>
        <stp>0</stp>
        <stp>STK</stp>
        <stp>N011200</stp>
        <stp>현재가</stp>
        <stp/>
        <stp/>
        <tr r="G43" s="1"/>
        <tr r="G42" s="3"/>
      </tp>
      <tp>
        <v>282500</v>
        <stp/>
        <stp>P</stp>
        <stp>0</stp>
        <stp>STK</stp>
        <stp>N011070</stp>
        <stp>현재가</stp>
        <stp/>
        <stp/>
        <tr r="G88" s="3"/>
        <tr r="G94" s="1"/>
      </tp>
      <tp>
        <v>13220</v>
        <stp/>
        <stp>P</stp>
        <stp>0</stp>
        <stp>STK</stp>
        <stp>N211050</stp>
        <stp>현재가</stp>
        <stp/>
        <stp/>
        <tr r="G421" s="1"/>
      </tp>
      <tp>
        <v>79400</v>
        <stp/>
        <stp>P</stp>
        <stp>0</stp>
        <stp>STK</stp>
        <stp>N011170</stp>
        <stp>현재가</stp>
        <stp/>
        <stp/>
        <tr r="G126" s="3"/>
        <tr r="G149" s="1"/>
      </tp>
      <tp>
        <v>631000</v>
        <stp/>
        <stp>P</stp>
        <stp>0</stp>
        <stp>STK</stp>
        <stp>N0126Z0</stp>
        <stp>현재가</stp>
        <stp/>
        <stp/>
        <tr r="G54" s="3"/>
        <tr r="G57" s="1"/>
      </tp>
      <tp>
        <v>40850</v>
        <stp/>
        <stp>P</stp>
        <stp>0</stp>
        <stp>STK</stp>
        <stp>N112610</stp>
        <stp>현재가</stp>
        <stp/>
        <stp/>
        <tr r="G237" s="1"/>
        <tr r="G185" s="3"/>
      </tp>
      <tp>
        <v>17000</v>
        <stp/>
        <stp>P</stp>
        <stp>0</stp>
        <stp>STK</stp>
        <stp>N012630</stp>
        <stp>현재가</stp>
        <stp/>
        <stp/>
        <tr r="G228" s="3"/>
        <tr r="G309" s="1"/>
      </tp>
      <tp>
        <v>77900</v>
        <stp/>
        <stp>P</stp>
        <stp>0</stp>
        <stp>STK</stp>
        <stp>N012750</stp>
        <stp>현재가</stp>
        <stp/>
        <stp/>
        <tr r="G153" s="1"/>
        <tr r="G132" s="3"/>
      </tp>
      <tp>
        <v>1276000</v>
        <stp/>
        <stp>P</stp>
        <stp>0</stp>
        <stp>STK</stp>
        <stp>N012450</stp>
        <stp>현재가</stp>
        <stp/>
        <stp/>
        <tr r="G12" s="1"/>
        <tr r="G11" s="3"/>
      </tp>
      <tp>
        <v>96800</v>
        <stp/>
        <stp>P</stp>
        <stp>0</stp>
        <stp>STK</stp>
        <stp>N012510</stp>
        <stp>현재가</stp>
        <stp/>
        <stp/>
        <tr r="G133" s="3"/>
        <tr r="G155" s="1"/>
      </tp>
      <tp>
        <v>447000</v>
        <stp/>
        <stp>P</stp>
        <stp>0</stp>
        <stp>STK</stp>
        <stp>N012330</stp>
        <stp>현재가</stp>
        <stp/>
        <stp/>
        <tr r="G19" s="1"/>
        <tr r="G21" s="3"/>
      </tp>
      <tp>
        <v>91400</v>
        <stp/>
        <stp>P</stp>
        <stp>0</stp>
        <stp>STK</stp>
        <stp>N0120G0</stp>
        <stp>현재가</stp>
        <stp/>
        <stp/>
        <tr r="G275" s="3"/>
        <tr r="G433" s="1"/>
      </tp>
      <tp>
        <v>25900</v>
        <stp/>
        <stp>P</stp>
        <stp>0</stp>
        <stp>STK</stp>
        <stp>N112040</stp>
        <stp>현재가</stp>
        <stp/>
        <stp/>
        <tr r="G334" s="1"/>
      </tp>
      <tp>
        <v>36300</v>
        <stp/>
        <stp>P</stp>
        <stp>0</stp>
        <stp>STK</stp>
        <stp>N213420</stp>
        <stp>현재가</stp>
        <stp/>
        <stp/>
        <tr r="G335" s="1"/>
      </tp>
      <tp>
        <v>31700</v>
        <stp/>
        <stp>P</stp>
        <stp>0</stp>
        <stp>STK</stp>
        <stp>N013030</stp>
        <stp>현재가</stp>
        <stp/>
        <stp/>
        <tr r="G555" s="1"/>
      </tp>
      <tp>
        <v>12360</v>
        <stp/>
        <stp>P</stp>
        <stp>0</stp>
        <stp>STK</stp>
        <stp>N013890</stp>
        <stp>현재가</stp>
        <stp/>
        <stp/>
        <tr r="G653" s="1"/>
        <tr r="G364" s="3"/>
      </tp>
      <tp>
        <v>4395</v>
        <stp/>
        <stp>P</stp>
        <stp>0</stp>
        <stp>STK</stp>
        <stp>N028670</stp>
        <stp>현재가</stp>
        <stp/>
        <stp/>
        <tr r="G157" s="3"/>
        <tr r="G188" s="1"/>
      </tp>
      <tp>
        <v>23050</v>
        <stp/>
        <stp>P</stp>
        <stp>0</stp>
        <stp>STK</stp>
        <stp>N228760</stp>
        <stp>현재가</stp>
        <stp/>
        <stp/>
        <tr r="G449" s="1"/>
      </tp>
      <tp>
        <v>299000</v>
        <stp/>
        <stp>P</stp>
        <stp>0</stp>
        <stp>STK</stp>
        <stp>N028260</stp>
        <stp>현재가</stp>
        <stp/>
        <stp/>
        <tr r="G17" s="3"/>
        <tr r="G17" s="1"/>
      </tp>
      <tp>
        <v>53400</v>
        <stp/>
        <stp>P</stp>
        <stp>0</stp>
        <stp>STK</stp>
        <stp>N028300</stp>
        <stp>현재가</stp>
        <stp/>
        <stp/>
        <tr r="G93" s="1"/>
      </tp>
      <tp>
        <v>25050</v>
        <stp/>
        <stp>P</stp>
        <stp>0</stp>
        <stp>STK</stp>
        <stp>N028050</stp>
        <stp>현재가</stp>
        <stp/>
        <stp/>
        <tr r="G101" s="3"/>
        <tr r="G110" s="1"/>
      </tp>
      <tp>
        <v>37800</v>
        <stp/>
        <stp>P</stp>
        <stp>0</stp>
        <stp>STK</stp>
        <stp>N328130</stp>
        <stp>현재가</stp>
        <stp/>
        <stp/>
        <tr r="G295" s="1"/>
      </tp>
      <tp>
        <v>428000</v>
        <stp/>
        <stp>P</stp>
        <stp>0</stp>
        <stp>STK</stp>
        <stp>N128940</stp>
        <stp>현재가</stp>
        <stp/>
        <stp/>
        <tr r="G106" s="1"/>
        <tr r="G98" s="3"/>
      </tp>
      <tp>
        <v>39100</v>
        <stp/>
        <stp>P</stp>
        <stp>0</stp>
        <stp>STK</stp>
        <stp>N229640</stp>
        <stp>현재가</stp>
        <stp/>
        <stp/>
        <tr r="G289" s="1"/>
        <tr r="G214" s="3"/>
      </tp>
      <tp>
        <v>54000</v>
        <stp/>
        <stp>P</stp>
        <stp>0</stp>
        <stp>STK</stp>
        <stp>N029780</stp>
        <stp>현재가</stp>
        <stp/>
        <stp/>
        <tr r="G92" s="3"/>
        <tr r="G98" s="1"/>
      </tp>
      <tp>
        <v>28550</v>
        <stp/>
        <stp>P</stp>
        <stp>0</stp>
        <stp>STK</stp>
        <stp>N029460</stp>
        <stp>현재가</stp>
        <stp/>
        <stp/>
        <tr r="G329" s="3"/>
        <tr r="G554" s="1"/>
      </tp>
      <tp>
        <v>46250</v>
        <stp/>
        <stp>P</stp>
        <stp>0</stp>
        <stp>STK</stp>
        <stp>N029530</stp>
        <stp>현재가</stp>
        <stp/>
        <stp/>
        <tr r="G499" s="1"/>
        <tr r="G309" s="3"/>
      </tp>
      <tp>
        <v>623000</v>
        <stp/>
        <stp>P</stp>
        <stp>0</stp>
        <stp>STK</stp>
        <stp>N329180</stp>
        <stp>현재가</stp>
        <stp/>
        <stp/>
        <tr r="G13" s="3"/>
        <tr r="G13" s="1"/>
      </tp>
      <tp>
        <v>9440</v>
        <stp/>
        <stp>P</stp>
        <stp>0</stp>
        <stp>STK</stp>
        <stp>N024720</stp>
        <stp>현재가</stp>
        <stp/>
        <stp/>
        <tr r="G348" s="3"/>
        <tr r="G602" s="1"/>
      </tp>
      <tp>
        <v>21000</v>
        <stp/>
        <stp>P</stp>
        <stp>0</stp>
        <stp>STK</stp>
        <stp>N024110</stp>
        <stp>현재가</stp>
        <stp/>
        <stp/>
        <tr r="G52" s="1"/>
        <tr r="G50" s="3"/>
      </tp>
      <tp>
        <v>10390</v>
        <stp/>
        <stp>P</stp>
        <stp>0</stp>
        <stp>STK</stp>
        <stp>N424870</stp>
        <stp>현재가</stp>
        <stp/>
        <stp/>
        <tr r="G353" s="1"/>
      </tp>
      <tp>
        <v>7680</v>
        <stp/>
        <stp>P</stp>
        <stp>0</stp>
        <stp>STK</stp>
        <stp>N025770</stp>
        <stp>현재가</stp>
        <stp/>
        <stp/>
        <tr r="G633" s="1"/>
      </tp>
      <tp>
        <v>19180</v>
        <stp/>
        <stp>P</stp>
        <stp>0</stp>
        <stp>STK</stp>
        <stp>N125490</stp>
        <stp>현재가</stp>
        <stp/>
        <stp/>
        <tr r="G374" s="1"/>
      </tp>
      <tp>
        <v>34300</v>
        <stp/>
        <stp>P</stp>
        <stp>0</stp>
        <stp>STK</stp>
        <stp>N425420</stp>
        <stp>현재가</stp>
        <stp/>
        <stp/>
        <tr r="G532" s="1"/>
      </tp>
      <tp>
        <v>12100</v>
        <stp/>
        <stp>P</stp>
        <stp>0</stp>
        <stp>STK</stp>
        <stp>N225570</stp>
        <stp>현재가</stp>
        <stp/>
        <stp/>
        <tr r="G354" s="1"/>
      </tp>
      <tp>
        <v>75300</v>
        <stp/>
        <stp>P</stp>
        <stp>0</stp>
        <stp>STK</stp>
        <stp>N025540</stp>
        <stp>현재가</stp>
        <stp/>
        <stp/>
        <tr r="G352" s="1"/>
        <tr r="G248" s="3"/>
      </tp>
      <tp>
        <v>5730</v>
        <stp/>
        <stp>P</stp>
        <stp>0</stp>
        <stp>STK</stp>
        <stp>N025320</stp>
        <stp>현재가</stp>
        <stp/>
        <stp/>
        <tr r="G473" s="1"/>
      </tp>
      <tp>
        <v>7800</v>
        <stp/>
        <stp>P</stp>
        <stp>0</stp>
        <stp>STK</stp>
        <stp>N025980</stp>
        <stp>현재가</stp>
        <stp/>
        <stp/>
        <tr r="G373" s="1"/>
      </tp>
      <tp>
        <v>9020</v>
        <stp/>
        <stp>P</stp>
        <stp>0</stp>
        <stp>STK</stp>
        <stp>N025900</stp>
        <stp>현재가</stp>
        <stp/>
        <stp/>
        <tr r="G527" s="1"/>
      </tp>
      <tp>
        <v>26100</v>
        <stp/>
        <stp>P</stp>
        <stp>0</stp>
        <stp>STK</stp>
        <stp>N126720</stp>
        <stp>현재가</stp>
        <stp/>
        <stp/>
        <tr r="G327" s="3"/>
        <tr r="G544" s="1"/>
      </tp>
      <tp>
        <v>87400</v>
        <stp/>
        <stp>P</stp>
        <stp>0</stp>
        <stp>STK</stp>
        <stp>N126340</stp>
        <stp>현재가</stp>
        <stp/>
        <stp/>
        <tr r="G431" s="1"/>
      </tp>
      <tp>
        <v>11190</v>
        <stp/>
        <stp>P</stp>
        <stp>0</stp>
        <stp>STK</stp>
        <stp>N226320</stp>
        <stp>현재가</stp>
        <stp/>
        <stp/>
        <tr r="G676" s="1"/>
        <tr r="G373" s="3"/>
      </tp>
      <tp>
        <v>117200</v>
        <stp/>
        <stp>P</stp>
        <stp>0</stp>
        <stp>STK</stp>
        <stp>N326030</stp>
        <stp>현재가</stp>
        <stp/>
        <stp/>
        <tr r="G72" s="3"/>
        <tr r="G78" s="1"/>
      </tp>
      <tp>
        <v>10280</v>
        <stp/>
        <stp>P</stp>
        <stp>0</stp>
        <stp>STK</stp>
        <stp>N026890</stp>
        <stp>현재가</stp>
        <stp/>
        <stp/>
        <tr r="G530" s="1"/>
        <tr r="G318" s="3"/>
      </tp>
      <tp>
        <v>118600</v>
        <stp/>
        <stp>P</stp>
        <stp>0</stp>
        <stp>STK</stp>
        <stp>N226950</stp>
        <stp>현재가</stp>
        <stp/>
        <stp/>
        <tr r="G186" s="1"/>
      </tp>
      <tp>
        <v>26300</v>
        <stp/>
        <stp>P</stp>
        <stp>0</stp>
        <stp>STK</stp>
        <stp>N026960</stp>
        <stp>현재가</stp>
        <stp/>
        <stp/>
        <tr r="G172" s="1"/>
        <tr r="G144" s="3"/>
      </tp>
      <tp>
        <v>22300</v>
        <stp/>
        <stp>P</stp>
        <stp>0</stp>
        <stp>STK</stp>
        <stp>N127120</stp>
        <stp>현재가</stp>
        <stp/>
        <stp/>
        <tr r="G402" s="1"/>
      </tp>
      <tp>
        <v>51600</v>
        <stp/>
        <stp>P</stp>
        <stp>0</stp>
        <stp>STK</stp>
        <stp>N420770</stp>
        <stp>현재가</stp>
        <stp/>
        <stp/>
        <tr r="G384" s="1"/>
      </tp>
      <tp>
        <v>7710</v>
        <stp/>
        <stp>P</stp>
        <stp>0</stp>
        <stp>STK</stp>
        <stp>N020560</stp>
        <stp>현재가</stp>
        <stp/>
        <stp/>
        <tr r="G192" s="3"/>
        <tr r="G243" s="1"/>
      </tp>
      <tp>
        <v>15200</v>
        <stp/>
        <stp>P</stp>
        <stp>0</stp>
        <stp>STK</stp>
        <stp>N020000</stp>
        <stp>현재가</stp>
        <stp/>
        <stp/>
        <tr r="G337" s="3"/>
        <tr r="G584" s="1"/>
      </tp>
      <tp>
        <v>41050</v>
        <stp/>
        <stp>P</stp>
        <stp>0</stp>
        <stp>STK</stp>
        <stp>N020150</stp>
        <stp>현재가</stp>
        <stp/>
        <stp/>
        <tr r="G225" s="1"/>
        <tr r="G170" s="3"/>
      </tp>
      <tp>
        <v>47350</v>
        <stp/>
        <stp>P</stp>
        <stp>0</stp>
        <stp>STK</stp>
        <stp>N120110</stp>
        <stp>현재가</stp>
        <stp/>
        <stp/>
        <tr r="G277" s="1"/>
        <tr r="G207" s="3"/>
      </tp>
      <tp>
        <v>23500</v>
        <stp/>
        <stp>P</stp>
        <stp>0</stp>
        <stp>STK</stp>
        <stp>N220100</stp>
        <stp>현재가</stp>
        <stp/>
        <stp/>
        <tr r="G458" s="1"/>
      </tp>
      <tp>
        <v>58100</v>
        <stp/>
        <stp>P</stp>
        <stp>0</stp>
        <stp>STK</stp>
        <stp>N121600</stp>
        <stp>현재가</stp>
        <stp/>
        <stp/>
        <tr r="G416" s="1"/>
      </tp>
      <tp>
        <v>75900</v>
        <stp/>
        <stp>P</stp>
        <stp>0</stp>
        <stp>STK</stp>
        <stp>N021240</stp>
        <stp>현재가</stp>
        <stp/>
        <stp/>
        <tr r="G103" s="1"/>
        <tr r="G95" s="3"/>
      </tp>
      <tp>
        <v>18580</v>
        <stp/>
        <stp>P</stp>
        <stp>0</stp>
        <stp>STK</stp>
        <stp>N122640</stp>
        <stp>현재가</stp>
        <stp/>
        <stp/>
        <tr r="G541" s="1"/>
      </tp>
      <tp>
        <v>10060</v>
        <stp/>
        <stp>P</stp>
        <stp>0</stp>
        <stp>STK</stp>
        <stp>N222080</stp>
        <stp>현재가</stp>
        <stp/>
        <stp/>
        <tr r="G438" s="1"/>
      </tp>
      <tp>
        <v>59200</v>
        <stp/>
        <stp>P</stp>
        <stp>0</stp>
        <stp>STK</stp>
        <stp>N322000</stp>
        <stp>현재가</stp>
        <stp/>
        <stp/>
        <tr r="G273" s="3"/>
        <tr r="G420" s="1"/>
      </tp>
      <tp>
        <v>40550</v>
        <stp/>
        <stp>P</stp>
        <stp>0</stp>
        <stp>STK</stp>
        <stp>N022100</stp>
        <stp>현재가</stp>
        <stp/>
        <stp/>
        <tr r="G90" s="3"/>
        <tr r="G95" s="1"/>
      </tp>
      <tp>
        <v>71000</v>
        <stp/>
        <stp>P</stp>
        <stp>0</stp>
        <stp>STK</stp>
        <stp>N122870</stp>
        <stp>현재가</stp>
        <stp/>
        <stp/>
        <tr r="G270" s="1"/>
      </tp>
      <tp>
        <v>48100</v>
        <stp/>
        <stp>P</stp>
        <stp>0</stp>
        <stp>STK</stp>
        <stp>N222800</stp>
        <stp>현재가</stp>
        <stp/>
        <stp/>
        <tr r="G220" s="1"/>
      </tp>
      <tp>
        <v>21650</v>
        <stp/>
        <stp>P</stp>
        <stp>0</stp>
        <stp>STK</stp>
        <stp>N323410</stp>
        <stp>현재가</stp>
        <stp/>
        <stp/>
        <tr r="G69" s="3"/>
        <tr r="G72" s="1"/>
      </tp>
      <tp>
        <v>40200</v>
        <stp/>
        <stp>P</stp>
        <stp>0</stp>
        <stp>STK</stp>
        <stp>N023590</stp>
        <stp>현재가</stp>
        <stp/>
        <stp/>
        <tr r="G182" s="3"/>
        <tr r="G222" s="1"/>
      </tp>
      <tp>
        <v>77300</v>
        <stp/>
        <stp>P</stp>
        <stp>0</stp>
        <stp>STK</stp>
        <stp>N023530</stp>
        <stp>현재가</stp>
        <stp/>
        <stp/>
        <tr r="G200" s="1"/>
        <tr r="G163" s="3"/>
      </tp>
      <tp>
        <v>48250</v>
        <stp/>
        <stp>P</stp>
        <stp>0</stp>
        <stp>STK</stp>
        <stp>N323280</stp>
        <stp>현재가</stp>
        <stp/>
        <stp/>
        <tr r="G255" s="1"/>
      </tp>
      <tp>
        <v>25600</v>
        <stp/>
        <stp>P</stp>
        <stp>0</stp>
        <stp>STK</stp>
        <stp>N023160</stp>
        <stp>현재가</stp>
        <stp/>
        <stp/>
        <tr r="G386" s="1"/>
      </tp>
      <tp>
        <v>33750</v>
        <stp/>
        <stp>P</stp>
        <stp>0</stp>
        <stp>STK</stp>
        <stp>N138610</stp>
        <stp>현재가</stp>
        <stp/>
        <stp/>
        <tr r="G545" s="1"/>
      </tp>
      <tp>
        <v>8750</v>
        <stp/>
        <stp>P</stp>
        <stp>0</stp>
        <stp>STK</stp>
        <stp>N138490</stp>
        <stp>현재가</stp>
        <stp/>
        <stp/>
        <tr r="G608" s="1"/>
        <tr r="G345" s="3"/>
      </tp>
      <tp>
        <v>20150</v>
        <stp/>
        <stp>P</stp>
        <stp>0</stp>
        <stp>STK</stp>
        <stp>N338220</stp>
        <stp>현재가</stp>
        <stp/>
        <stp/>
        <tr r="G643" s="1"/>
      </tp>
      <tp>
        <v>108700</v>
        <stp/>
        <stp>P</stp>
        <stp>0</stp>
        <stp>STK</stp>
        <stp>N138040</stp>
        <stp>현재가</stp>
        <stp/>
        <stp/>
        <tr r="G44" s="3"/>
        <tr r="G44" s="1"/>
      </tp>
      <tp>
        <v>22050</v>
        <stp/>
        <stp>P</stp>
        <stp>0</stp>
        <stp>STK</stp>
        <stp>N338840</stp>
        <stp>현재가</stp>
        <stp/>
        <stp/>
        <tr r="G580" s="1"/>
      </tp>
      <tp>
        <v>15740</v>
        <stp/>
        <stp>P</stp>
        <stp>0</stp>
        <stp>STK</stp>
        <stp>N138930</stp>
        <stp>현재가</stp>
        <stp/>
        <stp/>
        <tr r="G104" s="3"/>
        <tr r="G112" s="1"/>
      </tp>
      <tp>
        <v>335500</v>
        <stp/>
        <stp>P</stp>
        <stp>0</stp>
        <stp>STK</stp>
        <stp>N039490</stp>
        <stp>현재가</stp>
        <stp/>
        <stp/>
        <tr r="G75" s="3"/>
        <tr r="G82" s="1"/>
      </tp>
      <tp>
        <v>86300</v>
        <stp/>
        <stp>P</stp>
        <stp>0</stp>
        <stp>STK</stp>
        <stp>N139480</stp>
        <stp>현재가</stp>
        <stp/>
        <stp/>
        <tr r="G191" s="1"/>
        <tr r="G158" s="3"/>
      </tp>
      <tp>
        <v>29450</v>
        <stp/>
        <stp>P</stp>
        <stp>0</stp>
        <stp>STK</stp>
        <stp>N039440</stp>
        <stp>현재가</stp>
        <stp/>
        <stp/>
        <tr r="G494" s="1"/>
      </tp>
      <tp>
        <v>41400</v>
        <stp/>
        <stp>P</stp>
        <stp>0</stp>
        <stp>STK</stp>
        <stp>N039200</stp>
        <stp>현재가</stp>
        <stp/>
        <stp/>
        <tr r="G236" s="1"/>
      </tp>
      <tp>
        <v>70600</v>
        <stp/>
        <stp>P</stp>
        <stp>0</stp>
        <stp>STK</stp>
        <stp>N439260</stp>
        <stp>현재가</stp>
        <stp/>
        <stp/>
        <tr r="G143" s="3"/>
        <tr r="G169" s="1"/>
      </tp>
      <tp>
        <v>14100</v>
        <stp/>
        <stp>P</stp>
        <stp>0</stp>
        <stp>STK</stp>
        <stp>N439090</stp>
        <stp>현재가</stp>
        <stp/>
        <stp/>
        <tr r="G692" s="1"/>
      </tp>
      <tp>
        <v>297000</v>
        <stp/>
        <stp>P</stp>
        <stp>0</stp>
        <stp>STK</stp>
        <stp>N039030</stp>
        <stp>현재가</stp>
        <stp/>
        <stp/>
        <tr r="G136" s="1"/>
      </tp>
      <tp>
        <v>45000</v>
        <stp/>
        <stp>P</stp>
        <stp>0</stp>
        <stp>STK</stp>
        <stp>N039130</stp>
        <stp>현재가</stp>
        <stp/>
        <stp/>
        <tr r="G385" s="1"/>
        <tr r="G260" s="3"/>
      </tp>
      <tp>
        <v>14340</v>
        <stp/>
        <stp>P</stp>
        <stp>0</stp>
        <stp>STK</stp>
        <stp>N139130</stp>
        <stp>현재가</stp>
        <stp/>
        <stp/>
        <tr r="G160" s="3"/>
        <tr r="G193" s="1"/>
      </tp>
      <tp>
        <v>15900</v>
        <stp/>
        <stp>P</stp>
        <stp>0</stp>
        <stp>STK</stp>
        <stp>N039840</stp>
        <stp>현재가</stp>
        <stp/>
        <stp/>
        <tr r="G693" s="1"/>
      </tp>
      <tp>
        <v>290500</v>
        <stp/>
        <stp>P</stp>
        <stp>0</stp>
        <stp>STK</stp>
        <stp>N034730</stp>
        <stp>현재가</stp>
        <stp/>
        <stp/>
        <tr r="G37" s="3"/>
        <tr r="G38" s="1"/>
      </tp>
      <tp>
        <v>17380</v>
        <stp/>
        <stp>P</stp>
        <stp>0</stp>
        <stp>STK</stp>
        <stp>N034230</stp>
        <stp>현재가</stp>
        <stp/>
        <stp/>
        <tr r="G189" s="3"/>
        <tr r="G242" s="1"/>
      </tp>
      <tp>
        <v>12650</v>
        <stp/>
        <stp>P</stp>
        <stp>0</stp>
        <stp>STK</stp>
        <stp>N034220</stp>
        <stp>현재가</stp>
        <stp/>
        <stp/>
        <tr r="G91" s="3"/>
        <tr r="G99" s="1"/>
      </tp>
      <tp>
        <v>13070</v>
        <stp/>
        <stp>P</stp>
        <stp>0</stp>
        <stp>STK</stp>
        <stp>N034310</stp>
        <stp>현재가</stp>
        <stp/>
        <stp/>
        <tr r="G488" s="1"/>
        <tr r="G304" s="3"/>
      </tp>
      <tp>
        <v>90200</v>
        <stp/>
        <stp>P</stp>
        <stp>0</stp>
        <stp>STK</stp>
        <stp>N034020</stp>
        <stp>현재가</stp>
        <stp/>
        <stp/>
        <tr r="G14" s="1"/>
        <tr r="G14" s="3"/>
      </tp>
      <tp>
        <v>18590</v>
        <stp/>
        <stp>P</stp>
        <stp>0</stp>
        <stp>STK</stp>
        <stp>N034120</stp>
        <stp>현재가</stp>
        <stp/>
        <stp/>
        <tr r="G336" s="3"/>
        <tr r="G581" s="1"/>
      </tp>
      <tp>
        <v>97200</v>
        <stp/>
        <stp>P</stp>
        <stp>0</stp>
        <stp>STK</stp>
        <stp>N034950</stp>
        <stp>현재가</stp>
        <stp/>
        <stp/>
        <tr r="G508" s="1"/>
      </tp>
      <tp>
        <v>9780</v>
        <stp/>
        <stp>P</stp>
        <stp>0</stp>
        <stp>STK</stp>
        <stp>N035600</stp>
        <stp>현재가</stp>
        <stp/>
        <stp/>
        <tr r="G652" s="1"/>
      </tp>
      <tp>
        <v>64300</v>
        <stp/>
        <stp>P</stp>
        <stp>0</stp>
        <stp>STK</stp>
        <stp>N035760</stp>
        <stp>현재가</stp>
        <stp/>
        <stp/>
        <tr r="G260" s="1"/>
      </tp>
      <tp>
        <v>58400</v>
        <stp/>
        <stp>P</stp>
        <stp>0</stp>
        <stp>STK</stp>
        <stp>N035720</stp>
        <stp>현재가</stp>
        <stp/>
        <stp/>
        <tr r="G32" s="1"/>
        <tr r="G32" s="3"/>
      </tp>
      <tp>
        <v>247000</v>
        <stp/>
        <stp>P</stp>
        <stp>0</stp>
        <stp>STK</stp>
        <stp>N035420</stp>
        <stp>현재가</stp>
        <stp/>
        <stp/>
        <tr r="G23" s="3"/>
        <tr r="G23" s="1"/>
      </tp>
      <tp>
        <v>17880</v>
        <stp/>
        <stp>P</stp>
        <stp>0</stp>
        <stp>STK</stp>
        <stp>N035250</stp>
        <stp>현재가</stp>
        <stp/>
        <stp/>
        <tr r="G118" s="3"/>
        <tr r="G128" s="1"/>
      </tp>
      <tp>
        <v>12330</v>
        <stp/>
        <stp>P</stp>
        <stp>0</stp>
        <stp>STK</stp>
        <stp>N035150</stp>
        <stp>현재가</stp>
        <stp/>
        <stp/>
        <tr r="G372" s="3"/>
        <tr r="G663" s="1"/>
      </tp>
      <tp>
        <v>68600</v>
        <stp/>
        <stp>P</stp>
        <stp>0</stp>
        <stp>STK</stp>
        <stp>N035900</stp>
        <stp>현재가</stp>
        <stp/>
        <stp/>
        <tr r="G185" s="1"/>
      </tp>
      <tp>
        <v>5520</v>
        <stp/>
        <stp>P</stp>
        <stp>0</stp>
        <stp>STK</stp>
        <stp>N036620</stp>
        <stp>현재가</stp>
        <stp/>
        <stp/>
        <tr r="G478" s="1"/>
      </tp>
      <tp>
        <v>40800</v>
        <stp/>
        <stp>P</stp>
        <stp>0</stp>
        <stp>STK</stp>
        <stp>N036460</stp>
        <stp>현재가</stp>
        <stp/>
        <stp/>
        <tr r="G134" s="1"/>
        <tr r="G119" s="3"/>
      </tp>
      <tp>
        <v>5250</v>
        <stp/>
        <stp>P</stp>
        <stp>0</stp>
        <stp>STK</stp>
        <stp>N036540</stp>
        <stp>현재가</stp>
        <stp/>
        <stp/>
        <tr r="G331" s="1"/>
      </tp>
      <tp>
        <v>8490</v>
        <stp/>
        <stp>P</stp>
        <stp>0</stp>
        <stp>STK</stp>
        <stp>N336570</stp>
        <stp>현재가</stp>
        <stp/>
        <stp/>
        <tr r="G372" s="1"/>
      </tp>
      <tp>
        <v>230500</v>
        <stp/>
        <stp>P</stp>
        <stp>0</stp>
        <stp>STK</stp>
        <stp>N036570</stp>
        <stp>현재가</stp>
        <stp/>
        <stp/>
        <tr r="G100" s="3"/>
        <tr r="G111" s="1"/>
      </tp>
      <tp>
        <v>56500</v>
        <stp/>
        <stp>P</stp>
        <stp>0</stp>
        <stp>STK</stp>
        <stp>N036530</stp>
        <stp>현재가</stp>
        <stp/>
        <stp/>
        <tr r="G234" s="3"/>
        <tr r="G325" s="1"/>
      </tp>
      <tp>
        <v>37150</v>
        <stp/>
        <stp>P</stp>
        <stp>0</stp>
        <stp>STK</stp>
        <stp>N336260</stp>
        <stp>현재가</stp>
        <stp/>
        <stp/>
        <tr r="G150" s="3"/>
        <tr r="G183" s="1"/>
      </tp>
      <tp>
        <v>9400</v>
        <stp/>
        <stp>P</stp>
        <stp>0</stp>
        <stp>STK</stp>
        <stp>N036200</stp>
        <stp>현재가</stp>
        <stp/>
        <stp/>
        <tr r="G626" s="1"/>
      </tp>
      <tp>
        <v>46050</v>
        <stp/>
        <stp>P</stp>
        <stp>0</stp>
        <stp>STK</stp>
        <stp>N236200</stp>
        <stp>현재가</stp>
        <stp/>
        <stp/>
        <tr r="G664" s="1"/>
      </tp>
      <tp>
        <v>7940</v>
        <stp/>
        <stp>P</stp>
        <stp>0</stp>
        <stp>STK</stp>
        <stp>N336370</stp>
        <stp>현재가</stp>
        <stp/>
        <stp/>
        <tr r="G286" s="3"/>
        <tr r="G457" s="1"/>
      </tp>
      <tp>
        <v>13960</v>
        <stp/>
        <stp>P</stp>
        <stp>0</stp>
        <stp>STK</stp>
        <stp>N036890</stp>
        <stp>현재가</stp>
        <stp/>
        <stp/>
        <tr r="G621" s="1"/>
      </tp>
      <tp>
        <v>37050</v>
        <stp/>
        <stp>P</stp>
        <stp>0</stp>
        <stp>STK</stp>
        <stp>N036810</stp>
        <stp>현재가</stp>
        <stp/>
        <stp/>
        <tr r="G379" s="1"/>
      </tp>
      <tp>
        <v>22800</v>
        <stp/>
        <stp>P</stp>
        <stp>0</stp>
        <stp>STK</stp>
        <stp>N036800</stp>
        <stp>현재가</stp>
        <stp/>
        <stp/>
        <tr r="G688" s="1"/>
      </tp>
      <tp>
        <v>39800</v>
        <stp/>
        <stp>P</stp>
        <stp>0</stp>
        <stp>STK</stp>
        <stp>N036830</stp>
        <stp>현재가</stp>
        <stp/>
        <stp/>
        <tr r="G349" s="1"/>
      </tp>
      <tp>
        <v>31350</v>
        <stp/>
        <stp>P</stp>
        <stp>0</stp>
        <stp>STK</stp>
        <stp>N036930</stp>
        <stp>현재가</stp>
        <stp/>
        <stp/>
        <tr r="G248" s="1"/>
      </tp>
      <tp>
        <v>120100</v>
        <stp/>
        <stp>P</stp>
        <stp>0</stp>
        <stp>STK</stp>
        <stp>N237690</stp>
        <stp>현재가</stp>
        <stp/>
        <stp/>
        <tr r="G182" s="1"/>
      </tp>
      <tp>
        <v>66000</v>
        <stp/>
        <stp>P</stp>
        <stp>0</stp>
        <stp>STK</stp>
        <stp>N437730</stp>
        <stp>현재가</stp>
        <stp/>
        <stp/>
        <tr r="G192" s="1"/>
      </tp>
      <tp>
        <v>30950</v>
        <stp/>
        <stp>P</stp>
        <stp>0</stp>
        <stp>STK</stp>
        <stp>N037710</stp>
        <stp>현재가</stp>
        <stp/>
        <stp/>
        <tr r="G374" s="3"/>
        <tr r="G673" s="1"/>
      </tp>
      <tp>
        <v>45300</v>
        <stp/>
        <stp>P</stp>
        <stp>0</stp>
        <stp>STK</stp>
        <stp>N137400</stp>
        <stp>현재가</stp>
        <stp/>
        <stp/>
        <tr r="G322" s="1"/>
      </tp>
      <tp>
        <v>8240</v>
        <stp/>
        <stp>P</stp>
        <stp>0</stp>
        <stp>STK</stp>
        <stp>N137310</stp>
        <stp>현재가</stp>
        <stp/>
        <stp/>
        <tr r="G227" s="3"/>
        <tr r="G312" s="1"/>
      </tp>
      <tp>
        <v>12950</v>
        <stp/>
        <stp>P</stp>
        <stp>0</stp>
        <stp>STK</stp>
        <stp>N237880</stp>
        <stp>현재가</stp>
        <stp/>
        <stp/>
        <tr r="G690" s="1"/>
      </tp>
      <tp>
        <v>12110</v>
        <stp/>
        <stp>P</stp>
        <stp>0</stp>
        <stp>STK</stp>
        <stp>N130660</stp>
        <stp>현재가</stp>
        <stp/>
        <stp/>
        <tr r="G321" s="3"/>
        <tr r="G518" s="1"/>
      </tp>
      <tp>
        <v>10700</v>
        <stp/>
        <stp>P</stp>
        <stp>0</stp>
        <stp>STK</stp>
        <stp>N030610</stp>
        <stp>현재가</stp>
        <stp/>
        <stp/>
        <tr r="G213" s="3"/>
        <tr r="G286" s="1"/>
      </tp>
      <tp>
        <v>39650</v>
        <stp/>
        <stp>P</stp>
        <stp>0</stp>
        <stp>STK</stp>
        <stp>N030530</stp>
        <stp>현재가</stp>
        <stp/>
        <stp/>
        <tr r="G146" s="1"/>
      </tp>
      <tp>
        <v>23000</v>
        <stp/>
        <stp>P</stp>
        <stp>0</stp>
        <stp>STK</stp>
        <stp>N030520</stp>
        <stp>현재가</stp>
        <stp/>
        <stp/>
        <tr r="G454" s="1"/>
      </tp>
      <tp>
        <v>55100</v>
        <stp/>
        <stp>P</stp>
        <stp>0</stp>
        <stp>STK</stp>
        <stp>N030200</stp>
        <stp>현재가</stp>
        <stp/>
        <stp/>
        <tr r="G59" s="1"/>
        <tr r="G57" s="3"/>
      </tp>
      <tp>
        <v>15860</v>
        <stp/>
        <stp>P</stp>
        <stp>0</stp>
        <stp>STK</stp>
        <stp>N230360</stp>
        <stp>현재가</stp>
        <stp/>
        <stp/>
        <tr r="G482" s="1"/>
      </tp>
      <tp>
        <v>20900</v>
        <stp/>
        <stp>P</stp>
        <stp>0</stp>
        <stp>STK</stp>
        <stp>N030000</stp>
        <stp>현재가</stp>
        <stp/>
        <stp/>
        <tr r="G156" s="3"/>
        <tr r="G184" s="1"/>
      </tp>
      <tp>
        <v>17010</v>
        <stp/>
        <stp>P</stp>
        <stp>0</stp>
        <stp>STK</stp>
        <stp>N030190</stp>
        <stp>현재가</stp>
        <stp/>
        <stp/>
        <tr r="G229" s="3"/>
        <tr r="G314" s="1"/>
      </tp>
      <tp>
        <v>11170</v>
        <stp/>
        <stp>P</stp>
        <stp>0</stp>
        <stp>STK</stp>
        <stp>N031430</stp>
        <stp>현재가</stp>
        <stp/>
        <stp/>
        <tr r="G547" s="1"/>
        <tr r="G323" s="3"/>
      </tp>
      <tp>
        <v>73700</v>
        <stp/>
        <stp>P</stp>
        <stp>0</stp>
        <stp>STK</stp>
        <stp>N131290</stp>
        <stp>현재가</stp>
        <stp/>
        <stp/>
        <tr r="G343" s="1"/>
      </tp>
      <tp>
        <v>49450</v>
        <stp/>
        <stp>P</stp>
        <stp>0</stp>
        <stp>STK</stp>
        <stp>N031210</stp>
        <stp>현재가</stp>
        <stp/>
        <stp/>
        <tr r="G140" s="1"/>
        <tr r="G123" s="3"/>
      </tp>
      <tp>
        <v>60900</v>
        <stp/>
        <stp>P</stp>
        <stp>0</stp>
        <stp>STK</stp>
        <stp>N031980</stp>
        <stp>현재가</stp>
        <stp/>
        <stp/>
        <tr r="G258" s="1"/>
      </tp>
      <tp>
        <v>52900</v>
        <stp/>
        <stp>P</stp>
        <stp>0</stp>
        <stp>STK</stp>
        <stp>N131970</stp>
        <stp>현재가</stp>
        <stp/>
        <stp/>
        <tr r="G308" s="1"/>
      </tp>
      <tp>
        <v>15310</v>
        <stp/>
        <stp>P</stp>
        <stp>0</stp>
        <stp>STK</stp>
        <stp>N032640</stp>
        <stp>현재가</stp>
        <stp/>
        <stp/>
        <tr r="G96" s="1"/>
        <tr r="G87" s="3"/>
      </tp>
      <tp>
        <v>15430</v>
        <stp/>
        <stp>P</stp>
        <stp>0</stp>
        <stp>STK</stp>
        <stp>N032500</stp>
        <stp>현재가</stp>
        <stp/>
        <stp/>
        <tr r="G413" s="1"/>
      </tp>
      <tp>
        <v>23600</v>
        <stp/>
        <stp>P</stp>
        <stp>0</stp>
        <stp>STK</stp>
        <stp>N032350</stp>
        <stp>현재가</stp>
        <stp/>
        <stp/>
        <tr r="G223" s="1"/>
        <tr r="G176" s="3"/>
      </tp>
      <tp>
        <v>18140</v>
        <stp/>
        <stp>P</stp>
        <stp>0</stp>
        <stp>STK</stp>
        <stp>N032190</stp>
        <stp>현재가</stp>
        <stp/>
        <stp/>
        <tr r="G387" s="1"/>
      </tp>
      <tp>
        <v>14490</v>
        <stp/>
        <stp>P</stp>
        <stp>0</stp>
        <stp>STK</stp>
        <stp>N232140</stp>
        <stp>현재가</stp>
        <stp/>
        <stp/>
        <tr r="G280" s="1"/>
      </tp>
      <tp>
        <v>178900</v>
        <stp/>
        <stp>P</stp>
        <stp>0</stp>
        <stp>STK</stp>
        <stp>N032830</stp>
        <stp>현재가</stp>
        <stp/>
        <stp/>
        <tr r="G24" s="1"/>
        <tr r="G24" s="3"/>
      </tp>
      <tp>
        <v>15710</v>
        <stp/>
        <stp>P</stp>
        <stp>0</stp>
        <stp>STK</stp>
        <stp>N033640</stp>
        <stp>현재가</stp>
        <stp/>
        <stp/>
        <tr r="G561" s="1"/>
      </tp>
      <tp>
        <v>144200</v>
        <stp/>
        <stp>P</stp>
        <stp>0</stp>
        <stp>STK</stp>
        <stp>N033780</stp>
        <stp>현재가</stp>
        <stp/>
        <stp/>
        <tr r="G49" s="1"/>
        <tr r="G48" s="3"/>
      </tp>
      <tp>
        <v>26700</v>
        <stp/>
        <stp>P</stp>
        <stp>0</stp>
        <stp>STK</stp>
        <stp>N033500</stp>
        <stp>현재가</stp>
        <stp/>
        <stp/>
        <tr r="G344" s="1"/>
      </tp>
      <tp>
        <v>22600</v>
        <stp/>
        <stp>P</stp>
        <stp>0</stp>
        <stp>STK</stp>
        <stp>N033240</stp>
        <stp>현재가</stp>
        <stp/>
        <stp/>
        <tr r="G461" s="1"/>
        <tr r="G297" s="3"/>
      </tp>
      <tp>
        <v>18450</v>
        <stp/>
        <stp>P</stp>
        <stp>0</stp>
        <stp>STK</stp>
        <stp>N033270</stp>
        <stp>현재가</stp>
        <stp/>
        <stp/>
        <tr r="G356" s="3"/>
        <tr r="G625" s="1"/>
      </tp>
      <tp>
        <v>39050</v>
        <stp/>
        <stp>P</stp>
        <stp>0</stp>
        <stp>STK</stp>
        <stp>N033100</stp>
        <stp>현재가</stp>
        <stp/>
        <stp/>
        <tr r="G403" s="1"/>
      </tp>
      <tp>
        <v>5800</v>
        <stp/>
        <stp>P</stp>
        <stp>0</stp>
        <stp>STK</stp>
        <stp>N048410</stp>
        <stp>현재가</stp>
        <stp/>
        <stp/>
        <tr r="G452" s="1"/>
      </tp>
      <tp>
        <v>9980</v>
        <stp/>
        <stp>P</stp>
        <stp>0</stp>
        <stp>STK</stp>
        <stp>N448280</stp>
        <stp>현재가</stp>
        <stp/>
        <stp/>
        <tr r="G638" s="1"/>
      </tp>
      <tp>
        <v>71400</v>
        <stp/>
        <stp>P</stp>
        <stp>0</stp>
        <stp>STK</stp>
        <stp>N348210</stp>
        <stp>현재가</stp>
        <stp/>
        <stp/>
        <tr r="G360" s="1"/>
      </tp>
      <tp>
        <v>66500</v>
        <stp/>
        <stp>P</stp>
        <stp>0</stp>
        <stp>STK</stp>
        <stp>N348370</stp>
        <stp>현재가</stp>
        <stp/>
        <stp/>
        <tr r="G263" s="1"/>
      </tp>
      <tp>
        <v>15600</v>
        <stp/>
        <stp>P</stp>
        <stp>0</stp>
        <stp>STK</stp>
        <stp>N248070</stp>
        <stp>현재가</stp>
        <stp/>
        <stp/>
        <tr r="G258" s="3"/>
        <tr r="G377" s="1"/>
      </tp>
      <tp>
        <v>70400</v>
        <stp/>
        <stp>P</stp>
        <stp>0</stp>
        <stp>STK</stp>
        <stp>N448900</stp>
        <stp>현재가</stp>
        <stp/>
        <stp/>
        <tr r="G486" s="1"/>
      </tp>
      <tp>
        <v>36400</v>
        <stp/>
        <stp>P</stp>
        <stp>0</stp>
        <stp>STK</stp>
        <stp>N249420</stp>
        <stp>현재가</stp>
        <stp/>
        <stp/>
        <tr r="G285" s="1"/>
        <tr r="G217" s="3"/>
      </tp>
      <tp>
        <v>22200</v>
        <stp/>
        <stp>P</stp>
        <stp>0</stp>
        <stp>STK</stp>
        <stp>N049070</stp>
        <stp>현재가</stp>
        <stp/>
        <stp/>
        <tr r="G519" s="1"/>
      </tp>
      <tp>
        <v>32000</v>
        <stp/>
        <stp>P</stp>
        <stp>0</stp>
        <stp>STK</stp>
        <stp>N044490</stp>
        <stp>현재가</stp>
        <stp/>
        <stp/>
        <tr r="G391" s="1"/>
      </tp>
      <tp>
        <v>22350</v>
        <stp/>
        <stp>P</stp>
        <stp>0</stp>
        <stp>STK</stp>
        <stp>N144510</stp>
        <stp>현재가</stp>
        <stp/>
        <stp/>
        <tr r="G575" s="1"/>
      </tp>
      <tp>
        <v>27100</v>
        <stp/>
        <stp>P</stp>
        <stp>0</stp>
        <stp>STK</stp>
        <stp>N344820</stp>
        <stp>현재가</stp>
        <stp/>
        <stp/>
        <tr r="G516" s="1"/>
        <tr r="G316" s="3"/>
      </tp>
      <tp>
        <v>127900</v>
        <stp/>
        <stp>P</stp>
        <stp>0</stp>
        <stp>STK</stp>
        <stp>N445680</stp>
        <stp>현재가</stp>
        <stp/>
        <stp/>
        <tr r="G204" s="1"/>
      </tp>
      <tp>
        <v>46900</v>
        <stp/>
        <stp>P</stp>
        <stp>0</stp>
        <stp>STK</stp>
        <stp>N145720</stp>
        <stp>현재가</stp>
        <stp/>
        <stp/>
        <tr r="G290" s="3"/>
        <tr r="G467" s="1"/>
      </tp>
      <tp>
        <v>30100</v>
        <stp/>
        <stp>P</stp>
        <stp>0</stp>
        <stp>STK</stp>
        <stp>N445090</stp>
        <stp>현재가</stp>
        <stp/>
        <stp/>
        <tr r="G606" s="1"/>
      </tp>
      <tp>
        <v>259500</v>
        <stp/>
        <stp>P</stp>
        <stp>0</stp>
        <stp>STK</stp>
        <stp>N145020</stp>
        <stp>현재가</stp>
        <stp/>
        <stp/>
        <tr r="G158" s="1"/>
      </tp>
      <tp>
        <v>24300</v>
        <stp/>
        <stp>P</stp>
        <stp>0</stp>
        <stp>STK</stp>
        <stp>N045100</stp>
        <stp>현재가</stp>
        <stp/>
        <stp/>
        <tr r="G500" s="1"/>
      </tp>
      <tp>
        <v>46600</v>
        <stp/>
        <stp>P</stp>
        <stp>0</stp>
        <stp>STK</stp>
        <stp>N145990</stp>
        <stp>현재가</stp>
        <stp/>
        <stp/>
        <tr r="G492" s="1"/>
        <tr r="G305" s="3"/>
      </tp>
      <tp>
        <v>6070</v>
        <stp/>
        <stp>P</stp>
        <stp>0</stp>
        <stp>STK</stp>
        <stp>N046890</stp>
        <stp>현재가</stp>
        <stp/>
        <stp/>
        <tr r="G576" s="1"/>
      </tp>
      <tp>
        <v>173600</v>
        <stp/>
        <stp>P</stp>
        <stp>0</stp>
        <stp>STK</stp>
        <stp>N247540</stp>
        <stp>현재가</stp>
        <stp/>
        <stp/>
        <tr r="G54" s="1"/>
      </tp>
      <tp>
        <v>63800</v>
        <stp/>
        <stp>P</stp>
        <stp>0</stp>
        <stp>STK</stp>
        <stp>N047050</stp>
        <stp>현재가</stp>
        <stp/>
        <stp/>
        <tr r="G68" s="1"/>
        <tr r="G65" s="3"/>
      </tp>
      <tp>
        <v>5130</v>
        <stp/>
        <stp>P</stp>
        <stp>0</stp>
        <stp>STK</stp>
        <stp>N047040</stp>
        <stp>현재가</stp>
        <stp/>
        <stp/>
        <tr r="G173" s="3"/>
        <tr r="G208" s="1"/>
      </tp>
      <tp>
        <v>79600</v>
        <stp/>
        <stp>P</stp>
        <stp>0</stp>
        <stp>STK</stp>
        <stp>N347850</stp>
        <stp>현재가</stp>
        <stp/>
        <stp/>
        <tr r="G138" s="1"/>
      </tp>
      <tp>
        <v>165600</v>
        <stp/>
        <stp>P</stp>
        <stp>0</stp>
        <stp>STK</stp>
        <stp>N047810</stp>
        <stp>현재가</stp>
        <stp/>
        <stp/>
        <tr r="G53" s="1"/>
        <tr r="G52" s="3"/>
      </tp>
      <tp>
        <v>17730</v>
        <stp/>
        <stp>P</stp>
        <stp>0</stp>
        <stp>STK</stp>
        <stp>N047920</stp>
        <stp>현재가</stp>
        <stp/>
        <stp/>
        <tr r="G448" s="1"/>
      </tp>
      <tp>
        <v>109400</v>
        <stp/>
        <stp>P</stp>
        <stp>0</stp>
        <stp>STK</stp>
        <stp>N140410</stp>
        <stp>현재가</stp>
        <stp/>
        <stp/>
        <tr r="G151" s="1"/>
      </tp>
      <tp>
        <v>44500</v>
        <stp/>
        <stp>P</stp>
        <stp>0</stp>
        <stp>STK</stp>
        <stp>N340570</stp>
        <stp>현재가</stp>
        <stp/>
        <stp/>
        <tr r="G572" s="1"/>
      </tp>
      <tp>
        <v>234500</v>
        <stp/>
        <stp>P</stp>
        <stp>0</stp>
        <stp>STK</stp>
        <stp>N140860</stp>
        <stp>현재가</stp>
        <stp/>
        <stp/>
        <tr r="G238" s="1"/>
      </tp>
      <tp>
        <v>76100</v>
        <stp/>
        <stp>P</stp>
        <stp>0</stp>
        <stp>STK</stp>
        <stp>N240810</stp>
        <stp>현재가</stp>
        <stp/>
        <stp/>
        <tr r="G130" s="1"/>
      </tp>
      <tp>
        <v>22400</v>
        <stp/>
        <stp>P</stp>
        <stp>0</stp>
        <stp>STK</stp>
        <stp>N241770</stp>
        <stp>현재가</stp>
        <stp/>
        <stp/>
        <tr r="G683" s="1"/>
      </tp>
      <tp>
        <v>82200</v>
        <stp/>
        <stp>P</stp>
        <stp>0</stp>
        <stp>STK</stp>
        <stp>N241710</stp>
        <stp>현재가</stp>
        <stp/>
        <stp/>
        <tr r="G357" s="1"/>
      </tp>
      <tp>
        <v>60800</v>
        <stp/>
        <stp>P</stp>
        <stp>0</stp>
        <stp>STK</stp>
        <stp>N241560</stp>
        <stp>현재가</stp>
        <stp/>
        <stp/>
        <tr r="G100" s="1"/>
        <tr r="G93" s="3"/>
      </tp>
      <tp>
        <v>108100</v>
        <stp/>
        <stp>P</stp>
        <stp>0</stp>
        <stp>STK</stp>
        <stp>N041510</stp>
        <stp>현재가</stp>
        <stp/>
        <stp/>
        <tr r="G177" s="1"/>
      </tp>
      <tp>
        <v>9100</v>
        <stp/>
        <stp>P</stp>
        <stp>0</stp>
        <stp>STK</stp>
        <stp>N441270</stp>
        <stp>현재가</stp>
        <stp/>
        <stp/>
        <tr r="G569" s="1"/>
      </tp>
      <tp>
        <v>149900</v>
        <stp/>
        <stp>P</stp>
        <stp>0</stp>
        <stp>STK</stp>
        <stp>N141080</stp>
        <stp>현재가</stp>
        <stp/>
        <stp/>
        <tr r="G105" s="1"/>
      </tp>
      <tp>
        <v>7360</v>
        <stp/>
        <stp>P</stp>
        <stp>0</stp>
        <stp>STK</stp>
        <stp>N041190</stp>
        <stp>현재가</stp>
        <stp/>
        <stp/>
        <tr r="G425" s="1"/>
      </tp>
      <tp>
        <v>29650</v>
        <stp/>
        <stp>P</stp>
        <stp>0</stp>
        <stp>STK</stp>
        <stp>N041830</stp>
        <stp>현재가</stp>
        <stp/>
        <stp/>
        <tr r="G543" s="1"/>
      </tp>
      <tp>
        <v>141000</v>
        <stp/>
        <stp>P</stp>
        <stp>0</stp>
        <stp>STK</stp>
        <stp>N042660</stp>
        <stp>현재가</stp>
        <stp/>
        <stp/>
        <tr r="G20" s="1"/>
        <tr r="G19" s="3"/>
      </tp>
      <tp>
        <v>169900</v>
        <stp/>
        <stp>P</stp>
        <stp>0</stp>
        <stp>STK</stp>
        <stp>N042700</stp>
        <stp>현재가</stp>
        <stp/>
        <stp/>
        <tr r="G51" s="1"/>
        <tr r="G51" s="3"/>
      </tp>
      <tp>
        <v>23800</v>
        <stp/>
        <stp>P</stp>
        <stp>0</stp>
        <stp>STK</stp>
        <stp>N042520</stp>
        <stp>현재가</stp>
        <stp/>
        <stp/>
        <tr r="G604" s="1"/>
      </tp>
      <tp>
        <v>31750</v>
        <stp/>
        <stp>P</stp>
        <stp>0</stp>
        <stp>STK</stp>
        <stp>N042000</stp>
        <stp>현재가</stp>
        <stp/>
        <stp/>
        <tr r="G367" s="1"/>
      </tp>
      <tp>
        <v>12000</v>
        <stp/>
        <stp>P</stp>
        <stp>0</stp>
        <stp>STK</stp>
        <stp>N043370</stp>
        <stp>현재가</stp>
        <stp/>
        <stp/>
        <tr r="G650" s="1"/>
      </tp>
      <tp>
        <v>26000</v>
        <stp/>
        <stp>P</stp>
        <stp>0</stp>
        <stp>STK</stp>
        <stp>N243070</stp>
        <stp>현재가</stp>
        <stp/>
        <stp/>
        <tr r="G611" s="1"/>
      </tp>
      <tp>
        <v>189200</v>
        <stp/>
        <stp>P</stp>
        <stp>0</stp>
        <stp>STK</stp>
        <stp>N443060</stp>
        <stp>현재가</stp>
        <stp/>
        <stp/>
        <tr r="G79" s="3"/>
        <tr r="G83" s="1"/>
      </tp>
      <tp>
        <v>19200</v>
        <stp/>
        <stp>P</stp>
        <stp>0</stp>
        <stp>STK</stp>
        <stp>N043150</stp>
        <stp>현재가</stp>
        <stp/>
        <stp/>
        <tr r="G642" s="1"/>
      </tp>
      <tp>
        <v>103700</v>
        <stp/>
        <stp>P</stp>
        <stp>0</stp>
        <stp>STK</stp>
        <stp>N058610</stp>
        <stp>현재가</stp>
        <stp/>
        <stp/>
        <tr r="G178" s="1"/>
      </tp>
      <tp>
        <v>65100</v>
        <stp/>
        <stp>P</stp>
        <stp>0</stp>
        <stp>STK</stp>
        <stp>N058470</stp>
        <stp>현재가</stp>
        <stp/>
        <stp/>
        <tr r="G109" s="1"/>
      </tp>
      <tp>
        <v>13300</v>
        <stp/>
        <stp>P</stp>
        <stp>0</stp>
        <stp>STK</stp>
        <stp>N358570</stp>
        <stp>현재가</stp>
        <stp/>
        <stp/>
        <tr r="G336" s="1"/>
      </tp>
      <tp>
        <v>159900</v>
        <stp/>
        <stp>P</stp>
        <stp>0</stp>
        <stp>STK</stp>
        <stp>N458870</stp>
        <stp>현재가</stp>
        <stp/>
        <stp/>
        <tr r="G221" s="1"/>
      </tp>
      <tp>
        <v>35600</v>
        <stp/>
        <stp>P</stp>
        <stp>0</stp>
        <stp>STK</stp>
        <stp>N058970</stp>
        <stp>현재가</stp>
        <stp/>
        <stp/>
        <tr r="G509" s="1"/>
      </tp>
      <tp>
        <v>32150</v>
        <stp/>
        <stp>P</stp>
        <stp>0</stp>
        <stp>STK</stp>
        <stp>N459510</stp>
        <stp>현재가</stp>
        <stp/>
        <stp/>
        <tr r="G490" s="1"/>
      </tp>
      <tp>
        <v>12800</v>
        <stp/>
        <stp>P</stp>
        <stp>0</stp>
        <stp>STK</stp>
        <stp>N059090</stp>
        <stp>현재가</stp>
        <stp/>
        <stp/>
        <tr r="G515" s="1"/>
      </tp>
      <tp>
        <v>236500</v>
        <stp/>
        <stp>P</stp>
        <stp>0</stp>
        <stp>STK</stp>
        <stp>N259960</stp>
        <stp>현재가</stp>
        <stp/>
        <stp/>
        <tr r="G67" s="1"/>
        <tr r="G64" s="3"/>
      </tp>
      <tp>
        <v>25600</v>
        <stp/>
        <stp>P</stp>
        <stp>0</stp>
        <stp>STK</stp>
        <stp>N054950</stp>
        <stp>현재가</stp>
        <stp/>
        <stp/>
        <tr r="G614" s="1"/>
      </tp>
      <tp>
        <v>114100</v>
        <stp/>
        <stp>P</stp>
        <stp>0</stp>
        <stp>STK</stp>
        <stp>N454910</stp>
        <stp>현재가</stp>
        <stp/>
        <stp/>
        <tr r="G87" s="1"/>
        <tr r="G82" s="3"/>
      </tp>
      <tp>
        <v>83300</v>
        <stp/>
        <stp>P</stp>
        <stp>0</stp>
        <stp>STK</stp>
        <stp>N055550</stp>
        <stp>현재가</stp>
        <stp/>
        <stp/>
        <tr r="G22" s="1"/>
        <tr r="G22" s="3"/>
      </tp>
      <tp>
        <v>38750</v>
        <stp/>
        <stp>P</stp>
        <stp>0</stp>
        <stp>STK</stp>
        <stp>N455900</stp>
        <stp>현재가</stp>
        <stp/>
        <stp/>
        <tr r="G415" s="1"/>
      </tp>
      <tp>
        <v>7250</v>
        <stp/>
        <stp>P</stp>
        <stp>0</stp>
        <stp>STK</stp>
        <stp>N356680</stp>
        <stp>현재가</stp>
        <stp/>
        <stp/>
        <tr r="G694" s="1"/>
      </tp>
      <tp>
        <v>72100</v>
        <stp/>
        <stp>P</stp>
        <stp>0</stp>
        <stp>STK</stp>
        <stp>N456040</stp>
        <stp>현재가</stp>
        <stp/>
        <stp/>
        <tr r="G409" s="1"/>
        <tr r="G270" s="3"/>
      </tp>
      <tp>
        <v>26050</v>
        <stp/>
        <stp>P</stp>
        <stp>0</stp>
        <stp>STK</stp>
        <stp>N056190</stp>
        <stp>현재가</stp>
        <stp/>
        <stp/>
        <tr r="G327" s="1"/>
      </tp>
      <tp>
        <v>76300</v>
        <stp/>
        <stp>P</stp>
        <stp>0</stp>
        <stp>STK</stp>
        <stp>N456160</stp>
        <stp>현재가</stp>
        <stp/>
        <stp/>
        <tr r="G278" s="1"/>
      </tp>
      <tp>
        <v>55400</v>
        <stp/>
        <stp>P</stp>
        <stp>0</stp>
        <stp>STK</stp>
        <stp>N356860</stp>
        <stp>현재가</stp>
        <stp/>
        <stp/>
        <tr r="G453" s="1"/>
      </tp>
      <tp>
        <v>323500</v>
        <stp/>
        <stp>P</stp>
        <stp>0</stp>
        <stp>STK</stp>
        <stp>N357780</stp>
        <stp>현재가</stp>
        <stp/>
        <stp/>
        <tr r="G167" s="1"/>
      </tp>
      <tp>
        <v>48500</v>
        <stp/>
        <stp>P</stp>
        <stp>0</stp>
        <stp>STK</stp>
        <stp>N257720</stp>
        <stp>현재가</stp>
        <stp/>
        <stp/>
        <tr r="G156" s="1"/>
      </tp>
      <tp>
        <v>62300</v>
        <stp/>
        <stp>P</stp>
        <stp>0</stp>
        <stp>STK</stp>
        <stp>N357550</stp>
        <stp>현재가</stp>
        <stp/>
        <stp/>
        <tr r="G609" s="1"/>
      </tp>
      <tp>
        <v>53800</v>
        <stp/>
        <stp>P</stp>
        <stp>0</stp>
        <stp>STK</stp>
        <stp>N057050</stp>
        <stp>현재가</stp>
        <stp/>
        <stp/>
        <tr r="G268" s="3"/>
        <tr r="G410" s="1"/>
      </tp>
      <tp>
        <v>97200</v>
        <stp/>
        <stp>P</stp>
        <stp>0</stp>
        <stp>STK</stp>
        <stp>N457190</stp>
        <stp>현재가</stp>
        <stp/>
        <stp/>
        <tr r="G127" s="3"/>
        <tr r="G159" s="1"/>
      </tp>
      <tp>
        <v>62400</v>
        <stp/>
        <stp>P</stp>
        <stp>0</stp>
        <stp>STK</stp>
        <stp>N450080</stp>
        <stp>현재가</stp>
        <stp/>
        <stp/>
        <tr r="G121" s="1"/>
        <tr r="G109" s="3"/>
      </tp>
      <tp>
        <v>7640</v>
        <stp/>
        <stp>P</stp>
        <stp>0</stp>
        <stp>STK</stp>
        <stp>N050890</stp>
        <stp>현재가</stp>
        <stp/>
        <stp/>
        <tr r="G493" s="1"/>
      </tp>
      <tp>
        <v>13190</v>
        <stp/>
        <stp>P</stp>
        <stp>0</stp>
        <stp>STK</stp>
        <stp>N450950</stp>
        <stp>현재가</stp>
        <stp/>
        <stp/>
        <tr r="G498" s="1"/>
      </tp>
      <tp>
        <v>57500</v>
        <stp/>
        <stp>P</stp>
        <stp>0</stp>
        <stp>STK</stp>
        <stp>N051600</stp>
        <stp>현재가</stp>
        <stp/>
        <stp/>
        <tr r="G166" s="1"/>
        <tr r="G142" s="3"/>
      </tp>
      <tp>
        <v>26550</v>
        <stp/>
        <stp>P</stp>
        <stp>0</stp>
        <stp>STK</stp>
        <stp>N051500</stp>
        <stp>현재가</stp>
        <stp/>
        <stp/>
        <tr r="G605" s="1"/>
      </tp>
      <tp>
        <v>50700</v>
        <stp/>
        <stp>P</stp>
        <stp>0</stp>
        <stp>STK</stp>
        <stp>N251270</stp>
        <stp>현재가</stp>
        <stp/>
        <stp/>
        <tr r="G108" s="3"/>
        <tr r="G120" s="1"/>
      </tp>
      <tp>
        <v>15610</v>
        <stp/>
        <stp>P</stp>
        <stp>0</stp>
        <stp>STK</stp>
        <stp>N051360</stp>
        <stp>현재가</stp>
        <stp/>
        <stp/>
        <tr r="G672" s="1"/>
      </tp>
      <tp>
        <v>58500</v>
        <stp/>
        <stp>P</stp>
        <stp>0</stp>
        <stp>STK</stp>
        <stp>N251970</stp>
        <stp>현재가</stp>
        <stp/>
        <stp/>
        <tr r="G393" s="1"/>
      </tp>
      <tp>
        <v>355000</v>
        <stp/>
        <stp>P</stp>
        <stp>0</stp>
        <stp>STK</stp>
        <stp>N051910</stp>
        <stp>현재가</stp>
        <stp/>
        <stp/>
        <tr r="G33" s="3"/>
        <tr r="G33" s="1"/>
      </tp>
      <tp>
        <v>271500</v>
        <stp/>
        <stp>P</stp>
        <stp>0</stp>
        <stp>STK</stp>
        <stp>N051900</stp>
        <stp>현재가</stp>
        <stp/>
        <stp/>
        <tr r="G124" s="1"/>
        <tr r="G114" s="3"/>
      </tp>
      <tp>
        <v>137200</v>
        <stp/>
        <stp>P</stp>
        <stp>0</stp>
        <stp>STK</stp>
        <stp>N052690</stp>
        <stp>현재가</stp>
        <stp/>
        <stp/>
        <tr r="G104" s="1"/>
        <tr r="G99" s="3"/>
      </tp>
      <tp>
        <v>31600</v>
        <stp/>
        <stp>P</stp>
        <stp>0</stp>
        <stp>STK</stp>
        <stp>N352480</stp>
        <stp>현재가</stp>
        <stp/>
        <stp/>
        <tr r="G528" s="1"/>
      </tp>
      <tp>
        <v>33850</v>
        <stp/>
        <stp>P</stp>
        <stp>0</stp>
        <stp>STK</stp>
        <stp>N452430</stp>
        <stp>현재가</stp>
        <stp/>
        <stp/>
        <tr r="G658" s="1"/>
      </tp>
      <tp>
        <v>42800</v>
        <stp/>
        <stp>P</stp>
        <stp>0</stp>
        <stp>STK</stp>
        <stp>N052400</stp>
        <stp>현재가</stp>
        <stp/>
        <stp/>
        <tr r="G418" s="1"/>
      </tp>
      <tp>
        <v>384500</v>
        <stp/>
        <stp>P</stp>
        <stp>0</stp>
        <stp>STK</stp>
        <stp>N352820</stp>
        <stp>현재가</stp>
        <stp/>
        <stp/>
        <tr r="G56" s="1"/>
        <tr r="G53" s="3"/>
      </tp>
      <tp>
        <v>36800</v>
        <stp/>
        <stp>P</stp>
        <stp>0</stp>
        <stp>STK</stp>
        <stp>N053610</stp>
        <stp>현재가</stp>
        <stp/>
        <stp/>
        <tr r="G538" s="1"/>
      </tp>
      <tp>
        <v>45700</v>
        <stp/>
        <stp>P</stp>
        <stp>0</stp>
        <stp>STK</stp>
        <stp>N253450</stp>
        <stp>현재가</stp>
        <stp/>
        <stp/>
        <tr r="G261" s="1"/>
      </tp>
      <tp>
        <v>11310</v>
        <stp/>
        <stp>P</stp>
        <stp>0</stp>
        <stp>STK</stp>
        <stp>N253590</stp>
        <stp>현재가</stp>
        <stp/>
        <stp/>
        <tr r="G474" s="1"/>
      </tp>
      <tp>
        <v>49700</v>
        <stp/>
        <stp>P</stp>
        <stp>0</stp>
        <stp>STK</stp>
        <stp>N353200</stp>
        <stp>현재가</stp>
        <stp/>
        <stp/>
        <tr r="G176" s="1"/>
        <tr r="G153" s="3"/>
      </tp>
      <tp>
        <v>15060</v>
        <stp/>
        <stp>P</stp>
        <stp>0</stp>
        <stp>STK</stp>
        <stp>N453340</stp>
        <stp>현재가</stp>
        <stp/>
        <stp/>
        <tr r="G480" s="1"/>
        <tr r="G300" s="3"/>
      </tp>
      <tp>
        <v>13460</v>
        <stp/>
        <stp>P</stp>
        <stp>0</stp>
        <stp>STK</stp>
        <stp>N053030</stp>
        <stp>현재가</stp>
        <stp/>
        <stp/>
        <tr r="G506" s="1"/>
      </tp>
      <tp>
        <v>59700</v>
        <stp/>
        <stp>P</stp>
        <stp>0</stp>
        <stp>STK</stp>
        <stp>N053800</stp>
        <stp>현재가</stp>
        <stp/>
        <stp/>
        <tr r="G401" s="1"/>
      </tp>
      <tp>
        <v>61100</v>
        <stp/>
        <stp>P</stp>
        <stp>0</stp>
        <stp>STK</stp>
        <stp>N068760</stp>
        <stp>현재가</stp>
        <stp/>
        <stp/>
        <tr r="G168" s="1"/>
      </tp>
      <tp>
        <v>79400</v>
        <stp/>
        <stp>P</stp>
        <stp>0</stp>
        <stp>STK</stp>
        <stp>N468530</stp>
        <stp>현재가</stp>
        <stp/>
        <stp/>
        <tr r="G337" s="1"/>
      </tp>
      <tp>
        <v>137100</v>
        <stp/>
        <stp>P</stp>
        <stp>0</stp>
        <stp>STK</stp>
        <stp>N268280</stp>
        <stp>현재가</stp>
        <stp/>
        <stp/>
        <tr r="G265" s="3"/>
        <tr r="G388" s="1"/>
      </tp>
      <tp>
        <v>207000</v>
        <stp/>
        <stp>P</stp>
        <stp>0</stp>
        <stp>STK</stp>
        <stp>N068270</stp>
        <stp>현재가</stp>
        <stp/>
        <stp/>
        <tr r="G18" s="1"/>
        <tr r="G18" s="3"/>
      </tp>
      <tp>
        <v>15500</v>
        <stp/>
        <stp>P</stp>
        <stp>0</stp>
        <stp>STK</stp>
        <stp>N168360</stp>
        <stp>현재가</stp>
        <stp/>
        <stp/>
        <tr r="G582" s="1"/>
      </tp>
      <tp>
        <v>23150</v>
        <stp/>
        <stp>P</stp>
        <stp>0</stp>
        <stp>STK</stp>
        <stp>N469610</stp>
        <stp>현재가</stp>
        <stp/>
        <stp/>
        <tr r="G696" s="1"/>
      </tp>
      <tp>
        <v>164900</v>
        <stp/>
        <stp>P</stp>
        <stp>0</stp>
        <stp>STK</stp>
        <stp>N069620</stp>
        <stp>현재가</stp>
        <stp/>
        <stp/>
        <tr r="G217" s="1"/>
        <tr r="G175" s="3"/>
      </tp>
      <tp>
        <v>18660</v>
        <stp/>
        <stp>P</stp>
        <stp>0</stp>
        <stp>STK</stp>
        <stp>N069260</stp>
        <stp>현재가</stp>
        <stp/>
        <stp/>
        <tr r="G369" s="1"/>
        <tr r="G251" s="3"/>
      </tp>
      <tp>
        <v>12060</v>
        <stp/>
        <stp>P</stp>
        <stp>0</stp>
        <stp>STK</stp>
        <stp>N069080</stp>
        <stp>현재가</stp>
        <stp/>
        <stp/>
        <tr r="G523" s="1"/>
      </tp>
      <tp>
        <v>91000</v>
        <stp/>
        <stp>P</stp>
        <stp>0</stp>
        <stp>STK</stp>
        <stp>N069960</stp>
        <stp>현재가</stp>
        <stp/>
        <stp/>
        <tr r="G169" s="3"/>
        <tr r="G203" s="1"/>
      </tp>
      <tp>
        <v>172700</v>
        <stp/>
        <stp>P</stp>
        <stp>0</stp>
        <stp>STK</stp>
        <stp>N064760</stp>
        <stp>현재가</stp>
        <stp/>
        <stp/>
        <tr r="G215" s="1"/>
      </tp>
      <tp>
        <v>69200</v>
        <stp/>
        <stp>P</stp>
        <stp>0</stp>
        <stp>STK</stp>
        <stp>N064400</stp>
        <stp>현재가</stp>
        <stp/>
        <stp/>
        <tr r="G89" s="3"/>
        <tr r="G91" s="1"/>
      </tp>
      <tp>
        <v>11980</v>
        <stp/>
        <stp>P</stp>
        <stp>0</stp>
        <stp>STK</stp>
        <stp>N064550</stp>
        <stp>현재가</stp>
        <stp/>
        <stp/>
        <tr r="G613" s="1"/>
      </tp>
      <tp>
        <v>205500</v>
        <stp/>
        <stp>P</stp>
        <stp>0</stp>
        <stp>STK</stp>
        <stp>N064350</stp>
        <stp>현재가</stp>
        <stp/>
        <stp/>
        <tr r="G34" s="1"/>
        <tr r="G34" s="3"/>
      </tp>
      <tp>
        <v>12120</v>
        <stp/>
        <stp>P</stp>
        <stp>0</stp>
        <stp>STK</stp>
        <stp>N064820</stp>
        <stp>현재가</stp>
        <stp/>
        <stp/>
        <tr r="G548" s="1"/>
      </tp>
      <tp>
        <v>39100</v>
        <stp/>
        <stp>P</stp>
        <stp>0</stp>
        <stp>STK</stp>
        <stp>N064960</stp>
        <stp>현재가</stp>
        <stp/>
        <stp/>
        <tr r="G226" s="3"/>
        <tr r="G299" s="1"/>
      </tp>
      <tp>
        <v>30500</v>
        <stp/>
        <stp>P</stp>
        <stp>0</stp>
        <stp>STK</stp>
        <stp>N065680</stp>
        <stp>현재가</stp>
        <stp/>
        <stp/>
        <tr r="G635" s="1"/>
      </tp>
      <tp>
        <v>38800</v>
        <stp/>
        <stp>P</stp>
        <stp>0</stp>
        <stp>STK</stp>
        <stp>N065660</stp>
        <stp>현재가</stp>
        <stp/>
        <stp/>
        <tr r="G553" s="1"/>
      </tp>
      <tp>
        <v>19030</v>
        <stp/>
        <stp>P</stp>
        <stp>0</stp>
        <stp>STK</stp>
        <stp>N265520</stp>
        <stp>현재가</stp>
        <stp/>
        <stp/>
        <tr r="G639" s="1"/>
      </tp>
      <tp>
        <v>59300</v>
        <stp/>
        <stp>P</stp>
        <stp>0</stp>
        <stp>STK</stp>
        <stp>N065350</stp>
        <stp>현재가</stp>
        <stp/>
        <stp/>
        <tr r="G239" s="1"/>
      </tp>
      <tp>
        <v>55200</v>
        <stp/>
        <stp>P</stp>
        <stp>0</stp>
        <stp>STK</stp>
        <stp>N365340</stp>
        <stp>현재가</stp>
        <stp/>
        <stp/>
        <tr r="G419" s="1"/>
      </tp>
      <tp>
        <v>106000</v>
        <stp/>
        <stp>P</stp>
        <stp>0</stp>
        <stp>STK</stp>
        <stp>N066570</stp>
        <stp>현재가</stp>
        <stp/>
        <stp/>
        <tr r="G46" s="3"/>
        <tr r="G45" s="1"/>
      </tp>
      <tp>
        <v>52900</v>
        <stp/>
        <stp>P</stp>
        <stp>0</stp>
        <stp>STK</stp>
        <stp>N166090</stp>
        <stp>현재가</stp>
        <stp/>
        <stp/>
        <tr r="G300" s="1"/>
      </tp>
      <tp>
        <v>68600</v>
        <stp/>
        <stp>P</stp>
        <stp>0</stp>
        <stp>STK</stp>
        <stp>N466100</stp>
        <stp>현재가</stp>
        <stp/>
        <stp/>
        <tr r="G216" s="1"/>
      </tp>
      <tp>
        <v>125000</v>
        <stp/>
        <stp>P</stp>
        <stp>0</stp>
        <stp>STK</stp>
        <stp>N066970</stp>
        <stp>현재가</stp>
        <stp/>
        <stp/>
        <tr r="G102" s="3"/>
        <tr r="G115" s="1"/>
      </tp>
      <tp>
        <v>120000</v>
        <stp/>
        <stp>P</stp>
        <stp>0</stp>
        <stp>STK</stp>
        <stp>N267270</stp>
        <stp>현재가</stp>
        <stp/>
        <stp/>
        <tr r="G213" s="1"/>
        <tr r="G174" s="3"/>
      </tp>
      <tp>
        <v>873000</v>
        <stp/>
        <stp>P</stp>
        <stp>0</stp>
        <stp>STK</stp>
        <stp>N267260</stp>
        <stp>현재가</stp>
        <stp/>
        <stp/>
        <tr r="G26" s="1"/>
        <tr r="G26" s="3"/>
      </tp>
      <tp>
        <v>244000</v>
        <stp/>
        <stp>P</stp>
        <stp>0</stp>
        <stp>STK</stp>
        <stp>N267250</stp>
        <stp>현재가</stp>
        <stp/>
        <stp/>
        <tr r="G41" s="1"/>
        <tr r="G41" s="3"/>
      </tp>
      <tp>
        <v>25450</v>
        <stp/>
        <stp>P</stp>
        <stp>0</stp>
        <stp>STK</stp>
        <stp>N067310</stp>
        <stp>현재가</stp>
        <stp/>
        <stp/>
        <tr r="G230" s="1"/>
      </tp>
      <tp>
        <v>15770</v>
        <stp/>
        <stp>P</stp>
        <stp>0</stp>
        <stp>STK</stp>
        <stp>N067080</stp>
        <stp>현재가</stp>
        <stp/>
        <stp/>
        <tr r="G620" s="1"/>
      </tp>
      <tp>
        <v>65500</v>
        <stp/>
        <stp>P</stp>
        <stp>0</stp>
        <stp>STK</stp>
        <stp>N067160</stp>
        <stp>현재가</stp>
        <stp/>
        <stp/>
        <tr r="G370" s="1"/>
      </tp>
      <tp>
        <v>34400</v>
        <stp/>
        <stp>P</stp>
        <stp>0</stp>
        <stp>STK</stp>
        <stp>N267980</stp>
        <stp>현재가</stp>
        <stp/>
        <stp/>
        <tr r="G655" s="1"/>
      </tp>
      <tp>
        <v>13860</v>
        <stp/>
        <stp>P</stp>
        <stp>0</stp>
        <stp>STK</stp>
        <stp>N060720</stp>
        <stp>현재가</stp>
        <stp/>
        <stp/>
        <tr r="G570" s="1"/>
      </tp>
      <tp>
        <v>18670</v>
        <stp/>
        <stp>P</stp>
        <stp>0</stp>
        <stp>STK</stp>
        <stp>N060280</stp>
        <stp>현재가</stp>
        <stp/>
        <stp/>
        <tr r="G346" s="1"/>
      </tp>
      <tp>
        <v>14350</v>
        <stp/>
        <stp>P</stp>
        <stp>0</stp>
        <stp>STK</stp>
        <stp>N060250</stp>
        <stp>현재가</stp>
        <stp/>
        <stp/>
        <tr r="G437" s="1"/>
      </tp>
      <tp>
        <v>27100</v>
        <stp/>
        <stp>P</stp>
        <stp>0</stp>
        <stp>STK</stp>
        <stp>N060370</stp>
        <stp>현재가</stp>
        <stp/>
        <stp/>
        <tr r="G253" s="1"/>
      </tp>
      <tp>
        <v>69900</v>
        <stp/>
        <stp>P</stp>
        <stp>0</stp>
        <stp>STK</stp>
        <stp>N160190</stp>
        <stp>현재가</stp>
        <stp/>
        <stp/>
        <tr r="G190" s="1"/>
      </tp>
      <tp>
        <v>8300</v>
        <stp/>
        <stp>P</stp>
        <stp>0</stp>
        <stp>STK</stp>
        <stp>N460860</stp>
        <stp>현재가</stp>
        <stp/>
        <stp/>
        <tr r="G533" s="1"/>
        <tr r="G319" s="3"/>
      </tp>
      <tp>
        <v>46150</v>
        <stp/>
        <stp>P</stp>
        <stp>0</stp>
        <stp>STK</stp>
        <stp>N060980</stp>
        <stp>현재가</stp>
        <stp/>
        <stp/>
        <tr r="G505" s="1"/>
        <tr r="G312" s="3"/>
      </tp>
      <tp>
        <v>18540</v>
        <stp/>
        <stp>P</stp>
        <stp>0</stp>
        <stp>STK</stp>
        <stp>N460930</stp>
        <stp>현재가</stp>
        <stp/>
        <stp/>
        <tr r="G396" s="1"/>
      </tp>
      <tp>
        <v>26500</v>
        <stp/>
        <stp>P</stp>
        <stp>0</stp>
        <stp>STK</stp>
        <stp>N361610</stp>
        <stp>현재가</stp>
        <stp/>
        <stp/>
        <tr r="G211" s="1"/>
        <tr r="G168" s="3"/>
      </tp>
      <tp>
        <v>44800</v>
        <stp/>
        <stp>P</stp>
        <stp>0</stp>
        <stp>STK</stp>
        <stp>N161580</stp>
        <stp>현재가</stp>
        <stp/>
        <stp/>
        <tr r="G311" s="1"/>
      </tp>
      <tp>
        <v>67400</v>
        <stp/>
        <stp>P</stp>
        <stp>0</stp>
        <stp>STK</stp>
        <stp>N161390</stp>
        <stp>현재가</stp>
        <stp/>
        <stp/>
        <tr r="G81" s="1"/>
        <tr r="G77" s="3"/>
      </tp>
      <tp>
        <v>42500</v>
        <stp/>
        <stp>P</stp>
        <stp>0</stp>
        <stp>STK</stp>
        <stp>N061090</stp>
        <stp>현재가</stp>
        <stp/>
        <stp/>
        <tr r="G679" s="1"/>
      </tp>
      <tp>
        <v>9470</v>
        <stp/>
        <stp>P</stp>
        <stp>0</stp>
        <stp>STK</stp>
        <stp>N161000</stp>
        <stp>현재가</stp>
        <stp/>
        <stp/>
        <tr r="G521" s="1"/>
        <tr r="G308" s="3"/>
      </tp>
      <tp>
        <v>66100</v>
        <stp/>
        <stp>P</stp>
        <stp>0</stp>
        <stp>STK</stp>
        <stp>N161890</stp>
        <stp>현재가</stp>
        <stp/>
        <stp/>
        <tr r="G193" s="3"/>
        <tr r="G245" s="1"/>
      </tp>
      <tp>
        <v>140500</v>
        <stp/>
        <stp>P</stp>
        <stp>0</stp>
        <stp>STK</stp>
        <stp>N062040</stp>
        <stp>현재가</stp>
        <stp/>
        <stp/>
        <tr r="G119" s="1"/>
        <tr r="G112" s="3"/>
      </tp>
      <tp>
        <v>34200</v>
        <stp/>
        <stp>P</stp>
        <stp>0</stp>
        <stp>STK</stp>
        <stp>N462870</stp>
        <stp>현재가</stp>
        <stp/>
        <stp/>
        <tr r="G172" s="3"/>
        <tr r="G214" s="1"/>
      </tp>
      <tp>
        <v>43550</v>
        <stp/>
        <stp>P</stp>
        <stp>0</stp>
        <stp>STK</stp>
        <stp>N263750</stp>
        <stp>현재가</stp>
        <stp/>
        <stp/>
        <tr r="G162" s="1"/>
      </tp>
      <tp>
        <v>75200</v>
        <stp/>
        <stp>P</stp>
        <stp>0</stp>
        <stp>STK</stp>
        <stp>N078600</stp>
        <stp>현재가</stp>
        <stp/>
        <stp/>
        <tr r="G317" s="1"/>
      </tp>
      <tp>
        <v>287000</v>
        <stp/>
        <stp>P</stp>
        <stp>0</stp>
        <stp>STK</stp>
        <stp>N278470</stp>
        <stp>현재가</stp>
        <stp/>
        <stp/>
        <tr r="G74" s="1"/>
        <tr r="G67" s="3"/>
      </tp>
      <tp>
        <v>9950</v>
        <stp/>
        <stp>P</stp>
        <stp>0</stp>
        <stp>STK</stp>
        <stp>N078520</stp>
        <stp>현재가</stp>
        <stp/>
        <stp/>
        <tr r="G670" s="1"/>
        <tr r="G368" s="3"/>
      </tp>
      <tp>
        <v>53200</v>
        <stp/>
        <stp>P</stp>
        <stp>0</stp>
        <stp>STK</stp>
        <stp>N278280</stp>
        <stp>현재가</stp>
        <stp/>
        <stp/>
        <tr r="G434" s="1"/>
      </tp>
      <tp>
        <v>22850</v>
        <stp/>
        <stp>P</stp>
        <stp>0</stp>
        <stp>STK</stp>
        <stp>N078350</stp>
        <stp>현재가</stp>
        <stp/>
        <stp/>
        <tr r="G566" s="1"/>
      </tp>
      <tp>
        <v>32100</v>
        <stp/>
        <stp>P</stp>
        <stp>0</stp>
        <stp>STK</stp>
        <stp>N078340</stp>
        <stp>현재가</stp>
        <stp/>
        <stp/>
        <tr r="G540" s="1"/>
      </tp>
      <tp>
        <v>17810</v>
        <stp/>
        <stp>P</stp>
        <stp>0</stp>
        <stp>STK</stp>
        <stp>N378340</stp>
        <stp>현재가</stp>
        <stp/>
        <stp/>
        <tr r="G648" s="1"/>
      </tp>
      <tp>
        <v>53800</v>
        <stp/>
        <stp>P</stp>
        <stp>0</stp>
        <stp>STK</stp>
        <stp>N478340</stp>
        <stp>현재가</stp>
        <stp/>
        <stp/>
        <tr r="G422" s="1"/>
      </tp>
      <tp>
        <v>31450</v>
        <stp/>
        <stp>P</stp>
        <stp>0</stp>
        <stp>STK</stp>
        <stp>N178320</stp>
        <stp>현재가</stp>
        <stp/>
        <stp/>
        <tr r="G228" s="1"/>
      </tp>
      <tp>
        <v>14880</v>
        <stp/>
        <stp>P</stp>
        <stp>0</stp>
        <stp>STK</stp>
        <stp>N078160</stp>
        <stp>현재가</stp>
        <stp/>
        <stp/>
        <tr r="G435" s="1"/>
      </tp>
      <tp>
        <v>60900</v>
        <stp/>
        <stp>P</stp>
        <stp>0</stp>
        <stp>STK</stp>
        <stp>N078930</stp>
        <stp>현재가</stp>
        <stp/>
        <stp/>
        <tr r="G101" s="1"/>
        <tr r="G94" s="3"/>
      </tp>
      <tp>
        <v>16250</v>
        <stp/>
        <stp>P</stp>
        <stp>0</stp>
        <stp>STK</stp>
        <stp>N178920</stp>
        <stp>현재가</stp>
        <stp/>
        <stp/>
        <tr r="G307" s="3"/>
        <tr r="G501" s="1"/>
      </tp>
      <tp>
        <v>535000</v>
        <stp/>
        <stp>P</stp>
        <stp>0</stp>
        <stp>STK</stp>
        <stp>N079550</stp>
        <stp>현재가</stp>
        <stp/>
        <stp/>
        <tr r="G66" s="1"/>
        <tr r="G62" s="3"/>
      </tp>
      <tp>
        <v>15320</v>
        <stp/>
        <stp>P</stp>
        <stp>0</stp>
        <stp>STK</stp>
        <stp>N079370</stp>
        <stp>현재가</stp>
        <stp/>
        <stp/>
        <tr r="G487" s="1"/>
      </tp>
      <tp>
        <v>31950</v>
        <stp/>
        <stp>P</stp>
        <stp>0</stp>
        <stp>STK</stp>
        <stp>N079940</stp>
        <stp>현재가</stp>
        <stp/>
        <stp/>
        <tr r="G517" s="1"/>
      </tp>
      <tp>
        <v>20850</v>
        <stp/>
        <stp>P</stp>
        <stp>0</stp>
        <stp>STK</stp>
        <stp>N179900</stp>
        <stp>현재가</stp>
        <stp/>
        <stp/>
        <tr r="G525" s="1"/>
      </tp>
      <tp>
        <v>54600</v>
        <stp/>
        <stp>P</stp>
        <stp>0</stp>
        <stp>STK</stp>
        <stp>N079900</stp>
        <stp>현재가</stp>
        <stp/>
        <stp/>
        <tr r="G382" s="1"/>
        <tr r="G259" s="3"/>
      </tp>
      <tp>
        <v>23550</v>
        <stp/>
        <stp>P</stp>
        <stp>0</stp>
        <stp>STK</stp>
        <stp>N074600</stp>
        <stp>현재가</stp>
        <stp/>
        <stp/>
        <tr r="G405" s="1"/>
      </tp>
      <tp>
        <v>39150</v>
        <stp/>
        <stp>P</stp>
        <stp>0</stp>
        <stp>STK</stp>
        <stp>N475400</stp>
        <stp>현재가</stp>
        <stp/>
        <stp/>
        <tr r="G460" s="1"/>
      </tp>
      <tp>
        <v>19220</v>
        <stp/>
        <stp>P</stp>
        <stp>0</stp>
        <stp>STK</stp>
        <stp>N075580</stp>
        <stp>현재가</stp>
        <stp/>
        <stp/>
        <tr r="G296" s="1"/>
        <tr r="G222" s="3"/>
      </tp>
      <tp>
        <v>44275</v>
        <stp/>
        <stp>P</stp>
        <stp>0</stp>
        <stp>STK</stp>
        <stp>N375500</stp>
        <stp>현재가</stp>
        <stp/>
        <stp/>
        <tr r="G235" s="1"/>
        <tr r="G187" s="3"/>
      </tp>
      <tp>
        <v>23950</v>
        <stp/>
        <stp>P</stp>
        <stp>0</stp>
        <stp>STK</stp>
        <stp>N475560</stp>
        <stp>현재가</stp>
        <stp/>
        <stp/>
        <tr r="G334" s="3"/>
        <tr r="G571" s="1"/>
      </tp>
      <tp>
        <v>24200</v>
        <stp/>
        <stp>P</stp>
        <stp>0</stp>
        <stp>STK</stp>
        <stp>N175330</stp>
        <stp>현재가</stp>
        <stp/>
        <stp/>
        <tr r="G107" s="3"/>
        <tr r="G118" s="1"/>
      </tp>
      <tp>
        <v>20050</v>
        <stp/>
        <stp>P</stp>
        <stp>0</stp>
        <stp>STK</stp>
        <stp>N475150</stp>
        <stp>현재가</stp>
        <stp/>
        <stp/>
        <tr r="G399" s="1"/>
        <tr r="G267" s="3"/>
      </tp>
      <tp>
        <v>107800</v>
        <stp/>
        <stp>P</stp>
        <stp>0</stp>
        <stp>STK</stp>
        <stp>N475830</stp>
        <stp>현재가</stp>
        <stp/>
        <stp/>
        <tr r="G197" s="1"/>
      </tp>
      <tp>
        <v>44300</v>
        <stp/>
        <stp>P</stp>
        <stp>0</stp>
        <stp>STK</stp>
        <stp>N475960</stp>
        <stp>현재가</stp>
        <stp/>
        <stp/>
        <tr r="G428" s="1"/>
      </tp>
      <tp>
        <v>8730</v>
        <stp/>
        <stp>P</stp>
        <stp>0</stp>
        <stp>STK</stp>
        <stp>N176750</stp>
        <stp>현재가</stp>
        <stp/>
        <stp/>
        <tr r="G675" s="1"/>
      </tp>
      <tp>
        <v>55100</v>
        <stp/>
        <stp>P</stp>
        <stp>0</stp>
        <stp>STK</stp>
        <stp>N376270</stp>
        <stp>현재가</stp>
        <stp/>
        <stp/>
        <tr r="G552" s="1"/>
      </tp>
      <tp>
        <v>33300</v>
        <stp/>
        <stp>P</stp>
        <stp>0</stp>
        <stp>STK</stp>
        <stp>N376300</stp>
        <stp>현재가</stp>
        <stp/>
        <stp/>
        <tr r="G364" s="1"/>
      </tp>
      <tp>
        <v>17910</v>
        <stp/>
        <stp>P</stp>
        <stp>0</stp>
        <stp>STK</stp>
        <stp>N476060</stp>
        <stp>현재가</stp>
        <stp/>
        <stp/>
        <tr r="G340" s="1"/>
      </tp>
      <tp>
        <v>140400</v>
        <stp/>
        <stp>P</stp>
        <stp>0</stp>
        <stp>STK</stp>
        <stp>N476830</stp>
        <stp>현재가</stp>
        <stp/>
        <stp/>
        <tr r="G209" s="1"/>
      </tp>
      <tp>
        <v>63200</v>
        <stp/>
        <stp>P</stp>
        <stp>0</stp>
        <stp>STK</stp>
        <stp>N376900</stp>
        <stp>현재가</stp>
        <stp/>
        <stp/>
        <tr r="G310" s="1"/>
      </tp>
      <tp>
        <v>53800</v>
        <stp/>
        <stp>P</stp>
        <stp>0</stp>
        <stp>STK</stp>
        <stp>N377300</stp>
        <stp>현재가</stp>
        <stp/>
        <stp/>
        <tr r="G92" s="1"/>
        <tr r="G86" s="3"/>
      </tp>
      <tp>
        <v>498500</v>
        <stp/>
        <stp>P</stp>
        <stp>0</stp>
        <stp>STK</stp>
        <stp>N277810</stp>
        <stp>현재가</stp>
        <stp/>
        <stp/>
        <tr r="G71" s="1"/>
      </tp>
      <tp>
        <v>37600</v>
        <stp/>
        <stp>P</stp>
        <stp>0</stp>
        <stp>STK</stp>
        <stp>N077970</stp>
        <stp>현재가</stp>
        <stp/>
        <stp/>
        <tr r="G197" s="3"/>
        <tr r="G246" s="1"/>
      </tp>
      <tp>
        <v>28150</v>
        <stp/>
        <stp>P</stp>
        <stp>0</stp>
        <stp>STK</stp>
        <stp>N270660</stp>
        <stp>현재가</stp>
        <stp/>
        <stp/>
        <tr r="G539" s="1"/>
      </tp>
      <tp>
        <v>50200</v>
        <stp/>
        <stp>P</stp>
        <stp>0</stp>
        <stp>STK</stp>
        <stp>N170900</stp>
        <stp>현재가</stp>
        <stp/>
        <stp/>
        <tr r="G496" s="1"/>
        <tr r="G310" s="3"/>
      </tp>
      <tp>
        <v>115500</v>
        <stp/>
        <stp>P</stp>
        <stp>0</stp>
        <stp>STK</stp>
        <stp>N271560</stp>
        <stp>현재가</stp>
        <stp/>
        <stp/>
        <tr r="G106" s="3"/>
        <tr r="G114" s="1"/>
      </tp>
      <tp>
        <v>108800</v>
        <stp/>
        <stp>P</stp>
        <stp>0</stp>
        <stp>STK</stp>
        <stp>N071320</stp>
        <stp>현재가</stp>
        <stp/>
        <stp/>
        <tr r="G271" s="1"/>
        <tr r="G209" s="3"/>
      </tp>
      <tp>
        <v>58700</v>
        <stp/>
        <stp>P</stp>
        <stp>0</stp>
        <stp>STK</stp>
        <stp>N171090</stp>
        <stp>현재가</stp>
        <stp/>
        <stp/>
        <tr r="G456" s="1"/>
      </tp>
      <tp>
        <v>190500</v>
        <stp/>
        <stp>P</stp>
        <stp>0</stp>
        <stp>STK</stp>
        <stp>N071050</stp>
        <stp>현재가</stp>
        <stp/>
        <stp/>
        <tr r="G68" s="3"/>
        <tr r="G70" s="1"/>
      </tp>
      <tp>
        <v>91800</v>
        <stp/>
        <stp>P</stp>
        <stp>0</stp>
        <stp>STK</stp>
        <stp>N071970</stp>
        <stp>현재가</stp>
        <stp/>
        <stp/>
        <tr r="G148" s="1"/>
        <tr r="G130" s="3"/>
      </tp>
      <tp>
        <v>14080</v>
        <stp/>
        <stp>P</stp>
        <stp>0</stp>
        <stp>STK</stp>
        <stp>N271940</stp>
        <stp>현재가</stp>
        <stp/>
        <stp/>
        <tr r="G298" s="3"/>
        <tr r="G481" s="1"/>
      </tp>
      <tp>
        <v>88000</v>
        <stp/>
        <stp>P</stp>
        <stp>0</stp>
        <stp>STK</stp>
        <stp>N072710</stp>
        <stp>현재가</stp>
        <stp/>
        <stp/>
        <tr r="G536" s="1"/>
        <tr r="G320" s="3"/>
      </tp>
      <tp>
        <v>27850</v>
        <stp/>
        <stp>P</stp>
        <stp>0</stp>
        <stp>STK</stp>
        <stp>N272290</stp>
        <stp>현재가</stp>
        <stp/>
        <stp/>
        <tr r="G469" s="1"/>
      </tp>
      <tp>
        <v>90800</v>
        <stp/>
        <stp>P</stp>
        <stp>0</stp>
        <stp>STK</stp>
        <stp>N272210</stp>
        <stp>현재가</stp>
        <stp/>
        <stp/>
        <tr r="G49" s="3"/>
        <tr r="G50" s="1"/>
      </tp>
      <tp>
        <v>44200</v>
        <stp/>
        <stp>P</stp>
        <stp>0</stp>
        <stp>STK</stp>
        <stp>N372320</stp>
        <stp>현재가</stp>
        <stp/>
        <stp/>
        <tr r="G400" s="1"/>
      </tp>
      <tp>
        <v>32600</v>
        <stp/>
        <stp>P</stp>
        <stp>0</stp>
        <stp>STK</stp>
        <stp>N372170</stp>
        <stp>현재가</stp>
        <stp/>
        <stp/>
        <tr r="G677" s="1"/>
      </tp>
      <tp>
        <v>5090</v>
        <stp/>
        <stp>P</stp>
        <stp>0</stp>
        <stp>STK</stp>
        <stp>N472850</stp>
        <stp>현재가</stp>
        <stp/>
        <stp/>
        <tr r="G637" s="1"/>
      </tp>
      <tp>
        <v>6260</v>
        <stp/>
        <stp>P</stp>
        <stp>0</stp>
        <stp>STK</stp>
        <stp>N073240</stp>
        <stp>현재가</stp>
        <stp/>
        <stp/>
        <tr r="G180" s="3"/>
        <tr r="G224" s="1"/>
      </tp>
      <tp>
        <v>422500</v>
        <stp/>
        <stp>P</stp>
        <stp>0</stp>
        <stp>STK</stp>
        <stp>N373220</stp>
        <stp>현재가</stp>
        <stp/>
        <stp/>
        <tr r="G9" s="1"/>
        <tr r="G9" s="3"/>
      </tp>
      <tp>
        <v>26650</v>
        <stp/>
        <stp>P</stp>
        <stp>0</stp>
        <stp>STK</stp>
        <stp>N473980</stp>
        <stp>현재가</stp>
        <stp/>
        <stp/>
        <tr r="G646" s="1"/>
      </tp>
      <tp>
        <v>32700</v>
        <stp/>
        <stp>P</stp>
        <stp>0</stp>
        <stp>STK</stp>
        <stp>N0008Z0</stp>
        <stp>저가</stp>
        <stp/>
        <stp/>
        <tr r="Q610" s="1"/>
      </tp>
      <tp>
        <v>32850</v>
        <stp/>
        <stp>P</stp>
        <stp>0</stp>
        <stp>STK</stp>
        <stp>N0008Z0</stp>
        <stp>시가</stp>
        <stp/>
        <stp/>
        <tr r="O610" s="1"/>
      </tp>
      <tp>
        <v>33350</v>
        <stp/>
        <stp>P</stp>
        <stp>0</stp>
        <stp>STK</stp>
        <stp>N0008Z0</stp>
        <stp>고가</stp>
        <stp/>
        <stp/>
        <tr r="P610" s="1"/>
      </tp>
      <tp>
        <v>630000</v>
        <stp/>
        <stp>P</stp>
        <stp>0</stp>
        <stp>STK</stp>
        <stp>N0126Z0</stp>
        <stp>저가</stp>
        <stp/>
        <stp/>
        <tr r="Q57" s="1"/>
        <tr r="Q54" s="3"/>
      </tp>
      <tp>
        <v>642000</v>
        <stp/>
        <stp>P</stp>
        <stp>0</stp>
        <stp>STK</stp>
        <stp>N0126Z0</stp>
        <stp>시가</stp>
        <stp/>
        <stp/>
        <tr r="O54" s="3"/>
        <tr r="O57" s="1"/>
      </tp>
      <tp>
        <v>644000</v>
        <stp/>
        <stp>P</stp>
        <stp>0</stp>
        <stp>STK</stp>
        <stp>N0126Z0</stp>
        <stp>고가</stp>
        <stp/>
        <stp/>
        <tr r="P54" s="3"/>
        <tr r="P57" s="1"/>
      </tp>
      <tp>
        <v>50900</v>
        <stp/>
        <stp>P</stp>
        <stp>0</stp>
        <stp>STK</stp>
        <stp>N0009K0</stp>
        <stp>저가</stp>
        <stp/>
        <stp/>
        <tr r="Q143" s="1"/>
      </tp>
      <tp>
        <v>51300</v>
        <stp/>
        <stp>P</stp>
        <stp>0</stp>
        <stp>STK</stp>
        <stp>N0009K0</stp>
        <stp>시가</stp>
        <stp/>
        <stp/>
        <tr r="O143" s="1"/>
      </tp>
      <tp>
        <v>52000</v>
        <stp/>
        <stp>P</stp>
        <stp>0</stp>
        <stp>STK</stp>
        <stp>N0009K0</stp>
        <stp>고가</stp>
        <stp/>
        <stp/>
        <tr r="P143" s="1"/>
      </tp>
      <tp>
        <v>89100</v>
        <stp/>
        <stp>P</stp>
        <stp>0</stp>
        <stp>STK</stp>
        <stp>N0120G0</stp>
        <stp>저가</stp>
        <stp/>
        <stp/>
        <tr r="Q275" s="3"/>
        <tr r="Q433" s="1"/>
      </tp>
      <tp>
        <v>90500</v>
        <stp/>
        <stp>P</stp>
        <stp>0</stp>
        <stp>STK</stp>
        <stp>N0120G0</stp>
        <stp>시가</stp>
        <stp/>
        <stp/>
        <tr r="O275" s="3"/>
        <tr r="O433" s="1"/>
      </tp>
      <tp>
        <v>93600</v>
        <stp/>
        <stp>P</stp>
        <stp>0</stp>
        <stp>STK</stp>
        <stp>N0120G0</stp>
        <stp>고가</stp>
        <stp/>
        <stp/>
        <tr r="P433" s="1"/>
        <tr r="P275" s="3"/>
      </tp>
      <tp>
        <v>32500</v>
        <stp/>
        <stp>P</stp>
        <stp>0</stp>
        <stp>STK</stp>
        <stp>N0007C0</stp>
        <stp>저가</stp>
        <stp/>
        <stp/>
        <tr r="Q685" s="1"/>
      </tp>
      <tp>
        <v>32550</v>
        <stp/>
        <stp>P</stp>
        <stp>0</stp>
        <stp>STK</stp>
        <stp>N0007C0</stp>
        <stp>시가</stp>
        <stp/>
        <stp/>
        <tr r="O685" s="1"/>
      </tp>
      <tp>
        <v>38200</v>
        <stp/>
        <stp>P</stp>
        <stp>0</stp>
        <stp>STK</stp>
        <stp>N0007C0</stp>
        <stp>고가</stp>
        <stp/>
        <stp/>
        <tr r="P685" s="1"/>
      </tp>
      <tp>
        <v>54500</v>
        <stp/>
        <stp>P</stp>
        <stp>0</stp>
        <stp>STK</stp>
        <stp>N489790</stp>
        <stp>시가</stp>
        <stp/>
        <stp/>
        <tr r="O139" s="3"/>
        <tr r="O170" s="1"/>
      </tp>
      <tp>
        <v>43800</v>
        <stp/>
        <stp>P</stp>
        <stp>0</stp>
        <stp>STK</stp>
        <stp>N486990</stp>
        <stp>저가</stp>
        <stp/>
        <stp/>
        <tr r="Q315" s="1"/>
      </tp>
      <tp>
        <v>12790</v>
        <stp/>
        <stp>P</stp>
        <stp>0</stp>
        <stp>STK</stp>
        <stp>N484590</stp>
        <stp>저가</stp>
        <stp/>
        <stp/>
        <tr r="Q450" s="1"/>
      </tp>
      <tp>
        <v>53900</v>
        <stp/>
        <stp>P</stp>
        <stp>0</stp>
        <stp>STK</stp>
        <stp>N489790</stp>
        <stp>저가</stp>
        <stp/>
        <stp/>
        <tr r="Q139" s="3"/>
        <tr r="Q170" s="1"/>
      </tp>
      <tp>
        <v>12810</v>
        <stp/>
        <stp>P</stp>
        <stp>0</stp>
        <stp>STK</stp>
        <stp>N484590</stp>
        <stp>시가</stp>
        <stp/>
        <stp/>
        <tr r="O450" s="1"/>
      </tp>
      <tp>
        <v>44000</v>
        <stp/>
        <stp>P</stp>
        <stp>0</stp>
        <stp>STK</stp>
        <stp>N486990</stp>
        <stp>시가</stp>
        <stp/>
        <stp/>
        <tr r="O315" s="1"/>
      </tp>
      <tp>
        <v>44800</v>
        <stp/>
        <stp>P</stp>
        <stp>0</stp>
        <stp>STK</stp>
        <stp>N486990</stp>
        <stp>고가</stp>
        <stp/>
        <stp/>
        <tr r="P315" s="1"/>
      </tp>
      <tp>
        <v>13080</v>
        <stp/>
        <stp>P</stp>
        <stp>0</stp>
        <stp>STK</stp>
        <stp>N484590</stp>
        <stp>고가</stp>
        <stp/>
        <stp/>
        <tr r="P450" s="1"/>
      </tp>
      <tp>
        <v>55300</v>
        <stp/>
        <stp>P</stp>
        <stp>0</stp>
        <stp>STK</stp>
        <stp>N489790</stp>
        <stp>고가</stp>
        <stp/>
        <stp/>
        <tr r="P170" s="1"/>
        <tr r="P139" s="3"/>
      </tp>
      <tp>
        <v>43000</v>
        <stp/>
        <stp>P</stp>
        <stp>0</stp>
        <stp>STK</stp>
        <stp>N499790</stp>
        <stp>시가</stp>
        <stp/>
        <stp/>
        <tr r="O237" s="3"/>
        <tr r="O359" s="1"/>
      </tp>
      <tp>
        <v>41800</v>
        <stp/>
        <stp>P</stp>
        <stp>0</stp>
        <stp>STK</stp>
        <stp>N499790</stp>
        <stp>저가</stp>
        <stp/>
        <stp/>
        <tr r="Q359" s="1"/>
        <tr r="Q237" s="3"/>
      </tp>
      <tp>
        <v>43050</v>
        <stp/>
        <stp>P</stp>
        <stp>0</stp>
        <stp>STK</stp>
        <stp>N499790</stp>
        <stp>고가</stp>
        <stp/>
        <stp/>
        <tr r="P237" s="3"/>
        <tr r="P359" s="1"/>
      </tp>
      <tp>
        <v>14010</v>
        <stp/>
        <stp>P</stp>
        <stp>0</stp>
        <stp>STK</stp>
        <stp>N439090</stp>
        <stp>시가</stp>
        <stp/>
        <stp/>
        <tr r="O692" s="1"/>
      </tp>
      <tp>
        <v>14010</v>
        <stp/>
        <stp>P</stp>
        <stp>0</stp>
        <stp>STK</stp>
        <stp>N439090</stp>
        <stp>저가</stp>
        <stp/>
        <stp/>
        <tr r="Q692" s="1"/>
      </tp>
      <tp>
        <v>14240</v>
        <stp/>
        <stp>P</stp>
        <stp>0</stp>
        <stp>STK</stp>
        <stp>N439090</stp>
        <stp>고가</stp>
        <stp/>
        <stp/>
        <tr r="P692" s="1"/>
      </tp>
      <tp>
        <v>30100</v>
        <stp/>
        <stp>P</stp>
        <stp>0</stp>
        <stp>STK</stp>
        <stp>N445090</stp>
        <stp>저가</stp>
        <stp/>
        <stp/>
        <tr r="Q606" s="1"/>
      </tp>
      <tp>
        <v>30100</v>
        <stp/>
        <stp>P</stp>
        <stp>0</stp>
        <stp>STK</stp>
        <stp>N445090</stp>
        <stp>시가</stp>
        <stp/>
        <stp/>
        <tr r="O606" s="1"/>
      </tp>
      <tp>
        <v>30650</v>
        <stp/>
        <stp>P</stp>
        <stp>0</stp>
        <stp>STK</stp>
        <stp>N445090</stp>
        <stp>고가</stp>
        <stp/>
        <stp/>
        <tr r="P606" s="1"/>
      </tp>
      <tp>
        <v>97100</v>
        <stp/>
        <stp>P</stp>
        <stp>0</stp>
        <stp>STK</stp>
        <stp>N457190</stp>
        <stp>저가</stp>
        <stp/>
        <stp/>
        <tr r="Q127" s="3"/>
        <tr r="Q159" s="1"/>
      </tp>
      <tp>
        <v>103500</v>
        <stp/>
        <stp>P</stp>
        <stp>0</stp>
        <stp>STK</stp>
        <stp>N457190</stp>
        <stp>시가</stp>
        <stp/>
        <stp/>
        <tr r="O159" s="1"/>
        <tr r="O127" s="3"/>
      </tp>
      <tp>
        <v>103500</v>
        <stp/>
        <stp>P</stp>
        <stp>0</stp>
        <stp>STK</stp>
        <stp>N457190</stp>
        <stp>고가</stp>
        <stp/>
        <stp/>
        <tr r="P159" s="1"/>
        <tr r="P127" s="3"/>
      </tp>
      <tp>
        <v>28604</v>
        <stp/>
        <stp>P</stp>
        <stp>0</stp>
        <stp>STK</stp>
        <stp>N0120G0</stp>
        <stp>누적거래량</stp>
        <stp/>
        <stp/>
        <tr r="L275" s="3"/>
        <tr r="L433" s="1"/>
      </tp>
      <tp>
        <v>15913</v>
        <stp/>
        <stp>P</stp>
        <stp>0</stp>
        <stp>STK</stp>
        <stp>N397030</stp>
        <stp>누적거래량</stp>
        <stp/>
        <stp/>
        <tr r="L293" s="1"/>
      </tp>
      <tp>
        <v>6660</v>
        <stp/>
        <stp>P</stp>
        <stp>0</stp>
        <stp>STK</stp>
        <stp>N298020</stp>
        <stp>누적거래량</stp>
        <stp/>
        <stp/>
        <tr r="L231" s="1"/>
        <tr r="L188" s="3"/>
      </tp>
      <tp>
        <v>6927</v>
        <stp/>
        <stp>P</stp>
        <stp>0</stp>
        <stp>STK</stp>
        <stp>N456040</stp>
        <stp>누적거래량</stp>
        <stp/>
        <stp/>
        <tr r="L409" s="1"/>
        <tr r="L270" s="3"/>
      </tp>
      <tp>
        <v>3961</v>
        <stp/>
        <stp>P</stp>
        <stp>0</stp>
        <stp>STK</stp>
        <stp>N042000</stp>
        <stp>누적거래량</stp>
        <stp/>
        <stp/>
        <tr r="L367" s="1"/>
      </tp>
      <tp>
        <v>4635</v>
        <stp/>
        <stp>P</stp>
        <stp>0</stp>
        <stp>STK</stp>
        <stp>N030000</stp>
        <stp>누적거래량</stp>
        <stp/>
        <stp/>
        <tr r="L156" s="3"/>
        <tr r="L184" s="1"/>
      </tp>
      <tp>
        <v>232</v>
        <stp/>
        <stp>P</stp>
        <stp>0</stp>
        <stp>STK</stp>
        <stp>N020000</stp>
        <stp>누적거래량</stp>
        <stp/>
        <stp/>
        <tr r="L337" s="3"/>
        <tr r="L584" s="1"/>
      </tp>
      <tp>
        <v>18708</v>
        <stp/>
        <stp>P</stp>
        <stp>0</stp>
        <stp>STK</stp>
        <stp>N326030</stp>
        <stp>누적거래량</stp>
        <stp/>
        <stp/>
        <tr r="L72" s="3"/>
        <tr r="L78" s="1"/>
      </tp>
      <tp>
        <v>1672</v>
        <stp/>
        <stp>P</stp>
        <stp>0</stp>
        <stp>STK</stp>
        <stp>N004000</stp>
        <stp>누적거래량</stp>
        <stp/>
        <stp/>
        <tr r="L287" s="1"/>
        <tr r="L216" s="3"/>
      </tp>
      <tp>
        <v>42237</v>
        <stp/>
        <stp>P</stp>
        <stp>0</stp>
        <stp>STK</stp>
        <stp>N299030</stp>
        <stp>누적거래량</stp>
        <stp/>
        <stp/>
        <tr r="L691" s="1"/>
      </tp>
      <tp>
        <v>1318</v>
        <stp/>
        <stp>P</stp>
        <stp>0</stp>
        <stp>STK</stp>
        <stp>N084010</stp>
        <stp>누적거래량</stp>
        <stp/>
        <stp/>
        <tr r="L378" s="3"/>
        <tr r="L684" s="1"/>
      </tp>
      <tp>
        <v>20645</v>
        <stp/>
        <stp>P</stp>
        <stp>0</stp>
        <stp>STK</stp>
        <stp>N087010</stp>
        <stp>누적거래량</stp>
        <stp/>
        <stp/>
        <tr r="L108" s="1"/>
      </tp>
      <tp>
        <v>203766</v>
        <stp/>
        <stp>P</stp>
        <stp>0</stp>
        <stp>STK</stp>
        <stp>N089010</stp>
        <stp>누적거래량</stp>
        <stp/>
        <stp/>
        <tr r="L463" s="1"/>
      </tp>
      <tp>
        <v>189744</v>
        <stp/>
        <stp>P</stp>
        <stp>0</stp>
        <stp>STK</stp>
        <stp>N161000</stp>
        <stp>누적거래량</stp>
        <stp/>
        <stp/>
        <tr r="L308" s="3"/>
        <tr r="L521" s="1"/>
      </tp>
      <tp>
        <v>119042</v>
        <stp/>
        <stp>P</stp>
        <stp>0</stp>
        <stp>STK</stp>
        <stp>N476060</stp>
        <stp>누적거래량</stp>
        <stp/>
        <stp/>
        <tr r="L340" s="1"/>
      </tp>
      <tp>
        <v>5472</v>
        <stp/>
        <stp>P</stp>
        <stp>0</stp>
        <stp>STK</stp>
        <stp>N443060</stp>
        <stp>누적거래량</stp>
        <stp/>
        <stp/>
        <tr r="L79" s="3"/>
        <tr r="L83" s="1"/>
      </tp>
      <tp>
        <v>857773</v>
        <stp/>
        <stp>P</stp>
        <stp>0</stp>
        <stp>STK</stp>
        <stp>N034020</stp>
        <stp>누적거래량</stp>
        <stp/>
        <stp/>
        <tr r="L14" s="1"/>
        <tr r="L14" s="3"/>
      </tp>
      <tp>
        <v>309</v>
        <stp/>
        <stp>P</stp>
        <stp>0</stp>
        <stp>STK</stp>
        <stp>N215000</stp>
        <stp>누적거래량</stp>
        <stp/>
        <stp/>
        <tr r="L592" s="1"/>
      </tp>
      <tp>
        <v>9007</v>
        <stp/>
        <stp>P</stp>
        <stp>0</stp>
        <stp>STK</stp>
        <stp>N002020</stp>
        <stp>누적거래량</stp>
        <stp/>
        <stp/>
        <tr r="L440" s="1"/>
        <tr r="L279" s="3"/>
      </tp>
      <tp>
        <v>346423</v>
        <stp/>
        <stp>P</stp>
        <stp>0</stp>
        <stp>STK</stp>
        <stp>N004020</stp>
        <stp>누적거래량</stp>
        <stp/>
        <stp/>
        <tr r="L105" s="3"/>
        <tr r="L122" s="1"/>
      </tp>
      <tp>
        <v>5292</v>
        <stp/>
        <stp>P</stp>
        <stp>0</stp>
        <stp>STK</stp>
        <stp>N481070</stp>
        <stp>누적거래량</stp>
        <stp/>
        <stp/>
        <tr r="L588" s="1"/>
      </tp>
      <tp>
        <v>166342</v>
        <stp/>
        <stp>P</stp>
        <stp>0</stp>
        <stp>STK</stp>
        <stp>N089030</stp>
        <stp>누적거래량</stp>
        <stp/>
        <stp/>
        <tr r="L247" s="1"/>
      </tp>
      <tp>
        <v>9006</v>
        <stp/>
        <stp>P</stp>
        <stp>0</stp>
        <stp>STK</stp>
        <stp>N053030</stp>
        <stp>누적거래량</stp>
        <stp/>
        <stp/>
        <tr r="L506" s="1"/>
      </tp>
      <tp>
        <v>6758</v>
        <stp/>
        <stp>P</stp>
        <stp>0</stp>
        <stp>STK</stp>
        <stp>N145020</stp>
        <stp>누적거래량</stp>
        <stp/>
        <stp/>
        <tr r="L158" s="1"/>
      </tp>
      <tp>
        <v>7303</v>
        <stp/>
        <stp>P</stp>
        <stp>0</stp>
        <stp>STK</stp>
        <stp>N039030</stp>
        <stp>누적거래량</stp>
        <stp/>
        <stp/>
        <tr r="L136" s="1"/>
      </tp>
      <tp>
        <v>58430</v>
        <stp/>
        <stp>P</stp>
        <stp>0</stp>
        <stp>STK</stp>
        <stp>N322000</stp>
        <stp>누적거래량</stp>
        <stp/>
        <stp/>
        <tr r="L420" s="1"/>
        <tr r="L273" s="3"/>
      </tp>
      <tp>
        <v>1364</v>
        <stp/>
        <stp>P</stp>
        <stp>0</stp>
        <stp>STK</stp>
        <stp>N013030</stp>
        <stp>누적거래량</stp>
        <stp/>
        <stp/>
        <tr r="L555" s="1"/>
      </tp>
      <tp>
        <v>960</v>
        <stp/>
        <stp>P</stp>
        <stp>0</stp>
        <stp>STK</stp>
        <stp>N003030</stp>
        <stp>누적거래량</stp>
        <stp/>
        <stp/>
        <tr r="L285" s="3"/>
        <tr r="L466" s="1"/>
      </tp>
      <tp>
        <v>4</v>
        <stp/>
        <stp>P</stp>
        <stp>0</stp>
        <stp>STK</stp>
        <stp>N002030</stp>
        <stp>누적거래량</stp>
        <stp/>
        <stp/>
        <tr r="L278" s="3"/>
        <tr r="L430" s="1"/>
      </tp>
      <tp>
        <v>14836</v>
        <stp/>
        <stp>P</stp>
        <stp>0</stp>
        <stp>STK</stp>
        <stp>N062040</stp>
        <stp>누적거래량</stp>
        <stp/>
        <stp/>
        <tr r="L112" s="3"/>
        <tr r="L119" s="1"/>
      </tp>
      <tp>
        <v>1236318</v>
        <stp/>
        <stp>P</stp>
        <stp>0</stp>
        <stp>STK</stp>
        <stp>N047040</stp>
        <stp>누적거래량</stp>
        <stp/>
        <stp/>
        <tr r="L173" s="3"/>
        <tr r="L208" s="1"/>
      </tp>
      <tp>
        <v>5535</v>
        <stp/>
        <stp>P</stp>
        <stp>0</stp>
        <stp>STK</stp>
        <stp>N001040</stp>
        <stp>누적거래량</stp>
        <stp/>
        <stp/>
        <tr r="L102" s="1"/>
        <tr r="L96" s="3"/>
      </tp>
      <tp>
        <v>1391</v>
        <stp/>
        <stp>P</stp>
        <stp>0</stp>
        <stp>STK</stp>
        <stp>N006040</stp>
        <stp>누적거래량</stp>
        <stp/>
        <stp/>
        <tr r="L227" s="1"/>
        <tr r="L181" s="3"/>
      </tp>
      <tp>
        <v>157</v>
        <stp/>
        <stp>P</stp>
        <stp>0</stp>
        <stp>STK</stp>
        <stp>N093050</stp>
        <stp>누적거래량</stp>
        <stp/>
        <stp/>
        <tr r="L293" s="3"/>
        <tr r="L468" s="1"/>
      </tp>
      <tp>
        <v>26168</v>
        <stp/>
        <stp>P</stp>
        <stp>0</stp>
        <stp>STK</stp>
        <stp>N071050</stp>
        <stp>누적거래량</stp>
        <stp/>
        <stp/>
        <tr r="L68" s="3"/>
        <tr r="L70" s="1"/>
      </tp>
      <tp>
        <v>164</v>
        <stp/>
        <stp>P</stp>
        <stp>0</stp>
        <stp>STK</stp>
        <stp>N057050</stp>
        <stp>누적거래량</stp>
        <stp/>
        <stp/>
        <tr r="L268" s="3"/>
        <tr r="L410" s="1"/>
      </tp>
      <tp>
        <v>604</v>
        <stp/>
        <stp>P</stp>
        <stp>0</stp>
        <stp>STK</stp>
        <stp>N243070</stp>
        <stp>누적거래량</stp>
        <stp/>
        <stp/>
        <tr r="L611" s="1"/>
      </tp>
      <tp>
        <v>132896</v>
        <stp/>
        <stp>P</stp>
        <stp>0</stp>
        <stp>STK</stp>
        <stp>N047050</stp>
        <stp>누적거래량</stp>
        <stp/>
        <stp/>
        <tr r="L68" s="1"/>
        <tr r="L65" s="3"/>
      </tp>
      <tp>
        <v>7083</v>
        <stp/>
        <stp>P</stp>
        <stp>0</stp>
        <stp>STK</stp>
        <stp>N248070</stp>
        <stp>누적거래량</stp>
        <stp/>
        <stp/>
        <tr r="L377" s="1"/>
        <tr r="L258" s="3"/>
      </tp>
      <tp>
        <v>2742</v>
        <stp/>
        <stp>P</stp>
        <stp>0</stp>
        <stp>STK</stp>
        <stp>N138040</stp>
        <stp>누적거래량</stp>
        <stp/>
        <stp/>
        <tr r="L44" s="3"/>
        <tr r="L44" s="1"/>
      </tp>
      <tp>
        <v>22241</v>
        <stp/>
        <stp>P</stp>
        <stp>0</stp>
        <stp>STK</stp>
        <stp>N028050</stp>
        <stp>누적거래량</stp>
        <stp/>
        <stp/>
        <tr r="L110" s="1"/>
        <tr r="L101" s="3"/>
      </tp>
      <tp>
        <v>15435</v>
        <stp/>
        <stp>P</stp>
        <stp>0</stp>
        <stp>STK</stp>
        <stp>N112040</stp>
        <stp>누적거래량</stp>
        <stp/>
        <stp/>
        <tr r="L334" s="1"/>
      </tp>
      <tp>
        <v>3131</v>
        <stp/>
        <stp>P</stp>
        <stp>0</stp>
        <stp>STK</stp>
        <stp>N298040</stp>
        <stp>누적거래량</stp>
        <stp/>
        <stp/>
        <tr r="L37" s="1"/>
        <tr r="L36" s="3"/>
      </tp>
      <tp>
        <v>22837</v>
        <stp/>
        <stp>P</stp>
        <stp>0</stp>
        <stp>STK</stp>
        <stp>N010060</stp>
        <stp>누적거래량</stp>
        <stp/>
        <stp/>
        <tr r="L165" s="3"/>
        <tr r="L199" s="1"/>
      </tp>
      <tp>
        <v>16838</v>
        <stp/>
        <stp>P</stp>
        <stp>0</stp>
        <stp>STK</stp>
        <stp>N001060</stp>
        <stp>누적거래량</stp>
        <stp/>
        <stp/>
        <tr r="L407" s="1"/>
        <tr r="L271" s="3"/>
      </tp>
      <tp>
        <v>3657</v>
        <stp/>
        <stp>P</stp>
        <stp>0</stp>
        <stp>STK</stp>
        <stp>N008060</stp>
        <stp>누적거래량</stp>
        <stp/>
        <stp/>
        <tr r="L340" s="3"/>
        <tr r="L585" s="1"/>
      </tp>
      <tp>
        <v>24930</v>
        <stp/>
        <stp>P</stp>
        <stp>0</stp>
        <stp>STK</stp>
        <stp>N098070</stp>
        <stp>누적거래량</stp>
        <stp/>
        <stp/>
        <tr r="L510" s="1"/>
      </tp>
      <tp>
        <v>2042</v>
        <stp/>
        <stp>P</stp>
        <stp>0</stp>
        <stp>STK</stp>
        <stp>N298050</stp>
        <stp>누적거래량</stp>
        <stp/>
        <stp/>
        <tr r="L233" s="3"/>
        <tr r="L318" s="1"/>
      </tp>
      <tp>
        <v>78002</v>
        <stp/>
        <stp>P</stp>
        <stp>0</stp>
        <stp>STK</stp>
        <stp>N049070</stp>
        <stp>누적거래량</stp>
        <stp/>
        <stp/>
        <tr r="L519" s="1"/>
      </tp>
      <tp>
        <v>14115</v>
        <stp/>
        <stp>P</stp>
        <stp>0</stp>
        <stp>STK</stp>
        <stp>N011070</stp>
        <stp>누적거래량</stp>
        <stp/>
        <stp/>
        <tr r="L94" s="1"/>
        <tr r="L88" s="3"/>
      </tp>
      <tp>
        <v>1921</v>
        <stp/>
        <stp>P</stp>
        <stp>0</stp>
        <stp>STK</stp>
        <stp>N211050</stp>
        <stp>누적거래량</stp>
        <stp/>
        <stp/>
        <tr r="L421" s="1"/>
      </tp>
      <tp>
        <v>2630</v>
        <stp/>
        <stp>P</stp>
        <stp>0</stp>
        <stp>STK</stp>
        <stp>N000070</stp>
        <stp>누적거래량</stp>
        <stp/>
        <stp/>
        <tr r="L311" s="3"/>
        <tr r="L502" s="1"/>
      </tp>
      <tp>
        <v>6182</v>
        <stp/>
        <stp>P</stp>
        <stp>0</stp>
        <stp>STK</stp>
        <stp>N402030</stp>
        <stp>누적거래량</stp>
        <stp/>
        <stp/>
        <tr r="L641" s="1"/>
      </tp>
      <tp>
        <v>615053</v>
        <stp/>
        <stp>P</stp>
        <stp>0</stp>
        <stp>STK</stp>
        <stp>N005070</stp>
        <stp>누적거래량</stp>
        <stp/>
        <stp/>
        <tr r="L195" s="3"/>
        <tr r="L252" s="1"/>
      </tp>
      <tp>
        <v>9705</v>
        <stp/>
        <stp>P</stp>
        <stp>0</stp>
        <stp>STK</stp>
        <stp>N007070</stp>
        <stp>누적거래량</stp>
        <stp/>
        <stp/>
        <tr r="L183" s="3"/>
        <tr r="L232" s="1"/>
      </tp>
      <tp>
        <v>27598</v>
        <stp/>
        <stp>P</stp>
        <stp>0</stp>
        <stp>STK</stp>
        <stp>N171090</stp>
        <stp>누적거래량</stp>
        <stp/>
        <stp/>
        <tr r="L456" s="1"/>
      </tp>
      <tp>
        <v>10829</v>
        <stp/>
        <stp>P</stp>
        <stp>0</stp>
        <stp>STK</stp>
        <stp>N067080</stp>
        <stp>누적거래량</stp>
        <stp/>
        <stp/>
        <tr r="L620" s="1"/>
      </tp>
      <tp>
        <v>21065</v>
        <stp/>
        <stp>P</stp>
        <stp>0</stp>
        <stp>STK</stp>
        <stp>N166090</stp>
        <stp>누적거래량</stp>
        <stp/>
        <stp/>
        <tr r="L300" s="1"/>
      </tp>
      <tp>
        <v>5884</v>
        <stp/>
        <stp>P</stp>
        <stp>0</stp>
        <stp>STK</stp>
        <stp>N069080</stp>
        <stp>누적거래량</stp>
        <stp/>
        <stp/>
        <tr r="L523" s="1"/>
      </tp>
      <tp>
        <v>511</v>
        <stp/>
        <stp>P</stp>
        <stp>0</stp>
        <stp>STK</stp>
        <stp>N114090</stp>
        <stp>누적거래량</stp>
        <stp/>
        <stp/>
        <tr r="L244" s="3"/>
        <tr r="L351" s="1"/>
      </tp>
      <tp>
        <v>3750</v>
        <stp/>
        <stp>P</stp>
        <stp>0</stp>
        <stp>STK</stp>
        <stp>N000080</stp>
        <stp>누적거래량</stp>
        <stp/>
        <stp/>
        <tr r="L208" s="3"/>
        <tr r="L274" s="1"/>
      </tp>
      <tp>
        <v>27060</v>
        <stp/>
        <stp>P</stp>
        <stp>0</stp>
        <stp>STK</stp>
        <stp>N100090</stp>
        <stp>누적거래량</stp>
        <stp/>
        <stp/>
        <tr r="L282" s="1"/>
        <tr r="L212" s="3"/>
      </tp>
      <tp>
        <v>2941</v>
        <stp/>
        <stp>P</stp>
        <stp>0</stp>
        <stp>STK</stp>
        <stp>N192080</stp>
        <stp>누적거래량</stp>
        <stp/>
        <stp/>
        <tr r="L298" s="1"/>
        <tr r="L221" s="3"/>
      </tp>
      <tp>
        <v>1793</v>
        <stp/>
        <stp>P</stp>
        <stp>0</stp>
        <stp>STK</stp>
        <stp>N061090</stp>
        <stp>누적거래량</stp>
        <stp/>
        <stp/>
        <tr r="L679" s="1"/>
      </tp>
      <tp>
        <v>41563</v>
        <stp/>
        <stp>P</stp>
        <stp>0</stp>
        <stp>STK</stp>
        <stp>N059090</stp>
        <stp>누적거래량</stp>
        <stp/>
        <stp/>
        <tr r="L515" s="1"/>
      </tp>
      <tp>
        <v>22146</v>
        <stp/>
        <stp>P</stp>
        <stp>0</stp>
        <stp>STK</stp>
        <stp>N141080</stp>
        <stp>누적거래량</stp>
        <stp/>
        <stp/>
        <tr r="L105" s="1"/>
      </tp>
      <tp>
        <v>8203</v>
        <stp/>
        <stp>P</stp>
        <stp>0</stp>
        <stp>STK</stp>
        <stp>N003090</stp>
        <stp>누적거래량</stp>
        <stp/>
        <stp/>
        <tr r="L269" s="1"/>
        <tr r="L206" s="3"/>
      </tp>
      <tp>
        <v>322</v>
        <stp/>
        <stp>P</stp>
        <stp>0</stp>
        <stp>STK</stp>
        <stp>N005090</stp>
        <stp>누적거래량</stp>
        <stp/>
        <stp/>
        <tr r="L623" s="1"/>
        <tr r="L353" s="3"/>
      </tp>
      <tp>
        <v>8390174</v>
        <stp/>
        <stp>P</stp>
        <stp>0</stp>
        <stp>STK</stp>
        <stp>N222080</stp>
        <stp>누적거래량</stp>
        <stp/>
        <stp/>
        <tr r="L438" s="1"/>
      </tp>
      <tp>
        <v>50194</v>
        <stp/>
        <stp>P</stp>
        <stp>0</stp>
        <stp>STK</stp>
        <stp>N300080</stp>
        <stp>누적거래량</stp>
        <stp/>
        <stp/>
        <tr r="L662" s="1"/>
      </tp>
      <tp>
        <v>184498</v>
        <stp/>
        <stp>P</stp>
        <stp>0</stp>
        <stp>STK</stp>
        <stp>N450080</stp>
        <stp>누적거래량</stp>
        <stp/>
        <stp/>
        <tr r="L109" s="3"/>
        <tr r="L121" s="1"/>
      </tp>
      <tp>
        <v>39708</v>
        <stp/>
        <stp>P</stp>
        <stp>0</stp>
        <stp>STK</stp>
        <stp>N445090</stp>
        <stp>누적거래량</stp>
        <stp/>
        <stp/>
        <tr r="L606" s="1"/>
      </tp>
      <tp>
        <v>6644</v>
        <stp/>
        <stp>P</stp>
        <stp>0</stp>
        <stp>STK</stp>
        <stp>N439090</stp>
        <stp>누적거래량</stp>
        <stp/>
        <stp/>
        <tr r="L692" s="1"/>
      </tp>
      <tp>
        <v>21950</v>
        <stp/>
        <stp>P</stp>
        <stp>0</stp>
        <stp>STK</stp>
        <stp>N488280</stp>
        <stp>시가</stp>
        <stp/>
        <stp/>
        <tr r="O687" s="1"/>
      </tp>
      <tp>
        <v>21650</v>
        <stp/>
        <stp>P</stp>
        <stp>0</stp>
        <stp>STK</stp>
        <stp>N488280</stp>
        <stp>저가</stp>
        <stp/>
        <stp/>
        <tr r="Q687" s="1"/>
      </tp>
      <tp>
        <v>22250</v>
        <stp/>
        <stp>P</stp>
        <stp>0</stp>
        <stp>STK</stp>
        <stp>N488280</stp>
        <stp>고가</stp>
        <stp/>
        <stp/>
        <tr r="P687" s="1"/>
      </tp>
      <tp>
        <v>33150</v>
        <stp/>
        <stp>P</stp>
        <stp>0</stp>
        <stp>STK</stp>
        <stp>N416180</stp>
        <stp>저가</stp>
        <stp/>
        <stp/>
        <tr r="Q634" s="1"/>
      </tp>
      <tp>
        <v>33400</v>
        <stp/>
        <stp>P</stp>
        <stp>0</stp>
        <stp>STK</stp>
        <stp>N416180</stp>
        <stp>시가</stp>
        <stp/>
        <stp/>
        <tr r="O634" s="1"/>
      </tp>
      <tp>
        <v>34250</v>
        <stp/>
        <stp>P</stp>
        <stp>0</stp>
        <stp>STK</stp>
        <stp>N416180</stp>
        <stp>고가</stp>
        <stp/>
        <stp/>
        <tr r="P634" s="1"/>
      </tp>
      <tp>
        <v>9910</v>
        <stp/>
        <stp>P</stp>
        <stp>0</stp>
        <stp>STK</stp>
        <stp>N448280</stp>
        <stp>시가</stp>
        <stp/>
        <stp/>
        <tr r="O638" s="1"/>
      </tp>
      <tp>
        <v>124800</v>
        <stp/>
        <stp>P</stp>
        <stp>0</stp>
        <stp>STK</stp>
        <stp>N445680</stp>
        <stp>저가</stp>
        <stp/>
        <stp/>
        <tr r="Q204" s="1"/>
      </tp>
      <tp>
        <v>9910</v>
        <stp/>
        <stp>P</stp>
        <stp>0</stp>
        <stp>STK</stp>
        <stp>N448280</stp>
        <stp>저가</stp>
        <stp/>
        <stp/>
        <tr r="Q638" s="1"/>
      </tp>
      <tp>
        <v>127200</v>
        <stp/>
        <stp>P</stp>
        <stp>0</stp>
        <stp>STK</stp>
        <stp>N445680</stp>
        <stp>시가</stp>
        <stp/>
        <stp/>
        <tr r="O204" s="1"/>
      </tp>
      <tp>
        <v>128100</v>
        <stp/>
        <stp>P</stp>
        <stp>0</stp>
        <stp>STK</stp>
        <stp>N445680</stp>
        <stp>고가</stp>
        <stp/>
        <stp/>
        <tr r="P204" s="1"/>
      </tp>
      <tp>
        <v>10090</v>
        <stp/>
        <stp>P</stp>
        <stp>0</stp>
        <stp>STK</stp>
        <stp>N448280</stp>
        <stp>고가</stp>
        <stp/>
        <stp/>
        <tr r="P638" s="1"/>
      </tp>
      <tp>
        <v>62300</v>
        <stp/>
        <stp>P</stp>
        <stp>0</stp>
        <stp>STK</stp>
        <stp>N450080</stp>
        <stp>저가</stp>
        <stp/>
        <stp/>
        <tr r="Q121" s="1"/>
        <tr r="Q109" s="3"/>
      </tp>
      <tp>
        <v>63600</v>
        <stp/>
        <stp>P</stp>
        <stp>0</stp>
        <stp>STK</stp>
        <stp>N450080</stp>
        <stp>시가</stp>
        <stp/>
        <stp/>
        <tr r="O121" s="1"/>
        <tr r="O109" s="3"/>
      </tp>
      <tp>
        <v>64100</v>
        <stp/>
        <stp>P</stp>
        <stp>0</stp>
        <stp>STK</stp>
        <stp>N450080</stp>
        <stp>고가</stp>
        <stp/>
        <stp/>
        <tr r="P109" s="3"/>
        <tr r="P121" s="1"/>
      </tp>
      <tp>
        <v>26600</v>
        <stp/>
        <stp>P</stp>
        <stp>0</stp>
        <stp>STK</stp>
        <stp>N473980</stp>
        <stp>저가</stp>
        <stp/>
        <stp/>
        <tr r="Q646" s="1"/>
      </tp>
      <tp>
        <v>26650</v>
        <stp/>
        <stp>P</stp>
        <stp>0</stp>
        <stp>STK</stp>
        <stp>N473980</stp>
        <stp>시가</stp>
        <stp/>
        <stp/>
        <tr r="O646" s="1"/>
      </tp>
      <tp>
        <v>26850</v>
        <stp/>
        <stp>P</stp>
        <stp>0</stp>
        <stp>STK</stp>
        <stp>N473980</stp>
        <stp>고가</stp>
        <stp/>
        <stp/>
        <tr r="P646" s="1"/>
      </tp>
      <tp>
        <v>7753</v>
        <stp/>
        <stp>P</stp>
        <stp>0</stp>
        <stp>STK</stp>
        <stp>N045100</stp>
        <stp>누적거래량</stp>
        <stp/>
        <stp/>
        <tr r="L500" s="1"/>
      </tp>
      <tp>
        <v>44376</v>
        <stp/>
        <stp>P</stp>
        <stp>0</stp>
        <stp>STK</stp>
        <stp>N033100</stp>
        <stp>누적거래량</stp>
        <stp/>
        <stp/>
        <tr r="L403" s="1"/>
      </tp>
      <tp>
        <v>19536</v>
        <stp/>
        <stp>P</stp>
        <stp>0</stp>
        <stp>STK</stp>
        <stp>N120110</stp>
        <stp>누적거래량</stp>
        <stp/>
        <stp/>
        <tr r="L277" s="1"/>
        <tr r="L207" s="3"/>
      </tp>
      <tp>
        <v>451868</v>
        <stp/>
        <stp>P</stp>
        <stp>0</stp>
        <stp>STK</stp>
        <stp>N022100</stp>
        <stp>누적거래량</stp>
        <stp/>
        <stp/>
        <tr r="L90" s="3"/>
        <tr r="L95" s="1"/>
      </tp>
      <tp>
        <v>16794</v>
        <stp/>
        <stp>P</stp>
        <stp>0</stp>
        <stp>STK</stp>
        <stp>N328130</stp>
        <stp>누적거래량</stp>
        <stp/>
        <stp/>
        <tr r="L295" s="1"/>
      </tp>
      <tp>
        <v>32720</v>
        <stp/>
        <stp>P</stp>
        <stp>0</stp>
        <stp>STK</stp>
        <stp>N000100</stp>
        <stp>누적거래량</stp>
        <stp/>
        <stp/>
        <tr r="L78" s="3"/>
        <tr r="L84" s="1"/>
      </tp>
      <tp>
        <v>1771</v>
        <stp/>
        <stp>P</stp>
        <stp>0</stp>
        <stp>STK</stp>
        <stp>N285130</stp>
        <stp>누적거래량</stp>
        <stp/>
        <stp/>
        <tr r="L292" s="1"/>
        <tr r="L215" s="3"/>
      </tp>
      <tp>
        <v>1475</v>
        <stp/>
        <stp>P</stp>
        <stp>0</stp>
        <stp>STK</stp>
        <stp>N084110</stp>
        <stp>누적거래량</stp>
        <stp/>
        <stp/>
        <tr r="L423" s="1"/>
      </tp>
      <tp>
        <v>39587</v>
        <stp/>
        <stp>P</stp>
        <stp>0</stp>
        <stp>STK</stp>
        <stp>N475150</stp>
        <stp>누적거래량</stp>
        <stp/>
        <stp/>
        <tr r="L267" s="3"/>
        <tr r="L399" s="1"/>
      </tp>
      <tp>
        <v>55565</v>
        <stp/>
        <stp>P</stp>
        <stp>0</stp>
        <stp>STK</stp>
        <stp>N024110</stp>
        <stp>누적거래량</stp>
        <stp/>
        <stp/>
        <tr r="L52" s="1"/>
        <tr r="L50" s="3"/>
      </tp>
      <tp>
        <v>1697</v>
        <stp/>
        <stp>P</stp>
        <stp>0</stp>
        <stp>STK</stp>
        <stp>N200130</stp>
        <stp>누적거래량</stp>
        <stp/>
        <stp/>
        <tr r="L562" s="1"/>
      </tp>
      <tp>
        <v>48826</v>
        <stp/>
        <stp>P</stp>
        <stp>0</stp>
        <stp>STK</stp>
        <stp>N006110</stp>
        <stp>누적거래량</stp>
        <stp/>
        <stp/>
        <tr r="L331" s="3"/>
        <tr r="L568" s="1"/>
      </tp>
      <tp>
        <v>49741</v>
        <stp/>
        <stp>P</stp>
        <stp>0</stp>
        <stp>STK</stp>
        <stp>N456160</stp>
        <stp>누적거래량</stp>
        <stp/>
        <stp/>
        <tr r="L278" s="1"/>
      </tp>
      <tp>
        <v>558</v>
        <stp/>
        <stp>P</stp>
        <stp>0</stp>
        <stp>STK</stp>
        <stp>N034120</stp>
        <stp>누적거래량</stp>
        <stp/>
        <stp/>
        <tr r="L336" s="3"/>
        <tr r="L581" s="1"/>
      </tp>
      <tp>
        <v>4467</v>
        <stp/>
        <stp>P</stp>
        <stp>0</stp>
        <stp>STK</stp>
        <stp>N139130</stp>
        <stp>누적거래량</stp>
        <stp/>
        <stp/>
        <tr r="L193" s="1"/>
        <tr r="L160" s="3"/>
      </tp>
      <tp>
        <v>13295</v>
        <stp/>
        <stp>P</stp>
        <stp>0</stp>
        <stp>STK</stp>
        <stp>N220100</stp>
        <stp>누적거래량</stp>
        <stp/>
        <stp/>
        <tr r="L458" s="1"/>
      </tp>
      <tp>
        <v>14969</v>
        <stp/>
        <stp>P</stp>
        <stp>0</stp>
        <stp>STK</stp>
        <stp>N010120</stp>
        <stp>누적거래량</stp>
        <stp/>
        <stp/>
        <tr r="L55" s="1"/>
        <tr r="L55" s="3"/>
      </tp>
      <tp>
        <v>5888</v>
        <stp/>
        <stp>P</stp>
        <stp>0</stp>
        <stp>STK</stp>
        <stp>N001120</stp>
        <stp>누적거래량</stp>
        <stp/>
        <stp/>
        <tr r="L257" s="1"/>
        <tr r="L201" s="3"/>
      </tp>
      <tp>
        <v>2867</v>
        <stp/>
        <stp>P</stp>
        <stp>0</stp>
        <stp>STK</stp>
        <stp>N000120</stp>
        <stp>누적거래량</stp>
        <stp/>
        <stp/>
        <tr r="L159" s="3"/>
        <tr r="L194" s="1"/>
      </tp>
      <tp>
        <v>691</v>
        <stp/>
        <stp>P</stp>
        <stp>0</stp>
        <stp>STK</stp>
        <stp>N003120</stp>
        <stp>누적거래량</stp>
        <stp/>
        <stp/>
        <tr r="L630" s="1"/>
        <tr r="L363" s="3"/>
      </tp>
      <tp>
        <v>389</v>
        <stp/>
        <stp>P</stp>
        <stp>0</stp>
        <stp>STK</stp>
        <stp>N006120</stp>
        <stp>누적거래량</stp>
        <stp/>
        <stp/>
        <tr r="L291" s="1"/>
        <tr r="L219" s="3"/>
      </tp>
      <tp>
        <v>5330</v>
        <stp/>
        <stp>P</stp>
        <stp>0</stp>
        <stp>STK</stp>
        <stp>N039130</stp>
        <stp>누적거래량</stp>
        <stp/>
        <stp/>
        <tr r="L260" s="3"/>
        <tr r="L385" s="1"/>
      </tp>
      <tp>
        <v>33281</v>
        <stp/>
        <stp>P</stp>
        <stp>0</stp>
        <stp>STK</stp>
        <stp>N127120</stp>
        <stp>누적거래량</stp>
        <stp/>
        <stp/>
        <tr r="L402" s="1"/>
      </tp>
      <tp>
        <v>12964</v>
        <stp/>
        <stp>P</stp>
        <stp>0</stp>
        <stp>STK</stp>
        <stp>N010130</stp>
        <stp>누적거래량</stp>
        <stp/>
        <stp/>
        <tr r="L25" s="3"/>
        <tr r="L25" s="1"/>
      </tp>
      <tp>
        <v>5</v>
        <stp/>
        <stp>P</stp>
        <stp>0</stp>
        <stp>STK</stp>
        <stp>N001130</stp>
        <stp>누적거래량</stp>
        <stp/>
        <stp/>
        <tr r="L375" s="3"/>
        <tr r="L680" s="1"/>
      </tp>
      <tp>
        <v>7579</v>
        <stp/>
        <stp>P</stp>
        <stp>0</stp>
        <stp>STK</stp>
        <stp>N304100</stp>
        <stp>누적거래량</stp>
        <stp/>
        <stp/>
        <tr r="L591" s="1"/>
      </tp>
      <tp>
        <v>11316</v>
        <stp/>
        <stp>P</stp>
        <stp>0</stp>
        <stp>STK</stp>
        <stp>N372170</stp>
        <stp>누적거래량</stp>
        <stp/>
        <stp/>
        <tr r="L677" s="1"/>
      </tp>
      <tp>
        <v>272812</v>
        <stp/>
        <stp>P</stp>
        <stp>0</stp>
        <stp>STK</stp>
        <stp>N466100</stp>
        <stp>누적거래량</stp>
        <stp/>
        <stp/>
        <tr r="L216" s="1"/>
      </tp>
      <tp>
        <v>447554</v>
        <stp/>
        <stp>P</stp>
        <stp>0</stp>
        <stp>STK</stp>
        <stp>N010140</stp>
        <stp>누적거래량</stp>
        <stp/>
        <stp/>
        <tr r="L31" s="3"/>
        <tr r="L30" s="1"/>
      </tp>
      <tp>
        <v>150</v>
        <stp/>
        <stp>P</stp>
        <stp>0</stp>
        <stp>STK</stp>
        <stp>N043150</stp>
        <stp>누적거래량</stp>
        <stp/>
        <stp/>
        <tr r="L642" s="1"/>
      </tp>
      <tp>
        <v>51</v>
        <stp/>
        <stp>P</stp>
        <stp>0</stp>
        <stp>STK</stp>
        <stp>N035150</stp>
        <stp>누적거래량</stp>
        <stp/>
        <stp/>
        <tr r="L372" s="3"/>
        <tr r="L663" s="1"/>
      </tp>
      <tp>
        <v>660583</v>
        <stp/>
        <stp>P</stp>
        <stp>0</stp>
        <stp>STK</stp>
        <stp>N020150</stp>
        <stp>누적거래량</stp>
        <stp/>
        <stp/>
        <tr r="L225" s="1"/>
        <tr r="L170" s="3"/>
      </tp>
      <tp>
        <v>21146</v>
        <stp/>
        <stp>P</stp>
        <stp>0</stp>
        <stp>STK</stp>
        <stp>N000150</stp>
        <stp>누적거래량</stp>
        <stp/>
        <stp/>
        <tr r="L61" s="1"/>
        <tr r="L56" s="3"/>
      </tp>
      <tp>
        <v>20315</v>
        <stp/>
        <stp>P</stp>
        <stp>0</stp>
        <stp>STK</stp>
        <stp>N103140</stp>
        <stp>누적거래량</stp>
        <stp/>
        <stp/>
        <tr r="L124" s="3"/>
        <tr r="L141" s="1"/>
      </tp>
      <tp>
        <v>55290</v>
        <stp/>
        <stp>P</stp>
        <stp>0</stp>
        <stp>STK</stp>
        <stp>N009150</stp>
        <stp>누적거래량</stp>
        <stp/>
        <stp/>
        <tr r="L39" s="3"/>
        <tr r="L39" s="1"/>
      </tp>
      <tp>
        <v>20854</v>
        <stp/>
        <stp>P</stp>
        <stp>0</stp>
        <stp>STK</stp>
        <stp>N494120</stp>
        <stp>누적거래량</stp>
        <stp/>
        <stp/>
        <tr r="L526" s="1"/>
      </tp>
      <tp>
        <v>192075</v>
        <stp/>
        <stp>P</stp>
        <stp>0</stp>
        <stp>STK</stp>
        <stp>N196170</stp>
        <stp>누적거래량</stp>
        <stp/>
        <stp/>
        <tr r="L42" s="1"/>
      </tp>
      <tp>
        <v>5036</v>
        <stp/>
        <stp>P</stp>
        <stp>0</stp>
        <stp>STK</stp>
        <stp>N484120</stp>
        <stp>누적거래량</stp>
        <stp/>
        <stp/>
        <tr r="L671" s="1"/>
      </tp>
      <tp>
        <v>2322</v>
        <stp/>
        <stp>P</stp>
        <stp>0</stp>
        <stp>STK</stp>
        <stp>N078160</stp>
        <stp>누적거래량</stp>
        <stp/>
        <stp/>
        <tr r="L435" s="1"/>
      </tp>
      <tp>
        <v>711</v>
        <stp/>
        <stp>P</stp>
        <stp>0</stp>
        <stp>STK</stp>
        <stp>N067160</stp>
        <stp>누적거래량</stp>
        <stp/>
        <stp/>
        <tr r="L370" s="1"/>
      </tp>
      <tp>
        <v>54863</v>
        <stp/>
        <stp>P</stp>
        <stp>0</stp>
        <stp>STK</stp>
        <stp>N232140</stp>
        <stp>누적거래량</stp>
        <stp/>
        <stp/>
        <tr r="L280" s="1"/>
      </tp>
      <tp>
        <v>22622</v>
        <stp/>
        <stp>P</stp>
        <stp>0</stp>
        <stp>STK</stp>
        <stp>N023160</stp>
        <stp>누적거래량</stp>
        <stp/>
        <stp/>
        <tr r="L386" s="1"/>
      </tp>
      <tp>
        <v>36757</v>
        <stp/>
        <stp>P</stp>
        <stp>0</stp>
        <stp>STK</stp>
        <stp>N003160</stp>
        <stp>누적거래량</stp>
        <stp/>
        <stp/>
        <tr r="L342" s="1"/>
        <tr r="L242" s="3"/>
      </tp>
      <tp>
        <v>1581</v>
        <stp/>
        <stp>P</stp>
        <stp>0</stp>
        <stp>STK</stp>
        <stp>N007160</stp>
        <stp>누적거래량</stp>
        <stp/>
        <stp/>
        <tr r="L649" s="1"/>
        <tr r="L362" s="3"/>
      </tp>
      <tp>
        <v>18589</v>
        <stp/>
        <stp>P</stp>
        <stp>0</stp>
        <stp>STK</stp>
        <stp>N094170</stp>
        <stp>누적거래량</stp>
        <stp/>
        <stp/>
        <tr r="L436" s="1"/>
      </tp>
      <tp>
        <v>34603</v>
        <stp/>
        <stp>P</stp>
        <stp>0</stp>
        <stp>STK</stp>
        <stp>N011170</stp>
        <stp>누적거래량</stp>
        <stp/>
        <stp/>
        <tr r="L126" s="3"/>
        <tr r="L149" s="1"/>
      </tp>
      <tp>
        <v>10154</v>
        <stp/>
        <stp>P</stp>
        <stp>0</stp>
        <stp>STK</stp>
        <stp>N214150</stp>
        <stp>누적거래량</stp>
        <stp/>
        <stp/>
        <tr r="L129" s="1"/>
      </tp>
      <tp>
        <v>59290</v>
        <stp/>
        <stp>P</stp>
        <stp>0</stp>
        <stp>STK</stp>
        <stp>N316140</stp>
        <stp>누적거래량</stp>
        <stp/>
        <stp/>
        <tr r="L40" s="1"/>
        <tr r="L38" s="3"/>
      </tp>
      <tp>
        <v>8566</v>
        <stp/>
        <stp>P</stp>
        <stp>0</stp>
        <stp>STK</stp>
        <stp>N019170</stp>
        <stp>누적거래량</stp>
        <stp/>
        <stp/>
        <tr r="L408" s="1"/>
        <tr r="L269" s="3"/>
      </tp>
      <tp>
        <v>3508</v>
        <stp/>
        <stp>P</stp>
        <stp>0</stp>
        <stp>STK</stp>
        <stp>N101160</stp>
        <stp>누적거래량</stp>
        <stp/>
        <stp/>
        <tr r="L558" s="1"/>
      </tp>
      <tp>
        <v>359</v>
        <stp/>
        <stp>P</stp>
        <stp>0</stp>
        <stp>STK</stp>
        <stp>N004170</stp>
        <stp>누적거래량</stp>
        <stp/>
        <stp/>
        <tr r="L136" s="3"/>
        <tr r="L160" s="1"/>
      </tp>
      <tp>
        <v>304</v>
        <stp/>
        <stp>P</stp>
        <stp>0</stp>
        <stp>STK</stp>
        <stp>N183190</stp>
        <stp>누적거래량</stp>
        <stp/>
        <stp/>
        <tr r="L513" s="1"/>
        <tr r="L314" s="3"/>
      </tp>
      <tp>
        <v>146584</v>
        <stp/>
        <stp>P</stp>
        <stp>0</stp>
        <stp>STK</stp>
        <stp>N160190</stp>
        <stp>누적거래량</stp>
        <stp/>
        <stp/>
        <tr r="L190" s="1"/>
      </tp>
      <tp>
        <v>5123195</v>
        <stp/>
        <stp>P</stp>
        <stp>0</stp>
        <stp>STK</stp>
        <stp>N114190</stp>
        <stp>누적거래량</stp>
        <stp/>
        <stp/>
        <tr r="L563" s="1"/>
      </tp>
      <tp>
        <v>569</v>
        <stp/>
        <stp>P</stp>
        <stp>0</stp>
        <stp>STK</stp>
        <stp>N005180</stp>
        <stp>누적거래량</stp>
        <stp/>
        <stp/>
        <tr r="L378" s="1"/>
        <tr r="L257" s="3"/>
      </tp>
      <tp>
        <v>5971</v>
        <stp/>
        <stp>P</stp>
        <stp>0</stp>
        <stp>STK</stp>
        <stp>N099190</stp>
        <stp>누적거래량</stp>
        <stp/>
        <stp/>
        <tr r="L529" s="1"/>
      </tp>
      <tp>
        <v>20651</v>
        <stp/>
        <stp>P</stp>
        <stp>0</stp>
        <stp>STK</stp>
        <stp>N056190</stp>
        <stp>누적거래량</stp>
        <stp/>
        <stp/>
        <tr r="L327" s="1"/>
      </tp>
      <tp>
        <v>84228</v>
        <stp/>
        <stp>P</stp>
        <stp>0</stp>
        <stp>STK</stp>
        <stp>N041190</stp>
        <stp>누적거래량</stp>
        <stp/>
        <stp/>
        <tr r="L425" s="1"/>
      </tp>
      <tp>
        <v>616</v>
        <stp/>
        <stp>P</stp>
        <stp>0</stp>
        <stp>STK</stp>
        <stp>N030190</stp>
        <stp>누적거래량</stp>
        <stp/>
        <stp/>
        <tr r="L314" s="1"/>
        <tr r="L229" s="3"/>
      </tp>
      <tp>
        <v>13942</v>
        <stp/>
        <stp>P</stp>
        <stp>0</stp>
        <stp>STK</stp>
        <stp>N032190</stp>
        <stp>누적거래량</stp>
        <stp/>
        <stp/>
        <tr r="L387" s="1"/>
      </tp>
      <tp>
        <v>12601</v>
        <stp/>
        <stp>P</stp>
        <stp>0</stp>
        <stp>STK</stp>
        <stp>N329180</stp>
        <stp>누적거래량</stp>
        <stp/>
        <stp/>
        <tr r="L13" s="3"/>
        <tr r="L13" s="1"/>
      </tp>
      <tp>
        <v>45684</v>
        <stp/>
        <stp>P</stp>
        <stp>0</stp>
        <stp>STK</stp>
        <stp>N416180</stp>
        <stp>누적거래량</stp>
        <stp/>
        <stp/>
        <tr r="L634" s="1"/>
      </tp>
      <tp>
        <v>530574</v>
        <stp/>
        <stp>P</stp>
        <stp>0</stp>
        <stp>STK</stp>
        <stp>N457190</stp>
        <stp>누적거래량</stp>
        <stp/>
        <stp/>
        <tr r="L159" s="1"/>
        <tr r="L127" s="3"/>
      </tp>
      <tp>
        <v>11721</v>
        <stp/>
        <stp>P</stp>
        <stp>0</stp>
        <stp>STK</stp>
        <stp>N030200</stp>
        <stp>누적거래량</stp>
        <stp/>
        <stp/>
        <tr r="L59" s="1"/>
        <tr r="L57" s="3"/>
      </tp>
      <tp>
        <v>9302</v>
        <stp/>
        <stp>P</stp>
        <stp>0</stp>
        <stp>STK</stp>
        <stp>N036200</stp>
        <stp>누적거래량</stp>
        <stp/>
        <stp/>
        <tr r="L626" s="1"/>
      </tp>
      <tp>
        <v>15730</v>
        <stp/>
        <stp>P</stp>
        <stp>0</stp>
        <stp>STK</stp>
        <stp>N039200</stp>
        <stp>누적거래량</stp>
        <stp/>
        <stp/>
        <tr r="L236" s="1"/>
      </tp>
      <tp>
        <v>198576</v>
        <stp/>
        <stp>P</stp>
        <stp>0</stp>
        <stp>STK</stp>
        <stp>N011200</stp>
        <stp>누적거래량</stp>
        <stp/>
        <stp/>
        <tr r="L42" s="3"/>
        <tr r="L43" s="1"/>
      </tp>
      <tp>
        <v>1974</v>
        <stp/>
        <stp>P</stp>
        <stp>0</stp>
        <stp>STK</stp>
        <stp>N003200</stp>
        <stp>누적거래량</stp>
        <stp/>
        <stp/>
        <tr r="L618" s="1"/>
        <tr r="L358" s="3"/>
      </tp>
      <tp>
        <v>1264</v>
        <stp/>
        <stp>P</stp>
        <stp>0</stp>
        <stp>STK</stp>
        <stp>N383220</stp>
        <stp>누적거래량</stp>
        <stp/>
        <stp/>
        <tr r="L147" s="3"/>
        <tr r="L175" s="1"/>
      </tp>
      <tp>
        <v>127979</v>
        <stp/>
        <stp>P</stp>
        <stp>0</stp>
        <stp>STK</stp>
        <stp>N373220</stp>
        <stp>누적거래량</stp>
        <stp/>
        <stp/>
        <tr r="L9" s="3"/>
        <tr r="L9" s="1"/>
      </tp>
      <tp>
        <v>141</v>
        <stp/>
        <stp>P</stp>
        <stp>0</stp>
        <stp>STK</stp>
        <stp>N031210</stp>
        <stp>누적거래량</stp>
        <stp/>
        <stp/>
        <tr r="L123" s="3"/>
        <tr r="L140" s="1"/>
      </tp>
      <tp>
        <v>17189</v>
        <stp/>
        <stp>P</stp>
        <stp>0</stp>
        <stp>STK</stp>
        <stp>N338220</stp>
        <stp>누적거래량</stp>
        <stp/>
        <stp/>
        <tr r="L643" s="1"/>
      </tp>
      <tp>
        <v>58226</v>
        <stp/>
        <stp>P</stp>
        <stp>0</stp>
        <stp>STK</stp>
        <stp>N011210</stp>
        <stp>누적거래량</stp>
        <stp/>
        <stp/>
        <tr r="L164" s="1"/>
        <tr r="L146" s="3"/>
      </tp>
      <tp>
        <v>4469</v>
        <stp/>
        <stp>P</stp>
        <stp>0</stp>
        <stp>STK</stp>
        <stp>N000210</stp>
        <stp>누적거래량</stp>
        <stp/>
        <stp/>
        <tr r="L250" s="3"/>
        <tr r="L365" s="1"/>
      </tp>
      <tp>
        <v>311854</v>
        <stp/>
        <stp>P</stp>
        <stp>0</stp>
        <stp>STK</stp>
        <stp>N080220</stp>
        <stp>누적거래량</stp>
        <stp/>
        <stp/>
        <tr r="L304" s="1"/>
      </tp>
      <tp>
        <v>9793</v>
        <stp/>
        <stp>P</stp>
        <stp>0</stp>
        <stp>STK</stp>
        <stp>N388210</stp>
        <stp>누적거래량</stp>
        <stp/>
        <stp/>
        <tr r="L302" s="1"/>
      </tp>
      <tp>
        <v>3175</v>
        <stp/>
        <stp>P</stp>
        <stp>0</stp>
        <stp>STK</stp>
        <stp>N348210</stp>
        <stp>누적거래량</stp>
        <stp/>
        <stp/>
        <tr r="L360" s="1"/>
      </tp>
      <tp>
        <v>225571</v>
        <stp/>
        <stp>P</stp>
        <stp>0</stp>
        <stp>STK</stp>
        <stp>N034220</stp>
        <stp>누적거래량</stp>
        <stp/>
        <stp/>
        <tr r="L91" s="3"/>
        <tr r="L99" s="1"/>
      </tp>
      <tp>
        <v>289212</v>
        <stp/>
        <stp>P</stp>
        <stp>0</stp>
        <stp>STK</stp>
        <stp>N236200</stp>
        <stp>누적거래량</stp>
        <stp/>
        <stp/>
        <tr r="L664" s="1"/>
      </tp>
      <tp>
        <v>37780</v>
        <stp/>
        <stp>P</stp>
        <stp>0</stp>
        <stp>STK</stp>
        <stp>N439260</stp>
        <stp>누적거래량</stp>
        <stp/>
        <stp/>
        <tr r="L169" s="1"/>
        <tr r="L143" s="3"/>
      </tp>
      <tp>
        <v>5997</v>
        <stp/>
        <stp>P</stp>
        <stp>0</stp>
        <stp>STK</stp>
        <stp>N310210</stp>
        <stp>누적거래량</stp>
        <stp/>
        <stp/>
        <tr r="L145" s="1"/>
      </tp>
      <tp>
        <v>55</v>
        <stp/>
        <stp>P</stp>
        <stp>0</stp>
        <stp>STK</stp>
        <stp>N215200</stp>
        <stp>누적거래량</stp>
        <stp/>
        <stp/>
        <tr r="L535" s="1"/>
      </tp>
      <tp>
        <v>2327</v>
        <stp/>
        <stp>P</stp>
        <stp>0</stp>
        <stp>STK</stp>
        <stp>N003220</stp>
        <stp>누적거래량</stp>
        <stp/>
        <stp/>
        <tr r="L370" s="3"/>
        <tr r="L667" s="1"/>
      </tp>
      <tp>
        <v>9536</v>
        <stp/>
        <stp>P</stp>
        <stp>0</stp>
        <stp>STK</stp>
        <stp>N006220</stp>
        <stp>누적거래량</stp>
        <stp/>
        <stp/>
        <tr r="L315" s="3"/>
        <tr r="L512" s="1"/>
      </tp>
      <tp>
        <v>0</v>
        <stp/>
        <stp>P</stp>
        <stp>0</stp>
        <stp>STK</stp>
        <stp>N092230</stp>
        <stp>누적거래량</stp>
        <stp/>
        <stp/>
        <tr r="L352" s="3"/>
        <tr r="L615" s="1"/>
      </tp>
      <tp>
        <v>94818</v>
        <stp/>
        <stp>P</stp>
        <stp>0</stp>
        <stp>STK</stp>
        <stp>N097230</stp>
        <stp>누적거래량</stp>
        <stp/>
        <stp/>
        <tr r="L195" s="1"/>
        <tr r="L164" s="3"/>
      </tp>
      <tp>
        <v>342072</v>
        <stp/>
        <stp>P</stp>
        <stp>0</stp>
        <stp>STK</stp>
        <stp>N272210</stp>
        <stp>누적거래량</stp>
        <stp/>
        <stp/>
        <tr r="L49" s="3"/>
        <tr r="L50" s="1"/>
      </tp>
      <tp>
        <v>73749</v>
        <stp/>
        <stp>P</stp>
        <stp>0</stp>
        <stp>STK</stp>
        <stp>N353200</stp>
        <stp>누적거래량</stp>
        <stp/>
        <stp/>
        <tr r="L153" s="3"/>
        <tr r="L176" s="1"/>
      </tp>
      <tp>
        <v>22635</v>
        <stp/>
        <stp>P</stp>
        <stp>0</stp>
        <stp>STK</stp>
        <stp>N441270</stp>
        <stp>누적거래량</stp>
        <stp/>
        <stp/>
        <tr r="L569" s="1"/>
      </tp>
      <tp>
        <v>7246</v>
        <stp/>
        <stp>P</stp>
        <stp>0</stp>
        <stp>STK</stp>
        <stp>N034230</stp>
        <stp>누적거래량</stp>
        <stp/>
        <stp/>
        <tr r="L189" s="3"/>
        <tr r="L242" s="1"/>
      </tp>
      <tp>
        <v>4695</v>
        <stp/>
        <stp>P</stp>
        <stp>0</stp>
        <stp>STK</stp>
        <stp>N003230</stp>
        <stp>누적거래량</stp>
        <stp/>
        <stp/>
        <tr r="L71" s="3"/>
        <tr r="L77" s="1"/>
      </tp>
      <tp>
        <v>1983</v>
        <stp/>
        <stp>P</stp>
        <stp>0</stp>
        <stp>STK</stp>
        <stp>N306200</stp>
        <stp>누적거래량</stp>
        <stp/>
        <stp/>
        <tr r="L341" s="3"/>
        <tr r="L589" s="1"/>
      </tp>
      <tp>
        <v>16832</v>
        <stp/>
        <stp>P</stp>
        <stp>0</stp>
        <stp>STK</stp>
        <stp>N073240</stp>
        <stp>누적거래량</stp>
        <stp/>
        <stp/>
        <tr r="L224" s="1"/>
        <tr r="L180" s="3"/>
      </tp>
      <tp>
        <v>3938</v>
        <stp/>
        <stp>P</stp>
        <stp>0</stp>
        <stp>STK</stp>
        <stp>N376270</stp>
        <stp>누적거래량</stp>
        <stp/>
        <stp/>
        <tr r="L552" s="1"/>
      </tp>
      <tp>
        <v>6368</v>
        <stp/>
        <stp>P</stp>
        <stp>0</stp>
        <stp>STK</stp>
        <stp>N267260</stp>
        <stp>누적거래량</stp>
        <stp/>
        <stp/>
        <tr r="L26" s="3"/>
        <tr r="L26" s="1"/>
      </tp>
      <tp>
        <v>29386</v>
        <stp/>
        <stp>P</stp>
        <stp>0</stp>
        <stp>STK</stp>
        <stp>N033240</stp>
        <stp>누적거래량</stp>
        <stp/>
        <stp/>
        <tr r="L461" s="1"/>
        <tr r="L297" s="3"/>
      </tp>
      <tp>
        <v>3196</v>
        <stp/>
        <stp>P</stp>
        <stp>0</stp>
        <stp>STK</stp>
        <stp>N021240</stp>
        <stp>누적거래량</stp>
        <stp/>
        <stp/>
        <tr r="L103" s="1"/>
        <tr r="L95" s="3"/>
      </tp>
      <tp>
        <v>175438</v>
        <stp/>
        <stp>P</stp>
        <stp>0</stp>
        <stp>STK</stp>
        <stp>N417200</stp>
        <stp>누적거래량</stp>
        <stp/>
        <stp/>
        <tr r="L333" s="1"/>
      </tp>
      <tp>
        <v>1160</v>
        <stp/>
        <stp>P</stp>
        <stp>0</stp>
        <stp>STK</stp>
        <stp>N000240</stp>
        <stp>누적거래량</stp>
        <stp/>
        <stp/>
        <tr r="L145" s="3"/>
        <tr r="L171" s="1"/>
      </tp>
      <tp>
        <v>471</v>
        <stp/>
        <stp>P</stp>
        <stp>0</stp>
        <stp>STK</stp>
        <stp>N003240</stp>
        <stp>누적거래량</stp>
        <stp/>
        <stp/>
        <tr r="L239" s="3"/>
        <tr r="L341" s="1"/>
      </tp>
      <tp>
        <v>2202</v>
        <stp/>
        <stp>P</stp>
        <stp>0</stp>
        <stp>STK</stp>
        <stp>N002240</stp>
        <stp>누적거래량</stp>
        <stp/>
        <stp/>
        <tr r="L277" s="3"/>
        <tr r="L426" s="1"/>
      </tp>
      <tp>
        <v>977</v>
        <stp/>
        <stp>P</stp>
        <stp>0</stp>
        <stp>STK</stp>
        <stp>N009240</stp>
        <stp>누적거래량</stp>
        <stp/>
        <stp/>
        <tr r="L301" s="1"/>
        <tr r="L223" s="3"/>
      </tp>
      <tp>
        <v>7047</v>
        <stp/>
        <stp>P</stp>
        <stp>0</stp>
        <stp>STK</stp>
        <stp>N389260</stp>
        <stp>누적거래량</stp>
        <stp/>
        <stp/>
        <tr r="L612" s="1"/>
      </tp>
      <tp>
        <v>21207</v>
        <stp/>
        <stp>P</stp>
        <stp>0</stp>
        <stp>STK</stp>
        <stp>N060250</stp>
        <stp>누적거래량</stp>
        <stp/>
        <stp/>
        <tr r="L437" s="1"/>
      </tp>
      <tp>
        <v>88729</v>
        <stp/>
        <stp>P</stp>
        <stp>0</stp>
        <stp>STK</stp>
        <stp>N267270</stp>
        <stp>누적거래량</stp>
        <stp/>
        <stp/>
        <tr r="L174" s="3"/>
        <tr r="L213" s="1"/>
      </tp>
      <tp>
        <v>9261</v>
        <stp/>
        <stp>P</stp>
        <stp>0</stp>
        <stp>STK</stp>
        <stp>N251270</stp>
        <stp>누적거래량</stp>
        <stp/>
        <stp/>
        <tr r="L120" s="1"/>
        <tr r="L108" s="3"/>
      </tp>
      <tp>
        <v>14390</v>
        <stp/>
        <stp>P</stp>
        <stp>0</stp>
        <stp>STK</stp>
        <stp>N035250</stp>
        <stp>누적거래량</stp>
        <stp/>
        <stp/>
        <tr r="L118" s="3"/>
        <tr r="L128" s="1"/>
      </tp>
      <tp>
        <v>111373</v>
        <stp/>
        <stp>P</stp>
        <stp>0</stp>
        <stp>STK</stp>
        <stp>N336260</stp>
        <stp>누적거래량</stp>
        <stp/>
        <stp/>
        <tr r="L183" s="1"/>
        <tr r="L150" s="3"/>
      </tp>
      <tp>
        <v>718</v>
        <stp/>
        <stp>P</stp>
        <stp>0</stp>
        <stp>STK</stp>
        <stp>N018250</stp>
        <stp>누적거래량</stp>
        <stp/>
        <stp/>
        <tr r="L343" s="3"/>
        <tr r="L590" s="1"/>
      </tp>
      <tp>
        <v>146629</v>
        <stp/>
        <stp>P</stp>
        <stp>0</stp>
        <stp>STK</stp>
        <stp>N000250</stp>
        <stp>누적거래량</stp>
        <stp/>
        <stp/>
        <tr r="L97" s="1"/>
      </tp>
      <tp>
        <v>4405</v>
        <stp/>
        <stp>P</stp>
        <stp>0</stp>
        <stp>STK</stp>
        <stp>N005250</stp>
        <stp>누적거래량</stp>
        <stp/>
        <stp/>
        <tr r="L263" s="3"/>
        <tr r="L389" s="1"/>
      </tp>
      <tp>
        <v>74832</v>
        <stp/>
        <stp>P</stp>
        <stp>0</stp>
        <stp>STK</stp>
        <stp>N204270</stp>
        <stp>누적거래량</stp>
        <stp/>
        <stp/>
        <tr r="L294" s="1"/>
      </tp>
      <tp>
        <v>973</v>
        <stp/>
        <stp>P</stp>
        <stp>0</stp>
        <stp>STK</stp>
        <stp>N069260</stp>
        <stp>누적거래량</stp>
        <stp/>
        <stp/>
        <tr r="L251" s="3"/>
        <tr r="L369" s="1"/>
      </tp>
      <tp>
        <v>4865</v>
        <stp/>
        <stp>P</stp>
        <stp>0</stp>
        <stp>STK</stp>
        <stp>N028260</stp>
        <stp>누적거래량</stp>
        <stp/>
        <stp/>
        <tr r="L17" s="1"/>
        <tr r="L17" s="3"/>
      </tp>
      <tp>
        <v>21181</v>
        <stp/>
        <stp>P</stp>
        <stp>0</stp>
        <stp>STK</stp>
        <stp>N018260</stp>
        <stp>누적거래량</stp>
        <stp/>
        <stp/>
        <tr r="L59" s="3"/>
        <tr r="L60" s="1"/>
      </tp>
      <tp>
        <v>68210</v>
        <stp/>
        <stp>P</stp>
        <stp>0</stp>
        <stp>STK</stp>
        <stp>N006260</stp>
        <stp>누적거래량</stp>
        <stp/>
        <stp/>
        <tr r="L85" s="3"/>
        <tr r="L89" s="1"/>
      </tp>
      <tp>
        <v>30950</v>
        <stp/>
        <stp>P</stp>
        <stp>0</stp>
        <stp>STK</stp>
        <stp>N082270</stp>
        <stp>누적거래량</stp>
        <stp/>
        <stp/>
        <tr r="L313" s="1"/>
      </tp>
      <tp>
        <v>8070</v>
        <stp/>
        <stp>P</stp>
        <stp>0</stp>
        <stp>STK</stp>
        <stp>N267250</stp>
        <stp>누적거래량</stp>
        <stp/>
        <stp/>
        <tr r="L41" s="3"/>
        <tr r="L41" s="1"/>
      </tp>
      <tp>
        <v>41454</v>
        <stp/>
        <stp>P</stp>
        <stp>0</stp>
        <stp>STK</stp>
        <stp>N068270</stp>
        <stp>누적거래량</stp>
        <stp/>
        <stp/>
        <tr r="L18" s="3"/>
        <tr r="L18" s="1"/>
      </tp>
      <tp>
        <v>831</v>
        <stp/>
        <stp>P</stp>
        <stp>0</stp>
        <stp>STK</stp>
        <stp>N033270</stp>
        <stp>누적거래량</stp>
        <stp/>
        <stp/>
        <tr r="L625" s="1"/>
        <tr r="L356" s="3"/>
      </tp>
      <tp>
        <v>13799</v>
        <stp/>
        <stp>P</stp>
        <stp>0</stp>
        <stp>STK</stp>
        <stp>N001270</stp>
        <stp>누적거래량</stp>
        <stp/>
        <stp/>
        <tr r="L412" s="1"/>
        <tr r="L274" s="3"/>
      </tp>
      <tp>
        <v>149871</v>
        <stp/>
        <stp>P</stp>
        <stp>0</stp>
        <stp>STK</stp>
        <stp>N000270</stp>
        <stp>누적거래량</stp>
        <stp/>
        <stp/>
        <tr r="L12" s="3"/>
        <tr r="L11" s="1"/>
      </tp>
      <tp>
        <v>126314</v>
        <stp/>
        <stp>P</stp>
        <stp>0</stp>
        <stp>STK</stp>
        <stp>N086280</stp>
        <stp>누적거래량</stp>
        <stp/>
        <stp/>
        <tr r="L36" s="1"/>
        <tr r="L40" s="3"/>
      </tp>
      <tp>
        <v>3474431</v>
        <stp/>
        <stp>P</stp>
        <stp>0</stp>
        <stp>STK</stp>
        <stp>N060280</stp>
        <stp>누적거래량</stp>
        <stp/>
        <stp/>
        <tr r="L346" s="1"/>
      </tp>
      <tp>
        <v>9077</v>
        <stp/>
        <stp>P</stp>
        <stp>0</stp>
        <stp>STK</stp>
        <stp>N131290</stp>
        <stp>누적거래량</stp>
        <stp/>
        <stp/>
        <tr r="L343" s="1"/>
      </tp>
      <tp>
        <v>2694</v>
        <stp/>
        <stp>P</stp>
        <stp>0</stp>
        <stp>STK</stp>
        <stp>N006280</stp>
        <stp>누적거래량</stp>
        <stp/>
        <stp/>
        <tr r="L229" s="1"/>
        <tr r="L184" s="3"/>
      </tp>
      <tp>
        <v>36511</v>
        <stp/>
        <stp>P</stp>
        <stp>0</stp>
        <stp>STK</stp>
        <stp>N018290</stp>
        <stp>누적거래량</stp>
        <stp/>
        <stp/>
        <tr r="L439" s="1"/>
      </tp>
      <tp>
        <v>44872</v>
        <stp/>
        <stp>P</stp>
        <stp>0</stp>
        <stp>STK</stp>
        <stp>N005290</stp>
        <stp>누적거래량</stp>
        <stp/>
        <stp/>
        <tr r="L201" s="1"/>
      </tp>
      <tp>
        <v>80558</v>
        <stp/>
        <stp>P</stp>
        <stp>0</stp>
        <stp>STK</stp>
        <stp>N278280</stp>
        <stp>누적거래량</stp>
        <stp/>
        <stp/>
        <tr r="L434" s="1"/>
      </tp>
      <tp>
        <v>11</v>
        <stp/>
        <stp>P</stp>
        <stp>0</stp>
        <stp>STK</stp>
        <stp>N268280</stp>
        <stp>누적거래량</stp>
        <stp/>
        <stp/>
        <tr r="L265" s="3"/>
        <tr r="L388" s="1"/>
      </tp>
      <tp>
        <v>46574</v>
        <stp/>
        <stp>P</stp>
        <stp>0</stp>
        <stp>STK</stp>
        <stp>N394280</stp>
        <stp>누적거래량</stp>
        <stp/>
        <stp/>
        <tr r="L624" s="1"/>
      </tp>
      <tp>
        <v>516123</v>
        <stp/>
        <stp>P</stp>
        <stp>0</stp>
        <stp>STK</stp>
        <stp>N272290</stp>
        <stp>누적거래량</stp>
        <stp/>
        <stp/>
        <tr r="L469" s="1"/>
      </tp>
      <tp>
        <v>118127</v>
        <stp/>
        <stp>P</stp>
        <stp>0</stp>
        <stp>STK</stp>
        <stp>N323280</stp>
        <stp>누적거래량</stp>
        <stp/>
        <stp/>
        <tr r="L255" s="1"/>
      </tp>
      <tp>
        <v>24267</v>
        <stp/>
        <stp>P</stp>
        <stp>0</stp>
        <stp>STK</stp>
        <stp>N488280</stp>
        <stp>누적거래량</stp>
        <stp/>
        <stp/>
        <tr r="L687" s="1"/>
      </tp>
      <tp>
        <v>1429</v>
        <stp/>
        <stp>P</stp>
        <stp>0</stp>
        <stp>STK</stp>
        <stp>N448280</stp>
        <stp>누적거래량</stp>
        <stp/>
        <stp/>
        <tr r="L638" s="1"/>
      </tp>
      <tp>
        <v>834011</v>
        <stp/>
        <stp>P</stp>
        <stp>0</stp>
        <stp>STK</stp>
        <stp>N478340</stp>
        <stp>누적거래량</stp>
        <stp/>
        <stp/>
        <tr r="L422" s="1"/>
      </tp>
      <tp>
        <v>1156</v>
        <stp/>
        <stp>P</stp>
        <stp>0</stp>
        <stp>STK</stp>
        <stp>N453340</stp>
        <stp>누적거래량</stp>
        <stp/>
        <stp/>
        <tr r="L300" s="3"/>
        <tr r="L480" s="1"/>
      </tp>
      <tp>
        <v>876</v>
        <stp/>
        <stp>P</stp>
        <stp>0</stp>
        <stp>STK</stp>
        <stp>N137310</stp>
        <stp>누적거래량</stp>
        <stp/>
        <stp/>
        <tr r="L312" s="1"/>
        <tr r="L227" s="3"/>
      </tp>
      <tp>
        <v>1856</v>
        <stp/>
        <stp>P</stp>
        <stp>0</stp>
        <stp>STK</stp>
        <stp>N226320</stp>
        <stp>누적거래량</stp>
        <stp/>
        <stp/>
        <tr r="L373" s="3"/>
        <tr r="L676" s="1"/>
      </tp>
      <tp>
        <v>104423</v>
        <stp/>
        <stp>P</stp>
        <stp>0</stp>
        <stp>STK</stp>
        <stp>N028300</stp>
        <stp>누적거래량</stp>
        <stp/>
        <stp/>
        <tr r="L93" s="1"/>
      </tp>
      <tp>
        <v>2713</v>
        <stp/>
        <stp>P</stp>
        <stp>0</stp>
        <stp>STK</stp>
        <stp>N214320</stp>
        <stp>누적거래량</stp>
        <stp/>
        <stp/>
        <tr r="L375" s="1"/>
        <tr r="L256" s="3"/>
      </tp>
      <tp>
        <v>154938</v>
        <stp/>
        <stp>P</stp>
        <stp>0</stp>
        <stp>STK</stp>
        <stp>N317330</stp>
        <stp>누적거래량</stp>
        <stp/>
        <stp/>
        <tr r="L574" s="1"/>
      </tp>
      <tp>
        <v>20</v>
        <stp/>
        <stp>P</stp>
        <stp>0</stp>
        <stp>STK</stp>
        <stp>N003300</stp>
        <stp>누적거래량</stp>
        <stp/>
        <stp/>
        <tr r="L489" s="1"/>
        <tr r="L303" s="3"/>
      </tp>
      <tp>
        <v>7831</v>
        <stp/>
        <stp>P</stp>
        <stp>0</stp>
        <stp>STK</stp>
        <stp>N402340</stp>
        <stp>누적거래량</stp>
        <stp/>
        <stp/>
        <tr r="L15" s="1"/>
        <tr r="L15" s="3"/>
      </tp>
      <tp>
        <v>332</v>
        <stp/>
        <stp>P</stp>
        <stp>0</stp>
        <stp>STK</stp>
        <stp>N005300</stp>
        <stp>누적거래량</stp>
        <stp/>
        <stp/>
        <tr r="L210" s="3"/>
        <tr r="L281" s="1"/>
      </tp>
      <tp>
        <v>348275</v>
        <stp/>
        <stp>P</stp>
        <stp>0</stp>
        <stp>STK</stp>
        <stp>N204320</stp>
        <stp>누적거래량</stp>
        <stp/>
        <stp/>
        <tr r="L125" s="3"/>
        <tr r="L139" s="1"/>
      </tp>
      <tp>
        <v>5735</v>
        <stp/>
        <stp>P</stp>
        <stp>0</stp>
        <stp>STK</stp>
        <stp>N183300</stp>
        <stp>누적거래량</stp>
        <stp/>
        <stp/>
        <tr r="L303" s="1"/>
      </tp>
      <tp>
        <v>1091</v>
        <stp/>
        <stp>P</stp>
        <stp>0</stp>
        <stp>STK</stp>
        <stp>N282330</stp>
        <stp>누적거래량</stp>
        <stp/>
        <stp/>
        <tr r="L210" s="1"/>
        <tr r="L171" s="3"/>
      </tp>
      <tp>
        <v>55228</v>
        <stp/>
        <stp>P</stp>
        <stp>0</stp>
        <stp>STK</stp>
        <stp>N189300</stp>
        <stp>누적거래량</stp>
        <stp/>
        <stp/>
        <tr r="L356" s="1"/>
      </tp>
      <tp>
        <v>7061</v>
        <stp/>
        <stp>P</stp>
        <stp>0</stp>
        <stp>STK</stp>
        <stp>N372320</stp>
        <stp>누적거래량</stp>
        <stp/>
        <stp/>
        <tr r="L400" s="1"/>
      </tp>
      <tp>
        <v>68887</v>
        <stp/>
        <stp>P</stp>
        <stp>0</stp>
        <stp>STK</stp>
        <stp>N067310</stp>
        <stp>누적거래량</stp>
        <stp/>
        <stp/>
        <tr r="L230" s="1"/>
      </tp>
      <tp>
        <v>3092</v>
        <stp/>
        <stp>P</stp>
        <stp>0</stp>
        <stp>STK</stp>
        <stp>N034310</stp>
        <stp>누적거래량</stp>
        <stp/>
        <stp/>
        <tr r="L488" s="1"/>
        <tr r="L304" s="3"/>
      </tp>
      <tp>
        <v>30</v>
        <stp/>
        <stp>P</stp>
        <stp>0</stp>
        <stp>STK</stp>
        <stp>N018310</stp>
        <stp>누적거래량</stp>
        <stp/>
        <stp/>
        <tr r="L644" s="1"/>
      </tp>
      <tp>
        <v>298</v>
        <stp/>
        <stp>P</stp>
        <stp>0</stp>
        <stp>STK</stp>
        <stp>N007310</stp>
        <stp>누적거래량</stp>
        <stp/>
        <stp/>
        <tr r="L194" s="3"/>
        <tr r="L244" s="1"/>
      </tp>
      <tp>
        <v>389</v>
        <stp/>
        <stp>P</stp>
        <stp>0</stp>
        <stp>STK</stp>
        <stp>N093320</stp>
        <stp>누적거래량</stp>
        <stp/>
        <stp/>
        <tr r="L429" s="1"/>
      </tp>
      <tp>
        <v>39570</v>
        <stp/>
        <stp>P</stp>
        <stp>0</stp>
        <stp>STK</stp>
        <stp>N383310</stp>
        <stp>누적거래량</stp>
        <stp/>
        <stp/>
        <tr r="L476" s="1"/>
      </tp>
      <tp>
        <v>1881</v>
        <stp/>
        <stp>P</stp>
        <stp>0</stp>
        <stp>STK</stp>
        <stp>N071320</stp>
        <stp>누적거래량</stp>
        <stp/>
        <stp/>
        <tr r="L271" s="1"/>
        <tr r="L209" s="3"/>
      </tp>
      <tp>
        <v>10695</v>
        <stp/>
        <stp>P</stp>
        <stp>0</stp>
        <stp>STK</stp>
        <stp>N175330</stp>
        <stp>누적거래량</stp>
        <stp/>
        <stp/>
        <tr r="L107" s="3"/>
        <tr r="L118" s="1"/>
      </tp>
      <tp>
        <v>36941</v>
        <stp/>
        <stp>P</stp>
        <stp>0</stp>
        <stp>STK</stp>
        <stp>N025320</stp>
        <stp>누적거래량</stp>
        <stp/>
        <stp/>
        <tr r="L473" s="1"/>
      </tp>
      <tp>
        <v>6775</v>
        <stp/>
        <stp>P</stp>
        <stp>0</stp>
        <stp>STK</stp>
        <stp>N000320</stp>
        <stp>누적거래량</stp>
        <stp/>
        <stp/>
        <tr r="L365" s="3"/>
        <tr r="L654" s="1"/>
      </tp>
      <tp>
        <v>75</v>
        <stp/>
        <stp>P</stp>
        <stp>0</stp>
        <stp>STK</stp>
        <stp>N002320</stp>
        <stp>누적거래량</stp>
        <stp/>
        <stp/>
        <tr r="L619" s="1"/>
        <tr r="L357" s="3"/>
      </tp>
      <tp>
        <v>91759</v>
        <stp/>
        <stp>P</stp>
        <stp>0</stp>
        <stp>STK</stp>
        <stp>N295310</stp>
        <stp>누적거래량</stp>
        <stp/>
        <stp/>
        <tr r="L305" s="1"/>
      </tp>
      <tp>
        <v>130930</v>
        <stp/>
        <stp>P</stp>
        <stp>0</stp>
        <stp>STK</stp>
        <stp>N377300</stp>
        <stp>누적거래량</stp>
        <stp/>
        <stp/>
        <tr r="L92" s="1"/>
        <tr r="L86" s="3"/>
      </tp>
      <tp>
        <v>7955</v>
        <stp/>
        <stp>P</stp>
        <stp>0</stp>
        <stp>STK</stp>
        <stp>N376300</stp>
        <stp>누적거래량</stp>
        <stp/>
        <stp/>
        <tr r="L364" s="1"/>
      </tp>
      <tp>
        <v>314749</v>
        <stp/>
        <stp>P</stp>
        <stp>0</stp>
        <stp>STK</stp>
        <stp>N178320</stp>
        <stp>누적거래량</stp>
        <stp/>
        <stp/>
        <tr r="L228" s="1"/>
      </tp>
      <tp>
        <v>76205</v>
        <stp/>
        <stp>P</stp>
        <stp>0</stp>
        <stp>STK</stp>
        <stp>N012330</stp>
        <stp>누적거래량</stp>
        <stp/>
        <stp/>
        <tr r="L19" s="1"/>
        <tr r="L21" s="3"/>
      </tp>
      <tp>
        <v>3379</v>
        <stp/>
        <stp>P</stp>
        <stp>0</stp>
        <stp>STK</stp>
        <stp>N108320</stp>
        <stp>누적거래량</stp>
        <stp/>
        <stp/>
        <tr r="L241" s="3"/>
        <tr r="L345" s="1"/>
      </tp>
      <tp>
        <v>12497</v>
        <stp/>
        <stp>P</stp>
        <stp>0</stp>
        <stp>STK</stp>
        <stp>N095340</stp>
        <stp>누적거래량</stp>
        <stp/>
        <stp/>
        <tr r="L198" s="1"/>
      </tp>
      <tp>
        <v>519</v>
        <stp/>
        <stp>P</stp>
        <stp>0</stp>
        <stp>STK</stp>
        <stp>N280360</stp>
        <stp>누적거래량</stp>
        <stp/>
        <stp/>
        <tr r="L307" s="1"/>
        <tr r="L224" s="3"/>
      </tp>
      <tp>
        <v>4512</v>
        <stp/>
        <stp>P</stp>
        <stp>0</stp>
        <stp>STK</stp>
        <stp>N078340</stp>
        <stp>누적거래량</stp>
        <stp/>
        <stp/>
        <tr r="L540" s="1"/>
      </tp>
      <tp>
        <v>160791</v>
        <stp/>
        <stp>P</stp>
        <stp>0</stp>
        <stp>STK</stp>
        <stp>N348370</stp>
        <stp>누적거래량</stp>
        <stp/>
        <stp/>
        <tr r="L263" s="1"/>
      </tp>
      <tp>
        <v>1994</v>
        <stp/>
        <stp>P</stp>
        <stp>0</stp>
        <stp>STK</stp>
        <stp>N230360</stp>
        <stp>누적거래량</stp>
        <stp/>
        <stp/>
        <tr r="L482" s="1"/>
      </tp>
      <tp>
        <v>121871</v>
        <stp/>
        <stp>P</stp>
        <stp>0</stp>
        <stp>STK</stp>
        <stp>N336370</stp>
        <stp>누적거래량</stp>
        <stp/>
        <stp/>
        <tr r="L457" s="1"/>
        <tr r="L286" s="3"/>
      </tp>
      <tp>
        <v>17419</v>
        <stp/>
        <stp>P</stp>
        <stp>0</stp>
        <stp>STK</stp>
        <stp>N007340</stp>
        <stp>누적거래량</stp>
        <stp/>
        <stp/>
        <tr r="L251" s="1"/>
        <tr r="L198" s="3"/>
      </tp>
      <tp>
        <v>385441</v>
        <stp/>
        <stp>P</stp>
        <stp>0</stp>
        <stp>STK</stp>
        <stp>N088350</stp>
        <stp>누적거래량</stp>
        <stp/>
        <stp/>
        <tr r="L137" s="3"/>
        <tr r="L161" s="1"/>
      </tp>
      <tp>
        <v>14221</v>
        <stp/>
        <stp>P</stp>
        <stp>0</stp>
        <stp>STK</stp>
        <stp>N078350</stp>
        <stp>누적거래량</stp>
        <stp/>
        <stp/>
        <tr r="L566" s="1"/>
      </tp>
      <tp>
        <v>45210</v>
        <stp/>
        <stp>P</stp>
        <stp>0</stp>
        <stp>STK</stp>
        <stp>N065350</stp>
        <stp>누적거래량</stp>
        <stp/>
        <stp/>
        <tr r="L239" s="1"/>
      </tp>
      <tp>
        <v>43237</v>
        <stp/>
        <stp>P</stp>
        <stp>0</stp>
        <stp>STK</stp>
        <stp>N064350</stp>
        <stp>누적거래량</stp>
        <stp/>
        <stp/>
        <tr r="L34" s="1"/>
        <tr r="L34" s="3"/>
      </tp>
      <tp>
        <v>33216</v>
        <stp/>
        <stp>P</stp>
        <stp>0</stp>
        <stp>STK</stp>
        <stp>N032350</stp>
        <stp>누적거래량</stp>
        <stp/>
        <stp/>
        <tr r="L176" s="3"/>
        <tr r="L223" s="1"/>
      </tp>
      <tp>
        <v>8875</v>
        <stp/>
        <stp>P</stp>
        <stp>0</stp>
        <stp>STK</stp>
        <stp>N126340</stp>
        <stp>누적거래량</stp>
        <stp/>
        <stp/>
        <tr r="L431" s="1"/>
      </tp>
      <tp>
        <v>8614</v>
        <stp/>
        <stp>P</stp>
        <stp>0</stp>
        <stp>STK</stp>
        <stp>N214370</stp>
        <stp>누적거래량</stp>
        <stp/>
        <stp/>
        <tr r="L126" s="1"/>
      </tp>
      <tp>
        <v>4067</v>
        <stp/>
        <stp>P</stp>
        <stp>0</stp>
        <stp>STK</stp>
        <stp>N304360</stp>
        <stp>누적거래량</stp>
        <stp/>
        <stp/>
        <tr r="L557" s="1"/>
      </tp>
      <tp>
        <v>87561</v>
        <stp/>
        <stp>P</stp>
        <stp>0</stp>
        <stp>STK</stp>
        <stp>N090360</stp>
        <stp>누적거래량</stp>
        <stp/>
        <stp/>
        <tr r="L329" s="1"/>
      </tp>
      <tp>
        <v>34546</v>
        <stp/>
        <stp>P</stp>
        <stp>0</stp>
        <stp>STK</stp>
        <stp>N094360</stp>
        <stp>누적거래량</stp>
        <stp/>
        <stp/>
        <tr r="L556" s="1"/>
      </tp>
      <tp>
        <v>2843</v>
        <stp/>
        <stp>P</stp>
        <stp>0</stp>
        <stp>STK</stp>
        <stp>N194370</stp>
        <stp>누적거래량</stp>
        <stp/>
        <stp/>
        <tr r="L347" s="3"/>
        <tr r="L599" s="1"/>
      </tp>
      <tp>
        <v>87</v>
        <stp/>
        <stp>P</stp>
        <stp>0</stp>
        <stp>STK</stp>
        <stp>N051360</stp>
        <stp>누적거래량</stp>
        <stp/>
        <stp/>
        <tr r="L672" s="1"/>
      </tp>
      <tp>
        <v>143</v>
        <stp/>
        <stp>P</stp>
        <stp>0</stp>
        <stp>STK</stp>
        <stp>N015360</stp>
        <stp>누적거래량</stp>
        <stp/>
        <stp/>
        <tr r="L549" s="1"/>
        <tr r="L330" s="3"/>
      </tp>
      <tp>
        <v>57656</v>
        <stp/>
        <stp>P</stp>
        <stp>0</stp>
        <stp>STK</stp>
        <stp>N016360</stp>
        <stp>누적거래량</stp>
        <stp/>
        <stp/>
        <tr r="L88" s="1"/>
        <tr r="L83" s="3"/>
      </tp>
      <tp>
        <v>1833</v>
        <stp/>
        <stp>P</stp>
        <stp>0</stp>
        <stp>STK</stp>
        <stp>N004360</stp>
        <stp>누적거래량</stp>
        <stp/>
        <stp/>
        <tr r="L367" s="3"/>
        <tr r="L659" s="1"/>
      </tp>
      <tp>
        <v>45305</v>
        <stp/>
        <stp>P</stp>
        <stp>0</stp>
        <stp>STK</stp>
        <stp>N006360</stp>
        <stp>누적거래량</stp>
        <stp/>
        <stp/>
        <tr r="L191" s="3"/>
        <tr r="L240" s="1"/>
      </tp>
      <tp>
        <v>927521</v>
        <stp/>
        <stp>P</stp>
        <stp>0</stp>
        <stp>STK</stp>
        <stp>N093370</stp>
        <stp>누적거래량</stp>
        <stp/>
        <stp/>
        <tr r="L240" s="3"/>
        <tr r="L355" s="1"/>
      </tp>
      <tp>
        <v>8738</v>
        <stp/>
        <stp>P</stp>
        <stp>0</stp>
        <stp>STK</stp>
        <stp>N084370</stp>
        <stp>누적거래량</stp>
        <stp/>
        <stp/>
        <tr r="L219" s="1"/>
      </tp>
      <tp>
        <v>41427</v>
        <stp/>
        <stp>P</stp>
        <stp>0</stp>
        <stp>STK</stp>
        <stp>N079370</stp>
        <stp>누적거래량</stp>
        <stp/>
        <stp/>
        <tr r="L487" s="1"/>
      </tp>
      <tp>
        <v>4012948</v>
        <stp/>
        <stp>P</stp>
        <stp>0</stp>
        <stp>STK</stp>
        <stp>N378340</stp>
        <stp>누적거래량</stp>
        <stp/>
        <stp/>
        <tr r="L648" s="1"/>
      </tp>
      <tp>
        <v>17414</v>
        <stp/>
        <stp>P</stp>
        <stp>0</stp>
        <stp>STK</stp>
        <stp>N060370</stp>
        <stp>누적거래량</stp>
        <stp/>
        <stp/>
        <tr r="L253" s="1"/>
      </tp>
      <tp>
        <v>47502</v>
        <stp/>
        <stp>P</stp>
        <stp>0</stp>
        <stp>STK</stp>
        <stp>N365340</stp>
        <stp>누적거래량</stp>
        <stp/>
        <stp/>
        <tr r="L419" s="1"/>
      </tp>
      <tp>
        <v>11726</v>
        <stp/>
        <stp>P</stp>
        <stp>0</stp>
        <stp>STK</stp>
        <stp>N168360</stp>
        <stp>누적거래량</stp>
        <stp/>
        <stp/>
        <tr r="L582" s="1"/>
      </tp>
      <tp>
        <v>27388</v>
        <stp/>
        <stp>P</stp>
        <stp>0</stp>
        <stp>STK</stp>
        <stp>N043370</stp>
        <stp>누적거래량</stp>
        <stp/>
        <stp/>
        <tr r="L650" s="1"/>
      </tp>
      <tp>
        <v>65414</v>
        <stp/>
        <stp>P</stp>
        <stp>0</stp>
        <stp>STK</stp>
        <stp>N101360</stp>
        <stp>누적거래량</stp>
        <stp/>
        <stp/>
        <tr r="L597" s="1"/>
      </tp>
      <tp>
        <v>1179</v>
        <stp/>
        <stp>P</stp>
        <stp>0</stp>
        <stp>STK</stp>
        <stp>N004370</stp>
        <stp>누적거래량</stp>
        <stp/>
        <stp/>
        <tr r="L149" s="3"/>
        <tr r="L179" s="1"/>
      </tp>
      <tp>
        <v>5325</v>
        <stp/>
        <stp>P</stp>
        <stp>0</stp>
        <stp>STK</stp>
        <stp>N161390</stp>
        <stp>누적거래량</stp>
        <stp/>
        <stp/>
        <tr r="L81" s="1"/>
        <tr r="L77" s="3"/>
      </tp>
      <tp>
        <v>213172</v>
        <stp/>
        <stp>P</stp>
        <stp>0</stp>
        <stp>STK</stp>
        <stp>N003380</stp>
        <stp>누적거래량</stp>
        <stp/>
        <stp/>
        <tr r="L276" s="1"/>
      </tp>
      <tp>
        <v>2266</v>
        <stp/>
        <stp>P</stp>
        <stp>0</stp>
        <stp>STK</stp>
        <stp>N002380</stp>
        <stp>누적거래량</stp>
        <stp/>
        <stp/>
        <tr r="L115" s="3"/>
        <tr r="L127" s="1"/>
      </tp>
      <tp>
        <v>924109</v>
        <stp/>
        <stp>P</stp>
        <stp>0</stp>
        <stp>STK</stp>
        <stp>N005380</stp>
        <stp>누적거래량</stp>
        <stp/>
        <stp/>
        <tr r="L8" s="3"/>
        <tr r="L8" s="1"/>
      </tp>
      <tp>
        <v>25223</v>
        <stp/>
        <stp>P</stp>
        <stp>0</stp>
        <stp>STK</stp>
        <stp>N086390</stp>
        <stp>누적거래량</stp>
        <stp/>
        <stp/>
        <tr r="L674" s="1"/>
      </tp>
      <tp>
        <v>1916</v>
        <stp/>
        <stp>P</stp>
        <stp>0</stp>
        <stp>STK</stp>
        <stp>N017390</stp>
        <stp>누적거래량</stp>
        <stp/>
        <stp/>
        <tr r="L350" s="3"/>
        <tr r="L601" s="1"/>
      </tp>
      <tp>
        <v>24290</v>
        <stp/>
        <stp>P</stp>
        <stp>0</stp>
        <stp>STK</stp>
        <stp>N007390</stp>
        <stp>누적거래량</stp>
        <stp/>
        <stp/>
        <tr r="L272" s="1"/>
      </tp>
      <tp>
        <v>9881</v>
        <stp/>
        <stp>P</stp>
        <stp>0</stp>
        <stp>STK</stp>
        <stp>N108380</stp>
        <stp>누적거래량</stp>
        <stp/>
        <stp/>
        <tr r="L669" s="1"/>
      </tp>
      <tp>
        <v>97211</v>
        <stp/>
        <stp>P</stp>
        <stp>0</stp>
        <stp>STK</stp>
        <stp>N298380</stp>
        <stp>누적거래량</stp>
        <stp/>
        <stp/>
        <tr r="L73" s="1"/>
      </tp>
      <tp>
        <v>25950</v>
        <stp/>
        <stp>P</stp>
        <stp>0</stp>
        <stp>STK</stp>
        <stp>N089890</stp>
        <stp>시가</stp>
        <stp/>
        <stp/>
        <tr r="O520" s="1"/>
      </tp>
      <tp>
        <v>11970</v>
        <stp/>
        <stp>P</stp>
        <stp>0</stp>
        <stp>STK</stp>
        <stp>N086390</stp>
        <stp>저가</stp>
        <stp/>
        <stp/>
        <tr r="Q674" s="1"/>
      </tp>
      <tp>
        <v>99900</v>
        <stp/>
        <stp>P</stp>
        <stp>0</stp>
        <stp>STK</stp>
        <stp>N086790</stp>
        <stp>저가</stp>
        <stp/>
        <stp/>
        <tr r="Q29" s="1"/>
        <tr r="Q30" s="3"/>
      </tp>
      <tp>
        <v>9470</v>
        <stp/>
        <stp>P</stp>
        <stp>0</stp>
        <stp>STK</stp>
        <stp>N084690</stp>
        <stp>저가</stp>
        <stp/>
        <stp/>
        <tr r="Q587" s="1"/>
        <tr r="Q342" s="3"/>
      </tp>
      <tp>
        <v>25950</v>
        <stp/>
        <stp>P</stp>
        <stp>0</stp>
        <stp>STK</stp>
        <stp>N089890</stp>
        <stp>저가</stp>
        <stp/>
        <stp/>
        <tr r="Q520" s="1"/>
      </tp>
      <tp>
        <v>9510</v>
        <stp/>
        <stp>P</stp>
        <stp>0</stp>
        <stp>STK</stp>
        <stp>N084690</stp>
        <stp>시가</stp>
        <stp/>
        <stp/>
        <tr r="O342" s="3"/>
        <tr r="O587" s="1"/>
      </tp>
      <tp>
        <v>100500</v>
        <stp/>
        <stp>P</stp>
        <stp>0</stp>
        <stp>STK</stp>
        <stp>N086790</stp>
        <stp>시가</stp>
        <stp/>
        <stp/>
        <tr r="O29" s="1"/>
        <tr r="O30" s="3"/>
      </tp>
      <tp>
        <v>12100</v>
        <stp/>
        <stp>P</stp>
        <stp>0</stp>
        <stp>STK</stp>
        <stp>N086390</stp>
        <stp>시가</stp>
        <stp/>
        <stp/>
        <tr r="O674" s="1"/>
      </tp>
      <tp>
        <v>12270</v>
        <stp/>
        <stp>P</stp>
        <stp>0</stp>
        <stp>STK</stp>
        <stp>N086390</stp>
        <stp>고가</stp>
        <stp/>
        <stp/>
        <tr r="P674" s="1"/>
      </tp>
      <tp>
        <v>102000</v>
        <stp/>
        <stp>P</stp>
        <stp>0</stp>
        <stp>STK</stp>
        <stp>N086790</stp>
        <stp>고가</stp>
        <stp/>
        <stp/>
        <tr r="P30" s="3"/>
        <tr r="P29" s="1"/>
      </tp>
      <tp>
        <v>9930</v>
        <stp/>
        <stp>P</stp>
        <stp>0</stp>
        <stp>STK</stp>
        <stp>N084690</stp>
        <stp>고가</stp>
        <stp/>
        <stp/>
        <tr r="P342" s="3"/>
        <tr r="P587" s="1"/>
      </tp>
      <tp>
        <v>26950</v>
        <stp/>
        <stp>P</stp>
        <stp>0</stp>
        <stp>STK</stp>
        <stp>N089890</stp>
        <stp>고가</stp>
        <stp/>
        <stp/>
        <tr r="P520" s="1"/>
      </tp>
      <tp>
        <v>15350</v>
        <stp/>
        <stp>P</stp>
        <stp>0</stp>
        <stp>STK</stp>
        <stp>N099190</stp>
        <stp>시가</stp>
        <stp/>
        <stp/>
        <tr r="O529" s="1"/>
      </tp>
      <tp>
        <v>51100</v>
        <stp/>
        <stp>P</stp>
        <stp>0</stp>
        <stp>STK</stp>
        <stp>N192080</stp>
        <stp>저가</stp>
        <stp/>
        <stp/>
        <tr r="Q221" s="3"/>
        <tr r="Q298" s="1"/>
      </tp>
      <tp>
        <v>11300</v>
        <stp/>
        <stp>P</stp>
        <stp>0</stp>
        <stp>STK</stp>
        <stp>N092790</stp>
        <stp>저가</stp>
        <stp/>
        <stp/>
        <tr r="Q351" s="3"/>
        <tr r="Q607" s="1"/>
      </tp>
      <tp>
        <v>34000</v>
        <stp/>
        <stp>P</stp>
        <stp>0</stp>
        <stp>STK</stp>
        <stp>N194480</stp>
        <stp>저가</stp>
        <stp/>
        <stp/>
        <tr r="Q534" s="1"/>
      </tp>
      <tp>
        <v>15300</v>
        <stp/>
        <stp>P</stp>
        <stp>0</stp>
        <stp>STK</stp>
        <stp>N099190</stp>
        <stp>저가</stp>
        <stp/>
        <stp/>
        <tr r="Q529" s="1"/>
      </tp>
      <tp>
        <v>11700</v>
        <stp/>
        <stp>P</stp>
        <stp>0</stp>
        <stp>STK</stp>
        <stp>N092790</stp>
        <stp>시가</stp>
        <stp/>
        <stp/>
        <tr r="O351" s="3"/>
        <tr r="O607" s="1"/>
      </tp>
      <tp>
        <v>51400</v>
        <stp/>
        <stp>P</stp>
        <stp>0</stp>
        <stp>STK</stp>
        <stp>N192080</stp>
        <stp>시가</stp>
        <stp/>
        <stp/>
        <tr r="O298" s="1"/>
        <tr r="O221" s="3"/>
      </tp>
      <tp>
        <v>34000</v>
        <stp/>
        <stp>P</stp>
        <stp>0</stp>
        <stp>STK</stp>
        <stp>N194480</stp>
        <stp>시가</stp>
        <stp/>
        <stp/>
        <tr r="O534" s="1"/>
      </tp>
      <tp>
        <v>34350</v>
        <stp/>
        <stp>P</stp>
        <stp>0</stp>
        <stp>STK</stp>
        <stp>N194480</stp>
        <stp>고가</stp>
        <stp/>
        <stp/>
        <tr r="P534" s="1"/>
      </tp>
      <tp>
        <v>51600</v>
        <stp/>
        <stp>P</stp>
        <stp>0</stp>
        <stp>STK</stp>
        <stp>N192080</stp>
        <stp>고가</stp>
        <stp/>
        <stp/>
        <tr r="P298" s="1"/>
        <tr r="P221" s="3"/>
      </tp>
      <tp>
        <v>11770</v>
        <stp/>
        <stp>P</stp>
        <stp>0</stp>
        <stp>STK</stp>
        <stp>N092790</stp>
        <stp>고가</stp>
        <stp/>
        <stp/>
        <tr r="P351" s="3"/>
        <tr r="P607" s="1"/>
      </tp>
      <tp>
        <v>15440</v>
        <stp/>
        <stp>P</stp>
        <stp>0</stp>
        <stp>STK</stp>
        <stp>N099190</stp>
        <stp>고가</stp>
        <stp/>
        <stp/>
        <tr r="P529" s="1"/>
      </tp>
      <tp>
        <v>21900</v>
        <stp/>
        <stp>P</stp>
        <stp>0</stp>
        <stp>STK</stp>
        <stp>N003090</stp>
        <stp>저가</stp>
        <stp/>
        <stp/>
        <tr r="Q269" s="1"/>
        <tr r="Q206" s="3"/>
      </tp>
      <tp>
        <v>24100</v>
        <stp/>
        <stp>P</stp>
        <stp>0</stp>
        <stp>STK</stp>
        <stp>N003490</stp>
        <stp>저가</stp>
        <stp/>
        <stp/>
        <tr r="Q79" s="1"/>
        <tr r="Q73" s="3"/>
      </tp>
      <tp>
        <v>11040</v>
        <stp/>
        <stp>P</stp>
        <stp>0</stp>
        <stp>STK</stp>
        <stp>N003690</stp>
        <stp>저가</stp>
        <stp/>
        <stp/>
        <tr r="Q196" s="1"/>
        <tr r="Q162" s="3"/>
      </tp>
      <tp>
        <v>20950</v>
        <stp/>
        <stp>P</stp>
        <stp>0</stp>
        <stp>STK</stp>
        <stp>N008490</stp>
        <stp>시가</stp>
        <stp/>
        <stp/>
        <tr r="O379" s="3"/>
        <tr r="O686" s="1"/>
      </tp>
      <tp>
        <v>25850</v>
        <stp/>
        <stp>P</stp>
        <stp>0</stp>
        <stp>STK</stp>
        <stp>N108380</stp>
        <stp>시가</stp>
        <stp/>
        <stp/>
        <tr r="O669" s="1"/>
      </tp>
      <tp>
        <v>26650</v>
        <stp/>
        <stp>P</stp>
        <stp>0</stp>
        <stp>STK</stp>
        <stp>N002790</stp>
        <stp>저가</stp>
        <stp/>
        <stp/>
        <tr r="Q166" s="3"/>
        <tr r="Q207" s="1"/>
      </tp>
      <tp>
        <v>92100</v>
        <stp/>
        <stp>P</stp>
        <stp>0</stp>
        <stp>STK</stp>
        <stp>N000990</stp>
        <stp>저가</stp>
        <stp/>
        <stp/>
        <tr r="Q113" s="3"/>
        <tr r="Q125" s="1"/>
      </tp>
      <tp>
        <v>10050</v>
        <stp/>
        <stp>P</stp>
        <stp>0</stp>
        <stp>STK</stp>
        <stp>N000490</stp>
        <stp>저가</stp>
        <stp/>
        <stp/>
        <tr r="Q360" s="3"/>
        <tr r="Q628" s="1"/>
      </tp>
      <tp>
        <v>19960</v>
        <stp/>
        <stp>P</stp>
        <stp>0</stp>
        <stp>STK</stp>
        <stp>N007390</stp>
        <stp>저가</stp>
        <stp/>
        <stp/>
        <tr r="Q272" s="1"/>
      </tp>
      <tp>
        <v>36800</v>
        <stp/>
        <stp>P</stp>
        <stp>0</stp>
        <stp>STK</stp>
        <stp>N007690</stp>
        <stp>저가</stp>
        <stp/>
        <stp/>
        <tr r="Q586" s="1"/>
        <tr r="Q339" s="3"/>
      </tp>
      <tp>
        <v>21050</v>
        <stp/>
        <stp>P</stp>
        <stp>0</stp>
        <stp>STK</stp>
        <stp>N005090</stp>
        <stp>저가</stp>
        <stp/>
        <stp/>
        <tr r="Q623" s="1"/>
        <tr r="Q353" s="3"/>
      </tp>
      <tp>
        <v>40250</v>
        <stp/>
        <stp>P</stp>
        <stp>0</stp>
        <stp>STK</stp>
        <stp>N005290</stp>
        <stp>저가</stp>
        <stp/>
        <stp/>
        <tr r="Q201" s="1"/>
      </tp>
      <tp>
        <v>362000</v>
        <stp/>
        <stp>P</stp>
        <stp>0</stp>
        <stp>STK</stp>
        <stp>N005490</stp>
        <stp>저가</stp>
        <stp/>
        <stp/>
        <tr r="Q28" s="1"/>
        <tr r="Q29" s="3"/>
      </tp>
      <tp>
        <v>13430</v>
        <stp/>
        <stp>P</stp>
        <stp>0</stp>
        <stp>STK</stp>
        <stp>N005690</stp>
        <stp>저가</stp>
        <stp/>
        <stp/>
        <tr r="Q358" s="1"/>
        <tr r="Q246" s="3"/>
      </tp>
      <tp>
        <v>29000</v>
        <stp/>
        <stp>P</stp>
        <stp>0</stp>
        <stp>STK</stp>
        <stp>N004990</stp>
        <stp>저가</stp>
        <stp/>
        <stp/>
        <tr r="Q131" s="3"/>
        <tr r="Q150" s="1"/>
      </tp>
      <tp>
        <v>64500</v>
        <stp/>
        <stp>P</stp>
        <stp>0</stp>
        <stp>STK</stp>
        <stp>N004490</stp>
        <stp>저가</stp>
        <stp/>
        <stp/>
        <tr r="Q235" s="3"/>
        <tr r="Q330" s="1"/>
      </tp>
      <tp>
        <v>125100</v>
        <stp/>
        <stp>P</stp>
        <stp>0</stp>
        <stp>STK</stp>
        <stp>N004690</stp>
        <stp>저가</stp>
        <stp/>
        <stp/>
        <tr r="Q291" s="3"/>
        <tr r="Q465" s="1"/>
      </tp>
      <tp>
        <v>10160</v>
        <stp/>
        <stp>P</stp>
        <stp>0</stp>
        <stp>STK</stp>
        <stp>N000490</stp>
        <stp>시가</stp>
        <stp/>
        <stp/>
        <tr r="O360" s="3"/>
        <tr r="O628" s="1"/>
      </tp>
      <tp>
        <v>93100</v>
        <stp/>
        <stp>P</stp>
        <stp>0</stp>
        <stp>STK</stp>
        <stp>N000990</stp>
        <stp>시가</stp>
        <stp/>
        <stp/>
        <tr r="O113" s="3"/>
        <tr r="O125" s="1"/>
      </tp>
      <tp>
        <v>24100</v>
        <stp/>
        <stp>P</stp>
        <stp>0</stp>
        <stp>STK</stp>
        <stp>N003490</stp>
        <stp>시가</stp>
        <stp/>
        <stp/>
        <tr r="O73" s="3"/>
        <tr r="O79" s="1"/>
      </tp>
      <tp>
        <v>11110</v>
        <stp/>
        <stp>P</stp>
        <stp>0</stp>
        <stp>STK</stp>
        <stp>N003690</stp>
        <stp>시가</stp>
        <stp/>
        <stp/>
        <tr r="O162" s="3"/>
        <tr r="O196" s="1"/>
      </tp>
      <tp>
        <v>21900</v>
        <stp/>
        <stp>P</stp>
        <stp>0</stp>
        <stp>STK</stp>
        <stp>N003090</stp>
        <stp>시가</stp>
        <stp/>
        <stp/>
        <tr r="O206" s="3"/>
        <tr r="O269" s="1"/>
      </tp>
      <tp>
        <v>26650</v>
        <stp/>
        <stp>P</stp>
        <stp>0</stp>
        <stp>STK</stp>
        <stp>N002790</stp>
        <stp>시가</stp>
        <stp/>
        <stp/>
        <tr r="O207" s="1"/>
        <tr r="O166" s="3"/>
      </tp>
      <tp>
        <v>25850</v>
        <stp/>
        <stp>P</stp>
        <stp>0</stp>
        <stp>STK</stp>
        <stp>N108380</stp>
        <stp>저가</stp>
        <stp/>
        <stp/>
        <tr r="Q669" s="1"/>
      </tp>
      <tp>
        <v>20850</v>
        <stp/>
        <stp>P</stp>
        <stp>0</stp>
        <stp>STK</stp>
        <stp>N008490</stp>
        <stp>저가</stp>
        <stp/>
        <stp/>
        <tr r="Q379" s="3"/>
        <tr r="Q686" s="1"/>
      </tp>
      <tp>
        <v>362500</v>
        <stp/>
        <stp>P</stp>
        <stp>0</stp>
        <stp>STK</stp>
        <stp>N005490</stp>
        <stp>시가</stp>
        <stp/>
        <stp/>
        <tr r="O29" s="3"/>
        <tr r="O28" s="1"/>
      </tp>
      <tp>
        <v>13440</v>
        <stp/>
        <stp>P</stp>
        <stp>0</stp>
        <stp>STK</stp>
        <stp>N005690</stp>
        <stp>시가</stp>
        <stp/>
        <stp/>
        <tr r="O358" s="1"/>
        <tr r="O246" s="3"/>
      </tp>
      <tp>
        <v>21200</v>
        <stp/>
        <stp>P</stp>
        <stp>0</stp>
        <stp>STK</stp>
        <stp>N005090</stp>
        <stp>시가</stp>
        <stp/>
        <stp/>
        <tr r="O353" s="3"/>
        <tr r="O623" s="1"/>
      </tp>
      <tp>
        <v>40400</v>
        <stp/>
        <stp>P</stp>
        <stp>0</stp>
        <stp>STK</stp>
        <stp>N005290</stp>
        <stp>시가</stp>
        <stp/>
        <stp/>
        <tr r="O201" s="1"/>
      </tp>
      <tp>
        <v>65200</v>
        <stp/>
        <stp>P</stp>
        <stp>0</stp>
        <stp>STK</stp>
        <stp>N004490</stp>
        <stp>시가</stp>
        <stp/>
        <stp/>
        <tr r="O235" s="3"/>
        <tr r="O330" s="1"/>
      </tp>
      <tp>
        <v>126900</v>
        <stp/>
        <stp>P</stp>
        <stp>0</stp>
        <stp>STK</stp>
        <stp>N004690</stp>
        <stp>시가</stp>
        <stp/>
        <stp/>
        <tr r="O291" s="3"/>
        <tr r="O465" s="1"/>
      </tp>
      <tp>
        <v>29050</v>
        <stp/>
        <stp>P</stp>
        <stp>0</stp>
        <stp>STK</stp>
        <stp>N004990</stp>
        <stp>시가</stp>
        <stp/>
        <stp/>
        <tr r="O150" s="1"/>
        <tr r="O131" s="3"/>
      </tp>
      <tp>
        <v>36800</v>
        <stp/>
        <stp>P</stp>
        <stp>0</stp>
        <stp>STK</stp>
        <stp>N007690</stp>
        <stp>시가</stp>
        <stp/>
        <stp/>
        <tr r="O339" s="3"/>
        <tr r="O586" s="1"/>
      </tp>
      <tp>
        <v>19990</v>
        <stp/>
        <stp>P</stp>
        <stp>0</stp>
        <stp>STK</stp>
        <stp>N007390</stp>
        <stp>시가</stp>
        <stp/>
        <stp/>
        <tr r="O272" s="1"/>
      </tp>
      <tp>
        <v>20200</v>
        <stp/>
        <stp>P</stp>
        <stp>0</stp>
        <stp>STK</stp>
        <stp>N007390</stp>
        <stp>고가</stp>
        <stp/>
        <stp/>
        <tr r="P272" s="1"/>
      </tp>
      <tp>
        <v>37100</v>
        <stp/>
        <stp>P</stp>
        <stp>0</stp>
        <stp>STK</stp>
        <stp>N007690</stp>
        <stp>고가</stp>
        <stp/>
        <stp/>
        <tr r="P586" s="1"/>
        <tr r="P339" s="3"/>
      </tp>
      <tp>
        <v>21200</v>
        <stp/>
        <stp>P</stp>
        <stp>0</stp>
        <stp>STK</stp>
        <stp>N005090</stp>
        <stp>고가</stp>
        <stp/>
        <stp/>
        <tr r="P623" s="1"/>
        <tr r="P353" s="3"/>
      </tp>
      <tp>
        <v>40900</v>
        <stp/>
        <stp>P</stp>
        <stp>0</stp>
        <stp>STK</stp>
        <stp>N005290</stp>
        <stp>고가</stp>
        <stp/>
        <stp/>
        <tr r="P201" s="1"/>
      </tp>
      <tp>
        <v>384000</v>
        <stp/>
        <stp>P</stp>
        <stp>0</stp>
        <stp>STK</stp>
        <stp>N005490</stp>
        <stp>고가</stp>
        <stp/>
        <stp/>
        <tr r="P29" s="3"/>
        <tr r="P28" s="1"/>
      </tp>
      <tp>
        <v>13850</v>
        <stp/>
        <stp>P</stp>
        <stp>0</stp>
        <stp>STK</stp>
        <stp>N005690</stp>
        <stp>고가</stp>
        <stp/>
        <stp/>
        <tr r="P246" s="3"/>
        <tr r="P358" s="1"/>
      </tp>
      <tp>
        <v>29850</v>
        <stp/>
        <stp>P</stp>
        <stp>0</stp>
        <stp>STK</stp>
        <stp>N004990</stp>
        <stp>고가</stp>
        <stp/>
        <stp/>
        <tr r="P150" s="1"/>
        <tr r="P131" s="3"/>
      </tp>
      <tp>
        <v>65500</v>
        <stp/>
        <stp>P</stp>
        <stp>0</stp>
        <stp>STK</stp>
        <stp>N004490</stp>
        <stp>고가</stp>
        <stp/>
        <stp/>
        <tr r="P330" s="1"/>
        <tr r="P235" s="3"/>
      </tp>
      <tp>
        <v>128500</v>
        <stp/>
        <stp>P</stp>
        <stp>0</stp>
        <stp>STK</stp>
        <stp>N004690</stp>
        <stp>고가</stp>
        <stp/>
        <stp/>
        <tr r="P291" s="3"/>
        <tr r="P465" s="1"/>
      </tp>
      <tp>
        <v>22250</v>
        <stp/>
        <stp>P</stp>
        <stp>0</stp>
        <stp>STK</stp>
        <stp>N003090</stp>
        <stp>고가</stp>
        <stp/>
        <stp/>
        <tr r="P269" s="1"/>
        <tr r="P206" s="3"/>
      </tp>
      <tp>
        <v>24300</v>
        <stp/>
        <stp>P</stp>
        <stp>0</stp>
        <stp>STK</stp>
        <stp>N003490</stp>
        <stp>고가</stp>
        <stp/>
        <stp/>
        <tr r="P73" s="3"/>
        <tr r="P79" s="1"/>
      </tp>
      <tp>
        <v>11120</v>
        <stp/>
        <stp>P</stp>
        <stp>0</stp>
        <stp>STK</stp>
        <stp>N003690</stp>
        <stp>고가</stp>
        <stp/>
        <stp/>
        <tr r="P162" s="3"/>
        <tr r="P196" s="1"/>
      </tp>
      <tp>
        <v>26950</v>
        <stp/>
        <stp>P</stp>
        <stp>0</stp>
        <stp>STK</stp>
        <stp>N002790</stp>
        <stp>고가</stp>
        <stp/>
        <stp/>
        <tr r="P207" s="1"/>
        <tr r="P166" s="3"/>
      </tp>
      <tp>
        <v>95000</v>
        <stp/>
        <stp>P</stp>
        <stp>0</stp>
        <stp>STK</stp>
        <stp>N000990</stp>
        <stp>고가</stp>
        <stp/>
        <stp/>
        <tr r="P113" s="3"/>
        <tr r="P125" s="1"/>
      </tp>
      <tp>
        <v>10320</v>
        <stp/>
        <stp>P</stp>
        <stp>0</stp>
        <stp>STK</stp>
        <stp>N000490</stp>
        <stp>고가</stp>
        <stp/>
        <stp/>
        <tr r="P360" s="3"/>
        <tr r="P628" s="1"/>
      </tp>
      <tp>
        <v>27000</v>
        <stp/>
        <stp>P</stp>
        <stp>0</stp>
        <stp>STK</stp>
        <stp>N108380</stp>
        <stp>고가</stp>
        <stp/>
        <stp/>
        <tr r="P669" s="1"/>
      </tp>
      <tp>
        <v>20950</v>
        <stp/>
        <stp>P</stp>
        <stp>0</stp>
        <stp>STK</stp>
        <stp>N008490</stp>
        <stp>고가</stp>
        <stp/>
        <stp/>
        <tr r="P379" s="3"/>
        <tr r="P686" s="1"/>
      </tp>
      <tp>
        <v>12360</v>
        <stp/>
        <stp>P</stp>
        <stp>0</stp>
        <stp>STK</stp>
        <stp>N013890</stp>
        <stp>저가</stp>
        <stp/>
        <stp/>
        <tr r="Q653" s="1"/>
        <tr r="Q364" s="3"/>
      </tp>
      <tp>
        <v>16790</v>
        <stp/>
        <stp>P</stp>
        <stp>0</stp>
        <stp>STK</stp>
        <stp>N018290</stp>
        <stp>시가</stp>
        <stp/>
        <stp/>
        <tr r="O439" s="1"/>
      </tp>
      <tp>
        <v>112500</v>
        <stp/>
        <stp>P</stp>
        <stp>0</stp>
        <stp>STK</stp>
        <stp>N011790</stp>
        <stp>저가</stp>
        <stp/>
        <stp/>
        <tr r="Q111" s="3"/>
        <tr r="Q123" s="1"/>
      </tp>
      <tp>
        <v>9630</v>
        <stp/>
        <stp>P</stp>
        <stp>0</stp>
        <stp>STK</stp>
        <stp>N010690</stp>
        <stp>저가</stp>
        <stp/>
        <stp/>
        <tr r="Q335" s="3"/>
        <tr r="Q560" s="1"/>
      </tp>
      <tp>
        <v>64000</v>
        <stp/>
        <stp>P</stp>
        <stp>0</stp>
        <stp>STK</stp>
        <stp>N017390</stp>
        <stp>저가</stp>
        <stp/>
        <stp/>
        <tr r="Q350" s="3"/>
        <tr r="Q601" s="1"/>
      </tp>
      <tp>
        <v>12270</v>
        <stp/>
        <stp>P</stp>
        <stp>0</stp>
        <stp>STK</stp>
        <stp>N016590</stp>
        <stp>저가</stp>
        <stp/>
        <stp/>
        <tr r="Q294" s="3"/>
        <tr r="Q462" s="1"/>
      </tp>
      <tp>
        <v>117000</v>
        <stp/>
        <stp>P</stp>
        <stp>0</stp>
        <stp>STK</stp>
        <stp>N011790</stp>
        <stp>시가</stp>
        <stp/>
        <stp/>
        <tr r="O123" s="1"/>
        <tr r="O111" s="3"/>
      </tp>
      <tp>
        <v>9740</v>
        <stp/>
        <stp>P</stp>
        <stp>0</stp>
        <stp>STK</stp>
        <stp>N010690</stp>
        <stp>시가</stp>
        <stp/>
        <stp/>
        <tr r="O335" s="3"/>
        <tr r="O560" s="1"/>
      </tp>
      <tp>
        <v>12490</v>
        <stp/>
        <stp>P</stp>
        <stp>0</stp>
        <stp>STK</stp>
        <stp>N013890</stp>
        <stp>시가</stp>
        <stp/>
        <stp/>
        <tr r="O653" s="1"/>
        <tr r="O364" s="3"/>
      </tp>
      <tp>
        <v>16720</v>
        <stp/>
        <stp>P</stp>
        <stp>0</stp>
        <stp>STK</stp>
        <stp>N018290</stp>
        <stp>저가</stp>
        <stp/>
        <stp/>
        <tr r="Q439" s="1"/>
      </tp>
      <tp>
        <v>65000</v>
        <stp/>
        <stp>P</stp>
        <stp>0</stp>
        <stp>STK</stp>
        <stp>N017390</stp>
        <stp>시가</stp>
        <stp/>
        <stp/>
        <tr r="O350" s="3"/>
        <tr r="O601" s="1"/>
      </tp>
      <tp>
        <v>12270</v>
        <stp/>
        <stp>P</stp>
        <stp>0</stp>
        <stp>STK</stp>
        <stp>N016590</stp>
        <stp>시가</stp>
        <stp/>
        <stp/>
        <tr r="O294" s="3"/>
        <tr r="O462" s="1"/>
      </tp>
      <tp>
        <v>65000</v>
        <stp/>
        <stp>P</stp>
        <stp>0</stp>
        <stp>STK</stp>
        <stp>N017390</stp>
        <stp>고가</stp>
        <stp/>
        <stp/>
        <tr r="P350" s="3"/>
        <tr r="P601" s="1"/>
      </tp>
      <tp>
        <v>12280</v>
        <stp/>
        <stp>P</stp>
        <stp>0</stp>
        <stp>STK</stp>
        <stp>N016590</stp>
        <stp>고가</stp>
        <stp/>
        <stp/>
        <tr r="P462" s="1"/>
        <tr r="P294" s="3"/>
      </tp>
      <tp>
        <v>12490</v>
        <stp/>
        <stp>P</stp>
        <stp>0</stp>
        <stp>STK</stp>
        <stp>N013890</stp>
        <stp>고가</stp>
        <stp/>
        <stp/>
        <tr r="P653" s="1"/>
        <tr r="P364" s="3"/>
      </tp>
      <tp>
        <v>118500</v>
        <stp/>
        <stp>P</stp>
        <stp>0</stp>
        <stp>STK</stp>
        <stp>N011790</stp>
        <stp>고가</stp>
        <stp/>
        <stp/>
        <tr r="P123" s="1"/>
        <tr r="P111" s="3"/>
      </tp>
      <tp>
        <v>10040</v>
        <stp/>
        <stp>P</stp>
        <stp>0</stp>
        <stp>STK</stp>
        <stp>N010690</stp>
        <stp>고가</stp>
        <stp/>
        <stp/>
        <tr r="P335" s="3"/>
        <tr r="P560" s="1"/>
      </tp>
      <tp>
        <v>17000</v>
        <stp/>
        <stp>P</stp>
        <stp>0</stp>
        <stp>STK</stp>
        <stp>N018290</stp>
        <stp>고가</stp>
        <stp/>
        <stp/>
        <tr r="P439" s="1"/>
      </tp>
      <tp>
        <v>39850</v>
        <stp/>
        <stp>P</stp>
        <stp>0</stp>
        <stp>STK</stp>
        <stp>N023590</stp>
        <stp>저가</stp>
        <stp/>
        <stp/>
        <tr r="Q182" s="3"/>
        <tr r="Q222" s="1"/>
      </tp>
      <tp>
        <v>10120</v>
        <stp/>
        <stp>P</stp>
        <stp>0</stp>
        <stp>STK</stp>
        <stp>N026890</stp>
        <stp>저가</stp>
        <stp/>
        <stp/>
        <tr r="Q530" s="1"/>
        <tr r="Q318" s="3"/>
      </tp>
      <tp>
        <v>39850</v>
        <stp/>
        <stp>P</stp>
        <stp>0</stp>
        <stp>STK</stp>
        <stp>N023590</stp>
        <stp>시가</stp>
        <stp/>
        <stp/>
        <tr r="O182" s="3"/>
        <tr r="O222" s="1"/>
      </tp>
      <tp>
        <v>10300</v>
        <stp/>
        <stp>P</stp>
        <stp>0</stp>
        <stp>STK</stp>
        <stp>N026890</stp>
        <stp>시가</stp>
        <stp/>
        <stp/>
        <tr r="O318" s="3"/>
        <tr r="O530" s="1"/>
      </tp>
      <tp>
        <v>10310</v>
        <stp/>
        <stp>P</stp>
        <stp>0</stp>
        <stp>STK</stp>
        <stp>N026890</stp>
        <stp>고가</stp>
        <stp/>
        <stp/>
        <tr r="P318" s="3"/>
        <tr r="P530" s="1"/>
      </tp>
      <tp>
        <v>40600</v>
        <stp/>
        <stp>P</stp>
        <stp>0</stp>
        <stp>STK</stp>
        <stp>N023590</stp>
        <stp>고가</stp>
        <stp/>
        <stp/>
        <tr r="P222" s="1"/>
        <tr r="P182" s="3"/>
      </tp>
      <tp>
        <v>327000</v>
        <stp/>
        <stp>P</stp>
        <stp>0</stp>
        <stp>STK</stp>
        <stp>N039490</stp>
        <stp>시가</stp>
        <stp/>
        <stp/>
        <tr r="O75" s="3"/>
        <tr r="O82" s="1"/>
      </tp>
      <tp>
        <v>86000</v>
        <stp/>
        <stp>P</stp>
        <stp>0</stp>
        <stp>STK</stp>
        <stp>N139480</stp>
        <stp>시가</stp>
        <stp/>
        <stp/>
        <tr r="O158" s="3"/>
        <tr r="O191" s="1"/>
      </tp>
      <tp>
        <v>17970</v>
        <stp/>
        <stp>P</stp>
        <stp>0</stp>
        <stp>STK</stp>
        <stp>N032190</stp>
        <stp>저가</stp>
        <stp/>
        <stp/>
        <tr r="Q387" s="1"/>
      </tp>
      <tp>
        <v>16900</v>
        <stp/>
        <stp>P</stp>
        <stp>0</stp>
        <stp>STK</stp>
        <stp>N030190</stp>
        <stp>저가</stp>
        <stp/>
        <stp/>
        <tr r="Q314" s="1"/>
        <tr r="Q229" s="3"/>
      </tp>
      <tp>
        <v>13780</v>
        <stp/>
        <stp>P</stp>
        <stp>0</stp>
        <stp>STK</stp>
        <stp>N036890</stp>
        <stp>저가</stp>
        <stp/>
        <stp/>
        <tr r="Q621" s="1"/>
      </tp>
      <tp>
        <v>16900</v>
        <stp/>
        <stp>P</stp>
        <stp>0</stp>
        <stp>STK</stp>
        <stp>N030190</stp>
        <stp>시가</stp>
        <stp/>
        <stp/>
        <tr r="O229" s="3"/>
        <tr r="O314" s="1"/>
      </tp>
      <tp>
        <v>327000</v>
        <stp/>
        <stp>P</stp>
        <stp>0</stp>
        <stp>STK</stp>
        <stp>N039490</stp>
        <stp>저가</stp>
        <stp/>
        <stp/>
        <tr r="Q82" s="1"/>
        <tr r="Q75" s="3"/>
      </tp>
      <tp>
        <v>86000</v>
        <stp/>
        <stp>P</stp>
        <stp>0</stp>
        <stp>STK</stp>
        <stp>N139480</stp>
        <stp>저가</stp>
        <stp/>
        <stp/>
        <tr r="Q158" s="3"/>
        <tr r="Q191" s="1"/>
      </tp>
      <tp>
        <v>17980</v>
        <stp/>
        <stp>P</stp>
        <stp>0</stp>
        <stp>STK</stp>
        <stp>N032190</stp>
        <stp>시가</stp>
        <stp/>
        <stp/>
        <tr r="O387" s="1"/>
      </tp>
      <tp>
        <v>13780</v>
        <stp/>
        <stp>P</stp>
        <stp>0</stp>
        <stp>STK</stp>
        <stp>N036890</stp>
        <stp>시가</stp>
        <stp/>
        <stp/>
        <tr r="O621" s="1"/>
      </tp>
      <tp>
        <v>14020</v>
        <stp/>
        <stp>P</stp>
        <stp>0</stp>
        <stp>STK</stp>
        <stp>N036890</stp>
        <stp>고가</stp>
        <stp/>
        <stp/>
        <tr r="P621" s="1"/>
      </tp>
      <tp>
        <v>18140</v>
        <stp/>
        <stp>P</stp>
        <stp>0</stp>
        <stp>STK</stp>
        <stp>N032190</stp>
        <stp>고가</stp>
        <stp/>
        <stp/>
        <tr r="P387" s="1"/>
      </tp>
      <tp>
        <v>17100</v>
        <stp/>
        <stp>P</stp>
        <stp>0</stp>
        <stp>STK</stp>
        <stp>N030190</stp>
        <stp>고가</stp>
        <stp/>
        <stp/>
        <tr r="P314" s="1"/>
        <tr r="P229" s="3"/>
      </tp>
      <tp>
        <v>337000</v>
        <stp/>
        <stp>P</stp>
        <stp>0</stp>
        <stp>STK</stp>
        <stp>N039490</stp>
        <stp>고가</stp>
        <stp/>
        <stp/>
        <tr r="P82" s="1"/>
        <tr r="P75" s="3"/>
      </tp>
      <tp>
        <v>86700</v>
        <stp/>
        <stp>P</stp>
        <stp>0</stp>
        <stp>STK</stp>
        <stp>N139480</stp>
        <stp>고가</stp>
        <stp/>
        <stp/>
        <tr r="P158" s="3"/>
        <tr r="P191" s="1"/>
      </tp>
      <tp>
        <v>7240</v>
        <stp/>
        <stp>P</stp>
        <stp>0</stp>
        <stp>STK</stp>
        <stp>N041190</stp>
        <stp>저가</stp>
        <stp/>
        <stp/>
        <tr r="Q425" s="1"/>
      </tp>
      <tp>
        <v>147000</v>
        <stp/>
        <stp>P</stp>
        <stp>0</stp>
        <stp>STK</stp>
        <stp>N141080</stp>
        <stp>저가</stp>
        <stp/>
        <stp/>
        <tr r="Q105" s="1"/>
      </tp>
      <tp>
        <v>6000</v>
        <stp/>
        <stp>P</stp>
        <stp>0</stp>
        <stp>STK</stp>
        <stp>N046890</stp>
        <stp>저가</stp>
        <stp/>
        <stp/>
        <tr r="Q576" s="1"/>
      </tp>
      <tp>
        <v>31700</v>
        <stp/>
        <stp>P</stp>
        <stp>0</stp>
        <stp>STK</stp>
        <stp>N044490</stp>
        <stp>저가</stp>
        <stp/>
        <stp/>
        <tr r="Q391" s="1"/>
      </tp>
      <tp>
        <v>7300</v>
        <stp/>
        <stp>P</stp>
        <stp>0</stp>
        <stp>STK</stp>
        <stp>N041190</stp>
        <stp>시가</stp>
        <stp/>
        <stp/>
        <tr r="O425" s="1"/>
      </tp>
      <tp>
        <v>148100</v>
        <stp/>
        <stp>P</stp>
        <stp>0</stp>
        <stp>STK</stp>
        <stp>N141080</stp>
        <stp>시가</stp>
        <stp/>
        <stp/>
        <tr r="O105" s="1"/>
      </tp>
      <tp>
        <v>31700</v>
        <stp/>
        <stp>P</stp>
        <stp>0</stp>
        <stp>STK</stp>
        <stp>N044490</stp>
        <stp>시가</stp>
        <stp/>
        <stp/>
        <tr r="O391" s="1"/>
      </tp>
      <tp>
        <v>6020</v>
        <stp/>
        <stp>P</stp>
        <stp>0</stp>
        <stp>STK</stp>
        <stp>N046890</stp>
        <stp>시가</stp>
        <stp/>
        <stp/>
        <tr r="O576" s="1"/>
      </tp>
      <tp>
        <v>6090</v>
        <stp/>
        <stp>P</stp>
        <stp>0</stp>
        <stp>STK</stp>
        <stp>N046890</stp>
        <stp>고가</stp>
        <stp/>
        <stp/>
        <tr r="P576" s="1"/>
      </tp>
      <tp>
        <v>32500</v>
        <stp/>
        <stp>P</stp>
        <stp>0</stp>
        <stp>STK</stp>
        <stp>N044490</stp>
        <stp>고가</stp>
        <stp/>
        <stp/>
        <tr r="P391" s="1"/>
      </tp>
      <tp>
        <v>7470</v>
        <stp/>
        <stp>P</stp>
        <stp>0</stp>
        <stp>STK</stp>
        <stp>N041190</stp>
        <stp>고가</stp>
        <stp/>
        <stp/>
        <tr r="P425" s="1"/>
      </tp>
      <tp>
        <v>150200</v>
        <stp/>
        <stp>P</stp>
        <stp>0</stp>
        <stp>STK</stp>
        <stp>N141080</stp>
        <stp>고가</stp>
        <stp/>
        <stp/>
        <tr r="P105" s="1"/>
      </tp>
      <tp>
        <v>12810</v>
        <stp/>
        <stp>P</stp>
        <stp>0</stp>
        <stp>STK</stp>
        <stp>N059090</stp>
        <stp>시가</stp>
        <stp/>
        <stp/>
        <tr r="O515" s="1"/>
      </tp>
      <tp>
        <v>135800</v>
        <stp/>
        <stp>P</stp>
        <stp>0</stp>
        <stp>STK</stp>
        <stp>N052690</stp>
        <stp>저가</stp>
        <stp/>
        <stp/>
        <tr r="Q104" s="1"/>
        <tr r="Q99" s="3"/>
      </tp>
      <tp>
        <v>7620</v>
        <stp/>
        <stp>P</stp>
        <stp>0</stp>
        <stp>STK</stp>
        <stp>N050890</stp>
        <stp>저가</stp>
        <stp/>
        <stp/>
        <tr r="Q493" s="1"/>
      </tp>
      <tp>
        <v>25850</v>
        <stp/>
        <stp>P</stp>
        <stp>0</stp>
        <stp>STK</stp>
        <stp>N056190</stp>
        <stp>저가</stp>
        <stp/>
        <stp/>
        <tr r="Q327" s="1"/>
      </tp>
      <tp>
        <v>7680</v>
        <stp/>
        <stp>P</stp>
        <stp>0</stp>
        <stp>STK</stp>
        <stp>N050890</stp>
        <stp>시가</stp>
        <stp/>
        <stp/>
        <tr r="O493" s="1"/>
      </tp>
      <tp>
        <v>12750</v>
        <stp/>
        <stp>P</stp>
        <stp>0</stp>
        <stp>STK</stp>
        <stp>N059090</stp>
        <stp>저가</stp>
        <stp/>
        <stp/>
        <tr r="Q515" s="1"/>
      </tp>
      <tp>
        <v>136400</v>
        <stp/>
        <stp>P</stp>
        <stp>0</stp>
        <stp>STK</stp>
        <stp>N052690</stp>
        <stp>시가</stp>
        <stp/>
        <stp/>
        <tr r="O99" s="3"/>
        <tr r="O104" s="1"/>
      </tp>
      <tp>
        <v>26300</v>
        <stp/>
        <stp>P</stp>
        <stp>0</stp>
        <stp>STK</stp>
        <stp>N056190</stp>
        <stp>시가</stp>
        <stp/>
        <stp/>
        <tr r="O327" s="1"/>
      </tp>
      <tp>
        <v>26500</v>
        <stp/>
        <stp>P</stp>
        <stp>0</stp>
        <stp>STK</stp>
        <stp>N056190</stp>
        <stp>고가</stp>
        <stp/>
        <stp/>
        <tr r="P327" s="1"/>
      </tp>
      <tp>
        <v>138200</v>
        <stp/>
        <stp>P</stp>
        <stp>0</stp>
        <stp>STK</stp>
        <stp>N052690</stp>
        <stp>고가</stp>
        <stp/>
        <stp/>
        <tr r="P99" s="3"/>
        <tr r="P104" s="1"/>
      </tp>
      <tp>
        <v>7690</v>
        <stp/>
        <stp>P</stp>
        <stp>0</stp>
        <stp>STK</stp>
        <stp>N050890</stp>
        <stp>고가</stp>
        <stp/>
        <stp/>
        <tr r="P493" s="1"/>
      </tp>
      <tp>
        <v>12900</v>
        <stp/>
        <stp>P</stp>
        <stp>0</stp>
        <stp>STK</stp>
        <stp>N059090</stp>
        <stp>고가</stp>
        <stp/>
        <stp/>
        <tr r="P515" s="1"/>
      </tp>
      <tp>
        <v>42300</v>
        <stp/>
        <stp>P</stp>
        <stp>0</stp>
        <stp>STK</stp>
        <stp>N061090</stp>
        <stp>저가</stp>
        <stp/>
        <stp/>
        <tr r="Q679" s="1"/>
      </tp>
      <tp>
        <v>44800</v>
        <stp/>
        <stp>P</stp>
        <stp>0</stp>
        <stp>STK</stp>
        <stp>N161580</stp>
        <stp>저가</stp>
        <stp/>
        <stp/>
        <tr r="Q311" s="1"/>
      </tp>
      <tp>
        <v>47000</v>
        <stp/>
        <stp>P</stp>
        <stp>0</stp>
        <stp>STK</stp>
        <stp>N161580</stp>
        <stp>시가</stp>
        <stp/>
        <stp/>
        <tr r="O311" s="1"/>
      </tp>
      <tp>
        <v>42300</v>
        <stp/>
        <stp>P</stp>
        <stp>0</stp>
        <stp>STK</stp>
        <stp>N061090</stp>
        <stp>시가</stp>
        <stp/>
        <stp/>
        <tr r="O679" s="1"/>
      </tp>
      <tp>
        <v>42600</v>
        <stp/>
        <stp>P</stp>
        <stp>0</stp>
        <stp>STK</stp>
        <stp>N061090</stp>
        <stp>고가</stp>
        <stp/>
        <stp/>
        <tr r="P679" s="1"/>
      </tp>
      <tp>
        <v>47450</v>
        <stp/>
        <stp>P</stp>
        <stp>0</stp>
        <stp>STK</stp>
        <stp>N161580</stp>
        <stp>고가</stp>
        <stp/>
        <stp/>
        <tr r="P311" s="1"/>
      </tp>
      <tp>
        <v>124650</v>
        <stp/>
        <stp>P</stp>
        <stp>0</stp>
        <stp>STK</stp>
        <stp>N064400</stp>
        <stp>누적거래량</stp>
        <stp/>
        <stp/>
        <tr r="L91" s="1"/>
        <tr r="L89" s="3"/>
      </tp>
      <tp>
        <v>5622</v>
        <stp/>
        <stp>P</stp>
        <stp>0</stp>
        <stp>STK</stp>
        <stp>N052400</stp>
        <stp>누적거래량</stp>
        <stp/>
        <stp/>
        <tr r="L418" s="1"/>
      </tp>
      <tp>
        <v>36492</v>
        <stp/>
        <stp>P</stp>
        <stp>0</stp>
        <stp>STK</stp>
        <stp>N140410</stp>
        <stp>누적거래량</stp>
        <stp/>
        <stp/>
        <tr r="L151" s="1"/>
      </tp>
      <tp>
        <v>57814</v>
        <stp/>
        <stp>P</stp>
        <stp>0</stp>
        <stp>STK</stp>
        <stp>N249420</stp>
        <stp>누적거래량</stp>
        <stp/>
        <stp/>
        <tr r="L217" s="3"/>
        <tr r="L285" s="1"/>
      </tp>
      <tp>
        <v>11722</v>
        <stp/>
        <stp>P</stp>
        <stp>0</stp>
        <stp>STK</stp>
        <stp>N213420</stp>
        <stp>누적거래량</stp>
        <stp/>
        <stp/>
        <tr r="L335" s="1"/>
      </tp>
      <tp>
        <v>1794449</v>
        <stp/>
        <stp>P</stp>
        <stp>0</stp>
        <stp>STK</stp>
        <stp>N006400</stp>
        <stp>누적거래량</stp>
        <stp/>
        <stp/>
        <tr r="L31" s="1"/>
        <tr r="L28" s="3"/>
      </tp>
      <tp>
        <v>4577</v>
        <stp/>
        <stp>P</stp>
        <stp>0</stp>
        <stp>STK</stp>
        <stp>N308430</stp>
        <stp>누적거래량</stp>
        <stp/>
        <stp/>
        <tr r="L622" s="1"/>
      </tp>
      <tp>
        <v>217</v>
        <stp/>
        <stp>P</stp>
        <stp>0</stp>
        <stp>STK</stp>
        <stp>N192400</stp>
        <stp>누적거래량</stp>
        <stp/>
        <stp/>
        <tr r="L320" s="1"/>
        <tr r="L232" s="3"/>
      </tp>
      <tp>
        <v>102755</v>
        <stp/>
        <stp>P</stp>
        <stp>0</stp>
        <stp>STK</stp>
        <stp>N048410</stp>
        <stp>누적거래량</stp>
        <stp/>
        <stp/>
        <tr r="L452" s="1"/>
      </tp>
      <tp>
        <v>406005</v>
        <stp/>
        <stp>P</stp>
        <stp>0</stp>
        <stp>STK</stp>
        <stp>N137400</stp>
        <stp>누적거래량</stp>
        <stp/>
        <stp/>
        <tr r="L322" s="1"/>
      </tp>
      <tp>
        <v>4877</v>
        <stp/>
        <stp>P</stp>
        <stp>0</stp>
        <stp>STK</stp>
        <stp>N214430</stp>
        <stp>누적거래량</stp>
        <stp/>
        <stp/>
        <tr r="L414" s="1"/>
      </tp>
      <tp>
        <v>201427</v>
        <stp/>
        <stp>P</stp>
        <stp>0</stp>
        <stp>STK</stp>
        <stp>N199430</stp>
        <stp>누적거래량</stp>
        <stp/>
        <stp/>
        <tr r="L485" s="1"/>
      </tp>
      <tp>
        <v>112588</v>
        <stp/>
        <stp>P</stp>
        <stp>0</stp>
        <stp>STK</stp>
        <stp>N035420</stp>
        <stp>누적거래량</stp>
        <stp/>
        <stp/>
        <tr r="L23" s="3"/>
        <tr r="L23" s="1"/>
      </tp>
      <tp>
        <v>85772</v>
        <stp/>
        <stp>P</stp>
        <stp>0</stp>
        <stp>STK</stp>
        <stp>N323410</stp>
        <stp>누적거래량</stp>
        <stp/>
        <stp/>
        <tr r="L72" s="1"/>
        <tr r="L69" s="3"/>
      </tp>
      <tp>
        <v>311919</v>
        <stp/>
        <stp>P</stp>
        <stp>0</stp>
        <stp>STK</stp>
        <stp>N005420</stp>
        <stp>누적거래량</stp>
        <stp/>
        <stp/>
        <tr r="L443" s="1"/>
        <tr r="L276" s="3"/>
      </tp>
      <tp>
        <v>26126</v>
        <stp/>
        <stp>P</stp>
        <stp>0</stp>
        <stp>STK</stp>
        <stp>N009420</stp>
        <stp>누적거래량</stp>
        <stp/>
        <stp/>
        <tr r="L152" s="3"/>
        <tr r="L187" s="1"/>
      </tp>
      <tp>
        <v>25343</v>
        <stp/>
        <stp>P</stp>
        <stp>0</stp>
        <stp>STK</stp>
        <stp>N090430</stp>
        <stp>누적거래량</stp>
        <stp/>
        <stp/>
        <tr r="L84" s="3"/>
        <tr r="L90" s="1"/>
      </tp>
      <tp>
        <v>3950</v>
        <stp/>
        <stp>P</stp>
        <stp>0</stp>
        <stp>STK</stp>
        <stp>N031430</stp>
        <stp>누적거래량</stp>
        <stp/>
        <stp/>
        <tr r="L323" s="3"/>
        <tr r="L547" s="1"/>
      </tp>
      <tp>
        <v>30537</v>
        <stp/>
        <stp>P</stp>
        <stp>0</stp>
        <stp>STK</stp>
        <stp>N218410</stp>
        <stp>누적거래량</stp>
        <stp/>
        <stp/>
        <tr r="L324" s="1"/>
      </tp>
      <tp>
        <v>54550</v>
        <stp/>
        <stp>P</stp>
        <stp>0</stp>
        <stp>STK</stp>
        <stp>N001430</stp>
        <stp>누적거래량</stp>
        <stp/>
        <stp/>
        <tr r="L163" s="1"/>
        <tr r="L141" s="3"/>
      </tp>
      <tp>
        <v>4426</v>
        <stp/>
        <stp>P</stp>
        <stp>0</stp>
        <stp>STK</stp>
        <stp>N389470</stp>
        <stp>누적거래량</stp>
        <stp/>
        <stp/>
        <tr r="L326" s="1"/>
      </tp>
      <tp>
        <v>56457</v>
        <stp/>
        <stp>P</stp>
        <stp>0</stp>
        <stp>STK</stp>
        <stp>N475400</stp>
        <stp>누적거래량</stp>
        <stp/>
        <stp/>
        <tr r="L460" s="1"/>
      </tp>
      <tp>
        <v>27861</v>
        <stp/>
        <stp>P</stp>
        <stp>0</stp>
        <stp>STK</stp>
        <stp>N039440</stp>
        <stp>누적거래량</stp>
        <stp/>
        <stp/>
        <tr r="L494" s="1"/>
      </tp>
      <tp>
        <v>1282639</v>
        <stp/>
        <stp>P</stp>
        <stp>0</stp>
        <stp>STK</stp>
        <stp>N001440</stp>
        <stp>누적거래량</stp>
        <stp/>
        <stp/>
        <tr r="L97" s="3"/>
        <tr r="L107" s="1"/>
      </tp>
      <tp>
        <v>6592</v>
        <stp/>
        <stp>P</stp>
        <stp>0</stp>
        <stp>STK</stp>
        <stp>N005440</stp>
        <stp>누적거래량</stp>
        <stp/>
        <stp/>
        <tr r="L265" s="1"/>
        <tr r="L204" s="3"/>
      </tp>
      <tp>
        <v>25398</v>
        <stp/>
        <stp>P</stp>
        <stp>0</stp>
        <stp>STK</stp>
        <stp>N083450</stp>
        <stp>누적거래량</stp>
        <stp/>
        <stp/>
        <tr r="L477" s="1"/>
      </tp>
      <tp>
        <v>6377</v>
        <stp/>
        <stp>P</stp>
        <stp>0</stp>
        <stp>STK</stp>
        <stp>N086450</stp>
        <stp>누적거래량</stp>
        <stp/>
        <stp/>
        <tr r="L368" s="1"/>
      </tp>
      <tp>
        <v>65185</v>
        <stp/>
        <stp>P</stp>
        <stp>0</stp>
        <stp>STK</stp>
        <stp>N278470</stp>
        <stp>누적거래량</stp>
        <stp/>
        <stp/>
        <tr r="L74" s="1"/>
        <tr r="L67" s="3"/>
      </tp>
      <tp>
        <v>7117</v>
        <stp/>
        <stp>P</stp>
        <stp>0</stp>
        <stp>STK</stp>
        <stp>N012450</stp>
        <stp>누적거래량</stp>
        <stp/>
        <stp/>
        <tr r="L12" s="1"/>
        <tr r="L11" s="3"/>
      </tp>
      <tp>
        <v>10811</v>
        <stp/>
        <stp>P</stp>
        <stp>0</stp>
        <stp>STK</stp>
        <stp>N001450</stp>
        <stp>누적거래량</stp>
        <stp/>
        <stp/>
        <tr r="L151" s="3"/>
        <tr r="L180" s="1"/>
      </tp>
      <tp>
        <v>1430</v>
        <stp/>
        <stp>P</stp>
        <stp>0</stp>
        <stp>STK</stp>
        <stp>N009450</stp>
        <stp>누적거래량</stp>
        <stp/>
        <stp/>
        <tr r="L243" s="3"/>
        <tr r="L348" s="1"/>
      </tp>
      <tp>
        <v>6169</v>
        <stp/>
        <stp>P</stp>
        <stp>0</stp>
        <stp>STK</stp>
        <stp>N090460</stp>
        <stp>누적거래량</stp>
        <stp/>
        <stp/>
        <tr r="L283" s="3"/>
        <tr r="L455" s="1"/>
      </tp>
      <tp>
        <v>6690</v>
        <stp/>
        <stp>P</stp>
        <stp>0</stp>
        <stp>STK</stp>
        <stp>N092460</stp>
        <stp>누적거래량</stp>
        <stp/>
        <stp/>
        <tr r="L640" s="1"/>
      </tp>
      <tp>
        <v>659491</v>
        <stp/>
        <stp>P</stp>
        <stp>0</stp>
        <stp>STK</stp>
        <stp>N098460</stp>
        <stp>누적거래량</stp>
        <stp/>
        <stp/>
        <tr r="L202" s="1"/>
      </tp>
      <tp>
        <v>91246</v>
        <stp/>
        <stp>P</stp>
        <stp>0</stp>
        <stp>STK</stp>
        <stp>N036460</stp>
        <stp>누적거래량</stp>
        <stp/>
        <stp/>
        <tr r="L119" s="3"/>
        <tr r="L134" s="1"/>
      </tp>
      <tp>
        <v>10771</v>
        <stp/>
        <stp>P</stp>
        <stp>0</stp>
        <stp>STK</stp>
        <stp>N425420</stp>
        <stp>누적거래량</stp>
        <stp/>
        <stp/>
        <tr r="L532" s="1"/>
      </tp>
      <tp>
        <v>762</v>
        <stp/>
        <stp>P</stp>
        <stp>0</stp>
        <stp>STK</stp>
        <stp>N029460</stp>
        <stp>누적거래량</stp>
        <stp/>
        <stp/>
        <tr r="L329" s="3"/>
        <tr r="L554" s="1"/>
      </tp>
      <tp>
        <v>4121</v>
        <stp/>
        <stp>P</stp>
        <stp>0</stp>
        <stp>STK</stp>
        <stp>N317450</stp>
        <stp>누적거래량</stp>
        <stp/>
        <stp/>
        <tr r="L238" s="3"/>
        <tr r="L339" s="1"/>
      </tp>
      <tp>
        <v>422</v>
        <stp/>
        <stp>P</stp>
        <stp>0</stp>
        <stp>STK</stp>
        <stp>N001460</stp>
        <stp>누적거래량</stp>
        <stp/>
        <stp/>
        <tr r="L366" s="3"/>
        <tr r="L657" s="1"/>
      </tp>
      <tp>
        <v>4626</v>
        <stp/>
        <stp>P</stp>
        <stp>0</stp>
        <stp>STK</stp>
        <stp>N253450</stp>
        <stp>누적거래량</stp>
        <stp/>
        <stp/>
        <tr r="L261" s="1"/>
      </tp>
      <tp>
        <v>9451</v>
        <stp/>
        <stp>P</stp>
        <stp>0</stp>
        <stp>STK</stp>
        <stp>N452430</stp>
        <stp>누적거래량</stp>
        <stp/>
        <stp/>
        <tr r="L658" s="1"/>
      </tp>
      <tp>
        <v>33371</v>
        <stp/>
        <stp>P</stp>
        <stp>0</stp>
        <stp>STK</stp>
        <stp>N058470</stp>
        <stp>누적거래량</stp>
        <stp/>
        <stp/>
        <tr r="L109" s="1"/>
      </tp>
      <tp>
        <v>22374</v>
        <stp/>
        <stp>P</stp>
        <stp>0</stp>
        <stp>STK</stp>
        <stp>N214450</stp>
        <stp>누적거래량</stp>
        <stp/>
        <stp/>
        <tr r="L117" s="1"/>
      </tp>
      <tp>
        <v>8619</v>
        <stp/>
        <stp>P</stp>
        <stp>0</stp>
        <stp>STK</stp>
        <stp>N302440</stp>
        <stp>누적거래량</stp>
        <stp/>
        <stp/>
        <tr r="L116" s="3"/>
        <tr r="L131" s="1"/>
      </tp>
      <tp>
        <v>59537</v>
        <stp/>
        <stp>P</stp>
        <stp>0</stp>
        <stp>STK</stp>
        <stp>N094480</stp>
        <stp>누적거래량</stp>
        <stp/>
        <stp/>
        <tr r="L564" s="1"/>
      </tp>
      <tp>
        <v>4217</v>
        <stp/>
        <stp>P</stp>
        <stp>0</stp>
        <stp>STK</stp>
        <stp>N138490</stp>
        <stp>누적거래량</stp>
        <stp/>
        <stp/>
        <tr r="L345" s="3"/>
        <tr r="L608" s="1"/>
      </tp>
      <tp>
        <v>374993</v>
        <stp/>
        <stp>P</stp>
        <stp>0</stp>
        <stp>STK</stp>
        <stp>N125490</stp>
        <stp>누적거래량</stp>
        <stp/>
        <stp/>
        <tr r="L374" s="1"/>
      </tp>
      <tp>
        <v>28650</v>
        <stp/>
        <stp>P</stp>
        <stp>0</stp>
        <stp>STK</stp>
        <stp>N101490</stp>
        <stp>누적거래량</stp>
        <stp/>
        <stp/>
        <tr r="L254" s="1"/>
      </tp>
      <tp>
        <v>28664</v>
        <stp/>
        <stp>P</stp>
        <stp>0</stp>
        <stp>STK</stp>
        <stp>N108490</stp>
        <stp>누적거래량</stp>
        <stp/>
        <stp/>
        <tr r="L132" s="1"/>
      </tp>
      <tp>
        <v>3566</v>
        <stp/>
        <stp>P</stp>
        <stp>0</stp>
        <stp>STK</stp>
        <stp>N194480</stp>
        <stp>누적거래량</stp>
        <stp/>
        <stp/>
        <tr r="L534" s="1"/>
      </tp>
      <tp>
        <v>40630</v>
        <stp/>
        <stp>P</stp>
        <stp>0</stp>
        <stp>STK</stp>
        <stp>N044490</stp>
        <stp>누적거래량</stp>
        <stp/>
        <stp/>
        <tr r="L391" s="1"/>
      </tp>
      <tp>
        <v>7391</v>
        <stp/>
        <stp>P</stp>
        <stp>0</stp>
        <stp>STK</stp>
        <stp>N039490</stp>
        <stp>누적거래량</stp>
        <stp/>
        <stp/>
        <tr r="L75" s="3"/>
        <tr r="L82" s="1"/>
      </tp>
      <tp>
        <v>9955</v>
        <stp/>
        <stp>P</stp>
        <stp>0</stp>
        <stp>STK</stp>
        <stp>N139480</stp>
        <stp>누적거래량</stp>
        <stp/>
        <stp/>
        <tr r="L191" s="1"/>
        <tr r="L158" s="3"/>
      </tp>
      <tp>
        <v>118930</v>
        <stp/>
        <stp>P</stp>
        <stp>0</stp>
        <stp>STK</stp>
        <stp>N000490</stp>
        <stp>누적거래량</stp>
        <stp/>
        <stp/>
        <tr r="L628" s="1"/>
        <tr r="L360" s="3"/>
      </tp>
      <tp>
        <v>149969</v>
        <stp/>
        <stp>P</stp>
        <stp>0</stp>
        <stp>STK</stp>
        <stp>N003490</stp>
        <stp>누적거래량</stp>
        <stp/>
        <stp/>
        <tr r="L73" s="3"/>
        <tr r="L79" s="1"/>
      </tp>
      <tp>
        <v>377678</v>
        <stp/>
        <stp>P</stp>
        <stp>0</stp>
        <stp>STK</stp>
        <stp>N005490</stp>
        <stp>누적거래량</stp>
        <stp/>
        <stp/>
        <tr r="L28" s="1"/>
        <tr r="L29" s="3"/>
      </tp>
      <tp>
        <v>4461</v>
        <stp/>
        <stp>P</stp>
        <stp>0</stp>
        <stp>STK</stp>
        <stp>N004490</stp>
        <stp>누적거래량</stp>
        <stp/>
        <stp/>
        <tr r="L235" s="3"/>
        <tr r="L330" s="1"/>
      </tp>
      <tp>
        <v>358</v>
        <stp/>
        <stp>P</stp>
        <stp>0</stp>
        <stp>STK</stp>
        <stp>N008490</stp>
        <stp>누적거래량</stp>
        <stp/>
        <stp/>
        <tr r="L379" s="3"/>
        <tr r="L686" s="1"/>
      </tp>
      <tp>
        <v>8514</v>
        <stp/>
        <stp>P</stp>
        <stp>0</stp>
        <stp>STK</stp>
        <stp>N293490</stp>
        <stp>누적거래량</stp>
        <stp/>
        <stp/>
        <tr r="L273" s="1"/>
      </tp>
      <tp>
        <v>1992</v>
        <stp/>
        <stp>P</stp>
        <stp>0</stp>
        <stp>STK</stp>
        <stp>N352480</stp>
        <stp>누적거래량</stp>
        <stp/>
        <stp/>
        <tr r="L528" s="1"/>
      </tp>
      <tp>
        <v>58400</v>
        <stp/>
        <stp>P</stp>
        <stp>0</stp>
        <stp>STK</stp>
        <stp>199800</stp>
        <stp>현재가</stp>
        <stp/>
        <stp/>
        <tr r="T471" s="1"/>
      </tp>
      <tp>
        <v>15300</v>
        <stp/>
        <stp>P</stp>
        <stp>0</stp>
        <stp>STK</stp>
        <stp>099190</stp>
        <stp>현재가</stp>
        <stp/>
        <stp/>
        <tr r="T529" s="1"/>
      </tp>
      <tp>
        <v>30900</v>
        <stp/>
        <stp>P</stp>
        <stp>0</stp>
        <stp>STK</stp>
        <stp>299030</stp>
        <stp>현재가</stp>
        <stp/>
        <stp/>
        <tr r="T691" s="1"/>
      </tp>
      <tp>
        <v>41850</v>
        <stp/>
        <stp>P</stp>
        <stp>0</stp>
        <stp>STK</stp>
        <stp>499790</stp>
        <stp>현재가</stp>
        <stp/>
        <stp/>
        <tr r="T359" s="3"/>
        <tr r="T359" s="1"/>
      </tp>
      <tp>
        <v>60200</v>
        <stp/>
        <stp>P</stp>
        <stp>0</stp>
        <stp>STK</stp>
        <stp>399720</stp>
        <stp>현재가</stp>
        <stp/>
        <stp/>
        <tr r="T383" s="1"/>
      </tp>
      <tp>
        <v>39900</v>
        <stp/>
        <stp>P</stp>
        <stp>0</stp>
        <stp>STK</stp>
        <stp>199430</stp>
        <stp>현재가</stp>
        <stp/>
        <stp/>
        <tr r="T485" s="1"/>
      </tp>
      <tp>
        <v>181100</v>
        <stp/>
        <stp>P</stp>
        <stp>0</stp>
        <stp>STK</stp>
        <stp>298380</stp>
        <stp>현재가</stp>
        <stp/>
        <stp/>
        <tr r="T73" s="1"/>
        <tr r="T73" s="3"/>
      </tp>
      <tp>
        <v>379500</v>
        <stp/>
        <stp>P</stp>
        <stp>0</stp>
        <stp>STK</stp>
        <stp>298020</stp>
        <stp>현재가</stp>
        <stp/>
        <stp/>
        <tr r="T231" s="3"/>
        <tr r="T231" s="1"/>
      </tp>
      <tp>
        <v>37750</v>
        <stp/>
        <stp>P</stp>
        <stp>0</stp>
        <stp>STK</stp>
        <stp>098070</stp>
        <stp>현재가</stp>
        <stp/>
        <stp/>
        <tr r="T510" s="1"/>
      </tp>
      <tp>
        <v>216000</v>
        <stp/>
        <stp>P</stp>
        <stp>0</stp>
        <stp>STK</stp>
        <stp>298050</stp>
        <stp>현재가</stp>
        <stp/>
        <stp/>
        <tr r="T318" s="1"/>
        <tr r="T318" s="3"/>
      </tp>
      <tp>
        <v>2306000</v>
        <stp/>
        <stp>P</stp>
        <stp>0</stp>
        <stp>STK</stp>
        <stp>298040</stp>
        <stp>현재가</stp>
        <stp/>
        <stp/>
        <tr r="T37" s="3"/>
        <tr r="T37" s="1"/>
      </tp>
      <tp>
        <v>28575</v>
        <stp/>
        <stp>P</stp>
        <stp>0</stp>
        <stp>STK</stp>
        <stp>098460</stp>
        <stp>현재가</stp>
        <stp/>
        <stp/>
        <tr r="T202" s="1"/>
        <tr r="T202" s="3"/>
      </tp>
      <tp>
        <v>47850</v>
        <stp/>
        <stp>P</stp>
        <stp>0</stp>
        <stp>STK</stp>
        <stp>195940</stp>
        <stp>현재가</stp>
        <stp/>
        <stp/>
        <tr r="T262" s="1"/>
        <tr r="T262" s="3"/>
      </tp>
      <tp>
        <v>52200</v>
        <stp/>
        <stp>P</stp>
        <stp>0</stp>
        <stp>STK</stp>
        <stp>195870</stp>
        <stp>현재가</stp>
        <stp/>
        <stp/>
        <tr r="T332" s="3"/>
        <tr r="T332" s="1"/>
      </tp>
      <tp>
        <v>87400</v>
        <stp/>
        <stp>P</stp>
        <stp>0</stp>
        <stp>STK</stp>
        <stp>295310</stp>
        <stp>현재가</stp>
        <stp/>
        <stp/>
        <tr r="T305" s="1"/>
        <tr r="T305" s="3"/>
      </tp>
      <tp>
        <v>102600</v>
        <stp/>
        <stp>P</stp>
        <stp>0</stp>
        <stp>STK</stp>
        <stp>095340</stp>
        <stp>현재가</stp>
        <stp/>
        <stp/>
        <tr r="T198" s="1"/>
        <tr r="T198" s="3"/>
      </tp>
      <tp>
        <v>47950</v>
        <stp/>
        <stp>P</stp>
        <stp>0</stp>
        <stp>STK</stp>
        <stp>095610</stp>
        <stp>현재가</stp>
        <stp/>
        <stp/>
        <tr r="T319" s="1"/>
        <tr r="T319" s="3"/>
      </tp>
      <tp>
        <v>25800</v>
        <stp/>
        <stp>P</stp>
        <stp>0</stp>
        <stp>STK</stp>
        <stp>095660</stp>
        <stp>현재가</stp>
        <stp/>
        <stp/>
        <tr r="T445" s="1"/>
      </tp>
      <tp>
        <v>12340</v>
        <stp/>
        <stp>P</stp>
        <stp>0</stp>
        <stp>STK</stp>
        <stp>095500</stp>
        <stp>현재가</stp>
        <stp/>
        <stp/>
        <tr r="T596" s="1"/>
      </tp>
      <tp>
        <v>14330</v>
        <stp/>
        <stp>P</stp>
        <stp>0</stp>
        <stp>STK</stp>
        <stp>394800</stp>
        <stp>현재가</stp>
        <stp/>
        <stp/>
        <tr r="T495" s="1"/>
      </tp>
      <tp>
        <v>20450</v>
        <stp/>
        <stp>P</stp>
        <stp>0</stp>
        <stp>STK</stp>
        <stp>294870</stp>
        <stp>현재가</stp>
        <stp/>
        <stp/>
        <tr r="T264" s="1"/>
        <tr r="T264" s="3"/>
      </tp>
      <tp>
        <v>17180</v>
        <stp/>
        <stp>P</stp>
        <stp>0</stp>
        <stp>STK</stp>
        <stp>094360</stp>
        <stp>현재가</stp>
        <stp/>
        <stp/>
        <tr r="T556" s="1"/>
      </tp>
      <tp>
        <v>11310</v>
        <stp/>
        <stp>P</stp>
        <stp>0</stp>
        <stp>STK</stp>
        <stp>194370</stp>
        <stp>현재가</stp>
        <stp/>
        <stp/>
        <tr r="T599" s="1"/>
      </tp>
      <tp>
        <v>13310</v>
        <stp/>
        <stp>P</stp>
        <stp>0</stp>
        <stp>STK</stp>
        <stp>394280</stp>
        <stp>현재가</stp>
        <stp/>
        <stp/>
        <tr r="T624" s="1"/>
      </tp>
      <tp>
        <v>26650</v>
        <stp/>
        <stp>P</stp>
        <stp>0</stp>
        <stp>STK</stp>
        <stp>094170</stp>
        <stp>현재가</stp>
        <stp/>
        <stp/>
        <tr r="T436" s="1"/>
      </tp>
      <tp>
        <v>55100</v>
        <stp/>
        <stp>P</stp>
        <stp>0</stp>
        <stp>STK</stp>
        <stp>494120</stp>
        <stp>현재가</stp>
        <stp/>
        <stp/>
        <tr r="T526" s="1"/>
      </tp>
      <tp>
        <v>13520</v>
        <stp/>
        <stp>P</stp>
        <stp>0</stp>
        <stp>STK</stp>
        <stp>194700</stp>
        <stp>현재가</stp>
        <stp/>
        <stp/>
        <tr r="T668" s="1"/>
      </tp>
      <tp>
        <v>27100</v>
        <stp/>
        <stp>P</stp>
        <stp>0</stp>
        <stp>STK</stp>
        <stp>294570</stp>
        <stp>현재가</stp>
        <stp/>
        <stp/>
        <tr r="T647" s="1"/>
      </tp>
      <tp>
        <v>33900</v>
        <stp/>
        <stp>P</stp>
        <stp>0</stp>
        <stp>STK</stp>
        <stp>194480</stp>
        <stp>현재가</stp>
        <stp/>
        <stp/>
        <tr r="T534" s="1"/>
      </tp>
      <tp>
        <v>9510</v>
        <stp/>
        <stp>P</stp>
        <stp>0</stp>
        <stp>STK</stp>
        <stp>094480</stp>
        <stp>현재가</stp>
        <stp/>
        <stp/>
        <tr r="T564" s="1"/>
      </tp>
      <tp>
        <v>214500</v>
        <stp/>
        <stp>P</stp>
        <stp>0</stp>
        <stp>STK</stp>
        <stp>097950</stp>
        <stp>현재가</stp>
        <stp/>
        <stp/>
        <tr r="T147" s="3"/>
        <tr r="T147" s="1"/>
      </tp>
      <tp>
        <v>24050</v>
        <stp/>
        <stp>P</stp>
        <stp>0</stp>
        <stp>STK</stp>
        <stp>097230</stp>
        <stp>현재가</stp>
        <stp/>
        <stp/>
        <tr r="T195" s="3"/>
        <tr r="T195" s="1"/>
      </tp>
      <tp>
        <v>47700</v>
        <stp/>
        <stp>P</stp>
        <stp>0</stp>
        <stp>STK</stp>
        <stp>397030</stp>
        <stp>현재가</stp>
        <stp/>
        <stp/>
        <tr r="T293" s="3"/>
        <tr r="T293" s="1"/>
      </tp>
      <tp>
        <v>30150</v>
        <stp/>
        <stp>P</stp>
        <stp>0</stp>
        <stp>STK</stp>
        <stp>097520</stp>
        <stp>현재가</stp>
        <stp/>
        <stp/>
        <tr r="T447" s="1"/>
      </tp>
      <tp>
        <v>375000</v>
        <stp/>
        <stp>P</stp>
        <stp>0</stp>
        <stp>STK</stp>
        <stp>196170</stp>
        <stp>현재가</stp>
        <stp/>
        <stp/>
        <tr r="T42" s="1"/>
        <tr r="T42" s="3"/>
      </tp>
      <tp>
        <v>112750</v>
        <stp/>
        <stp>P</stp>
        <stp>0</stp>
        <stp>STK</stp>
        <stp>096770</stp>
        <stp>현재가</stp>
        <stp/>
        <stp/>
        <tr r="T47" s="1"/>
        <tr r="T47" s="3"/>
      </tp>
      <tp>
        <v>24150</v>
        <stp/>
        <stp>P</stp>
        <stp>0</stp>
        <stp>STK</stp>
        <stp>096530</stp>
        <stp>현재가</stp>
        <stp/>
        <stp/>
        <tr r="T275" s="1"/>
        <tr r="T275" s="3"/>
      </tp>
      <tp>
        <v>83900</v>
        <stp/>
        <stp>P</stp>
        <stp>0</stp>
        <stp>STK</stp>
        <stp>090360</stp>
        <stp>현재가</stp>
        <stp/>
        <stp/>
        <tr r="T329" s="1"/>
        <tr r="T329" s="3"/>
      </tp>
      <tp>
        <v>53300</v>
        <stp/>
        <stp>P</stp>
        <stp>0</stp>
        <stp>STK</stp>
        <stp>290650</stp>
        <stp>현재가</stp>
        <stp/>
        <stp/>
        <tr r="T266" s="1"/>
        <tr r="T266" s="3"/>
      </tp>
      <tp>
        <v>24050</v>
        <stp/>
        <stp>P</stp>
        <stp>0</stp>
        <stp>STK</stp>
        <stp>190510</stp>
        <stp>현재가</stp>
        <stp/>
        <stp/>
        <tr r="T579" s="1"/>
      </tp>
      <tp>
        <v>126100</v>
        <stp/>
        <stp>P</stp>
        <stp>0</stp>
        <stp>STK</stp>
        <stp>090430</stp>
        <stp>현재가</stp>
        <stp/>
        <stp/>
        <tr r="T90" s="1"/>
        <tr r="T90" s="3"/>
      </tp>
      <tp>
        <v>16500</v>
        <stp/>
        <stp>P</stp>
        <stp>0</stp>
        <stp>STK</stp>
        <stp>090460</stp>
        <stp>현재가</stp>
        <stp/>
        <stp/>
        <tr r="T455" s="1"/>
      </tp>
      <tp>
        <v>122500</v>
        <stp/>
        <stp>P</stp>
        <stp>0</stp>
        <stp>STK</stp>
        <stp>093320</stp>
        <stp>현재가</stp>
        <stp/>
        <stp/>
        <tr r="T429" s="1"/>
      </tp>
      <tp>
        <v>8110</v>
        <stp/>
        <stp>P</stp>
        <stp>0</stp>
        <stp>STK</stp>
        <stp>093370</stp>
        <stp>현재가</stp>
        <stp/>
        <stp/>
        <tr r="T355" s="1"/>
        <tr r="T355" s="3"/>
      </tp>
      <tp>
        <v>17370</v>
        <stp/>
        <stp>P</stp>
        <stp>0</stp>
        <stp>STK</stp>
        <stp>093050</stp>
        <stp>현재가</stp>
        <stp/>
        <stp/>
        <tr r="T468" s="1"/>
      </tp>
      <tp>
        <v>21150</v>
        <stp/>
        <stp>P</stp>
        <stp>0</stp>
        <stp>STK</stp>
        <stp>093520</stp>
        <stp>현재가</stp>
        <stp/>
        <stp/>
        <tr r="T627" s="1"/>
      </tp>
      <tp>
        <v>14320</v>
        <stp/>
        <stp>P</stp>
        <stp>0</stp>
        <stp>STK</stp>
        <stp>293490</stp>
        <stp>현재가</stp>
        <stp/>
        <stp/>
        <tr r="T273" s="3"/>
        <tr r="T273" s="1"/>
      </tp>
      <tp>
        <v>194700</v>
        <stp/>
        <stp>P</stp>
        <stp>0</stp>
        <stp>STK</stp>
        <stp>192820</stp>
        <stp>현재가</stp>
        <stp/>
        <stp/>
        <tr r="T205" s="1"/>
        <tr r="T205" s="3"/>
      </tp>
      <tp>
        <v>72000</v>
        <stp/>
        <stp>P</stp>
        <stp>0</stp>
        <stp>STK</stp>
        <stp>092230</stp>
        <stp>현재가</stp>
        <stp/>
        <stp/>
        <tr r="T615" s="1"/>
      </tp>
      <tp>
        <v>51000</v>
        <stp/>
        <stp>P</stp>
        <stp>0</stp>
        <stp>STK</stp>
        <stp>192080</stp>
        <stp>현재가</stp>
        <stp/>
        <stp/>
        <tr r="T298" s="1"/>
        <tr r="T298" s="3"/>
      </tp>
      <tp>
        <v>11310</v>
        <stp/>
        <stp>P</stp>
        <stp>0</stp>
        <stp>STK</stp>
        <stp>092790</stp>
        <stp>현재가</stp>
        <stp/>
        <stp/>
        <tr r="T607" s="1"/>
      </tp>
      <tp>
        <v>19110</v>
        <stp/>
        <stp>P</stp>
        <stp>0</stp>
        <stp>STK</stp>
        <stp>092730</stp>
        <stp>현재가</stp>
        <stp/>
        <stp/>
        <tr r="T645" s="1"/>
      </tp>
      <tp>
        <v>27250</v>
        <stp/>
        <stp>P</stp>
        <stp>0</stp>
        <stp>STK</stp>
        <stp>192400</stp>
        <stp>현재가</stp>
        <stp/>
        <stp/>
        <tr r="T320" s="3"/>
        <tr r="T320" s="1"/>
      </tp>
      <tp>
        <v>16310</v>
        <stp/>
        <stp>P</stp>
        <stp>0</stp>
        <stp>STK</stp>
        <stp>092460</stp>
        <stp>현재가</stp>
        <stp/>
        <stp/>
        <tr r="T640" s="1"/>
      </tp>
      <tp>
        <v>16050</v>
        <stp/>
        <stp>P</stp>
        <stp>0</stp>
        <stp>STK</stp>
        <stp>N089980</stp>
        <stp>시가</stp>
        <stp/>
        <stp/>
        <tr r="O678" s="1"/>
      </tp>
      <tp>
        <v>11720</v>
        <stp/>
        <stp>P</stp>
        <stp>0</stp>
        <stp>STK</stp>
        <stp>N183190</stp>
        <stp>저가</stp>
        <stp/>
        <stp/>
        <tr r="Q513" s="1"/>
        <tr r="Q314" s="3"/>
      </tp>
      <tp>
        <v>255000</v>
        <stp/>
        <stp>P</stp>
        <stp>0</stp>
        <stp>STK</stp>
        <stp>N086280</stp>
        <stp>저가</stp>
        <stp/>
        <stp/>
        <tr r="Q40" s="3"/>
        <tr r="Q36" s="1"/>
      </tp>
      <tp>
        <v>11760</v>
        <stp/>
        <stp>P</stp>
        <stp>0</stp>
        <stp>STK</stp>
        <stp>N183190</stp>
        <stp>시가</stp>
        <stp/>
        <stp/>
        <tr r="O314" s="3"/>
        <tr r="O513" s="1"/>
      </tp>
      <tp>
        <v>16020</v>
        <stp/>
        <stp>P</stp>
        <stp>0</stp>
        <stp>STK</stp>
        <stp>N089980</stp>
        <stp>저가</stp>
        <stp/>
        <stp/>
        <tr r="Q678" s="1"/>
      </tp>
      <tp>
        <v>266000</v>
        <stp/>
        <stp>P</stp>
        <stp>0</stp>
        <stp>STK</stp>
        <stp>N086280</stp>
        <stp>시가</stp>
        <stp/>
        <stp/>
        <tr r="O40" s="3"/>
        <tr r="O36" s="1"/>
      </tp>
      <tp>
        <v>271000</v>
        <stp/>
        <stp>P</stp>
        <stp>0</stp>
        <stp>STK</stp>
        <stp>N086280</stp>
        <stp>고가</stp>
        <stp/>
        <stp/>
        <tr r="P40" s="3"/>
        <tr r="P36" s="1"/>
      </tp>
      <tp>
        <v>11810</v>
        <stp/>
        <stp>P</stp>
        <stp>0</stp>
        <stp>STK</stp>
        <stp>N183190</stp>
        <stp>고가</stp>
        <stp/>
        <stp/>
        <tr r="P314" s="3"/>
        <tr r="P513" s="1"/>
      </tp>
      <tp>
        <v>16310</v>
        <stp/>
        <stp>P</stp>
        <stp>0</stp>
        <stp>STK</stp>
        <stp>N089980</stp>
        <stp>고가</stp>
        <stp/>
        <stp/>
        <tr r="P678" s="1"/>
      </tp>
      <tp>
        <v>9150</v>
        <stp/>
        <stp>P</stp>
        <stp>0</stp>
        <stp>STK</stp>
        <stp>N094480</stp>
        <stp>저가</stp>
        <stp/>
        <stp/>
        <tr r="Q564" s="1"/>
      </tp>
      <tp>
        <v>9190</v>
        <stp/>
        <stp>P</stp>
        <stp>0</stp>
        <stp>STK</stp>
        <stp>N094480</stp>
        <stp>시가</stp>
        <stp/>
        <stp/>
        <tr r="O564" s="1"/>
      </tp>
      <tp>
        <v>9540</v>
        <stp/>
        <stp>P</stp>
        <stp>0</stp>
        <stp>STK</stp>
        <stp>N094480</stp>
        <stp>고가</stp>
        <stp/>
        <stp/>
        <tr r="P564" s="1"/>
      </tp>
      <tp>
        <v>10110</v>
        <stp/>
        <stp>P</stp>
        <stp>0</stp>
        <stp>STK</stp>
        <stp>N009680</stp>
        <stp>시가</stp>
        <stp/>
        <stp/>
        <tr r="O632" s="1"/>
        <tr r="O359" s="3"/>
      </tp>
      <tp>
        <v>11150</v>
        <stp/>
        <stp>P</stp>
        <stp>0</stp>
        <stp>STK</stp>
        <stp>N003380</stp>
        <stp>저가</stp>
        <stp/>
        <stp/>
        <tr r="Q276" s="1"/>
      </tp>
      <tp>
        <v>60200</v>
        <stp/>
        <stp>P</stp>
        <stp>0</stp>
        <stp>STK</stp>
        <stp>N103590</stp>
        <stp>저가</stp>
        <stp/>
        <stp/>
        <tr r="Q134" s="3"/>
        <tr r="Q154" s="1"/>
      </tp>
      <tp>
        <v>248000</v>
        <stp/>
        <stp>P</stp>
        <stp>0</stp>
        <stp>STK</stp>
        <stp>N108490</stp>
        <stp>시가</stp>
        <stp/>
        <stp/>
        <tr r="O132" s="1"/>
      </tp>
      <tp>
        <v>446000</v>
        <stp/>
        <stp>P</stp>
        <stp>0</stp>
        <stp>STK</stp>
        <stp>N002380</stp>
        <stp>저가</stp>
        <stp/>
        <stp/>
        <tr r="Q115" s="3"/>
        <tr r="Q127" s="1"/>
      </tp>
      <tp>
        <v>64900</v>
        <stp/>
        <stp>P</stp>
        <stp>0</stp>
        <stp>STK</stp>
        <stp>N101490</stp>
        <stp>저가</stp>
        <stp/>
        <stp/>
        <tr r="Q254" s="1"/>
      </tp>
      <tp>
        <v>21850</v>
        <stp/>
        <stp>P</stp>
        <stp>0</stp>
        <stp>STK</stp>
        <stp>N001680</stp>
        <stp>저가</stp>
        <stp/>
        <stp/>
        <tr r="Q253" s="3"/>
        <tr r="Q371" s="1"/>
      </tp>
      <tp>
        <v>115000</v>
        <stp/>
        <stp>P</stp>
        <stp>0</stp>
        <stp>STK</stp>
        <stp>N000880</stp>
        <stp>저가</stp>
        <stp/>
        <stp/>
        <tr r="Q76" s="1"/>
        <tr r="Q74" s="3"/>
      </tp>
      <tp>
        <v>18020</v>
        <stp/>
        <stp>P</stp>
        <stp>0</stp>
        <stp>STK</stp>
        <stp>N000080</stp>
        <stp>저가</stp>
        <stp/>
        <stp/>
        <tr r="Q274" s="1"/>
        <tr r="Q208" s="3"/>
      </tp>
      <tp>
        <v>19120</v>
        <stp/>
        <stp>P</stp>
        <stp>0</stp>
        <stp>STK</stp>
        <stp>N100090</stp>
        <stp>저가</stp>
        <stp/>
        <stp/>
        <tr r="Q212" s="3"/>
        <tr r="Q282" s="1"/>
      </tp>
      <tp>
        <v>12430</v>
        <stp/>
        <stp>P</stp>
        <stp>0</stp>
        <stp>STK</stp>
        <stp>N100790</stp>
        <stp>저가</stp>
        <stp/>
        <stp/>
        <tr r="Q390" s="1"/>
      </tp>
      <tp>
        <v>152000</v>
        <stp/>
        <stp>P</stp>
        <stp>0</stp>
        <stp>STK</stp>
        <stp>N006280</stp>
        <stp>저가</stp>
        <stp/>
        <stp/>
        <tr r="Q184" s="3"/>
        <tr r="Q229" s="1"/>
      </tp>
      <tp>
        <v>76000</v>
        <stp/>
        <stp>P</stp>
        <stp>0</stp>
        <stp>STK</stp>
        <stp>N005180</stp>
        <stp>저가</stp>
        <stp/>
        <stp/>
        <tr r="Q378" s="1"/>
        <tr r="Q257" s="3"/>
      </tp>
      <tp>
        <v>522000</v>
        <stp/>
        <stp>P</stp>
        <stp>0</stp>
        <stp>STK</stp>
        <stp>N005380</stp>
        <stp>저가</stp>
        <stp/>
        <stp/>
        <tr r="Q8" s="1"/>
        <tr r="Q8" s="3"/>
      </tp>
      <tp>
        <v>9460</v>
        <stp/>
        <stp>P</stp>
        <stp>0</stp>
        <stp>STK</stp>
        <stp>N004980</stp>
        <stp>저가</stp>
        <stp/>
        <stp/>
        <tr r="Q689" s="1"/>
        <tr r="Q380" s="3"/>
      </tp>
      <tp>
        <v>66200</v>
        <stp/>
        <stp>P</stp>
        <stp>0</stp>
        <stp>STK</stp>
        <stp>N101490</stp>
        <stp>시가</stp>
        <stp/>
        <stp/>
        <tr r="O254" s="1"/>
      </tp>
      <tp>
        <v>22000</v>
        <stp/>
        <stp>P</stp>
        <stp>0</stp>
        <stp>STK</stp>
        <stp>N001680</stp>
        <stp>시가</stp>
        <stp/>
        <stp/>
        <tr r="O253" s="3"/>
        <tr r="O371" s="1"/>
      </tp>
      <tp>
        <v>13000</v>
        <stp/>
        <stp>P</stp>
        <stp>0</stp>
        <stp>STK</stp>
        <stp>N100790</stp>
        <stp>시가</stp>
        <stp/>
        <stp/>
        <tr r="O390" s="1"/>
      </tp>
      <tp>
        <v>18090</v>
        <stp/>
        <stp>P</stp>
        <stp>0</stp>
        <stp>STK</stp>
        <stp>N000080</stp>
        <stp>시가</stp>
        <stp/>
        <stp/>
        <tr r="O208" s="3"/>
        <tr r="O274" s="1"/>
      </tp>
      <tp>
        <v>19300</v>
        <stp/>
        <stp>P</stp>
        <stp>0</stp>
        <stp>STK</stp>
        <stp>N100090</stp>
        <stp>시가</stp>
        <stp/>
        <stp/>
        <tr r="O282" s="1"/>
        <tr r="O212" s="3"/>
      </tp>
      <tp>
        <v>115900</v>
        <stp/>
        <stp>P</stp>
        <stp>0</stp>
        <stp>STK</stp>
        <stp>N000880</stp>
        <stp>시가</stp>
        <stp/>
        <stp/>
        <tr r="O74" s="3"/>
        <tr r="O76" s="1"/>
      </tp>
      <tp>
        <v>61200</v>
        <stp/>
        <stp>P</stp>
        <stp>0</stp>
        <stp>STK</stp>
        <stp>N103590</stp>
        <stp>시가</stp>
        <stp/>
        <stp/>
        <tr r="O134" s="3"/>
        <tr r="O154" s="1"/>
      </tp>
      <tp>
        <v>11200</v>
        <stp/>
        <stp>P</stp>
        <stp>0</stp>
        <stp>STK</stp>
        <stp>N003380</stp>
        <stp>시가</stp>
        <stp/>
        <stp/>
        <tr r="O276" s="1"/>
      </tp>
      <tp>
        <v>10110</v>
        <stp/>
        <stp>P</stp>
        <stp>0</stp>
        <stp>STK</stp>
        <stp>N009680</stp>
        <stp>저가</stp>
        <stp/>
        <stp/>
        <tr r="Q632" s="1"/>
        <tr r="Q359" s="3"/>
      </tp>
      <tp>
        <v>446000</v>
        <stp/>
        <stp>P</stp>
        <stp>0</stp>
        <stp>STK</stp>
        <stp>N002380</stp>
        <stp>시가</stp>
        <stp/>
        <stp/>
        <tr r="O115" s="3"/>
        <tr r="O127" s="1"/>
      </tp>
      <tp>
        <v>244500</v>
        <stp/>
        <stp>P</stp>
        <stp>0</stp>
        <stp>STK</stp>
        <stp>N108490</stp>
        <stp>저가</stp>
        <stp/>
        <stp/>
        <tr r="Q132" s="1"/>
      </tp>
      <tp>
        <v>76600</v>
        <stp/>
        <stp>P</stp>
        <stp>0</stp>
        <stp>STK</stp>
        <stp>N005180</stp>
        <stp>시가</stp>
        <stp/>
        <stp/>
        <tr r="O257" s="3"/>
        <tr r="O378" s="1"/>
      </tp>
      <tp>
        <v>538000</v>
        <stp/>
        <stp>P</stp>
        <stp>0</stp>
        <stp>STK</stp>
        <stp>N005380</stp>
        <stp>시가</stp>
        <stp/>
        <stp/>
        <tr r="O8" s="3"/>
        <tr r="O8" s="1"/>
      </tp>
      <tp>
        <v>9490</v>
        <stp/>
        <stp>P</stp>
        <stp>0</stp>
        <stp>STK</stp>
        <stp>N004980</stp>
        <stp>시가</stp>
        <stp/>
        <stp/>
        <tr r="O689" s="1"/>
        <tr r="O380" s="3"/>
      </tp>
      <tp>
        <v>152700</v>
        <stp/>
        <stp>P</stp>
        <stp>0</stp>
        <stp>STK</stp>
        <stp>N006280</stp>
        <stp>시가</stp>
        <stp/>
        <stp/>
        <tr r="O184" s="3"/>
        <tr r="O229" s="1"/>
      </tp>
      <tp>
        <v>153800</v>
        <stp/>
        <stp>P</stp>
        <stp>0</stp>
        <stp>STK</stp>
        <stp>N006280</stp>
        <stp>고가</stp>
        <stp/>
        <stp/>
        <tr r="P184" s="3"/>
        <tr r="P229" s="1"/>
      </tp>
      <tp>
        <v>76700</v>
        <stp/>
        <stp>P</stp>
        <stp>0</stp>
        <stp>STK</stp>
        <stp>N005180</stp>
        <stp>고가</stp>
        <stp/>
        <stp/>
        <tr r="P257" s="3"/>
        <tr r="P378" s="1"/>
      </tp>
      <tp>
        <v>551000</v>
        <stp/>
        <stp>P</stp>
        <stp>0</stp>
        <stp>STK</stp>
        <stp>N005380</stp>
        <stp>고가</stp>
        <stp/>
        <stp/>
        <tr r="P8" s="1"/>
        <tr r="P8" s="3"/>
      </tp>
      <tp>
        <v>9490</v>
        <stp/>
        <stp>P</stp>
        <stp>0</stp>
        <stp>STK</stp>
        <stp>N004980</stp>
        <stp>고가</stp>
        <stp/>
        <stp/>
        <tr r="P689" s="1"/>
        <tr r="P380" s="3"/>
      </tp>
      <tp>
        <v>11490</v>
        <stp/>
        <stp>P</stp>
        <stp>0</stp>
        <stp>STK</stp>
        <stp>N003380</stp>
        <stp>고가</stp>
        <stp/>
        <stp/>
        <tr r="P276" s="1"/>
      </tp>
      <tp>
        <v>61600</v>
        <stp/>
        <stp>P</stp>
        <stp>0</stp>
        <stp>STK</stp>
        <stp>N103590</stp>
        <stp>고가</stp>
        <stp/>
        <stp/>
        <tr r="P154" s="1"/>
        <tr r="P134" s="3"/>
      </tp>
      <tp>
        <v>459500</v>
        <stp/>
        <stp>P</stp>
        <stp>0</stp>
        <stp>STK</stp>
        <stp>N002380</stp>
        <stp>고가</stp>
        <stp/>
        <stp/>
        <tr r="P127" s="1"/>
        <tr r="P115" s="3"/>
      </tp>
      <tp>
        <v>66200</v>
        <stp/>
        <stp>P</stp>
        <stp>0</stp>
        <stp>STK</stp>
        <stp>N101490</stp>
        <stp>고가</stp>
        <stp/>
        <stp/>
        <tr r="P254" s="1"/>
      </tp>
      <tp>
        <v>22050</v>
        <stp/>
        <stp>P</stp>
        <stp>0</stp>
        <stp>STK</stp>
        <stp>N001680</stp>
        <stp>고가</stp>
        <stp/>
        <stp/>
        <tr r="P371" s="1"/>
        <tr r="P253" s="3"/>
      </tp>
      <tp>
        <v>118700</v>
        <stp/>
        <stp>P</stp>
        <stp>0</stp>
        <stp>STK</stp>
        <stp>N000880</stp>
        <stp>고가</stp>
        <stp/>
        <stp/>
        <tr r="P74" s="3"/>
        <tr r="P76" s="1"/>
      </tp>
      <tp>
        <v>18100</v>
        <stp/>
        <stp>P</stp>
        <stp>0</stp>
        <stp>STK</stp>
        <stp>N000080</stp>
        <stp>고가</stp>
        <stp/>
        <stp/>
        <tr r="P208" s="3"/>
        <tr r="P274" s="1"/>
      </tp>
      <tp>
        <v>19500</v>
        <stp/>
        <stp>P</stp>
        <stp>0</stp>
        <stp>STK</stp>
        <stp>N100090</stp>
        <stp>고가</stp>
        <stp/>
        <stp/>
        <tr r="P212" s="3"/>
        <tr r="P282" s="1"/>
      </tp>
      <tp>
        <v>13000</v>
        <stp/>
        <stp>P</stp>
        <stp>0</stp>
        <stp>STK</stp>
        <stp>N100790</stp>
        <stp>고가</stp>
        <stp/>
        <stp/>
        <tr r="P390" s="1"/>
      </tp>
      <tp>
        <v>10230</v>
        <stp/>
        <stp>P</stp>
        <stp>0</stp>
        <stp>STK</stp>
        <stp>N009680</stp>
        <stp>고가</stp>
        <stp/>
        <stp/>
        <tr r="P359" s="3"/>
        <tr r="P632" s="1"/>
      </tp>
      <tp>
        <v>249500</v>
        <stp/>
        <stp>P</stp>
        <stp>0</stp>
        <stp>STK</stp>
        <stp>N108490</stp>
        <stp>고가</stp>
        <stp/>
        <stp/>
        <tr r="P132" s="1"/>
      </tp>
      <tp>
        <v>3385</v>
        <stp/>
        <stp>P</stp>
        <stp>0</stp>
        <stp>STK</stp>
        <stp>N018880</stp>
        <stp>시가</stp>
        <stp/>
        <stp/>
        <tr r="O122" s="3"/>
        <tr r="O142" s="1"/>
      </tp>
      <tp>
        <v>145300</v>
        <stp/>
        <stp>P</stp>
        <stp>0</stp>
        <stp>STK</stp>
        <stp>N011780</stp>
        <stp>저가</stp>
        <stp/>
        <stp/>
        <tr r="Q117" s="3"/>
        <tr r="Q133" s="1"/>
      </tp>
      <tp>
        <v>17420</v>
        <stp/>
        <stp>P</stp>
        <stp>0</stp>
        <stp>STK</stp>
        <stp>N110990</stp>
        <stp>저가</stp>
        <stp/>
        <stp/>
        <tr r="Q583" s="1"/>
      </tp>
      <tp>
        <v>22550</v>
        <stp/>
        <stp>P</stp>
        <stp>0</stp>
        <stp>STK</stp>
        <stp>N010780</stp>
        <stp>저가</stp>
        <stp/>
        <stp/>
        <tr r="Q266" s="3"/>
        <tr r="Q395" s="1"/>
      </tp>
      <tp>
        <v>17420</v>
        <stp/>
        <stp>P</stp>
        <stp>0</stp>
        <stp>STK</stp>
        <stp>N114190</stp>
        <stp>저가</stp>
        <stp/>
        <stp/>
        <tr r="Q563" s="1"/>
      </tp>
      <tp>
        <v>13080</v>
        <stp/>
        <stp>P</stp>
        <stp>0</stp>
        <stp>STK</stp>
        <stp>N114090</stp>
        <stp>저가</stp>
        <stp/>
        <stp/>
        <tr r="Q244" s="3"/>
        <tr r="Q351" s="1"/>
      </tp>
      <tp>
        <v>278000</v>
        <stp/>
        <stp>P</stp>
        <stp>0</stp>
        <stp>STK</stp>
        <stp>N014680</stp>
        <stp>저가</stp>
        <stp/>
        <stp/>
        <tr r="Q129" s="3"/>
        <tr r="Q152" s="1"/>
      </tp>
      <tp>
        <v>145300</v>
        <stp/>
        <stp>P</stp>
        <stp>0</stp>
        <stp>STK</stp>
        <stp>N011780</stp>
        <stp>시가</stp>
        <stp/>
        <stp/>
        <tr r="O133" s="1"/>
        <tr r="O117" s="3"/>
      </tp>
      <tp>
        <v>22550</v>
        <stp/>
        <stp>P</stp>
        <stp>0</stp>
        <stp>STK</stp>
        <stp>N010780</stp>
        <stp>시가</stp>
        <stp/>
        <stp/>
        <tr r="O266" s="3"/>
        <tr r="O395" s="1"/>
      </tp>
      <tp>
        <v>17970</v>
        <stp/>
        <stp>P</stp>
        <stp>0</stp>
        <stp>STK</stp>
        <stp>N110990</stp>
        <stp>시가</stp>
        <stp/>
        <stp/>
        <tr r="O583" s="1"/>
      </tp>
      <tp>
        <v>3315</v>
        <stp/>
        <stp>P</stp>
        <stp>0</stp>
        <stp>STK</stp>
        <stp>N018880</stp>
        <stp>저가</stp>
        <stp/>
        <stp/>
        <tr r="Q122" s="3"/>
        <tr r="Q142" s="1"/>
      </tp>
      <tp>
        <v>278000</v>
        <stp/>
        <stp>P</stp>
        <stp>0</stp>
        <stp>STK</stp>
        <stp>N014680</stp>
        <stp>시가</stp>
        <stp/>
        <stp/>
        <tr r="O152" s="1"/>
        <tr r="O129" s="3"/>
      </tp>
      <tp>
        <v>18220</v>
        <stp/>
        <stp>P</stp>
        <stp>0</stp>
        <stp>STK</stp>
        <stp>N114190</stp>
        <stp>시가</stp>
        <stp/>
        <stp/>
        <tr r="O563" s="1"/>
      </tp>
      <tp>
        <v>13110</v>
        <stp/>
        <stp>P</stp>
        <stp>0</stp>
        <stp>STK</stp>
        <stp>N114090</stp>
        <stp>시가</stp>
        <stp/>
        <stp/>
        <tr r="O351" s="1"/>
        <tr r="O244" s="3"/>
      </tp>
      <tp>
        <v>19370</v>
        <stp/>
        <stp>P</stp>
        <stp>0</stp>
        <stp>STK</stp>
        <stp>N114190</stp>
        <stp>고가</stp>
        <stp/>
        <stp/>
        <tr r="P563" s="1"/>
      </tp>
      <tp>
        <v>13110</v>
        <stp/>
        <stp>P</stp>
        <stp>0</stp>
        <stp>STK</stp>
        <stp>N114090</stp>
        <stp>고가</stp>
        <stp/>
        <stp/>
        <tr r="P351" s="1"/>
        <tr r="P244" s="3"/>
      </tp>
      <tp>
        <v>289000</v>
        <stp/>
        <stp>P</stp>
        <stp>0</stp>
        <stp>STK</stp>
        <stp>N014680</stp>
        <stp>고가</stp>
        <stp/>
        <stp/>
        <tr r="P152" s="1"/>
        <tr r="P129" s="3"/>
      </tp>
      <tp>
        <v>151400</v>
        <stp/>
        <stp>P</stp>
        <stp>0</stp>
        <stp>STK</stp>
        <stp>N011780</stp>
        <stp>고가</stp>
        <stp/>
        <stp/>
        <tr r="P117" s="3"/>
        <tr r="P133" s="1"/>
      </tp>
      <tp>
        <v>17970</v>
        <stp/>
        <stp>P</stp>
        <stp>0</stp>
        <stp>STK</stp>
        <stp>N110990</stp>
        <stp>고가</stp>
        <stp/>
        <stp/>
        <tr r="P583" s="1"/>
      </tp>
      <tp>
        <v>22950</v>
        <stp/>
        <stp>P</stp>
        <stp>0</stp>
        <stp>STK</stp>
        <stp>N010780</stp>
        <stp>고가</stp>
        <stp/>
        <stp/>
        <tr r="P395" s="1"/>
        <tr r="P266" s="3"/>
      </tp>
      <tp>
        <v>3510</v>
        <stp/>
        <stp>P</stp>
        <stp>0</stp>
        <stp>STK</stp>
        <stp>N018880</stp>
        <stp>고가</stp>
        <stp/>
        <stp/>
        <tr r="P122" s="3"/>
        <tr r="P142" s="1"/>
      </tp>
      <tp>
        <v>54000</v>
        <stp/>
        <stp>P</stp>
        <stp>0</stp>
        <stp>STK</stp>
        <stp>N029780</stp>
        <stp>시가</stp>
        <stp/>
        <stp/>
        <tr r="O98" s="1"/>
        <tr r="O92" s="3"/>
      </tp>
      <tp>
        <v>7790</v>
        <stp/>
        <stp>P</stp>
        <stp>0</stp>
        <stp>STK</stp>
        <stp>N025980</stp>
        <stp>저가</stp>
        <stp/>
        <stp/>
        <tr r="Q373" s="1"/>
      </tp>
      <tp>
        <v>19160</v>
        <stp/>
        <stp>P</stp>
        <stp>0</stp>
        <stp>STK</stp>
        <stp>N125490</stp>
        <stp>저가</stp>
        <stp/>
        <stp/>
        <tr r="Q374" s="1"/>
      </tp>
      <tp>
        <v>53900</v>
        <stp/>
        <stp>P</stp>
        <stp>0</stp>
        <stp>STK</stp>
        <stp>N029780</stp>
        <stp>저가</stp>
        <stp/>
        <stp/>
        <tr r="Q92" s="3"/>
        <tr r="Q98" s="1"/>
      </tp>
      <tp>
        <v>19330</v>
        <stp/>
        <stp>P</stp>
        <stp>0</stp>
        <stp>STK</stp>
        <stp>N125490</stp>
        <stp>시가</stp>
        <stp/>
        <stp/>
        <tr r="O374" s="1"/>
      </tp>
      <tp>
        <v>7800</v>
        <stp/>
        <stp>P</stp>
        <stp>0</stp>
        <stp>STK</stp>
        <stp>N025980</stp>
        <stp>시가</stp>
        <stp/>
        <stp/>
        <tr r="O373" s="1"/>
      </tp>
      <tp>
        <v>7880</v>
        <stp/>
        <stp>P</stp>
        <stp>0</stp>
        <stp>STK</stp>
        <stp>N025980</stp>
        <stp>고가</stp>
        <stp/>
        <stp/>
        <tr r="P373" s="1"/>
      </tp>
      <tp>
        <v>19800</v>
        <stp/>
        <stp>P</stp>
        <stp>0</stp>
        <stp>STK</stp>
        <stp>N125490</stp>
        <stp>고가</stp>
        <stp/>
        <stp/>
        <tr r="P374" s="1"/>
      </tp>
      <tp>
        <v>54100</v>
        <stp/>
        <stp>P</stp>
        <stp>0</stp>
        <stp>STK</stp>
        <stp>N029780</stp>
        <stp>고가</stp>
        <stp/>
        <stp/>
        <tr r="P92" s="3"/>
        <tr r="P98" s="1"/>
      </tp>
      <tp>
        <v>143300</v>
        <stp/>
        <stp>P</stp>
        <stp>0</stp>
        <stp>STK</stp>
        <stp>N033780</stp>
        <stp>저가</stp>
        <stp/>
        <stp/>
        <tr r="Q48" s="3"/>
        <tr r="Q49" s="1"/>
      </tp>
      <tp>
        <v>8740</v>
        <stp/>
        <stp>P</stp>
        <stp>0</stp>
        <stp>STK</stp>
        <stp>N138490</stp>
        <stp>시가</stp>
        <stp/>
        <stp/>
        <tr r="O345" s="3"/>
        <tr r="O608" s="1"/>
      </tp>
      <tp>
        <v>60700</v>
        <stp/>
        <stp>P</stp>
        <stp>0</stp>
        <stp>STK</stp>
        <stp>N031980</stp>
        <stp>저가</stp>
        <stp/>
        <stp/>
        <tr r="Q258" s="1"/>
      </tp>
      <tp>
        <v>73600</v>
        <stp/>
        <stp>P</stp>
        <stp>0</stp>
        <stp>STK</stp>
        <stp>N131290</stp>
        <stp>저가</stp>
        <stp/>
        <stp/>
        <tr r="Q343" s="1"/>
      </tp>
      <tp>
        <v>75500</v>
        <stp/>
        <stp>P</stp>
        <stp>0</stp>
        <stp>STK</stp>
        <stp>N131290</stp>
        <stp>시가</stp>
        <stp/>
        <stp/>
        <tr r="O343" s="1"/>
      </tp>
      <tp>
        <v>62700</v>
        <stp/>
        <stp>P</stp>
        <stp>0</stp>
        <stp>STK</stp>
        <stp>N031980</stp>
        <stp>시가</stp>
        <stp/>
        <stp/>
        <tr r="O258" s="1"/>
      </tp>
      <tp>
        <v>144000</v>
        <stp/>
        <stp>P</stp>
        <stp>0</stp>
        <stp>STK</stp>
        <stp>N033780</stp>
        <stp>시가</stp>
        <stp/>
        <stp/>
        <tr r="O49" s="1"/>
        <tr r="O48" s="3"/>
      </tp>
      <tp>
        <v>8640</v>
        <stp/>
        <stp>P</stp>
        <stp>0</stp>
        <stp>STK</stp>
        <stp>N138490</stp>
        <stp>저가</stp>
        <stp/>
        <stp/>
        <tr r="Q608" s="1"/>
        <tr r="Q345" s="3"/>
      </tp>
      <tp>
        <v>144700</v>
        <stp/>
        <stp>P</stp>
        <stp>0</stp>
        <stp>STK</stp>
        <stp>N033780</stp>
        <stp>고가</stp>
        <stp/>
        <stp/>
        <tr r="P48" s="3"/>
        <tr r="P49" s="1"/>
      </tp>
      <tp>
        <v>62800</v>
        <stp/>
        <stp>P</stp>
        <stp>0</stp>
        <stp>STK</stp>
        <stp>N031980</stp>
        <stp>고가</stp>
        <stp/>
        <stp/>
        <tr r="P258" s="1"/>
      </tp>
      <tp>
        <v>76600</v>
        <stp/>
        <stp>P</stp>
        <stp>0</stp>
        <stp>STK</stp>
        <stp>N131290</stp>
        <stp>고가</stp>
        <stp/>
        <stp/>
        <tr r="P343" s="1"/>
      </tp>
      <tp>
        <v>8750</v>
        <stp/>
        <stp>P</stp>
        <stp>0</stp>
        <stp>STK</stp>
        <stp>N138490</stp>
        <stp>고가</stp>
        <stp/>
        <stp/>
        <tr r="P608" s="1"/>
        <tr r="P345" s="3"/>
      </tp>
      <tp>
        <v>46200</v>
        <stp/>
        <stp>P</stp>
        <stp>0</stp>
        <stp>STK</stp>
        <stp>N145990</stp>
        <stp>저가</stp>
        <stp/>
        <stp/>
        <tr r="Q305" s="3"/>
        <tr r="Q492" s="1"/>
      </tp>
      <tp>
        <v>46200</v>
        <stp/>
        <stp>P</stp>
        <stp>0</stp>
        <stp>STK</stp>
        <stp>N145990</stp>
        <stp>시가</stp>
        <stp/>
        <stp/>
        <tr r="O305" s="3"/>
        <tr r="O492" s="1"/>
      </tp>
      <tp>
        <v>46800</v>
        <stp/>
        <stp>P</stp>
        <stp>0</stp>
        <stp>STK</stp>
        <stp>N145990</stp>
        <stp>고가</stp>
        <stp/>
        <stp/>
        <tr r="P305" s="3"/>
        <tr r="P492" s="1"/>
      </tp>
      <tp>
        <v>12010</v>
        <stp/>
        <stp>P</stp>
        <stp>0</stp>
        <stp>STK</stp>
        <stp>N069080</stp>
        <stp>시가</stp>
        <stp/>
        <stp/>
        <tr r="O523" s="1"/>
      </tp>
      <tp>
        <v>66100</v>
        <stp/>
        <stp>P</stp>
        <stp>0</stp>
        <stp>STK</stp>
        <stp>N161890</stp>
        <stp>저가</stp>
        <stp/>
        <stp/>
        <tr r="Q193" s="3"/>
        <tr r="Q245" s="1"/>
      </tp>
      <tp>
        <v>67300</v>
        <stp/>
        <stp>P</stp>
        <stp>0</stp>
        <stp>STK</stp>
        <stp>N161390</stp>
        <stp>저가</stp>
        <stp/>
        <stp/>
        <tr r="Q77" s="3"/>
        <tr r="Q81" s="1"/>
      </tp>
      <tp>
        <v>46000</v>
        <stp/>
        <stp>P</stp>
        <stp>0</stp>
        <stp>STK</stp>
        <stp>N060980</stp>
        <stp>저가</stp>
        <stp/>
        <stp/>
        <tr r="Q312" s="3"/>
        <tr r="Q505" s="1"/>
      </tp>
      <tp>
        <v>69900</v>
        <stp/>
        <stp>P</stp>
        <stp>0</stp>
        <stp>STK</stp>
        <stp>N160190</stp>
        <stp>저가</stp>
        <stp/>
        <stp/>
        <tr r="Q190" s="1"/>
      </tp>
      <tp>
        <v>18600</v>
        <stp/>
        <stp>P</stp>
        <stp>0</stp>
        <stp>STK</stp>
        <stp>N060280</stp>
        <stp>저가</stp>
        <stp/>
        <stp/>
        <tr r="Q346" s="1"/>
      </tp>
      <tp>
        <v>15760</v>
        <stp/>
        <stp>P</stp>
        <stp>0</stp>
        <stp>STK</stp>
        <stp>N067080</stp>
        <stp>저가</stp>
        <stp/>
        <stp/>
        <tr r="Q620" s="1"/>
      </tp>
      <tp>
        <v>52900</v>
        <stp/>
        <stp>P</stp>
        <stp>0</stp>
        <stp>STK</stp>
        <stp>N166090</stp>
        <stp>저가</stp>
        <stp/>
        <stp/>
        <tr r="Q300" s="1"/>
      </tp>
      <tp>
        <v>30100</v>
        <stp/>
        <stp>P</stp>
        <stp>0</stp>
        <stp>STK</stp>
        <stp>N065680</stp>
        <stp>저가</stp>
        <stp/>
        <stp/>
        <tr r="Q635" s="1"/>
      </tp>
      <tp>
        <v>67500</v>
        <stp/>
        <stp>P</stp>
        <stp>0</stp>
        <stp>STK</stp>
        <stp>N161390</stp>
        <stp>시가</stp>
        <stp/>
        <stp/>
        <tr r="O81" s="1"/>
        <tr r="O77" s="3"/>
      </tp>
      <tp>
        <v>67100</v>
        <stp/>
        <stp>P</stp>
        <stp>0</stp>
        <stp>STK</stp>
        <stp>N161890</stp>
        <stp>시가</stp>
        <stp/>
        <stp/>
        <tr r="O245" s="1"/>
        <tr r="O193" s="3"/>
      </tp>
      <tp>
        <v>70000</v>
        <stp/>
        <stp>P</stp>
        <stp>0</stp>
        <stp>STK</stp>
        <stp>N160190</stp>
        <stp>시가</stp>
        <stp/>
        <stp/>
        <tr r="O190" s="1"/>
      </tp>
      <tp>
        <v>18630</v>
        <stp/>
        <stp>P</stp>
        <stp>0</stp>
        <stp>STK</stp>
        <stp>N060280</stp>
        <stp>시가</stp>
        <stp/>
        <stp/>
        <tr r="O346" s="1"/>
      </tp>
      <tp>
        <v>46450</v>
        <stp/>
        <stp>P</stp>
        <stp>0</stp>
        <stp>STK</stp>
        <stp>N060980</stp>
        <stp>시가</stp>
        <stp/>
        <stp/>
        <tr r="O505" s="1"/>
        <tr r="O312" s="3"/>
      </tp>
      <tp>
        <v>11960</v>
        <stp/>
        <stp>P</stp>
        <stp>0</stp>
        <stp>STK</stp>
        <stp>N069080</stp>
        <stp>저가</stp>
        <stp/>
        <stp/>
        <tr r="Q523" s="1"/>
      </tp>
      <tp>
        <v>30200</v>
        <stp/>
        <stp>P</stp>
        <stp>0</stp>
        <stp>STK</stp>
        <stp>N065680</stp>
        <stp>시가</stp>
        <stp/>
        <stp/>
        <tr r="O635" s="1"/>
      </tp>
      <tp>
        <v>15900</v>
        <stp/>
        <stp>P</stp>
        <stp>0</stp>
        <stp>STK</stp>
        <stp>N067080</stp>
        <stp>시가</stp>
        <stp/>
        <stp/>
        <tr r="O620" s="1"/>
      </tp>
      <tp>
        <v>54400</v>
        <stp/>
        <stp>P</stp>
        <stp>0</stp>
        <stp>STK</stp>
        <stp>N166090</stp>
        <stp>시가</stp>
        <stp/>
        <stp/>
        <tr r="O300" s="1"/>
      </tp>
      <tp>
        <v>15900</v>
        <stp/>
        <stp>P</stp>
        <stp>0</stp>
        <stp>STK</stp>
        <stp>N067080</stp>
        <stp>고가</stp>
        <stp/>
        <stp/>
        <tr r="P620" s="1"/>
      </tp>
      <tp>
        <v>54400</v>
        <stp/>
        <stp>P</stp>
        <stp>0</stp>
        <stp>STK</stp>
        <stp>N166090</stp>
        <stp>고가</stp>
        <stp/>
        <stp/>
        <tr r="P300" s="1"/>
      </tp>
      <tp>
        <v>30750</v>
        <stp/>
        <stp>P</stp>
        <stp>0</stp>
        <stp>STK</stp>
        <stp>N065680</stp>
        <stp>고가</stp>
        <stp/>
        <stp/>
        <tr r="P635" s="1"/>
      </tp>
      <tp>
        <v>67900</v>
        <stp/>
        <stp>P</stp>
        <stp>0</stp>
        <stp>STK</stp>
        <stp>N161890</stp>
        <stp>고가</stp>
        <stp/>
        <stp/>
        <tr r="P245" s="1"/>
        <tr r="P193" s="3"/>
      </tp>
      <tp>
        <v>68500</v>
        <stp/>
        <stp>P</stp>
        <stp>0</stp>
        <stp>STK</stp>
        <stp>N161390</stp>
        <stp>고가</stp>
        <stp/>
        <stp/>
        <tr r="P77" s="3"/>
        <tr r="P81" s="1"/>
      </tp>
      <tp>
        <v>47350</v>
        <stp/>
        <stp>P</stp>
        <stp>0</stp>
        <stp>STK</stp>
        <stp>N060980</stp>
        <stp>고가</stp>
        <stp/>
        <stp/>
        <tr r="P312" s="3"/>
        <tr r="P505" s="1"/>
      </tp>
      <tp>
        <v>73900</v>
        <stp/>
        <stp>P</stp>
        <stp>0</stp>
        <stp>STK</stp>
        <stp>N160190</stp>
        <stp>고가</stp>
        <stp/>
        <stp/>
        <tr r="P190" s="1"/>
      </tp>
      <tp>
        <v>20200</v>
        <stp/>
        <stp>P</stp>
        <stp>0</stp>
        <stp>STK</stp>
        <stp>N060280</stp>
        <stp>고가</stp>
        <stp/>
        <stp/>
        <tr r="P346" s="1"/>
      </tp>
      <tp>
        <v>12060</v>
        <stp/>
        <stp>P</stp>
        <stp>0</stp>
        <stp>STK</stp>
        <stp>N069080</stp>
        <stp>고가</stp>
        <stp/>
        <stp/>
        <tr r="P523" s="1"/>
      </tp>
      <tp>
        <v>58400</v>
        <stp/>
        <stp>P</stp>
        <stp>0</stp>
        <stp>STK</stp>
        <stp>N171090</stp>
        <stp>저가</stp>
        <stp/>
        <stp/>
        <tr r="Q456" s="1"/>
      </tp>
      <tp>
        <v>18880</v>
        <stp/>
        <stp>P</stp>
        <stp>0</stp>
        <stp>STK</stp>
        <stp>N075580</stp>
        <stp>저가</stp>
        <stp/>
        <stp/>
        <tr r="Q296" s="1"/>
        <tr r="Q222" s="3"/>
      </tp>
      <tp>
        <v>59900</v>
        <stp/>
        <stp>P</stp>
        <stp>0</stp>
        <stp>STK</stp>
        <stp>N171090</stp>
        <stp>시가</stp>
        <stp/>
        <stp/>
        <tr r="O456" s="1"/>
      </tp>
      <tp>
        <v>18950</v>
        <stp/>
        <stp>P</stp>
        <stp>0</stp>
        <stp>STK</stp>
        <stp>N075580</stp>
        <stp>시가</stp>
        <stp/>
        <stp/>
        <tr r="O296" s="1"/>
        <tr r="O222" s="3"/>
      </tp>
      <tp>
        <v>19350</v>
        <stp/>
        <stp>P</stp>
        <stp>0</stp>
        <stp>STK</stp>
        <stp>N075580</stp>
        <stp>고가</stp>
        <stp/>
        <stp/>
        <tr r="P222" s="3"/>
        <tr r="P296" s="1"/>
      </tp>
      <tp>
        <v>61000</v>
        <stp/>
        <stp>P</stp>
        <stp>0</stp>
        <stp>STK</stp>
        <stp>N171090</stp>
        <stp>고가</stp>
        <stp/>
        <stp/>
        <tr r="P456" s="1"/>
      </tp>
      <tp>
        <v>121934</v>
        <stp/>
        <stp>P</stp>
        <stp>0</stp>
        <stp>STK</stp>
        <stp>N190510</stp>
        <stp>누적거래량</stp>
        <stp/>
        <stp/>
        <tr r="L579" s="1"/>
      </tp>
      <tp>
        <v>1382948</v>
        <stp/>
        <stp>P</stp>
        <stp>0</stp>
        <stp>STK</stp>
        <stp>N095500</stp>
        <stp>누적거래량</stp>
        <stp/>
        <stp/>
        <tr r="L596" s="1"/>
      </tp>
      <tp>
        <v>9859</v>
        <stp/>
        <stp>P</stp>
        <stp>0</stp>
        <stp>STK</stp>
        <stp>N265520</stp>
        <stp>누적거래량</stp>
        <stp/>
        <stp/>
        <tr r="L639" s="1"/>
      </tp>
      <tp>
        <v>40</v>
        <stp/>
        <stp>P</stp>
        <stp>0</stp>
        <stp>STK</stp>
        <stp>N051500</stp>
        <stp>누적거래량</stp>
        <stp/>
        <stp/>
        <tr r="L605" s="1"/>
      </tp>
      <tp>
        <v>1228</v>
        <stp/>
        <stp>P</stp>
        <stp>0</stp>
        <stp>STK</stp>
        <stp>N144510</stp>
        <stp>누적거래량</stp>
        <stp/>
        <stp/>
        <tr r="L575" s="1"/>
      </tp>
      <tp>
        <v>6767</v>
        <stp/>
        <stp>P</stp>
        <stp>0</stp>
        <stp>STK</stp>
        <stp>N033500</stp>
        <stp>누적거래량</stp>
        <stp/>
        <stp/>
        <tr r="L344" s="1"/>
      </tp>
      <tp>
        <v>18018</v>
        <stp/>
        <stp>P</stp>
        <stp>0</stp>
        <stp>STK</stp>
        <stp>N032500</stp>
        <stp>누적거래량</stp>
        <stp/>
        <stp/>
        <tr r="L413" s="1"/>
      </tp>
      <tp>
        <v>4562808</v>
        <stp/>
        <stp>P</stp>
        <stp>0</stp>
        <stp>STK</stp>
        <stp>N011500</stp>
        <stp>누적거래량</stp>
        <stp/>
        <stp/>
        <tr r="L631" s="1"/>
        <tr r="L333" s="3"/>
      </tp>
      <tp>
        <v>28308</v>
        <stp/>
        <stp>P</stp>
        <stp>0</stp>
        <stp>STK</stp>
        <stp>N001500</stp>
        <stp>누적거래량</stp>
        <stp/>
        <stp/>
        <tr r="L459" s="1"/>
        <tr r="L289" s="3"/>
      </tp>
      <tp>
        <v>3049</v>
        <stp/>
        <stp>P</stp>
        <stp>0</stp>
        <stp>STK</stp>
        <stp>N000500</stp>
        <stp>누적거래량</stp>
        <stp/>
        <stp/>
        <tr r="L196" s="3"/>
        <tr r="L249" s="1"/>
      </tp>
      <tp>
        <v>708</v>
        <stp/>
        <stp>P</stp>
        <stp>0</stp>
        <stp>STK</stp>
        <stp>N005500</stp>
        <stp>누적거래량</stp>
        <stp/>
        <stp/>
        <tr r="L371" s="3"/>
        <tr r="L666" s="1"/>
      </tp>
      <tp>
        <v>7512</v>
        <stp/>
        <stp>P</stp>
        <stp>0</stp>
        <stp>STK</stp>
        <stp>N041510</stp>
        <stp>누적거래량</stp>
        <stp/>
        <stp/>
        <tr r="L177" s="1"/>
      </tp>
      <tp>
        <v>1845</v>
        <stp/>
        <stp>P</stp>
        <stp>0</stp>
        <stp>STK</stp>
        <stp>N012510</stp>
        <stp>누적거래량</stp>
        <stp/>
        <stp/>
        <tr r="L155" s="1"/>
        <tr r="L133" s="3"/>
      </tp>
      <tp>
        <v>99</v>
        <stp/>
        <stp>P</stp>
        <stp>0</stp>
        <stp>STK</stp>
        <stp>N403550</stp>
        <stp>누적거래량</stp>
        <stp/>
        <stp/>
        <tr r="L537" s="1"/>
        <tr r="L322" s="3"/>
      </tp>
      <tp>
        <v>4686</v>
        <stp/>
        <stp>P</stp>
        <stp>0</stp>
        <stp>STK</stp>
        <stp>N093520</stp>
        <stp>누적거래량</stp>
        <stp/>
        <stp/>
        <tr r="L627" s="1"/>
      </tp>
      <tp>
        <v>7844</v>
        <stp/>
        <stp>P</stp>
        <stp>0</stp>
        <stp>STK</stp>
        <stp>N097520</stp>
        <stp>누적거래량</stp>
        <stp/>
        <stp/>
        <tr r="L287" s="3"/>
        <tr r="L447" s="1"/>
      </tp>
      <tp>
        <v>1446372</v>
        <stp/>
        <stp>P</stp>
        <stp>0</stp>
        <stp>STK</stp>
        <stp>N086520</stp>
        <stp>누적거래량</stp>
        <stp/>
        <stp/>
        <tr r="L64" s="1"/>
      </tp>
      <tp>
        <v>282</v>
        <stp/>
        <stp>P</stp>
        <stp>0</stp>
        <stp>STK</stp>
        <stp>N475560</stp>
        <stp>누적거래량</stp>
        <stp/>
        <stp/>
        <tr r="L571" s="1"/>
        <tr r="L334" s="3"/>
      </tp>
      <tp>
        <v>14922</v>
        <stp/>
        <stp>P</stp>
        <stp>0</stp>
        <stp>STK</stp>
        <stp>N078520</stp>
        <stp>누적거래량</stp>
        <stp/>
        <stp/>
        <tr r="L368" s="3"/>
        <tr r="L670" s="1"/>
      </tp>
      <tp>
        <v>13712</v>
        <stp/>
        <stp>P</stp>
        <stp>0</stp>
        <stp>STK</stp>
        <stp>N042520</stp>
        <stp>누적거래량</stp>
        <stp/>
        <stp/>
        <tr r="L604" s="1"/>
      </tp>
      <tp>
        <v>28895</v>
        <stp/>
        <stp>P</stp>
        <stp>0</stp>
        <stp>STK</stp>
        <stp>N030520</stp>
        <stp>누적거래량</stp>
        <stp/>
        <stp/>
        <tr r="L454" s="1"/>
      </tp>
      <tp>
        <v>413089</v>
        <stp/>
        <stp>P</stp>
        <stp>0</stp>
        <stp>STK</stp>
        <stp>N009520</stp>
        <stp>누적거래량</stp>
        <stp/>
        <stp/>
        <tr r="L363" s="1"/>
      </tp>
      <tp>
        <v>9119</v>
        <stp/>
        <stp>P</stp>
        <stp>0</stp>
        <stp>STK</stp>
        <stp>N096530</stp>
        <stp>누적거래량</stp>
        <stp/>
        <stp/>
        <tr r="L275" s="1"/>
      </tp>
      <tp>
        <v>86324</v>
        <stp/>
        <stp>P</stp>
        <stp>0</stp>
        <stp>STK</stp>
        <stp>N375500</stp>
        <stp>누적거래량</stp>
        <stp/>
        <stp/>
        <tr r="L235" s="1"/>
        <tr r="L187" s="3"/>
      </tp>
      <tp>
        <v>276594</v>
        <stp/>
        <stp>P</stp>
        <stp>0</stp>
        <stp>STK</stp>
        <stp>N030530</stp>
        <stp>누적거래량</stp>
        <stp/>
        <stp/>
        <tr r="L146" s="1"/>
      </tp>
      <tp>
        <v>337</v>
        <stp/>
        <stp>P</stp>
        <stp>0</stp>
        <stp>STK</stp>
        <stp>N036530</stp>
        <stp>누적거래량</stp>
        <stp/>
        <stp/>
        <tr r="L234" s="3"/>
        <tr r="L325" s="1"/>
      </tp>
      <tp>
        <v>2105</v>
        <stp/>
        <stp>P</stp>
        <stp>0</stp>
        <stp>STK</stp>
        <stp>N023530</stp>
        <stp>누적거래량</stp>
        <stp/>
        <stp/>
        <tr r="L163" s="3"/>
        <tr r="L200" s="1"/>
      </tp>
      <tp>
        <v>130</v>
        <stp/>
        <stp>P</stp>
        <stp>0</stp>
        <stp>STK</stp>
        <stp>N029530</stp>
        <stp>누적거래량</stp>
        <stp/>
        <stp/>
        <tr r="L499" s="1"/>
        <tr r="L309" s="3"/>
      </tp>
      <tp>
        <v>2719</v>
        <stp/>
        <stp>P</stp>
        <stp>0</stp>
        <stp>STK</stp>
        <stp>N001530</stp>
        <stp>누적거래량</stp>
        <stp/>
        <stp/>
        <tr r="L546" s="1"/>
        <tr r="L325" s="3"/>
      </tp>
      <tp>
        <v>1419</v>
        <stp/>
        <stp>P</stp>
        <stp>0</stp>
        <stp>STK</stp>
        <stp>N271560</stp>
        <stp>누적거래량</stp>
        <stp/>
        <stp/>
        <tr r="L106" s="3"/>
        <tr r="L114" s="1"/>
      </tp>
      <tp>
        <v>50492</v>
        <stp/>
        <stp>P</stp>
        <stp>0</stp>
        <stp>STK</stp>
        <stp>N358570</stp>
        <stp>누적거래량</stp>
        <stp/>
        <stp/>
        <tr r="L336" s="1"/>
      </tp>
      <tp>
        <v>25641</v>
        <stp/>
        <stp>P</stp>
        <stp>0</stp>
        <stp>STK</stp>
        <stp>N241560</stp>
        <stp>누적거래량</stp>
        <stp/>
        <stp/>
        <tr r="L93" s="3"/>
        <tr r="L100" s="1"/>
      </tp>
      <tp>
        <v>1823</v>
        <stp/>
        <stp>P</stp>
        <stp>0</stp>
        <stp>STK</stp>
        <stp>N340570</stp>
        <stp>누적거래량</stp>
        <stp/>
        <stp/>
        <tr r="L572" s="1"/>
      </tp>
      <tp>
        <v>217950</v>
        <stp/>
        <stp>P</stp>
        <stp>0</stp>
        <stp>STK</stp>
        <stp>N036540</stp>
        <stp>누적거래량</stp>
        <stp/>
        <stp/>
        <tr r="L331" s="1"/>
      </tp>
      <tp>
        <v>139248</v>
        <stp/>
        <stp>P</stp>
        <stp>0</stp>
        <stp>STK</stp>
        <stp>N336570</stp>
        <stp>누적거래량</stp>
        <stp/>
        <stp/>
        <tr r="L372" s="1"/>
      </tp>
      <tp>
        <v>5671</v>
        <stp/>
        <stp>P</stp>
        <stp>0</stp>
        <stp>STK</stp>
        <stp>N025540</stp>
        <stp>누적거래량</stp>
        <stp/>
        <stp/>
        <tr r="L248" s="3"/>
        <tr r="L352" s="1"/>
      </tp>
      <tp>
        <v>13531</v>
        <stp/>
        <stp>P</stp>
        <stp>0</stp>
        <stp>STK</stp>
        <stp>N003540</stp>
        <stp>누적거래량</stp>
        <stp/>
        <stp/>
        <tr r="L200" s="3"/>
        <tr r="L259" s="1"/>
      </tp>
      <tp>
        <v>4455</v>
        <stp/>
        <stp>P</stp>
        <stp>0</stp>
        <stp>STK</stp>
        <stp>N009540</stp>
        <stp>누적거래량</stp>
        <stp/>
        <stp/>
        <tr r="L27" s="1"/>
        <tr r="L27" s="3"/>
      </tp>
      <tp>
        <v>1204</v>
        <stp/>
        <stp>P</stp>
        <stp>0</stp>
        <stp>STK</stp>
        <stp>N294570</stp>
        <stp>누적거래량</stp>
        <stp/>
        <stp/>
        <tr r="L647" s="1"/>
      </tp>
      <tp>
        <v>3976</v>
        <stp/>
        <stp>P</stp>
        <stp>0</stp>
        <stp>STK</stp>
        <stp>N079550</stp>
        <stp>누적거래량</stp>
        <stp/>
        <stp/>
        <tr r="L62" s="3"/>
        <tr r="L66" s="1"/>
      </tp>
      <tp>
        <v>2045</v>
        <stp/>
        <stp>P</stp>
        <stp>0</stp>
        <stp>STK</stp>
        <stp>N064550</stp>
        <stp>누적거래량</stp>
        <stp/>
        <stp/>
        <tr r="L613" s="1"/>
      </tp>
      <tp>
        <v>21119</v>
        <stp/>
        <stp>P</stp>
        <stp>0</stp>
        <stp>STK</stp>
        <stp>N055550</stp>
        <stp>누적거래량</stp>
        <stp/>
        <stp/>
        <tr r="L22" s="3"/>
        <tr r="L22" s="1"/>
      </tp>
      <tp>
        <v>170143</v>
        <stp/>
        <stp>P</stp>
        <stp>0</stp>
        <stp>STK</stp>
        <stp>N459510</stp>
        <stp>누적거래량</stp>
        <stp/>
        <stp/>
        <tr r="L490" s="1"/>
      </tp>
      <tp>
        <v>5133</v>
        <stp/>
        <stp>P</stp>
        <stp>0</stp>
        <stp>STK</stp>
        <stp>N225570</stp>
        <stp>누적거래량</stp>
        <stp/>
        <stp/>
        <tr r="L354" s="1"/>
      </tp>
      <tp>
        <v>7916</v>
        <stp/>
        <stp>P</stp>
        <stp>0</stp>
        <stp>STK</stp>
        <stp>N003550</stp>
        <stp>누적거래량</stp>
        <stp/>
        <stp/>
        <tr r="L62" s="1"/>
        <tr r="L58" s="3"/>
      </tp>
      <tp>
        <v>23541</v>
        <stp/>
        <stp>P</stp>
        <stp>0</stp>
        <stp>STK</stp>
        <stp>N380550</stp>
        <stp>누적거래량</stp>
        <stp/>
        <stp/>
        <tr r="L660" s="1"/>
      </tp>
      <tp>
        <v>6738</v>
        <stp/>
        <stp>P</stp>
        <stp>0</stp>
        <stp>STK</stp>
        <stp>N357550</stp>
        <stp>누적거래량</stp>
        <stp/>
        <stp/>
        <tr r="L609" s="1"/>
      </tp>
      <tp>
        <v>253259</v>
        <stp/>
        <stp>P</stp>
        <stp>0</stp>
        <stp>STK</stp>
        <stp>N247540</stp>
        <stp>누적거래량</stp>
        <stp/>
        <stp/>
        <tr r="L54" s="1"/>
      </tp>
      <tp>
        <v>5547</v>
        <stp/>
        <stp>P</stp>
        <stp>0</stp>
        <stp>STK</stp>
        <stp>N020560</stp>
        <stp>누적거래량</stp>
        <stp/>
        <stp/>
        <tr r="L243" s="1"/>
        <tr r="L192" s="3"/>
      </tp>
      <tp>
        <v>105004</v>
        <stp/>
        <stp>P</stp>
        <stp>0</stp>
        <stp>STK</stp>
        <stp>N066570</stp>
        <stp>누적거래량</stp>
        <stp/>
        <stp/>
        <tr r="L46" s="3"/>
        <tr r="L45" s="1"/>
      </tp>
      <tp>
        <v>12135</v>
        <stp/>
        <stp>P</stp>
        <stp>0</stp>
        <stp>STK</stp>
        <stp>N468530</stp>
        <stp>누적거래량</stp>
        <stp/>
        <stp/>
        <tr r="L337" s="1"/>
      </tp>
      <tp>
        <v>6280</v>
        <stp/>
        <stp>P</stp>
        <stp>0</stp>
        <stp>STK</stp>
        <stp>N036570</stp>
        <stp>누적거래량</stp>
        <stp/>
        <stp/>
        <tr r="L100" s="3"/>
        <tr r="L111" s="1"/>
      </tp>
      <tp>
        <v>3820</v>
        <stp/>
        <stp>P</stp>
        <stp>0</stp>
        <stp>STK</stp>
        <stp>N419530</stp>
        <stp>누적거래량</stp>
        <stp/>
        <stp/>
        <tr r="L577" s="1"/>
      </tp>
      <tp>
        <v>3793</v>
        <stp/>
        <stp>P</stp>
        <stp>0</stp>
        <stp>STK</stp>
        <stp>N003570</stp>
        <stp>누적거래량</stp>
        <stp/>
        <stp/>
        <tr r="L186" s="3"/>
        <tr r="L234" s="1"/>
      </tp>
      <tp>
        <v>12069</v>
        <stp/>
        <stp>P</stp>
        <stp>0</stp>
        <stp>STK</stp>
        <stp>N105560</stp>
        <stp>누적거래량</stp>
        <stp/>
        <stp/>
        <tr r="L16" s="1"/>
        <tr r="L16" s="3"/>
      </tp>
      <tp>
        <v>51569</v>
        <stp/>
        <stp>P</stp>
        <stp>0</stp>
        <stp>STK</stp>
        <stp>N075580</stp>
        <stp>누적거래량</stp>
        <stp/>
        <stp/>
        <tr r="L222" s="3"/>
        <tr r="L296" s="1"/>
      </tp>
      <tp>
        <v>33838</v>
        <stp/>
        <stp>P</stp>
        <stp>0</stp>
        <stp>STK</stp>
        <stp>N103590</stp>
        <stp>누적거래량</stp>
        <stp/>
        <stp/>
        <tr r="L134" s="3"/>
        <tr r="L154" s="1"/>
      </tp>
      <tp>
        <v>294396</v>
        <stp/>
        <stp>P</stp>
        <stp>0</stp>
        <stp>STK</stp>
        <stp>N161580</stp>
        <stp>누적거래량</stp>
        <stp/>
        <stp/>
        <tr r="L311" s="1"/>
      </tp>
      <tp>
        <v>1851</v>
        <stp/>
        <stp>P</stp>
        <stp>0</stp>
        <stp>STK</stp>
        <stp>N023590</stp>
        <stp>누적거래량</stp>
        <stp/>
        <stp/>
        <tr r="L222" s="1"/>
        <tr r="L182" s="3"/>
      </tp>
      <tp>
        <v>279</v>
        <stp/>
        <stp>P</stp>
        <stp>0</stp>
        <stp>STK</stp>
        <stp>N016590</stp>
        <stp>누적거래량</stp>
        <stp/>
        <stp/>
        <tr r="L294" s="3"/>
        <tr r="L462" s="1"/>
      </tp>
      <tp>
        <v>119135</v>
        <stp/>
        <stp>P</stp>
        <stp>0</stp>
        <stp>STK</stp>
        <stp>N253590</stp>
        <stp>누적거래량</stp>
        <stp/>
        <stp/>
        <tr r="L474" s="1"/>
      </tp>
      <tp>
        <v>94317</v>
        <stp/>
        <stp>P</stp>
        <stp>0</stp>
        <stp>STK</stp>
        <stp>N217590</stp>
        <stp>누적거래량</stp>
        <stp/>
        <stp/>
        <tr r="L326" s="3"/>
        <tr r="L542" s="1"/>
      </tp>
      <tp>
        <v>21822</v>
        <stp/>
        <stp>P</stp>
        <stp>0</stp>
        <stp>STK</stp>
        <stp>N484590</stp>
        <stp>누적거래량</stp>
        <stp/>
        <stp/>
        <tr r="L450" s="1"/>
      </tp>
      <tp>
        <v>16090</v>
        <stp/>
        <stp>P</stp>
        <stp>0</stp>
        <stp>STK</stp>
        <stp>089980</stp>
        <stp>현재가</stp>
        <stp/>
        <stp/>
        <tr r="T678" s="1"/>
      </tp>
      <tp>
        <v>24400</v>
        <stp/>
        <stp>P</stp>
        <stp>0</stp>
        <stp>STK</stp>
        <stp>089970</stp>
        <stp>현재가</stp>
        <stp/>
        <stp/>
        <tr r="T406" s="1"/>
      </tp>
      <tp>
        <v>26350</v>
        <stp/>
        <stp>P</stp>
        <stp>0</stp>
        <stp>STK</stp>
        <stp>089890</stp>
        <stp>현재가</stp>
        <stp/>
        <stp/>
        <tr r="T520" s="1"/>
      </tp>
      <tp>
        <v>30350</v>
        <stp/>
        <stp>P</stp>
        <stp>0</stp>
        <stp>STK</stp>
        <stp>089860</stp>
        <stp>현재가</stp>
        <stp/>
        <stp/>
        <tr r="T297" s="1"/>
        <tr r="T297" s="3"/>
      </tp>
      <tp>
        <v>76000</v>
        <stp/>
        <stp>P</stp>
        <stp>0</stp>
        <stp>STK</stp>
        <stp>189300</stp>
        <stp>현재가</stp>
        <stp/>
        <stp/>
        <tr r="T356" s="1"/>
        <tr r="T356" s="3"/>
      </tp>
      <tp>
        <v>17610</v>
        <stp/>
        <stp>P</stp>
        <stp>0</stp>
        <stp>STK</stp>
        <stp>389260</stp>
        <stp>현재가</stp>
        <stp/>
        <stp/>
        <tr r="T612" s="1"/>
      </tp>
      <tp>
        <v>37350</v>
        <stp/>
        <stp>P</stp>
        <stp>0</stp>
        <stp>STK</stp>
        <stp>089030</stp>
        <stp>현재가</stp>
        <stp/>
        <stp/>
        <tr r="T247" s="3"/>
        <tr r="T247" s="1"/>
      </tp>
      <tp>
        <v>32100</v>
        <stp/>
        <stp>P</stp>
        <stp>0</stp>
        <stp>STK</stp>
        <stp>089010</stp>
        <stp>현재가</stp>
        <stp/>
        <stp/>
        <tr r="T463" s="1"/>
      </tp>
      <tp>
        <v>55100</v>
        <stp/>
        <stp>P</stp>
        <stp>0</stp>
        <stp>STK</stp>
        <stp>489790</stp>
        <stp>현재가</stp>
        <stp/>
        <stp/>
        <tr r="T170" s="1"/>
        <tr r="T170" s="3"/>
      </tp>
      <tp>
        <v>76200</v>
        <stp/>
        <stp>P</stp>
        <stp>0</stp>
        <stp>STK</stp>
        <stp>389650</stp>
        <stp>현재가</stp>
        <stp/>
        <stp/>
        <tr r="T427" s="1"/>
      </tp>
      <tp>
        <v>76100</v>
        <stp/>
        <stp>P</stp>
        <stp>0</stp>
        <stp>STK</stp>
        <stp>389470</stp>
        <stp>현재가</stp>
        <stp/>
        <stp/>
        <tr r="T326" s="3"/>
        <tr r="T326" s="1"/>
      </tp>
      <tp>
        <v>3255</v>
        <stp/>
        <stp>P</stp>
        <stp>0</stp>
        <stp>STK</stp>
        <stp>088350</stp>
        <stp>현재가</stp>
        <stp/>
        <stp/>
        <tr r="T161" s="1"/>
        <tr r="T161" s="3"/>
      </tp>
      <tp>
        <v>21650</v>
        <stp/>
        <stp>P</stp>
        <stp>0</stp>
        <stp>STK</stp>
        <stp>488280</stp>
        <stp>현재가</stp>
        <stp/>
        <stp/>
        <tr r="T687" s="1"/>
      </tp>
      <tp>
        <v>104400</v>
        <stp/>
        <stp>P</stp>
        <stp>0</stp>
        <stp>STK</stp>
        <stp>388210</stp>
        <stp>현재가</stp>
        <stp/>
        <stp/>
        <tr r="T302" s="3"/>
        <tr r="T302" s="1"/>
      </tp>
      <tp>
        <v>93900</v>
        <stp/>
        <stp>P</stp>
        <stp>0</stp>
        <stp>STK</stp>
        <stp>388720</stp>
        <stp>현재가</stp>
        <stp/>
        <stp/>
        <tr r="T283" s="3"/>
        <tr r="T283" s="1"/>
      </tp>
      <tp>
        <v>67900</v>
        <stp/>
        <stp>P</stp>
        <stp>0</stp>
        <stp>STK</stp>
        <stp>285130</stp>
        <stp>현재가</stp>
        <stp/>
        <stp/>
        <tr r="T292" s="1"/>
        <tr r="T292" s="3"/>
      </tp>
      <tp>
        <v>84200</v>
        <stp/>
        <stp>P</stp>
        <stp>0</stp>
        <stp>STK</stp>
        <stp>185750</stp>
        <stp>현재가</stp>
        <stp/>
        <stp/>
        <tr r="T290" s="3"/>
        <tr r="T290" s="1"/>
      </tp>
      <tp>
        <v>8990</v>
        <stp/>
        <stp>P</stp>
        <stp>0</stp>
        <stp>STK</stp>
        <stp>085620</stp>
        <stp>현재가</stp>
        <stp/>
        <stp/>
        <tr r="T241" s="1"/>
        <tr r="T241" s="3"/>
      </tp>
      <tp>
        <v>15630</v>
        <stp/>
        <stp>P</stp>
        <stp>0</stp>
        <stp>STK</stp>
        <stp>085660</stp>
        <stp>현재가</stp>
        <stp/>
        <stp/>
        <tr r="T268" s="1"/>
        <tr r="T268" s="3"/>
      </tp>
      <tp>
        <v>146100</v>
        <stp/>
        <stp>P</stp>
        <stp>0</stp>
        <stp>STK</stp>
        <stp>484870</stp>
        <stp>현재가</stp>
        <stp/>
        <stp/>
        <tr r="T256" s="1"/>
        <tr r="T256" s="3"/>
      </tp>
      <tp>
        <v>9240</v>
        <stp/>
        <stp>P</stp>
        <stp>0</stp>
        <stp>STK</stp>
        <stp>084850</stp>
        <stp>현재가</stp>
        <stp/>
        <stp/>
        <tr r="T695" s="1"/>
      </tp>
      <tp>
        <v>23400</v>
        <stp/>
        <stp>P</stp>
        <stp>0</stp>
        <stp>STK</stp>
        <stp>484810</stp>
        <stp>현재가</stp>
        <stp/>
        <stp/>
        <tr r="T559" s="1"/>
      </tp>
      <tp>
        <v>74900</v>
        <stp/>
        <stp>P</stp>
        <stp>0</stp>
        <stp>STK</stp>
        <stp>084370</stp>
        <stp>현재가</stp>
        <stp/>
        <stp/>
        <tr r="T219" s="1"/>
        <tr r="T219" s="3"/>
      </tp>
      <tp>
        <v>50300</v>
        <stp/>
        <stp>P</stp>
        <stp>0</stp>
        <stp>STK</stp>
        <stp>084110</stp>
        <stp>현재가</stp>
        <stp/>
        <stp/>
        <tr r="T423" s="1"/>
      </tp>
      <tp>
        <v>23450</v>
        <stp/>
        <stp>P</stp>
        <stp>0</stp>
        <stp>STK</stp>
        <stp>484120</stp>
        <stp>현재가</stp>
        <stp/>
        <stp/>
        <tr r="T671" s="1"/>
      </tp>
      <tp>
        <v>10360</v>
        <stp/>
        <stp>P</stp>
        <stp>0</stp>
        <stp>STK</stp>
        <stp>084010</stp>
        <stp>현재가</stp>
        <stp/>
        <stp/>
        <tr r="T684" s="1"/>
      </tp>
      <tp>
        <v>22600</v>
        <stp/>
        <stp>P</stp>
        <stp>0</stp>
        <stp>STK</stp>
        <stp>284740</stp>
        <stp>현재가</stp>
        <stp/>
        <stp/>
        <tr r="T470" s="1"/>
      </tp>
      <tp>
        <v>9740</v>
        <stp/>
        <stp>P</stp>
        <stp>0</stp>
        <stp>STK</stp>
        <stp>084690</stp>
        <stp>현재가</stp>
        <stp/>
        <stp/>
        <tr r="T587" s="1"/>
      </tp>
      <tp>
        <v>12860</v>
        <stp/>
        <stp>P</stp>
        <stp>0</stp>
        <stp>STK</stp>
        <stp>484590</stp>
        <stp>현재가</stp>
        <stp/>
        <stp/>
        <tr r="T450" s="1"/>
      </tp>
      <tp>
        <v>50200</v>
        <stp/>
        <stp>P</stp>
        <stp>0</stp>
        <stp>STK</stp>
        <stp>287840</stp>
        <stp>현재가</stp>
        <stp/>
        <stp/>
        <tr r="T380" s="3"/>
        <tr r="T380" s="1"/>
      </tp>
      <tp>
        <v>239500</v>
        <stp/>
        <stp>P</stp>
        <stp>0</stp>
        <stp>STK</stp>
        <stp>087010</stp>
        <stp>현재가</stp>
        <stp/>
        <stp/>
        <tr r="T108" s="1"/>
        <tr r="T108" s="3"/>
      </tp>
      <tp>
        <v>43800</v>
        <stp/>
        <stp>P</stp>
        <stp>0</stp>
        <stp>STK</stp>
        <stp>486990</stp>
        <stp>현재가</stp>
        <stp/>
        <stp/>
        <tr r="T315" s="3"/>
        <tr r="T315" s="1"/>
      </tp>
      <tp>
        <v>120200</v>
        <stp/>
        <stp>P</stp>
        <stp>0</stp>
        <stp>STK</stp>
        <stp>086900</stp>
        <stp>현재가</stp>
        <stp/>
        <stp/>
        <tr r="T338" s="3"/>
        <tr r="T338" s="1"/>
      </tp>
      <tp>
        <v>21150</v>
        <stp/>
        <stp>P</stp>
        <stp>0</stp>
        <stp>STK</stp>
        <stp>286940</stp>
        <stp>현재가</stp>
        <stp/>
        <stp/>
        <tr r="T593" s="1"/>
      </tp>
      <tp>
        <v>11950</v>
        <stp/>
        <stp>P</stp>
        <stp>0</stp>
        <stp>STK</stp>
        <stp>086390</stp>
        <stp>현재가</stp>
        <stp/>
        <stp/>
        <tr r="T674" s="1"/>
      </tp>
      <tp>
        <v>258000</v>
        <stp/>
        <stp>P</stp>
        <stp>0</stp>
        <stp>STK</stp>
        <stp>086280</stp>
        <stp>현재가</stp>
        <stp/>
        <stp/>
        <tr r="T36" s="3"/>
        <tr r="T36" s="1"/>
      </tp>
      <tp>
        <v>102100</v>
        <stp/>
        <stp>P</stp>
        <stp>0</stp>
        <stp>STK</stp>
        <stp>086790</stp>
        <stp>현재가</stp>
        <stp/>
        <stp/>
        <tr r="T29" s="1"/>
        <tr r="T29" s="3"/>
      </tp>
      <tp>
        <v>106200</v>
        <stp/>
        <stp>P</stp>
        <stp>0</stp>
        <stp>STK</stp>
        <stp>086520</stp>
        <stp>현재가</stp>
        <stp/>
        <stp/>
        <tr r="T64" s="1"/>
        <tr r="T64" s="3"/>
      </tp>
      <tp>
        <v>16690</v>
        <stp/>
        <stp>P</stp>
        <stp>0</stp>
        <stp>STK</stp>
        <stp>086450</stp>
        <stp>현재가</stp>
        <stp/>
        <stp/>
        <tr r="T368" s="3"/>
        <tr r="T368" s="1"/>
      </tp>
      <tp>
        <v>15340</v>
        <stp/>
        <stp>P</stp>
        <stp>0</stp>
        <stp>STK</stp>
        <stp>381970</stp>
        <stp>현재가</stp>
        <stp/>
        <stp/>
        <tr r="T376" s="1"/>
        <tr r="T376" s="3"/>
      </tp>
      <tp>
        <v>38300</v>
        <stp/>
        <stp>P</stp>
        <stp>0</stp>
        <stp>STK</stp>
        <stp>281820</stp>
        <stp>현재가</stp>
        <stp/>
        <stp/>
        <tr r="T350" s="3"/>
        <tr r="T350" s="1"/>
      </tp>
      <tp>
        <v>25000</v>
        <stp/>
        <stp>P</stp>
        <stp>0</stp>
        <stp>STK</stp>
        <stp>481070</stp>
        <stp>현재가</stp>
        <stp/>
        <stp/>
        <tr r="T588" s="1"/>
      </tp>
      <tp>
        <v>29950</v>
        <stp/>
        <stp>P</stp>
        <stp>0</stp>
        <stp>STK</stp>
        <stp>181710</stp>
        <stp>현재가</stp>
        <stp/>
        <stp/>
        <tr r="T316" s="1"/>
        <tr r="T316" s="3"/>
      </tp>
      <tp>
        <v>20600</v>
        <stp/>
        <stp>P</stp>
        <stp>0</stp>
        <stp>STK</stp>
        <stp>281740</stp>
        <stp>현재가</stp>
        <stp/>
        <stp/>
        <tr r="T288" s="1"/>
        <tr r="T288" s="3"/>
      </tp>
      <tp>
        <v>45550</v>
        <stp/>
        <stp>P</stp>
        <stp>0</stp>
        <stp>STK</stp>
        <stp>081660</stp>
        <stp>현재가</stp>
        <stp/>
        <stp/>
        <tr r="T189" s="1"/>
        <tr r="T189" s="3"/>
      </tp>
      <tp>
        <v>112500</v>
        <stp/>
        <stp>P</stp>
        <stp>0</stp>
        <stp>STK</stp>
        <stp>280360</stp>
        <stp>현재가</stp>
        <stp/>
        <stp/>
        <tr r="T307" s="1"/>
        <tr r="T307" s="3"/>
      </tp>
      <tp>
        <v>29700</v>
        <stp/>
        <stp>P</stp>
        <stp>0</stp>
        <stp>STK</stp>
        <stp>080220</stp>
        <stp>현재가</stp>
        <stp/>
        <stp/>
        <tr r="T304" s="1"/>
        <tr r="T304" s="3"/>
      </tp>
      <tp>
        <v>129900</v>
        <stp/>
        <stp>P</stp>
        <stp>0</stp>
        <stp>STK</stp>
        <stp>180640</stp>
        <stp>현재가</stp>
        <stp/>
        <stp/>
        <tr r="T80" s="1"/>
        <tr r="T80" s="3"/>
      </tp>
      <tp>
        <v>21300</v>
        <stp/>
        <stp>P</stp>
        <stp>0</stp>
        <stp>STK</stp>
        <stp>380550</stp>
        <stp>현재가</stp>
        <stp/>
        <stp/>
        <tr r="T660" s="1"/>
      </tp>
      <tp>
        <v>8230</v>
        <stp/>
        <stp>P</stp>
        <stp>0</stp>
        <stp>STK</stp>
        <stp>383800</stp>
        <stp>현재가</stp>
        <stp/>
        <stp/>
        <tr r="T417" s="1"/>
      </tp>
      <tp>
        <v>24400</v>
        <stp/>
        <stp>P</stp>
        <stp>0</stp>
        <stp>STK</stp>
        <stp>383310</stp>
        <stp>현재가</stp>
        <stp/>
        <stp/>
        <tr r="T476" s="1"/>
      </tp>
      <tp>
        <v>97100</v>
        <stp/>
        <stp>P</stp>
        <stp>0</stp>
        <stp>STK</stp>
        <stp>183300</stp>
        <stp>현재가</stp>
        <stp/>
        <stp/>
        <tr r="T303" s="1"/>
        <tr r="T303" s="3"/>
      </tp>
      <tp>
        <v>66300</v>
        <stp/>
        <stp>P</stp>
        <stp>0</stp>
        <stp>STK</stp>
        <stp>383220</stp>
        <stp>현재가</stp>
        <stp/>
        <stp/>
        <tr r="T175" s="3"/>
        <tr r="T175" s="1"/>
      </tp>
      <tp>
        <v>11800</v>
        <stp/>
        <stp>P</stp>
        <stp>0</stp>
        <stp>STK</stp>
        <stp>183190</stp>
        <stp>현재가</stp>
        <stp/>
        <stp/>
        <tr r="T513" s="1"/>
      </tp>
      <tp>
        <v>148300</v>
        <stp/>
        <stp>P</stp>
        <stp>0</stp>
        <stp>STK</stp>
        <stp>483650</stp>
        <stp>현재가</stp>
        <stp/>
        <stp/>
        <tr r="T233" s="3"/>
        <tr r="T233" s="1"/>
      </tp>
      <tp>
        <v>61500</v>
        <stp/>
        <stp>P</stp>
        <stp>0</stp>
        <stp>STK</stp>
        <stp>083650</stp>
        <stp>현재가</stp>
        <stp/>
        <stp/>
        <tr r="T212" s="1"/>
        <tr r="T212" s="3"/>
      </tp>
      <tp>
        <v>25600</v>
        <stp/>
        <stp>P</stp>
        <stp>0</stp>
        <stp>STK</stp>
        <stp>083450</stp>
        <stp>현재가</stp>
        <stp/>
        <stp/>
        <tr r="T477" s="1"/>
      </tp>
      <tp>
        <v>30950</v>
        <stp/>
        <stp>P</stp>
        <stp>0</stp>
        <stp>STK</stp>
        <stp>382900</stp>
        <stp>현재가</stp>
        <stp/>
        <stp/>
        <tr r="T651" s="1"/>
      </tp>
      <tp>
        <v>21100</v>
        <stp/>
        <stp>P</stp>
        <stp>0</stp>
        <stp>STK</stp>
        <stp>082920</stp>
        <stp>현재가</stp>
        <stp/>
        <stp/>
        <tr r="T328" s="1"/>
        <tr r="T328" s="3"/>
      </tp>
      <tp>
        <v>119200</v>
        <stp/>
        <stp>P</stp>
        <stp>0</stp>
        <stp>STK</stp>
        <stp>282330</stp>
        <stp>현재가</stp>
        <stp/>
        <stp/>
        <tr r="T210" s="3"/>
        <tr r="T210" s="1"/>
      </tp>
      <tp>
        <v>23050</v>
        <stp/>
        <stp>P</stp>
        <stp>0</stp>
        <stp>STK</stp>
        <stp>082270</stp>
        <stp>현재가</stp>
        <stp/>
        <stp/>
        <tr r="T313" s="1"/>
        <tr r="T313" s="3"/>
      </tp>
      <tp>
        <v>53200</v>
        <stp/>
        <stp>P</stp>
        <stp>0</stp>
        <stp>STK</stp>
        <stp>082740</stp>
        <stp>현재가</stp>
        <stp/>
        <stp/>
        <tr r="T116" s="3"/>
        <tr r="T116" s="1"/>
      </tp>
      <tp>
        <v>14220</v>
        <stp/>
        <stp>P</stp>
        <stp>0</stp>
        <stp>STK</stp>
        <stp>N293490</stp>
        <stp>저가</stp>
        <stp/>
        <stp/>
        <tr r="Q273" s="1"/>
      </tp>
      <tp>
        <v>12780</v>
        <stp/>
        <stp>P</stp>
        <stp>0</stp>
        <stp>STK</stp>
        <stp>N394280</stp>
        <stp>저가</stp>
        <stp/>
        <stp/>
        <tr r="Q624" s="1"/>
      </tp>
      <tp>
        <v>14350</v>
        <stp/>
        <stp>P</stp>
        <stp>0</stp>
        <stp>STK</stp>
        <stp>N293490</stp>
        <stp>시가</stp>
        <stp/>
        <stp/>
        <tr r="O273" s="1"/>
      </tp>
      <tp>
        <v>13660</v>
        <stp/>
        <stp>P</stp>
        <stp>0</stp>
        <stp>STK</stp>
        <stp>N394280</stp>
        <stp>시가</stp>
        <stp/>
        <stp/>
        <tr r="O624" s="1"/>
      </tp>
      <tp>
        <v>13660</v>
        <stp/>
        <stp>P</stp>
        <stp>0</stp>
        <stp>STK</stp>
        <stp>N394280</stp>
        <stp>고가</stp>
        <stp/>
        <stp/>
        <tr r="P624" s="1"/>
      </tp>
      <tp>
        <v>14390</v>
        <stp/>
        <stp>P</stp>
        <stp>0</stp>
        <stp>STK</stp>
        <stp>N293490</stp>
        <stp>고가</stp>
        <stp/>
        <stp/>
        <tr r="P273" s="1"/>
      </tp>
      <tp>
        <v>15700</v>
        <stp/>
        <stp>P</stp>
        <stp>0</stp>
        <stp>STK</stp>
        <stp>N300080</stp>
        <stp>저가</stp>
        <stp/>
        <stp/>
        <tr r="Q662" s="1"/>
      </tp>
      <tp>
        <v>15950</v>
        <stp/>
        <stp>P</stp>
        <stp>0</stp>
        <stp>STK</stp>
        <stp>N300080</stp>
        <stp>시가</stp>
        <stp/>
        <stp/>
        <tr r="O662" s="1"/>
      </tp>
      <tp>
        <v>16300</v>
        <stp/>
        <stp>P</stp>
        <stp>0</stp>
        <stp>STK</stp>
        <stp>N300080</stp>
        <stp>고가</stp>
        <stp/>
        <stp/>
        <tr r="P662" s="1"/>
      </tp>
      <tp>
        <v>15230</v>
        <stp/>
        <stp>P</stp>
        <stp>0</stp>
        <stp>STK</stp>
        <stp>N217590</stp>
        <stp>저가</stp>
        <stp/>
        <stp/>
        <tr r="Q542" s="1"/>
        <tr r="Q326" s="3"/>
      </tp>
      <tp>
        <v>15510</v>
        <stp/>
        <stp>P</stp>
        <stp>0</stp>
        <stp>STK</stp>
        <stp>N217590</stp>
        <stp>시가</stp>
        <stp/>
        <stp/>
        <tr r="O542" s="1"/>
        <tr r="O326" s="3"/>
      </tp>
      <tp>
        <v>15670</v>
        <stp/>
        <stp>P</stp>
        <stp>0</stp>
        <stp>STK</stp>
        <stp>N217590</stp>
        <stp>고가</stp>
        <stp/>
        <stp/>
        <tr r="P542" s="1"/>
        <tr r="P326" s="3"/>
      </tp>
      <tp>
        <v>613000</v>
        <stp/>
        <stp>P</stp>
        <stp>0</stp>
        <stp>STK</stp>
        <stp>N329180</stp>
        <stp>시가</stp>
        <stp/>
        <stp/>
        <tr r="O13" s="1"/>
        <tr r="O13" s="3"/>
      </tp>
      <tp>
        <v>48000</v>
        <stp/>
        <stp>P</stp>
        <stp>0</stp>
        <stp>STK</stp>
        <stp>N323280</stp>
        <stp>저가</stp>
        <stp/>
        <stp/>
        <tr r="Q255" s="1"/>
      </tp>
      <tp>
        <v>49400</v>
        <stp/>
        <stp>P</stp>
        <stp>0</stp>
        <stp>STK</stp>
        <stp>N323280</stp>
        <stp>시가</stp>
        <stp/>
        <stp/>
        <tr r="O255" s="1"/>
      </tp>
      <tp>
        <v>613000</v>
        <stp/>
        <stp>P</stp>
        <stp>0</stp>
        <stp>STK</stp>
        <stp>N329180</stp>
        <stp>저가</stp>
        <stp/>
        <stp/>
        <tr r="Q13" s="1"/>
        <tr r="Q13" s="3"/>
      </tp>
      <tp>
        <v>50100</v>
        <stp/>
        <stp>P</stp>
        <stp>0</stp>
        <stp>STK</stp>
        <stp>N323280</stp>
        <stp>고가</stp>
        <stp/>
        <stp/>
        <tr r="P255" s="1"/>
      </tp>
      <tp>
        <v>628000</v>
        <stp/>
        <stp>P</stp>
        <stp>0</stp>
        <stp>STK</stp>
        <stp>N329180</stp>
        <stp>고가</stp>
        <stp/>
        <stp/>
        <tr r="P13" s="3"/>
        <tr r="P13" s="1"/>
      </tp>
      <tp>
        <v>120000</v>
        <stp/>
        <stp>P</stp>
        <stp>0</stp>
        <stp>STK</stp>
        <stp>N237690</stp>
        <stp>저가</stp>
        <stp/>
        <stp/>
        <tr r="Q182" s="1"/>
      </tp>
      <tp>
        <v>120100</v>
        <stp/>
        <stp>P</stp>
        <stp>0</stp>
        <stp>STK</stp>
        <stp>N237690</stp>
        <stp>시가</stp>
        <stp/>
        <stp/>
        <tr r="O182" s="1"/>
      </tp>
      <tp>
        <v>120800</v>
        <stp/>
        <stp>P</stp>
        <stp>0</stp>
        <stp>STK</stp>
        <stp>N237690</stp>
        <stp>고가</stp>
        <stp/>
        <stp/>
        <tr r="P182" s="1"/>
      </tp>
      <tp>
        <v>11310</v>
        <stp/>
        <stp>P</stp>
        <stp>0</stp>
        <stp>STK</stp>
        <stp>N253590</stp>
        <stp>저가</stp>
        <stp/>
        <stp/>
        <tr r="Q474" s="1"/>
      </tp>
      <tp>
        <v>31600</v>
        <stp/>
        <stp>P</stp>
        <stp>0</stp>
        <stp>STK</stp>
        <stp>N352480</stp>
        <stp>저가</stp>
        <stp/>
        <stp/>
        <tr r="Q528" s="1"/>
      </tp>
      <tp>
        <v>323500</v>
        <stp/>
        <stp>P</stp>
        <stp>0</stp>
        <stp>STK</stp>
        <stp>N357780</stp>
        <stp>저가</stp>
        <stp/>
        <stp/>
        <tr r="Q167" s="1"/>
      </tp>
      <tp>
        <v>7190</v>
        <stp/>
        <stp>P</stp>
        <stp>0</stp>
        <stp>STK</stp>
        <stp>N356680</stp>
        <stp>저가</stp>
        <stp/>
        <stp/>
        <tr r="Q694" s="1"/>
      </tp>
      <tp>
        <v>11540</v>
        <stp/>
        <stp>P</stp>
        <stp>0</stp>
        <stp>STK</stp>
        <stp>N253590</stp>
        <stp>시가</stp>
        <stp/>
        <stp/>
        <tr r="O474" s="1"/>
      </tp>
      <tp>
        <v>32000</v>
        <stp/>
        <stp>P</stp>
        <stp>0</stp>
        <stp>STK</stp>
        <stp>N352480</stp>
        <stp>시가</stp>
        <stp/>
        <stp/>
        <tr r="O528" s="1"/>
      </tp>
      <tp>
        <v>326500</v>
        <stp/>
        <stp>P</stp>
        <stp>0</stp>
        <stp>STK</stp>
        <stp>N357780</stp>
        <stp>시가</stp>
        <stp/>
        <stp/>
        <tr r="O167" s="1"/>
      </tp>
      <tp>
        <v>7210</v>
        <stp/>
        <stp>P</stp>
        <stp>0</stp>
        <stp>STK</stp>
        <stp>N356680</stp>
        <stp>시가</stp>
        <stp/>
        <stp/>
        <tr r="O694" s="1"/>
      </tp>
      <tp>
        <v>332500</v>
        <stp/>
        <stp>P</stp>
        <stp>0</stp>
        <stp>STK</stp>
        <stp>N357780</stp>
        <stp>고가</stp>
        <stp/>
        <stp/>
        <tr r="P167" s="1"/>
      </tp>
      <tp>
        <v>7270</v>
        <stp/>
        <stp>P</stp>
        <stp>0</stp>
        <stp>STK</stp>
        <stp>N356680</stp>
        <stp>고가</stp>
        <stp/>
        <stp/>
        <tr r="P694" s="1"/>
      </tp>
      <tp>
        <v>11680</v>
        <stp/>
        <stp>P</stp>
        <stp>0</stp>
        <stp>STK</stp>
        <stp>N253590</stp>
        <stp>고가</stp>
        <stp/>
        <stp/>
        <tr r="P474" s="1"/>
      </tp>
      <tp>
        <v>32000</v>
        <stp/>
        <stp>P</stp>
        <stp>0</stp>
        <stp>STK</stp>
        <stp>N352480</stp>
        <stp>고가</stp>
        <stp/>
        <stp/>
        <tr r="P528" s="1"/>
      </tp>
      <tp>
        <v>27050</v>
        <stp/>
        <stp>P</stp>
        <stp>0</stp>
        <stp>STK</stp>
        <stp>N272290</stp>
        <stp>저가</stp>
        <stp/>
        <stp/>
        <tr r="Q469" s="1"/>
      </tp>
      <tp>
        <v>27400</v>
        <stp/>
        <stp>P</stp>
        <stp>0</stp>
        <stp>STK</stp>
        <stp>N272290</stp>
        <stp>시가</stp>
        <stp/>
        <stp/>
        <tr r="O469" s="1"/>
      </tp>
      <tp>
        <v>28700</v>
        <stp/>
        <stp>P</stp>
        <stp>0</stp>
        <stp>STK</stp>
        <stp>N272290</stp>
        <stp>고가</stp>
        <stp/>
        <stp/>
        <tr r="P469" s="1"/>
      </tp>
      <tp>
        <v>18574</v>
        <stp/>
        <stp>P</stp>
        <stp>0</stp>
        <stp>STK</stp>
        <stp>N0126Z0</stp>
        <stp>누적거래량</stp>
        <stp/>
        <stp/>
        <tr r="L57" s="1"/>
        <tr r="L54" s="3"/>
      </tp>
      <tp>
        <v>21388</v>
        <stp/>
        <stp>P</stp>
        <stp>0</stp>
        <stp>STK</stp>
        <stp>N074600</stp>
        <stp>누적거래량</stp>
        <stp/>
        <stp/>
        <tr r="L405" s="1"/>
      </tp>
      <tp>
        <v>538585</v>
        <stp/>
        <stp>P</stp>
        <stp>0</stp>
        <stp>STK</stp>
        <stp>N078600</stp>
        <stp>누적거래량</stp>
        <stp/>
        <stp/>
        <tr r="L317" s="1"/>
      </tp>
      <tp>
        <v>38171</v>
        <stp/>
        <stp>P</stp>
        <stp>0</stp>
        <stp>STK</stp>
        <stp>N051600</stp>
        <stp>누적거래량</stp>
        <stp/>
        <stp/>
        <tr r="L166" s="1"/>
        <tr r="L142" s="3"/>
      </tp>
      <tp>
        <v>4095</v>
        <stp/>
        <stp>P</stp>
        <stp>0</stp>
        <stp>STK</stp>
        <stp>N035600</stp>
        <stp>누적거래량</stp>
        <stp/>
        <stp/>
        <tr r="L652" s="1"/>
      </tp>
      <tp>
        <v>8565</v>
        <stp/>
        <stp>P</stp>
        <stp>0</stp>
        <stp>STK</stp>
        <stp>N138610</stp>
        <stp>누적거래량</stp>
        <stp/>
        <stp/>
        <tr r="L545" s="1"/>
      </tp>
      <tp>
        <v>24100</v>
        <stp/>
        <stp>P</stp>
        <stp>0</stp>
        <stp>STK</stp>
        <stp>N112610</stp>
        <stp>누적거래량</stp>
        <stp/>
        <stp/>
        <tr r="L185" s="3"/>
        <tr r="L237" s="1"/>
      </tp>
      <tp>
        <v>88708</v>
        <stp/>
        <stp>P</stp>
        <stp>0</stp>
        <stp>STK</stp>
        <stp>N095610</stp>
        <stp>누적거래량</stp>
        <stp/>
        <stp/>
        <tr r="L319" s="1"/>
      </tp>
      <tp>
        <v>12444</v>
        <stp/>
        <stp>P</stp>
        <stp>0</stp>
        <stp>STK</stp>
        <stp>N483650</stp>
        <stp>누적거래량</stp>
        <stp/>
        <stp/>
        <tr r="L177" s="3"/>
        <tr r="L233" s="1"/>
      </tp>
      <tp>
        <v>12236</v>
        <stp/>
        <stp>P</stp>
        <stp>0</stp>
        <stp>STK</stp>
        <stp>N053610</stp>
        <stp>누적거래량</stp>
        <stp/>
        <stp/>
        <tr r="L538" s="1"/>
      </tp>
      <tp>
        <v>158359</v>
        <stp/>
        <stp>P</stp>
        <stp>0</stp>
        <stp>STK</stp>
        <stp>N058610</stp>
        <stp>누적거래량</stp>
        <stp/>
        <stp/>
        <tr r="L178" s="1"/>
      </tp>
      <tp>
        <v>12569</v>
        <stp/>
        <stp>P</stp>
        <stp>0</stp>
        <stp>STK</stp>
        <stp>N030610</stp>
        <stp>누적거래량</stp>
        <stp/>
        <stp/>
        <tr r="L286" s="1"/>
        <tr r="L213" s="3"/>
      </tp>
      <tp>
        <v>128903</v>
        <stp/>
        <stp>P</stp>
        <stp>0</stp>
        <stp>STK</stp>
        <stp>N121600</stp>
        <stp>누적거래량</stp>
        <stp/>
        <stp/>
        <tr r="L416" s="1"/>
      </tp>
      <tp>
        <v>13005</v>
        <stp/>
        <stp>P</stp>
        <stp>0</stp>
        <stp>STK</stp>
        <stp>N016610</stp>
        <stp>누적거래량</stp>
        <stp/>
        <stp/>
        <tr r="L483" s="1"/>
        <tr r="L302" s="3"/>
      </tp>
      <tp>
        <v>88</v>
        <stp/>
        <stp>P</stp>
        <stp>0</stp>
        <stp>STK</stp>
        <stp>N005610</stp>
        <stp>누적거래량</stp>
        <stp/>
        <stp/>
        <tr r="L511" s="1"/>
        <tr r="L313" s="3"/>
      </tp>
      <tp>
        <v>106</v>
        <stp/>
        <stp>P</stp>
        <stp>0</stp>
        <stp>STK</stp>
        <stp>N085620</stp>
        <stp>누적거래량</stp>
        <stp/>
        <stp/>
        <tr r="L241" s="1"/>
        <tr r="L190" s="3"/>
      </tp>
      <tp>
        <v>68845</v>
        <stp/>
        <stp>P</stp>
        <stp>0</stp>
        <stp>STK</stp>
        <stp>N361610</stp>
        <stp>누적거래량</stp>
        <stp/>
        <stp/>
        <tr r="L211" s="1"/>
        <tr r="L168" s="3"/>
      </tp>
      <tp>
        <v>580</v>
        <stp/>
        <stp>P</stp>
        <stp>0</stp>
        <stp>STK</stp>
        <stp>N069620</stp>
        <stp>누적거래량</stp>
        <stp/>
        <stp/>
        <tr r="L217" s="1"/>
        <tr r="L175" s="3"/>
      </tp>
      <tp>
        <v>19492</v>
        <stp/>
        <stp>P</stp>
        <stp>0</stp>
        <stp>STK</stp>
        <stp>N036620</stp>
        <stp>누적거래량</stp>
        <stp/>
        <stp/>
        <tr r="L478" s="1"/>
      </tp>
      <tp>
        <v>8535</v>
        <stp/>
        <stp>P</stp>
        <stp>0</stp>
        <stp>STK</stp>
        <stp>N014620</stp>
        <stp>누적거래량</stp>
        <stp/>
        <stp/>
        <tr r="L361" s="1"/>
      </tp>
      <tp>
        <v>1743</v>
        <stp/>
        <stp>P</stp>
        <stp>0</stp>
        <stp>STK</stp>
        <stp>N105630</stp>
        <stp>누적거래량</stp>
        <stp/>
        <stp/>
        <tr r="L280" s="3"/>
        <tr r="L441" s="1"/>
      </tp>
      <tp>
        <v>7482</v>
        <stp/>
        <stp>P</stp>
        <stp>0</stp>
        <stp>STK</stp>
        <stp>N012630</stp>
        <stp>누적거래량</stp>
        <stp/>
        <stp/>
        <tr r="L309" s="1"/>
        <tr r="L228" s="3"/>
      </tp>
      <tp>
        <v>151</v>
        <stp/>
        <stp>P</stp>
        <stp>0</stp>
        <stp>STK</stp>
        <stp>N001630</stp>
        <stp>누적거래량</stp>
        <stp/>
        <stp/>
        <tr r="L681" s="1"/>
        <tr r="L376" s="3"/>
      </tp>
      <tp>
        <v>1723424</v>
        <stp/>
        <stp>P</stp>
        <stp>0</stp>
        <stp>STK</stp>
        <stp>N270660</stp>
        <stp>누적거래량</stp>
        <stp/>
        <stp/>
        <tr r="L539" s="1"/>
      </tp>
      <tp>
        <v>7296</v>
        <stp/>
        <stp>P</stp>
        <stp>0</stp>
        <stp>STK</stp>
        <stp>N033640</stp>
        <stp>누적거래량</stp>
        <stp/>
        <stp/>
        <tr r="L561" s="1"/>
      </tp>
      <tp>
        <v>11960</v>
        <stp/>
        <stp>P</stp>
        <stp>0</stp>
        <stp>STK</stp>
        <stp>N032640</stp>
        <stp>누적거래량</stp>
        <stp/>
        <stp/>
        <tr r="L87" s="3"/>
        <tr r="L96" s="1"/>
      </tp>
      <tp>
        <v>418</v>
        <stp/>
        <stp>P</stp>
        <stp>0</stp>
        <stp>STK</stp>
        <stp>N000640</stp>
        <stp>누적거래량</stp>
        <stp/>
        <stp/>
        <tr r="L264" s="3"/>
        <tr r="L394" s="1"/>
      </tp>
      <tp>
        <v>1775</v>
        <stp/>
        <stp>P</stp>
        <stp>0</stp>
        <stp>STK</stp>
        <stp>N180640</stp>
        <stp>누적거래량</stp>
        <stp/>
        <stp/>
        <tr r="L80" s="1"/>
        <tr r="L76" s="3"/>
      </tp>
      <tp>
        <v>123742</v>
        <stp/>
        <stp>P</stp>
        <stp>0</stp>
        <stp>STK</stp>
        <stp>N083650</stp>
        <stp>누적거래량</stp>
        <stp/>
        <stp/>
        <tr r="L212" s="1"/>
      </tp>
      <tp>
        <v>10158</v>
        <stp/>
        <stp>P</stp>
        <stp>0</stp>
        <stp>STK</stp>
        <stp>N469610</stp>
        <stp>누적거래량</stp>
        <stp/>
        <stp/>
        <tr r="L696" s="1"/>
      </tp>
      <tp>
        <v>9999</v>
        <stp/>
        <stp>P</stp>
        <stp>0</stp>
        <stp>STK</stp>
        <stp>N122640</stp>
        <stp>누적거래량</stp>
        <stp/>
        <stp/>
        <tr r="L541" s="1"/>
      </tp>
      <tp>
        <v>16207</v>
        <stp/>
        <stp>P</stp>
        <stp>0</stp>
        <stp>STK</stp>
        <stp>N319660</stp>
        <stp>누적거래량</stp>
        <stp/>
        <stp/>
        <tr r="L284" s="1"/>
      </tp>
      <tp>
        <v>5348</v>
        <stp/>
        <stp>P</stp>
        <stp>0</stp>
        <stp>STK</stp>
        <stp>N200670</stp>
        <stp>누적거래량</stp>
        <stp/>
        <stp/>
        <tr r="L507" s="1"/>
      </tp>
      <tp>
        <v>79868</v>
        <stp/>
        <stp>P</stp>
        <stp>0</stp>
        <stp>STK</stp>
        <stp>N107640</stp>
        <stp>누적거래량</stp>
        <stp/>
        <stp/>
        <tr r="L524" s="1"/>
      </tp>
      <tp>
        <v>2383</v>
        <stp/>
        <stp>P</stp>
        <stp>0</stp>
        <stp>STK</stp>
        <stp>N006650</stp>
        <stp>누적거래량</stp>
        <stp/>
        <stp/>
        <tr r="L225" s="3"/>
        <tr r="L306" s="1"/>
      </tp>
      <tp>
        <v>1279</v>
        <stp/>
        <stp>P</stp>
        <stp>0</stp>
        <stp>STK</stp>
        <stp>N095660</stp>
        <stp>누적거래량</stp>
        <stp/>
        <stp/>
        <tr r="L445" s="1"/>
      </tp>
      <tp>
        <v>279</v>
        <stp/>
        <stp>P</stp>
        <stp>0</stp>
        <stp>STK</stp>
        <stp>N081660</stp>
        <stp>누적거래량</stp>
        <stp/>
        <stp/>
        <tr r="L154" s="3"/>
        <tr r="L189" s="1"/>
      </tp>
      <tp>
        <v>69771</v>
        <stp/>
        <stp>P</stp>
        <stp>0</stp>
        <stp>STK</stp>
        <stp>N085660</stp>
        <stp>누적거래량</stp>
        <stp/>
        <stp/>
        <tr r="L268" s="1"/>
      </tp>
      <tp>
        <v>8691</v>
        <stp/>
        <stp>P</stp>
        <stp>0</stp>
        <stp>STK</stp>
        <stp>N389650</stp>
        <stp>누적거래량</stp>
        <stp/>
        <stp/>
        <tr r="L427" s="1"/>
      </tp>
      <tp>
        <v>781</v>
        <stp/>
        <stp>P</stp>
        <stp>0</stp>
        <stp>STK</stp>
        <stp>N065660</stp>
        <stp>누적거래량</stp>
        <stp/>
        <stp/>
        <tr r="L553" s="1"/>
      </tp>
      <tp>
        <v>267720</v>
        <stp/>
        <stp>P</stp>
        <stp>0</stp>
        <stp>STK</stp>
        <stp>N042660</stp>
        <stp>누적거래량</stp>
        <stp/>
        <stp/>
        <tr r="L19" s="3"/>
        <tr r="L20" s="1"/>
      </tp>
      <tp>
        <v>59572</v>
        <stp/>
        <stp>P</stp>
        <stp>0</stp>
        <stp>STK</stp>
        <stp>N229640</stp>
        <stp>누적거래량</stp>
        <stp/>
        <stp/>
        <tr r="L214" s="3"/>
        <tr r="L289" s="1"/>
      </tp>
      <tp>
        <v>235944</v>
        <stp/>
        <stp>P</stp>
        <stp>0</stp>
        <stp>STK</stp>
        <stp>N000660</stp>
        <stp>누적거래량</stp>
        <stp/>
        <stp/>
        <tr r="L7" s="1"/>
        <tr r="L7" s="3"/>
      </tp>
      <tp>
        <v>125710</v>
        <stp/>
        <stp>P</stp>
        <stp>0</stp>
        <stp>STK</stp>
        <stp>N007660</stp>
        <stp>누적거래량</stp>
        <stp/>
        <stp/>
        <tr r="L86" s="1"/>
        <tr r="L81" s="3"/>
      </tp>
      <tp>
        <v>8519</v>
        <stp/>
        <stp>P</stp>
        <stp>0</stp>
        <stp>STK</stp>
        <stp>N206640</stp>
        <stp>누적거래량</stp>
        <stp/>
        <stp/>
        <tr r="L629" s="1"/>
      </tp>
      <tp>
        <v>931</v>
        <stp/>
        <stp>P</stp>
        <stp>0</stp>
        <stp>STK</stp>
        <stp>N108670</stp>
        <stp>누적거래량</stp>
        <stp/>
        <stp/>
        <tr r="L665" s="1"/>
        <tr r="L369" s="3"/>
      </tp>
      <tp>
        <v>40535</v>
        <stp/>
        <stp>P</stp>
        <stp>0</stp>
        <stp>STK</stp>
        <stp>N290650</stp>
        <stp>누적거래량</stp>
        <stp/>
        <stp/>
        <tr r="L266" s="1"/>
      </tp>
      <tp>
        <v>37135</v>
        <stp/>
        <stp>P</stp>
        <stp>0</stp>
        <stp>STK</stp>
        <stp>N130660</stp>
        <stp>누적거래량</stp>
        <stp/>
        <stp/>
        <tr r="L321" s="3"/>
        <tr r="L518" s="1"/>
      </tp>
      <tp>
        <v>229536</v>
        <stp/>
        <stp>P</stp>
        <stp>0</stp>
        <stp>STK</stp>
        <stp>N028670</stp>
        <stp>누적거래량</stp>
        <stp/>
        <stp/>
        <tr r="L157" s="3"/>
        <tr r="L188" s="1"/>
      </tp>
      <tp>
        <v>84781</v>
        <stp/>
        <stp>P</stp>
        <stp>0</stp>
        <stp>STK</stp>
        <stp>N017670</stp>
        <stp>누적거래량</stp>
        <stp/>
        <stp/>
        <tr r="L61" s="3"/>
        <tr r="L63" s="1"/>
      </tp>
      <tp>
        <v>911</v>
        <stp/>
        <stp>P</stp>
        <stp>0</stp>
        <stp>STK</stp>
        <stp>N018670</stp>
        <stp>누적거래량</stp>
        <stp/>
        <stp/>
        <tr r="L206" s="1"/>
        <tr r="L167" s="3"/>
      </tp>
      <tp>
        <v>4003</v>
        <stp/>
        <stp>P</stp>
        <stp>0</stp>
        <stp>STK</stp>
        <stp>N000670</stp>
        <stp>누적거래량</stp>
        <stp/>
        <stp/>
        <tr r="L321" s="1"/>
        <tr r="L231" s="3"/>
      </tp>
      <tp>
        <v>289906</v>
        <stp/>
        <stp>P</stp>
        <stp>0</stp>
        <stp>STK</stp>
        <stp>N003670</stp>
        <stp>누적거래량</stp>
        <stp/>
        <stp/>
        <tr r="L46" s="1"/>
        <tr r="L43" s="3"/>
      </tp>
      <tp>
        <v>9414</v>
        <stp/>
        <stp>P</stp>
        <stp>0</stp>
        <stp>STK</stp>
        <stp>N206650</stp>
        <stp>누적거래량</stp>
        <stp/>
        <stp/>
        <tr r="L531" s="1"/>
      </tp>
      <tp>
        <v>639</v>
        <stp/>
        <stp>P</stp>
        <stp>0</stp>
        <stp>STK</stp>
        <stp>N065680</stp>
        <stp>누적거래량</stp>
        <stp/>
        <stp/>
        <tr r="L635" s="1"/>
      </tp>
      <tp>
        <v>6759</v>
        <stp/>
        <stp>P</stp>
        <stp>0</stp>
        <stp>STK</stp>
        <stp>N014680</stp>
        <stp>누적거래량</stp>
        <stp/>
        <stp/>
        <tr r="L152" s="1"/>
        <tr r="L129" s="3"/>
      </tp>
      <tp>
        <v>6778</v>
        <stp/>
        <stp>P</stp>
        <stp>0</stp>
        <stp>STK</stp>
        <stp>N001680</stp>
        <stp>누적거래량</stp>
        <stp/>
        <stp/>
        <tr r="L371" s="1"/>
        <tr r="L253" s="3"/>
      </tp>
      <tp>
        <v>309</v>
        <stp/>
        <stp>P</stp>
        <stp>0</stp>
        <stp>STK</stp>
        <stp>N009680</stp>
        <stp>누적거래량</stp>
        <stp/>
        <stp/>
        <tr r="L359" s="3"/>
        <tr r="L632" s="1"/>
      </tp>
      <tp>
        <v>145344</v>
        <stp/>
        <stp>P</stp>
        <stp>0</stp>
        <stp>STK</stp>
        <stp>N084690</stp>
        <stp>누적거래량</stp>
        <stp/>
        <stp/>
        <tr r="L587" s="1"/>
        <tr r="L342" s="3"/>
      </tp>
      <tp>
        <v>36024</v>
        <stp/>
        <stp>P</stp>
        <stp>0</stp>
        <stp>STK</stp>
        <stp>N052690</stp>
        <stp>누적거래량</stp>
        <stp/>
        <stp/>
        <tr r="L104" s="1"/>
        <tr r="L99" s="3"/>
      </tp>
      <tp>
        <v>167733</v>
        <stp/>
        <stp>P</stp>
        <stp>0</stp>
        <stp>STK</stp>
        <stp>N010690</stp>
        <stp>누적거래량</stp>
        <stp/>
        <stp/>
        <tr r="L560" s="1"/>
        <tr r="L335" s="3"/>
      </tp>
      <tp>
        <v>1995</v>
        <stp/>
        <stp>P</stp>
        <stp>0</stp>
        <stp>STK</stp>
        <stp>N003690</stp>
        <stp>누적거래량</stp>
        <stp/>
        <stp/>
        <tr r="L162" s="3"/>
        <tr r="L196" s="1"/>
      </tp>
      <tp>
        <v>406295</v>
        <stp/>
        <stp>P</stp>
        <stp>0</stp>
        <stp>STK</stp>
        <stp>N005690</stp>
        <stp>누적거래량</stp>
        <stp/>
        <stp/>
        <tr r="L246" s="3"/>
        <tr r="L358" s="1"/>
      </tp>
      <tp>
        <v>1055</v>
        <stp/>
        <stp>P</stp>
        <stp>0</stp>
        <stp>STK</stp>
        <stp>N004690</stp>
        <stp>누적거래량</stp>
        <stp/>
        <stp/>
        <tr r="L465" s="1"/>
        <tr r="L291" s="3"/>
      </tp>
      <tp>
        <v>768</v>
        <stp/>
        <stp>P</stp>
        <stp>0</stp>
        <stp>STK</stp>
        <stp>N007690</stp>
        <stp>누적거래량</stp>
        <stp/>
        <stp/>
        <tr r="L339" s="3"/>
        <tr r="L586" s="1"/>
      </tp>
      <tp>
        <v>15620</v>
        <stp/>
        <stp>P</stp>
        <stp>0</stp>
        <stp>STK</stp>
        <stp>N356680</stp>
        <stp>누적거래량</stp>
        <stp/>
        <stp/>
        <tr r="L694" s="1"/>
      </tp>
      <tp>
        <v>3974</v>
        <stp/>
        <stp>P</stp>
        <stp>0</stp>
        <stp>STK</stp>
        <stp>N237690</stp>
        <stp>누적거래량</stp>
        <stp/>
        <stp/>
        <tr r="L182" s="1"/>
      </tp>
      <tp>
        <v>10404</v>
        <stp/>
        <stp>P</stp>
        <stp>0</stp>
        <stp>STK</stp>
        <stp>N445680</stp>
        <stp>누적거래량</stp>
        <stp/>
        <stp/>
        <tr r="L204" s="1"/>
      </tp>
      <tp>
        <v>180000</v>
        <stp/>
        <stp>P</stp>
        <stp>0</stp>
        <stp>STK</stp>
        <stp>N298380</stp>
        <stp>시가</stp>
        <stp/>
        <stp/>
        <tr r="O73" s="1"/>
      </tp>
      <tp>
        <v>178000</v>
        <stp/>
        <stp>P</stp>
        <stp>0</stp>
        <stp>STK</stp>
        <stp>N298380</stp>
        <stp>저가</stp>
        <stp/>
        <stp/>
        <tr r="Q73" s="1"/>
      </tp>
      <tp>
        <v>182300</v>
        <stp/>
        <stp>P</stp>
        <stp>0</stp>
        <stp>STK</stp>
        <stp>N298380</stp>
        <stp>고가</stp>
        <stp/>
        <stp/>
        <tr r="P73" s="1"/>
      </tp>
      <tp>
        <v>15300</v>
        <stp/>
        <stp>P</stp>
        <stp>0</stp>
        <stp>STK</stp>
        <stp>N200880</stp>
        <stp>저가</stp>
        <stp/>
        <stp/>
        <tr r="Q503" s="1"/>
        <tr r="Q317" s="3"/>
      </tp>
      <tp>
        <v>15570</v>
        <stp/>
        <stp>P</stp>
        <stp>0</stp>
        <stp>STK</stp>
        <stp>N200880</stp>
        <stp>시가</stp>
        <stp/>
        <stp/>
        <tr r="O503" s="1"/>
        <tr r="O317" s="3"/>
      </tp>
      <tp>
        <v>15720</v>
        <stp/>
        <stp>P</stp>
        <stp>0</stp>
        <stp>STK</stp>
        <stp>N200880</stp>
        <stp>고가</stp>
        <stp/>
        <stp/>
        <tr r="P317" s="3"/>
        <tr r="P503" s="1"/>
      </tp>
      <tp>
        <v>9180</v>
        <stp/>
        <stp>P</stp>
        <stp>0</stp>
        <stp>STK</stp>
        <stp>N222080</stp>
        <stp>저가</stp>
        <stp/>
        <stp/>
        <tr r="Q438" s="1"/>
      </tp>
      <tp>
        <v>9690</v>
        <stp/>
        <stp>P</stp>
        <stp>0</stp>
        <stp>STK</stp>
        <stp>N222080</stp>
        <stp>시가</stp>
        <stp/>
        <stp/>
        <tr r="O438" s="1"/>
      </tp>
      <tp>
        <v>10380</v>
        <stp/>
        <stp>P</stp>
        <stp>0</stp>
        <stp>STK</stp>
        <stp>N222080</stp>
        <stp>고가</stp>
        <stp/>
        <stp/>
        <tr r="P438" s="1"/>
      </tp>
      <tp>
        <v>12650</v>
        <stp/>
        <stp>P</stp>
        <stp>0</stp>
        <stp>STK</stp>
        <stp>N237880</stp>
        <stp>저가</stp>
        <stp/>
        <stp/>
        <tr r="Q690" s="1"/>
      </tp>
      <tp>
        <v>12800</v>
        <stp/>
        <stp>P</stp>
        <stp>0</stp>
        <stp>STK</stp>
        <stp>N237880</stp>
        <stp>시가</stp>
        <stp/>
        <stp/>
        <tr r="O690" s="1"/>
      </tp>
      <tp>
        <v>12950</v>
        <stp/>
        <stp>P</stp>
        <stp>0</stp>
        <stp>STK</stp>
        <stp>N237880</stp>
        <stp>고가</stp>
        <stp/>
        <stp/>
        <tr r="P690" s="1"/>
      </tp>
      <tp>
        <v>136900</v>
        <stp/>
        <stp>P</stp>
        <stp>0</stp>
        <stp>STK</stp>
        <stp>N268280</stp>
        <stp>시가</stp>
        <stp/>
        <stp/>
        <tr r="O388" s="1"/>
        <tr r="O265" s="3"/>
      </tp>
      <tp>
        <v>34400</v>
        <stp/>
        <stp>P</stp>
        <stp>0</stp>
        <stp>STK</stp>
        <stp>N267980</stp>
        <stp>저가</stp>
        <stp/>
        <stp/>
        <tr r="Q655" s="1"/>
      </tp>
      <tp>
        <v>136400</v>
        <stp/>
        <stp>P</stp>
        <stp>0</stp>
        <stp>STK</stp>
        <stp>N268280</stp>
        <stp>저가</stp>
        <stp/>
        <stp/>
        <tr r="Q265" s="3"/>
        <tr r="Q388" s="1"/>
      </tp>
      <tp>
        <v>34650</v>
        <stp/>
        <stp>P</stp>
        <stp>0</stp>
        <stp>STK</stp>
        <stp>N267980</stp>
        <stp>시가</stp>
        <stp/>
        <stp/>
        <tr r="O655" s="1"/>
      </tp>
      <tp>
        <v>34900</v>
        <stp/>
        <stp>P</stp>
        <stp>0</stp>
        <stp>STK</stp>
        <stp>N267980</stp>
        <stp>고가</stp>
        <stp/>
        <stp/>
        <tr r="P655" s="1"/>
      </tp>
      <tp>
        <v>137100</v>
        <stp/>
        <stp>P</stp>
        <stp>0</stp>
        <stp>STK</stp>
        <stp>N268280</stp>
        <stp>고가</stp>
        <stp/>
        <stp/>
        <tr r="P388" s="1"/>
        <tr r="P265" s="3"/>
      </tp>
      <tp>
        <v>55200</v>
        <stp/>
        <stp>P</stp>
        <stp>0</stp>
        <stp>STK</stp>
        <stp>N278280</stp>
        <stp>시가</stp>
        <stp/>
        <stp/>
        <tr r="O434" s="1"/>
      </tp>
      <tp>
        <v>53100</v>
        <stp/>
        <stp>P</stp>
        <stp>0</stp>
        <stp>STK</stp>
        <stp>N278280</stp>
        <stp>저가</stp>
        <stp/>
        <stp/>
        <tr r="Q434" s="1"/>
      </tp>
      <tp>
        <v>55700</v>
        <stp/>
        <stp>P</stp>
        <stp>0</stp>
        <stp>STK</stp>
        <stp>N278280</stp>
        <stp>고가</stp>
        <stp/>
        <stp/>
        <tr r="P434" s="1"/>
      </tp>
      <tp>
        <v>723100</v>
        <stp/>
        <stp>P</stp>
        <stp>0</stp>
        <stp>STK</stp>
        <stp>N0007C0</stp>
        <stp>누적거래량</stp>
        <stp/>
        <stp/>
        <tr r="L685" s="1"/>
      </tp>
      <tp>
        <v>403</v>
        <stp/>
        <stp>P</stp>
        <stp>0</stp>
        <stp>STK</stp>
        <stp>N181710</stp>
        <stp>누적거래량</stp>
        <stp/>
        <stp/>
        <tr r="L316" s="1"/>
        <tr r="L230" s="3"/>
      </tp>
      <tp>
        <v>97805</v>
        <stp/>
        <stp>P</stp>
        <stp>0</stp>
        <stp>STK</stp>
        <stp>N257720</stp>
        <stp>누적거래량</stp>
        <stp/>
        <stp/>
        <tr r="L156" s="1"/>
      </tp>
      <tp>
        <v>87332</v>
        <stp/>
        <stp>P</stp>
        <stp>0</stp>
        <stp>STK</stp>
        <stp>N042700</stp>
        <stp>누적거래량</stp>
        <stp/>
        <stp/>
        <tr r="L51" s="1"/>
        <tr r="L51" s="3"/>
      </tp>
      <tp>
        <v>16834</v>
        <stp/>
        <stp>P</stp>
        <stp>0</stp>
        <stp>STK</stp>
        <stp>N102710</stp>
        <stp>누적거래량</stp>
        <stp/>
        <stp/>
        <tr r="L398" s="1"/>
      </tp>
      <tp>
        <v>2615</v>
        <stp/>
        <stp>P</stp>
        <stp>0</stp>
        <stp>STK</stp>
        <stp>N004700</stp>
        <stp>누적거래량</stp>
        <stp/>
        <stp/>
        <tr r="L306" s="3"/>
        <tr r="L497" s="1"/>
      </tp>
      <tp>
        <v>1032</v>
        <stp/>
        <stp>P</stp>
        <stp>0</stp>
        <stp>STK</stp>
        <stp>N007700</stp>
        <stp>누적거래량</stp>
        <stp/>
        <stp/>
        <tr r="L362" s="1"/>
        <tr r="L249" s="3"/>
      </tp>
      <tp>
        <v>3924</v>
        <stp/>
        <stp>P</stp>
        <stp>0</stp>
        <stp>STK</stp>
        <stp>N194700</stp>
        <stp>누적거래량</stp>
        <stp/>
        <stp/>
        <tr r="L668" s="1"/>
      </tp>
      <tp>
        <v>27344</v>
        <stp/>
        <stp>P</stp>
        <stp>0</stp>
        <stp>STK</stp>
        <stp>N399720</stp>
        <stp>누적거래량</stp>
        <stp/>
        <stp/>
        <tr r="L383" s="1"/>
      </tp>
      <tp>
        <v>53656</v>
        <stp/>
        <stp>P</stp>
        <stp>0</stp>
        <stp>STK</stp>
        <stp>N388720</stp>
        <stp>누적거래량</stp>
        <stp/>
        <stp/>
        <tr r="L283" s="1"/>
      </tp>
      <tp>
        <v>220</v>
        <stp/>
        <stp>P</stp>
        <stp>0</stp>
        <stp>STK</stp>
        <stp>N072710</stp>
        <stp>누적거래량</stp>
        <stp/>
        <stp/>
        <tr r="L536" s="1"/>
        <tr r="L320" s="3"/>
      </tp>
      <tp>
        <v>200</v>
        <stp/>
        <stp>P</stp>
        <stp>0</stp>
        <stp>STK</stp>
        <stp>N037710</stp>
        <stp>누적거래량</stp>
        <stp/>
        <stp/>
        <tr r="L673" s="1"/>
        <tr r="L374" s="3"/>
      </tp>
      <tp>
        <v>1917</v>
        <stp/>
        <stp>P</stp>
        <stp>0</stp>
        <stp>STK</stp>
        <stp>N300720</stp>
        <stp>누적거래량</stp>
        <stp/>
        <stp/>
        <tr r="L279" s="1"/>
        <tr r="L211" s="3"/>
      </tp>
      <tp>
        <v>310375</v>
        <stp/>
        <stp>P</stp>
        <stp>0</stp>
        <stp>STK</stp>
        <stp>N002710</stp>
        <stp>누적거래량</stp>
        <stp/>
        <stp/>
        <tr r="L567" s="1"/>
        <tr r="L324" s="3"/>
      </tp>
      <tp>
        <v>191</v>
        <stp/>
        <stp>P</stp>
        <stp>0</stp>
        <stp>STK</stp>
        <stp>N005710</stp>
        <stp>누적거래량</stp>
        <stp/>
        <stp/>
        <tr r="L656" s="1"/>
      </tp>
      <tp>
        <v>1</v>
        <stp/>
        <stp>P</stp>
        <stp>0</stp>
        <stp>STK</stp>
        <stp>N104700</stp>
        <stp>누적거래량</stp>
        <stp/>
        <stp/>
        <tr r="L565" s="1"/>
        <tr r="L332" s="3"/>
      </tp>
      <tp>
        <v>52244</v>
        <stp/>
        <stp>P</stp>
        <stp>0</stp>
        <stp>STK</stp>
        <stp>N060720</stp>
        <stp>누적거래량</stp>
        <stp/>
        <stp/>
        <tr r="L570" s="1"/>
      </tp>
      <tp>
        <v>175162</v>
        <stp/>
        <stp>P</stp>
        <stp>0</stp>
        <stp>STK</stp>
        <stp>N035720</stp>
        <stp>누적거래량</stp>
        <stp/>
        <stp/>
        <tr r="L32" s="3"/>
        <tr r="L32" s="1"/>
      </tp>
      <tp>
        <v>5590</v>
        <stp/>
        <stp>P</stp>
        <stp>0</stp>
        <stp>STK</stp>
        <stp>N024720</stp>
        <stp>누적거래량</stp>
        <stp/>
        <stp/>
        <tr r="L602" s="1"/>
        <tr r="L348" s="3"/>
      </tp>
      <tp>
        <v>357229</v>
        <stp/>
        <stp>P</stp>
        <stp>0</stp>
        <stp>STK</stp>
        <stp>N117730</stp>
        <stp>누적거래량</stp>
        <stp/>
        <stp/>
        <tr r="L411" s="1"/>
      </tp>
      <tp>
        <v>7348</v>
        <stp/>
        <stp>P</stp>
        <stp>0</stp>
        <stp>STK</stp>
        <stp>N001720</stp>
        <stp>누적거래량</stp>
        <stp/>
        <stp/>
        <tr r="L181" s="1"/>
        <tr r="L155" s="3"/>
      </tp>
      <tp>
        <v>845</v>
        <stp/>
        <stp>P</stp>
        <stp>0</stp>
        <stp>STK</stp>
        <stp>N101730</stp>
        <stp>누적거래량</stp>
        <stp/>
        <stp/>
        <tr r="L472" s="1"/>
      </tp>
      <tp>
        <v>178432</v>
        <stp/>
        <stp>P</stp>
        <stp>0</stp>
        <stp>STK</stp>
        <stp>N000720</stp>
        <stp>누적거래량</stp>
        <stp/>
        <stp/>
        <tr r="L65" s="1"/>
        <tr r="L63" s="3"/>
      </tp>
      <tp>
        <v>10027</v>
        <stp/>
        <stp>P</stp>
        <stp>0</stp>
        <stp>STK</stp>
        <stp>N309710</stp>
        <stp>누적거래량</stp>
        <stp/>
        <stp/>
        <tr r="L514" s="1"/>
      </tp>
      <tp>
        <v>2963</v>
        <stp/>
        <stp>P</stp>
        <stp>0</stp>
        <stp>STK</stp>
        <stp>N092730</stp>
        <stp>누적거래량</stp>
        <stp/>
        <stp/>
        <tr r="L645" s="1"/>
      </tp>
      <tp>
        <v>5206</v>
        <stp/>
        <stp>P</stp>
        <stp>0</stp>
        <stp>STK</stp>
        <stp>N241710</stp>
        <stp>누적거래량</stp>
        <stp/>
        <stp/>
        <tr r="L357" s="1"/>
      </tp>
      <tp>
        <v>593</v>
        <stp/>
        <stp>P</stp>
        <stp>0</stp>
        <stp>STK</stp>
        <stp>N145720</stp>
        <stp>누적거래량</stp>
        <stp/>
        <stp/>
        <tr r="L290" s="3"/>
        <tr r="L467" s="1"/>
      </tp>
      <tp>
        <v>12167</v>
        <stp/>
        <stp>P</stp>
        <stp>0</stp>
        <stp>STK</stp>
        <stp>N034730</stp>
        <stp>누적거래량</stp>
        <stp/>
        <stp/>
        <tr r="L37" s="3"/>
        <tr r="L38" s="1"/>
      </tp>
      <tp>
        <v>6750</v>
        <stp/>
        <stp>P</stp>
        <stp>0</stp>
        <stp>STK</stp>
        <stp>N420770</stp>
        <stp>누적거래량</stp>
        <stp/>
        <stp/>
        <tr r="L384" s="1"/>
      </tp>
      <tp>
        <v>2948</v>
        <stp/>
        <stp>P</stp>
        <stp>0</stp>
        <stp>STK</stp>
        <stp>N126720</stp>
        <stp>누적거래량</stp>
        <stp/>
        <stp/>
        <tr r="L544" s="1"/>
        <tr r="L327" s="3"/>
      </tp>
      <tp>
        <v>30661</v>
        <stp/>
        <stp>P</stp>
        <stp>0</stp>
        <stp>STK</stp>
        <stp>N200710</stp>
        <stp>누적거래량</stp>
        <stp/>
        <stp/>
        <tr r="L491" s="1"/>
      </tp>
      <tp>
        <v>523954</v>
        <stp/>
        <stp>P</stp>
        <stp>0</stp>
        <stp>STK</stp>
        <stp>N006730</stp>
        <stp>누적거래량</stp>
        <stp/>
        <stp/>
        <tr r="L323" s="1"/>
      </tp>
      <tp>
        <v>33581</v>
        <stp/>
        <stp>P</stp>
        <stp>0</stp>
        <stp>STK</stp>
        <stp>N008730</stp>
        <stp>누적거래량</stp>
        <stp/>
        <stp/>
        <tr r="L262" s="3"/>
        <tr r="L397" s="1"/>
      </tp>
      <tp>
        <v>63016</v>
        <stp/>
        <stp>P</stp>
        <stp>0</stp>
        <stp>STK</stp>
        <stp>N082740</stp>
        <stp>누적거래량</stp>
        <stp/>
        <stp/>
        <tr r="L116" s="1"/>
        <tr r="L110" s="3"/>
      </tp>
      <tp>
        <v>387</v>
        <stp/>
        <stp>P</stp>
        <stp>0</stp>
        <stp>STK</stp>
        <stp>N185750</stp>
        <stp>누적거래량</stp>
        <stp/>
        <stp/>
        <tr r="L218" s="3"/>
        <tr r="L290" s="1"/>
      </tp>
      <tp>
        <v>2243</v>
        <stp/>
        <stp>P</stp>
        <stp>0</stp>
        <stp>STK</stp>
        <stp>N176750</stp>
        <stp>누적거래량</stp>
        <stp/>
        <stp/>
        <tr r="L675" s="1"/>
      </tp>
      <tp>
        <v>11659</v>
        <stp/>
        <stp>P</stp>
        <stp>0</stp>
        <stp>STK</stp>
        <stp>N228760</stp>
        <stp>누적거래량</stp>
        <stp/>
        <stp/>
        <tr r="L449" s="1"/>
      </tp>
      <tp>
        <v>138</v>
        <stp/>
        <stp>P</stp>
        <stp>0</stp>
        <stp>STK</stp>
        <stp>N241770</stp>
        <stp>누적거래량</stp>
        <stp/>
        <stp/>
        <tr r="L683" s="1"/>
      </tp>
      <tp>
        <v>263</v>
        <stp/>
        <stp>P</stp>
        <stp>0</stp>
        <stp>STK</stp>
        <stp>N012750</stp>
        <stp>누적거래량</stp>
        <stp/>
        <stp/>
        <tr r="L153" s="1"/>
        <tr r="L132" s="3"/>
      </tp>
      <tp>
        <v>248862</v>
        <stp/>
        <stp>P</stp>
        <stp>0</stp>
        <stp>STK</stp>
        <stp>N015750</stp>
        <stp>누적거래량</stp>
        <stp/>
        <stp/>
        <tr r="L404" s="1"/>
      </tp>
      <tp>
        <v>1121</v>
        <stp/>
        <stp>P</stp>
        <stp>0</stp>
        <stp>STK</stp>
        <stp>N001750</stp>
        <stp>누적거래량</stp>
        <stp/>
        <stp/>
        <tr r="L682" s="1"/>
        <tr r="L377" s="3"/>
      </tp>
      <tp>
        <v>3175449</v>
        <stp/>
        <stp>P</stp>
        <stp>0</stp>
        <stp>STK</stp>
        <stp>N281740</stp>
        <stp>누적거래량</stp>
        <stp/>
        <stp/>
        <tr r="L288" s="1"/>
      </tp>
      <tp>
        <v>615</v>
        <stp/>
        <stp>P</stp>
        <stp>0</stp>
        <stp>STK</stp>
        <stp>N284740</stp>
        <stp>누적거래량</stp>
        <stp/>
        <stp/>
        <tr r="L292" s="3"/>
        <tr r="L470" s="1"/>
      </tp>
      <tp>
        <v>2796</v>
        <stp/>
        <stp>P</stp>
        <stp>0</stp>
        <stp>STK</stp>
        <stp>N064760</stp>
        <stp>누적거래량</stp>
        <stp/>
        <stp/>
        <tr r="L215" s="1"/>
      </tp>
      <tp>
        <v>5727</v>
        <stp/>
        <stp>P</stp>
        <stp>0</stp>
        <stp>STK</stp>
        <stp>N068760</stp>
        <stp>누적거래량</stp>
        <stp/>
        <stp/>
        <tr r="L168" s="1"/>
      </tp>
      <tp>
        <v>3764</v>
        <stp/>
        <stp>P</stp>
        <stp>0</stp>
        <stp>STK</stp>
        <stp>N035760</stp>
        <stp>누적거래량</stp>
        <stp/>
        <stp/>
        <tr r="L260" s="1"/>
      </tp>
      <tp>
        <v>6253</v>
        <stp/>
        <stp>P</stp>
        <stp>0</stp>
        <stp>STK</stp>
        <stp>N011760</stp>
        <stp>누적거래량</stp>
        <stp/>
        <stp/>
        <tr r="L636" s="1"/>
        <tr r="L361" s="3"/>
      </tp>
      <tp>
        <v>432</v>
        <stp/>
        <stp>P</stp>
        <stp>0</stp>
        <stp>STK</stp>
        <stp>N111770</stp>
        <stp>누적거래량</stp>
        <stp/>
        <stp/>
        <tr r="L135" s="1"/>
        <tr r="L120" s="3"/>
      </tp>
      <tp>
        <v>797711</v>
        <stp/>
        <stp>P</stp>
        <stp>0</stp>
        <stp>STK</stp>
        <stp>N015760</stp>
        <stp>누적거래량</stp>
        <stp/>
        <stp/>
        <tr r="L21" s="1"/>
        <tr r="L20" s="3"/>
      </tp>
      <tp>
        <v>107420</v>
        <stp/>
        <stp>P</stp>
        <stp>0</stp>
        <stp>STK</stp>
        <stp>N096770</stp>
        <stp>누적거래량</stp>
        <stp/>
        <stp/>
        <tr r="L45" s="3"/>
        <tr r="L47" s="1"/>
      </tp>
      <tp>
        <v>29535</v>
        <stp/>
        <stp>P</stp>
        <stp>0</stp>
        <stp>STK</stp>
        <stp>N263750</stp>
        <stp>누적거래량</stp>
        <stp/>
        <stp/>
        <tr r="L162" s="1"/>
      </tp>
      <tp>
        <v>75722</v>
        <stp/>
        <stp>P</stp>
        <stp>0</stp>
        <stp>STK</stp>
        <stp>N437730</stp>
        <stp>누적거래량</stp>
        <stp/>
        <stp/>
        <tr r="L192" s="1"/>
      </tp>
      <tp>
        <v>364</v>
        <stp/>
        <stp>P</stp>
        <stp>0</stp>
        <stp>STK</stp>
        <stp>N025770</stp>
        <stp>누적거래량</stp>
        <stp/>
        <stp/>
        <tr r="L633" s="1"/>
      </tp>
      <tp>
        <v>8220</v>
        <stp/>
        <stp>P</stp>
        <stp>0</stp>
        <stp>STK</stp>
        <stp>N008770</stp>
        <stp>누적거래량</stp>
        <stp/>
        <stp/>
        <tr r="L179" s="3"/>
        <tr r="L226" s="1"/>
      </tp>
      <tp>
        <v>2460</v>
        <stp/>
        <stp>P</stp>
        <stp>0</stp>
        <stp>STK</stp>
        <stp>N033780</stp>
        <stp>누적거래량</stp>
        <stp/>
        <stp/>
        <tr r="L48" s="3"/>
        <tr r="L49" s="1"/>
      </tp>
      <tp>
        <v>1815</v>
        <stp/>
        <stp>P</stp>
        <stp>0</stp>
        <stp>STK</stp>
        <stp>N029780</stp>
        <stp>누적거래량</stp>
        <stp/>
        <stp/>
        <tr r="L98" s="1"/>
        <tr r="L92" s="3"/>
      </tp>
      <tp>
        <v>8047</v>
        <stp/>
        <stp>P</stp>
        <stp>0</stp>
        <stp>STK</stp>
        <stp>N011780</stp>
        <stp>누적거래량</stp>
        <stp/>
        <stp/>
        <tr r="L133" s="1"/>
        <tr r="L117" s="3"/>
      </tp>
      <tp>
        <v>3739</v>
        <stp/>
        <stp>P</stp>
        <stp>0</stp>
        <stp>STK</stp>
        <stp>N010780</stp>
        <stp>누적거래량</stp>
        <stp/>
        <stp/>
        <tr r="L395" s="1"/>
        <tr r="L266" s="3"/>
      </tp>
      <tp>
        <v>307318</v>
        <stp/>
        <stp>P</stp>
        <stp>0</stp>
        <stp>STK</stp>
        <stp>N100790</stp>
        <stp>누적거래량</stp>
        <stp/>
        <stp/>
        <tr r="L390" s="1"/>
      </tp>
      <tp>
        <v>190598</v>
        <stp/>
        <stp>P</stp>
        <stp>0</stp>
        <stp>STK</stp>
        <stp>N092790</stp>
        <stp>누적거래량</stp>
        <stp/>
        <stp/>
        <tr r="L351" s="3"/>
        <tr r="L607" s="1"/>
      </tp>
      <tp>
        <v>16355</v>
        <stp/>
        <stp>P</stp>
        <stp>0</stp>
        <stp>STK</stp>
        <stp>N086790</stp>
        <stp>누적거래량</stp>
        <stp/>
        <stp/>
        <tr r="L29" s="1"/>
        <tr r="L30" s="3"/>
      </tp>
      <tp>
        <v>116592</v>
        <stp/>
        <stp>P</stp>
        <stp>0</stp>
        <stp>STK</stp>
        <stp>N011790</stp>
        <stp>누적거래량</stp>
        <stp/>
        <stp/>
        <tr r="L123" s="1"/>
        <tr r="L111" s="3"/>
      </tp>
      <tp>
        <v>11915</v>
        <stp/>
        <stp>P</stp>
        <stp>0</stp>
        <stp>STK</stp>
        <stp>N002790</stp>
        <stp>누적거래량</stp>
        <stp/>
        <stp/>
        <tr r="L166" s="3"/>
        <tr r="L207" s="1"/>
      </tp>
      <tp>
        <v>1888</v>
        <stp/>
        <stp>P</stp>
        <stp>0</stp>
        <stp>STK</stp>
        <stp>N357780</stp>
        <stp>누적거래량</stp>
        <stp/>
        <stp/>
        <tr r="L167" s="1"/>
      </tp>
      <tp>
        <v>2215</v>
        <stp/>
        <stp>P</stp>
        <stp>0</stp>
        <stp>STK</stp>
        <stp>N499790</stp>
        <stp>누적거래량</stp>
        <stp/>
        <stp/>
        <tr r="L237" s="3"/>
        <tr r="L359" s="1"/>
      </tp>
      <tp>
        <v>85416</v>
        <stp/>
        <stp>P</stp>
        <stp>0</stp>
        <stp>STK</stp>
        <stp>N489790</stp>
        <stp>누적거래량</stp>
        <stp/>
        <stp/>
        <tr r="L170" s="1"/>
        <tr r="L139" s="3"/>
      </tp>
      <tp>
        <v>17330</v>
        <stp/>
        <stp>P</stp>
        <stp>0</stp>
        <stp>STK</stp>
        <stp>N389260</stp>
        <stp>시가</stp>
        <stp/>
        <stp/>
        <tr r="O612" s="1"/>
      </tp>
      <tp>
        <v>25800</v>
        <stp/>
        <stp>P</stp>
        <stp>0</stp>
        <stp>STK</stp>
        <stp>N083450</stp>
        <stp>저가</stp>
        <stp/>
        <stp/>
        <tr r="Q477" s="1"/>
      </tp>
      <tp>
        <v>61300</v>
        <stp/>
        <stp>P</stp>
        <stp>0</stp>
        <stp>STK</stp>
        <stp>N083650</stp>
        <stp>저가</stp>
        <stp/>
        <stp/>
        <tr r="Q212" s="1"/>
      </tp>
      <tp>
        <v>3220</v>
        <stp/>
        <stp>P</stp>
        <stp>0</stp>
        <stp>STK</stp>
        <stp>N088350</stp>
        <stp>시가</stp>
        <stp/>
        <stp/>
        <tr r="O161" s="1"/>
        <tr r="O137" s="3"/>
      </tp>
      <tp>
        <v>129300</v>
        <stp/>
        <stp>P</stp>
        <stp>0</stp>
        <stp>STK</stp>
        <stp>N180640</stp>
        <stp>저가</stp>
        <stp/>
        <stp/>
        <tr r="Q76" s="3"/>
        <tr r="Q80" s="1"/>
      </tp>
      <tp>
        <v>16600</v>
        <stp/>
        <stp>P</stp>
        <stp>0</stp>
        <stp>STK</stp>
        <stp>N086450</stp>
        <stp>저가</stp>
        <stp/>
        <stp/>
        <tr r="Q368" s="1"/>
      </tp>
      <tp>
        <v>9210</v>
        <stp/>
        <stp>P</stp>
        <stp>0</stp>
        <stp>STK</stp>
        <stp>N084850</stp>
        <stp>저가</stp>
        <stp/>
        <stp/>
        <tr r="Q695" s="1"/>
      </tp>
      <tp>
        <v>23100</v>
        <stp/>
        <stp>P</stp>
        <stp>0</stp>
        <stp>STK</stp>
        <stp>N484810</stp>
        <stp>저가</stp>
        <stp/>
        <stp/>
        <tr r="Q559" s="1"/>
      </tp>
      <tp>
        <v>132100</v>
        <stp/>
        <stp>P</stp>
        <stp>0</stp>
        <stp>STK</stp>
        <stp>N180640</stp>
        <stp>시가</stp>
        <stp/>
        <stp/>
        <tr r="O80" s="1"/>
        <tr r="O76" s="3"/>
      </tp>
      <tp>
        <v>26000</v>
        <stp/>
        <stp>P</stp>
        <stp>0</stp>
        <stp>STK</stp>
        <stp>N083450</stp>
        <stp>시가</stp>
        <stp/>
        <stp/>
        <tr r="O477" s="1"/>
      </tp>
      <tp>
        <v>63400</v>
        <stp/>
        <stp>P</stp>
        <stp>0</stp>
        <stp>STK</stp>
        <stp>N083650</stp>
        <stp>시가</stp>
        <stp/>
        <stp/>
        <tr r="O212" s="1"/>
      </tp>
      <tp>
        <v>17330</v>
        <stp/>
        <stp>P</stp>
        <stp>0</stp>
        <stp>STK</stp>
        <stp>N389260</stp>
        <stp>저가</stp>
        <stp/>
        <stp/>
        <tr r="Q612" s="1"/>
      </tp>
      <tp>
        <v>3220</v>
        <stp/>
        <stp>P</stp>
        <stp>0</stp>
        <stp>STK</stp>
        <stp>N088350</stp>
        <stp>저가</stp>
        <stp/>
        <stp/>
        <tr r="Q161" s="1"/>
        <tr r="Q137" s="3"/>
      </tp>
      <tp>
        <v>9480</v>
        <stp/>
        <stp>P</stp>
        <stp>0</stp>
        <stp>STK</stp>
        <stp>N084850</stp>
        <stp>시가</stp>
        <stp/>
        <stp/>
        <tr r="O695" s="1"/>
      </tp>
      <tp>
        <v>23600</v>
        <stp/>
        <stp>P</stp>
        <stp>0</stp>
        <stp>STK</stp>
        <stp>N484810</stp>
        <stp>시가</stp>
        <stp/>
        <stp/>
        <tr r="O559" s="1"/>
      </tp>
      <tp>
        <v>16680</v>
        <stp/>
        <stp>P</stp>
        <stp>0</stp>
        <stp>STK</stp>
        <stp>N086450</stp>
        <stp>시가</stp>
        <stp/>
        <stp/>
        <tr r="O368" s="1"/>
      </tp>
      <tp>
        <v>16680</v>
        <stp/>
        <stp>P</stp>
        <stp>0</stp>
        <stp>STK</stp>
        <stp>N086450</stp>
        <stp>고가</stp>
        <stp/>
        <stp/>
        <tr r="P368" s="1"/>
      </tp>
      <tp>
        <v>9480</v>
        <stp/>
        <stp>P</stp>
        <stp>0</stp>
        <stp>STK</stp>
        <stp>N084850</stp>
        <stp>고가</stp>
        <stp/>
        <stp/>
        <tr r="P695" s="1"/>
      </tp>
      <tp>
        <v>24250</v>
        <stp/>
        <stp>P</stp>
        <stp>0</stp>
        <stp>STK</stp>
        <stp>N484810</stp>
        <stp>고가</stp>
        <stp/>
        <stp/>
        <tr r="P559" s="1"/>
      </tp>
      <tp>
        <v>26000</v>
        <stp/>
        <stp>P</stp>
        <stp>0</stp>
        <stp>STK</stp>
        <stp>N083450</stp>
        <stp>고가</stp>
        <stp/>
        <stp/>
        <tr r="P477" s="1"/>
      </tp>
      <tp>
        <v>63900</v>
        <stp/>
        <stp>P</stp>
        <stp>0</stp>
        <stp>STK</stp>
        <stp>N083650</stp>
        <stp>고가</stp>
        <stp/>
        <stp/>
        <tr r="P212" s="1"/>
      </tp>
      <tp>
        <v>132100</v>
        <stp/>
        <stp>P</stp>
        <stp>0</stp>
        <stp>STK</stp>
        <stp>N180640</stp>
        <stp>고가</stp>
        <stp/>
        <stp/>
        <tr r="P80" s="1"/>
        <tr r="P76" s="3"/>
      </tp>
      <tp>
        <v>17770</v>
        <stp/>
        <stp>P</stp>
        <stp>0</stp>
        <stp>STK</stp>
        <stp>N389260</stp>
        <stp>고가</stp>
        <stp/>
        <stp/>
        <tr r="P612" s="1"/>
      </tp>
      <tp>
        <v>3270</v>
        <stp/>
        <stp>P</stp>
        <stp>0</stp>
        <stp>STK</stp>
        <stp>N088350</stp>
        <stp>고가</stp>
        <stp/>
        <stp/>
        <tr r="P137" s="3"/>
        <tr r="P161" s="1"/>
      </tp>
      <tp>
        <v>17260</v>
        <stp/>
        <stp>P</stp>
        <stp>0</stp>
        <stp>STK</stp>
        <stp>N093050</stp>
        <stp>저가</stp>
        <stp/>
        <stp/>
        <tr r="Q468" s="1"/>
        <tr r="Q293" s="3"/>
      </tp>
      <tp>
        <v>214500</v>
        <stp/>
        <stp>P</stp>
        <stp>0</stp>
        <stp>STK</stp>
        <stp>N097950</stp>
        <stp>저가</stp>
        <stp/>
        <stp/>
        <tr r="Q128" s="3"/>
        <tr r="Q147" s="1"/>
      </tp>
      <tp>
        <v>47900</v>
        <stp/>
        <stp>P</stp>
        <stp>0</stp>
        <stp>STK</stp>
        <stp>N195940</stp>
        <stp>저가</stp>
        <stp/>
        <stp/>
        <tr r="Q262" s="1"/>
      </tp>
      <tp>
        <v>20250</v>
        <stp/>
        <stp>P</stp>
        <stp>0</stp>
        <stp>STK</stp>
        <stp>N294870</stp>
        <stp>저가</stp>
        <stp/>
        <stp/>
        <tr r="Q264" s="1"/>
        <tr r="Q202" s="3"/>
      </tp>
      <tp>
        <v>27050</v>
        <stp/>
        <stp>P</stp>
        <stp>0</stp>
        <stp>STK</stp>
        <stp>N294570</stp>
        <stp>저가</stp>
        <stp/>
        <stp/>
        <tr r="Q647" s="1"/>
      </tp>
      <tp>
        <v>17270</v>
        <stp/>
        <stp>P</stp>
        <stp>0</stp>
        <stp>STK</stp>
        <stp>N093050</stp>
        <stp>시가</stp>
        <stp/>
        <stp/>
        <tr r="O468" s="1"/>
        <tr r="O293" s="3"/>
      </tp>
      <tp>
        <v>47950</v>
        <stp/>
        <stp>P</stp>
        <stp>0</stp>
        <stp>STK</stp>
        <stp>N195940</stp>
        <stp>시가</stp>
        <stp/>
        <stp/>
        <tr r="O262" s="1"/>
      </tp>
      <tp>
        <v>27200</v>
        <stp/>
        <stp>P</stp>
        <stp>0</stp>
        <stp>STK</stp>
        <stp>N294570</stp>
        <stp>시가</stp>
        <stp/>
        <stp/>
        <tr r="O647" s="1"/>
      </tp>
      <tp>
        <v>20300</v>
        <stp/>
        <stp>P</stp>
        <stp>0</stp>
        <stp>STK</stp>
        <stp>N294870</stp>
        <stp>시가</stp>
        <stp/>
        <stp/>
        <tr r="O264" s="1"/>
        <tr r="O202" s="3"/>
      </tp>
      <tp>
        <v>215500</v>
        <stp/>
        <stp>P</stp>
        <stp>0</stp>
        <stp>STK</stp>
        <stp>N097950</stp>
        <stp>시가</stp>
        <stp/>
        <stp/>
        <tr r="O128" s="3"/>
        <tr r="O147" s="1"/>
      </tp>
      <tp>
        <v>219000</v>
        <stp/>
        <stp>P</stp>
        <stp>0</stp>
        <stp>STK</stp>
        <stp>N097950</stp>
        <stp>고가</stp>
        <stp/>
        <stp/>
        <tr r="P147" s="1"/>
        <tr r="P128" s="3"/>
      </tp>
      <tp>
        <v>48150</v>
        <stp/>
        <stp>P</stp>
        <stp>0</stp>
        <stp>STK</stp>
        <stp>N195940</stp>
        <stp>고가</stp>
        <stp/>
        <stp/>
        <tr r="P262" s="1"/>
      </tp>
      <tp>
        <v>20400</v>
        <stp/>
        <stp>P</stp>
        <stp>0</stp>
        <stp>STK</stp>
        <stp>N294870</stp>
        <stp>고가</stp>
        <stp/>
        <stp/>
        <tr r="P202" s="3"/>
        <tr r="P264" s="1"/>
      </tp>
      <tp>
        <v>27300</v>
        <stp/>
        <stp>P</stp>
        <stp>0</stp>
        <stp>STK</stp>
        <stp>N294570</stp>
        <stp>고가</stp>
        <stp/>
        <stp/>
        <tr r="P647" s="1"/>
      </tp>
      <tp>
        <v>17480</v>
        <stp/>
        <stp>P</stp>
        <stp>0</stp>
        <stp>STK</stp>
        <stp>N093050</stp>
        <stp>고가</stp>
        <stp/>
        <stp/>
        <tr r="P468" s="1"/>
        <tr r="P293" s="3"/>
      </tp>
      <tp>
        <v>56300</v>
        <stp/>
        <stp>P</stp>
        <stp>0</stp>
        <stp>STK</stp>
        <stp>N009450</stp>
        <stp>시가</stp>
        <stp/>
        <stp/>
        <tr r="O243" s="3"/>
        <tr r="O348" s="1"/>
      </tp>
      <tp>
        <v>284000</v>
        <stp/>
        <stp>P</stp>
        <stp>0</stp>
        <stp>STK</stp>
        <stp>N009150</stp>
        <stp>시가</stp>
        <stp/>
        <stp/>
        <tr r="O39" s="1"/>
        <tr r="O39" s="3"/>
      </tp>
      <tp>
        <v>8920</v>
        <stp/>
        <stp>P</stp>
        <stp>0</stp>
        <stp>STK</stp>
        <stp>N003850</stp>
        <stp>저가</stp>
        <stp/>
        <stp/>
        <tr r="Q254" s="3"/>
        <tr r="Q366" s="1"/>
      </tp>
      <tp>
        <v>119000</v>
        <stp/>
        <stp>P</stp>
        <stp>0</stp>
        <stp>STK</stp>
        <stp>N103140</stp>
        <stp>저가</stp>
        <stp/>
        <stp/>
        <tr r="Q124" s="3"/>
        <tr r="Q141" s="1"/>
      </tp>
      <tp>
        <v>88800</v>
        <stp/>
        <stp>P</stp>
        <stp>0</stp>
        <stp>STK</stp>
        <stp>N003550</stp>
        <stp>저가</stp>
        <stp/>
        <stp/>
        <tr r="Q58" s="3"/>
        <tr r="Q62" s="1"/>
      </tp>
      <tp>
        <v>49200</v>
        <stp/>
        <stp>P</stp>
        <stp>0</stp>
        <stp>STK</stp>
        <stp>N102940</stp>
        <stp>저가</stp>
        <stp/>
        <stp/>
        <tr r="Q424" s="1"/>
      </tp>
      <tp>
        <v>27500</v>
        <stp/>
        <stp>P</stp>
        <stp>0</stp>
        <stp>STK</stp>
        <stp>N001450</stp>
        <stp>저가</stp>
        <stp/>
        <stp/>
        <tr r="Q151" s="3"/>
        <tr r="Q180" s="1"/>
      </tp>
      <tp>
        <v>18630</v>
        <stp/>
        <stp>P</stp>
        <stp>0</stp>
        <stp>STK</stp>
        <stp>N001750</stp>
        <stp>저가</stp>
        <stp/>
        <stp/>
        <tr r="Q377" s="3"/>
        <tr r="Q682" s="1"/>
      </tp>
      <tp>
        <v>38900</v>
        <stp/>
        <stp>P</stp>
        <stp>0</stp>
        <stp>STK</stp>
        <stp>N100840</stp>
        <stp>저가</stp>
        <stp/>
        <stp/>
        <tr r="Q347" s="1"/>
        <tr r="Q245" s="3"/>
      </tp>
      <tp>
        <v>883000</v>
        <stp/>
        <stp>P</stp>
        <stp>0</stp>
        <stp>STK</stp>
        <stp>N000150</stp>
        <stp>저가</stp>
        <stp/>
        <stp/>
        <tr r="Q56" s="3"/>
        <tr r="Q61" s="1"/>
      </tp>
      <tp>
        <v>307500</v>
        <stp/>
        <stp>P</stp>
        <stp>0</stp>
        <stp>STK</stp>
        <stp>N000250</stp>
        <stp>저가</stp>
        <stp/>
        <stp/>
        <tr r="Q97" s="1"/>
      </tp>
      <tp>
        <v>41400</v>
        <stp/>
        <stp>P</stp>
        <stp>0</stp>
        <stp>STK</stp>
        <stp>N200670</stp>
        <stp>저가</stp>
        <stp/>
        <stp/>
        <tr r="Q507" s="1"/>
      </tp>
      <tp>
        <v>49200</v>
        <stp/>
        <stp>P</stp>
        <stp>0</stp>
        <stp>STK</stp>
        <stp>N107640</stp>
        <stp>저가</stp>
        <stp/>
        <stp/>
        <tr r="Q524" s="1"/>
      </tp>
      <tp>
        <v>156300</v>
        <stp/>
        <stp>P</stp>
        <stp>0</stp>
        <stp>STK</stp>
        <stp>N006650</stp>
        <stp>저가</stp>
        <stp/>
        <stp/>
        <tr r="Q306" s="1"/>
        <tr r="Q225" s="3"/>
      </tp>
      <tp>
        <v>59500</v>
        <stp/>
        <stp>P</stp>
        <stp>0</stp>
        <stp>STK</stp>
        <stp>N005850</stp>
        <stp>저가</stp>
        <stp/>
        <stp/>
        <tr r="Q144" s="1"/>
        <tr r="Q135" s="3"/>
      </tp>
      <tp>
        <v>24800</v>
        <stp/>
        <stp>P</stp>
        <stp>0</stp>
        <stp>STK</stp>
        <stp>N105840</stp>
        <stp>저가</stp>
        <stp/>
        <stp/>
        <tr r="Q288" s="3"/>
        <tr r="Q451" s="1"/>
      </tp>
      <tp>
        <v>14660</v>
        <stp/>
        <stp>P</stp>
        <stp>0</stp>
        <stp>STK</stp>
        <stp>N005250</stp>
        <stp>저가</stp>
        <stp/>
        <stp/>
        <tr r="Q389" s="1"/>
        <tr r="Q263" s="3"/>
      </tp>
      <tp>
        <v>29400</v>
        <stp/>
        <stp>P</stp>
        <stp>0</stp>
        <stp>STK</stp>
        <stp>N304360</stp>
        <stp>저가</stp>
        <stp/>
        <stp/>
        <tr r="Q557" s="1"/>
      </tp>
      <tp>
        <v>20200</v>
        <stp/>
        <stp>P</stp>
        <stp>0</stp>
        <stp>STK</stp>
        <stp>N204270</stp>
        <stp>저가</stp>
        <stp/>
        <stp/>
        <tr r="Q294" s="1"/>
      </tp>
      <tp>
        <v>27950</v>
        <stp/>
        <stp>P</stp>
        <stp>0</stp>
        <stp>STK</stp>
        <stp>N001450</stp>
        <stp>시가</stp>
        <stp/>
        <stp/>
        <tr r="O151" s="3"/>
        <tr r="O180" s="1"/>
      </tp>
      <tp>
        <v>18660</v>
        <stp/>
        <stp>P</stp>
        <stp>0</stp>
        <stp>STK</stp>
        <stp>N001750</stp>
        <stp>시가</stp>
        <stp/>
        <stp/>
        <tr r="O377" s="3"/>
        <tr r="O682" s="1"/>
      </tp>
      <tp>
        <v>42000</v>
        <stp/>
        <stp>P</stp>
        <stp>0</stp>
        <stp>STK</stp>
        <stp>N200670</stp>
        <stp>시가</stp>
        <stp/>
        <stp/>
        <tr r="O507" s="1"/>
      </tp>
      <tp>
        <v>893000</v>
        <stp/>
        <stp>P</stp>
        <stp>0</stp>
        <stp>STK</stp>
        <stp>N000150</stp>
        <stp>시가</stp>
        <stp/>
        <stp/>
        <tr r="O56" s="3"/>
        <tr r="O61" s="1"/>
      </tp>
      <tp>
        <v>314000</v>
        <stp/>
        <stp>P</stp>
        <stp>0</stp>
        <stp>STK</stp>
        <stp>N000250</stp>
        <stp>시가</stp>
        <stp/>
        <stp/>
        <tr r="O97" s="1"/>
      </tp>
      <tp>
        <v>39050</v>
        <stp/>
        <stp>P</stp>
        <stp>0</stp>
        <stp>STK</stp>
        <stp>N100840</stp>
        <stp>시가</stp>
        <stp/>
        <stp/>
        <tr r="O245" s="3"/>
        <tr r="O347" s="1"/>
      </tp>
      <tp>
        <v>88800</v>
        <stp/>
        <stp>P</stp>
        <stp>0</stp>
        <stp>STK</stp>
        <stp>N003550</stp>
        <stp>시가</stp>
        <stp/>
        <stp/>
        <tr r="O62" s="1"/>
        <tr r="O58" s="3"/>
      </tp>
      <tp>
        <v>119100</v>
        <stp/>
        <stp>P</stp>
        <stp>0</stp>
        <stp>STK</stp>
        <stp>N103140</stp>
        <stp>시가</stp>
        <stp/>
        <stp/>
        <tr r="O124" s="3"/>
        <tr r="O141" s="1"/>
      </tp>
      <tp>
        <v>8940</v>
        <stp/>
        <stp>P</stp>
        <stp>0</stp>
        <stp>STK</stp>
        <stp>N003850</stp>
        <stp>시가</stp>
        <stp/>
        <stp/>
        <tr r="O366" s="1"/>
        <tr r="O254" s="3"/>
      </tp>
      <tp>
        <v>284000</v>
        <stp/>
        <stp>P</stp>
        <stp>0</stp>
        <stp>STK</stp>
        <stp>N009150</stp>
        <stp>저가</stp>
        <stp/>
        <stp/>
        <tr r="Q39" s="3"/>
        <tr r="Q39" s="1"/>
      </tp>
      <tp>
        <v>56100</v>
        <stp/>
        <stp>P</stp>
        <stp>0</stp>
        <stp>STK</stp>
        <stp>N009450</stp>
        <stp>저가</stp>
        <stp/>
        <stp/>
        <tr r="Q243" s="3"/>
        <tr r="Q348" s="1"/>
      </tp>
      <tp>
        <v>50000</v>
        <stp/>
        <stp>P</stp>
        <stp>0</stp>
        <stp>STK</stp>
        <stp>N102940</stp>
        <stp>시가</stp>
        <stp/>
        <stp/>
        <tr r="O424" s="1"/>
      </tp>
      <tp>
        <v>14670</v>
        <stp/>
        <stp>P</stp>
        <stp>0</stp>
        <stp>STK</stp>
        <stp>N005250</stp>
        <stp>시가</stp>
        <stp/>
        <stp/>
        <tr r="O389" s="1"/>
        <tr r="O263" s="3"/>
      </tp>
      <tp>
        <v>61800</v>
        <stp/>
        <stp>P</stp>
        <stp>0</stp>
        <stp>STK</stp>
        <stp>N005850</stp>
        <stp>시가</stp>
        <stp/>
        <stp/>
        <tr r="O135" s="3"/>
        <tr r="O144" s="1"/>
      </tp>
      <tp>
        <v>25000</v>
        <stp/>
        <stp>P</stp>
        <stp>0</stp>
        <stp>STK</stp>
        <stp>N105840</stp>
        <stp>시가</stp>
        <stp/>
        <stp/>
        <tr r="O451" s="1"/>
        <tr r="O288" s="3"/>
      </tp>
      <tp>
        <v>29400</v>
        <stp/>
        <stp>P</stp>
        <stp>0</stp>
        <stp>STK</stp>
        <stp>N304360</stp>
        <stp>시가</stp>
        <stp/>
        <stp/>
        <tr r="O557" s="1"/>
      </tp>
      <tp>
        <v>20650</v>
        <stp/>
        <stp>P</stp>
        <stp>0</stp>
        <stp>STK</stp>
        <stp>N204270</stp>
        <stp>시가</stp>
        <stp/>
        <stp/>
        <tr r="O294" s="1"/>
      </tp>
      <tp>
        <v>49200</v>
        <stp/>
        <stp>P</stp>
        <stp>0</stp>
        <stp>STK</stp>
        <stp>N107640</stp>
        <stp>시가</stp>
        <stp/>
        <stp/>
        <tr r="O524" s="1"/>
      </tp>
      <tp>
        <v>156300</v>
        <stp/>
        <stp>P</stp>
        <stp>0</stp>
        <stp>STK</stp>
        <stp>N006650</stp>
        <stp>시가</stp>
        <stp/>
        <stp/>
        <tr r="O306" s="1"/>
        <tr r="O225" s="3"/>
      </tp>
      <tp>
        <v>52000</v>
        <stp/>
        <stp>P</stp>
        <stp>0</stp>
        <stp>STK</stp>
        <stp>N107640</stp>
        <stp>고가</stp>
        <stp/>
        <stp/>
        <tr r="P524" s="1"/>
      </tp>
      <tp>
        <v>161500</v>
        <stp/>
        <stp>P</stp>
        <stp>0</stp>
        <stp>STK</stp>
        <stp>N006650</stp>
        <stp>고가</stp>
        <stp/>
        <stp/>
        <tr r="P225" s="3"/>
        <tr r="P306" s="1"/>
      </tp>
      <tp>
        <v>62700</v>
        <stp/>
        <stp>P</stp>
        <stp>0</stp>
        <stp>STK</stp>
        <stp>N005850</stp>
        <stp>고가</stp>
        <stp/>
        <stp/>
        <tr r="P144" s="1"/>
        <tr r="P135" s="3"/>
      </tp>
      <tp>
        <v>25750</v>
        <stp/>
        <stp>P</stp>
        <stp>0</stp>
        <stp>STK</stp>
        <stp>N105840</stp>
        <stp>고가</stp>
        <stp/>
        <stp/>
        <tr r="P288" s="3"/>
        <tr r="P451" s="1"/>
      </tp>
      <tp>
        <v>14780</v>
        <stp/>
        <stp>P</stp>
        <stp>0</stp>
        <stp>STK</stp>
        <stp>N005250</stp>
        <stp>고가</stp>
        <stp/>
        <stp/>
        <tr r="P263" s="3"/>
        <tr r="P389" s="1"/>
      </tp>
      <tp>
        <v>30400</v>
        <stp/>
        <stp>P</stp>
        <stp>0</stp>
        <stp>STK</stp>
        <stp>N304360</stp>
        <stp>고가</stp>
        <stp/>
        <stp/>
        <tr r="P557" s="1"/>
      </tp>
      <tp>
        <v>21250</v>
        <stp/>
        <stp>P</stp>
        <stp>0</stp>
        <stp>STK</stp>
        <stp>N204270</stp>
        <stp>고가</stp>
        <stp/>
        <stp/>
        <tr r="P294" s="1"/>
      </tp>
      <tp>
        <v>8980</v>
        <stp/>
        <stp>P</stp>
        <stp>0</stp>
        <stp>STK</stp>
        <stp>N003850</stp>
        <stp>고가</stp>
        <stp/>
        <stp/>
        <tr r="P254" s="3"/>
        <tr r="P366" s="1"/>
      </tp>
      <tp>
        <v>120000</v>
        <stp/>
        <stp>P</stp>
        <stp>0</stp>
        <stp>STK</stp>
        <stp>N103140</stp>
        <stp>고가</stp>
        <stp/>
        <stp/>
        <tr r="P141" s="1"/>
        <tr r="P124" s="3"/>
      </tp>
      <tp>
        <v>89400</v>
        <stp/>
        <stp>P</stp>
        <stp>0</stp>
        <stp>STK</stp>
        <stp>N003550</stp>
        <stp>고가</stp>
        <stp/>
        <stp/>
        <tr r="P62" s="1"/>
        <tr r="P58" s="3"/>
      </tp>
      <tp>
        <v>50400</v>
        <stp/>
        <stp>P</stp>
        <stp>0</stp>
        <stp>STK</stp>
        <stp>N102940</stp>
        <stp>고가</stp>
        <stp/>
        <stp/>
        <tr r="P424" s="1"/>
      </tp>
      <tp>
        <v>27950</v>
        <stp/>
        <stp>P</stp>
        <stp>0</stp>
        <stp>STK</stp>
        <stp>N001450</stp>
        <stp>고가</stp>
        <stp/>
        <stp/>
        <tr r="P180" s="1"/>
        <tr r="P151" s="3"/>
      </tp>
      <tp>
        <v>18700</v>
        <stp/>
        <stp>P</stp>
        <stp>0</stp>
        <stp>STK</stp>
        <stp>N001750</stp>
        <stp>고가</stp>
        <stp/>
        <stp/>
        <tr r="P377" s="3"/>
        <tr r="P682" s="1"/>
      </tp>
      <tp>
        <v>39400</v>
        <stp/>
        <stp>P</stp>
        <stp>0</stp>
        <stp>STK</stp>
        <stp>N100840</stp>
        <stp>고가</stp>
        <stp/>
        <stp/>
        <tr r="P347" s="1"/>
        <tr r="P245" s="3"/>
      </tp>
      <tp>
        <v>920000</v>
        <stp/>
        <stp>P</stp>
        <stp>0</stp>
        <stp>STK</stp>
        <stp>N000150</stp>
        <stp>고가</stp>
        <stp/>
        <stp/>
        <tr r="P61" s="1"/>
        <tr r="P56" s="3"/>
      </tp>
      <tp>
        <v>339500</v>
        <stp/>
        <stp>P</stp>
        <stp>0</stp>
        <stp>STK</stp>
        <stp>N000250</stp>
        <stp>고가</stp>
        <stp/>
        <stp/>
        <tr r="P97" s="1"/>
      </tp>
      <tp>
        <v>42000</v>
        <stp/>
        <stp>P</stp>
        <stp>0</stp>
        <stp>STK</stp>
        <stp>N200670</stp>
        <stp>고가</stp>
        <stp/>
        <stp/>
        <tr r="P507" s="1"/>
      </tp>
      <tp>
        <v>289000</v>
        <stp/>
        <stp>P</stp>
        <stp>0</stp>
        <stp>STK</stp>
        <stp>N009150</stp>
        <stp>고가</stp>
        <stp/>
        <stp/>
        <tr r="P39" s="3"/>
        <tr r="P39" s="1"/>
      </tp>
      <tp>
        <v>56800</v>
        <stp/>
        <stp>P</stp>
        <stp>0</stp>
        <stp>STK</stp>
        <stp>N009450</stp>
        <stp>고가</stp>
        <stp/>
        <stp/>
        <tr r="P348" s="1"/>
        <tr r="P243" s="3"/>
      </tp>
      <tp>
        <v>39850</v>
        <stp/>
        <stp>P</stp>
        <stp>0</stp>
        <stp>STK</stp>
        <stp>N319660</stp>
        <stp>시가</stp>
        <stp/>
        <stp/>
        <tr r="O284" s="1"/>
      </tp>
      <tp>
        <v>12890</v>
        <stp/>
        <stp>P</stp>
        <stp>0</stp>
        <stp>STK</stp>
        <stp>N018250</stp>
        <stp>시가</stp>
        <stp/>
        <stp/>
        <tr r="O343" s="3"/>
        <tr r="O590" s="1"/>
      </tp>
      <tp>
        <v>25800</v>
        <stp/>
        <stp>P</stp>
        <stp>0</stp>
        <stp>STK</stp>
        <stp>N112040</stp>
        <stp>저가</stp>
        <stp/>
        <stp/>
        <tr r="Q334" s="1"/>
      </tp>
      <tp>
        <v>1271000</v>
        <stp/>
        <stp>P</stp>
        <stp>0</stp>
        <stp>STK</stp>
        <stp>N012450</stp>
        <stp>저가</stp>
        <stp/>
        <stp/>
        <tr r="Q12" s="1"/>
        <tr r="Q11" s="3"/>
      </tp>
      <tp>
        <v>77900</v>
        <stp/>
        <stp>P</stp>
        <stp>0</stp>
        <stp>STK</stp>
        <stp>N012750</stp>
        <stp>저가</stp>
        <stp/>
        <stp/>
        <tr r="Q153" s="1"/>
        <tr r="Q132" s="3"/>
      </tp>
      <tp>
        <v>96400</v>
        <stp/>
        <stp>P</stp>
        <stp>0</stp>
        <stp>STK</stp>
        <stp>N010950</stp>
        <stp>저가</stp>
        <stp/>
        <stp/>
        <tr r="Q66" s="3"/>
        <tr r="Q69" s="1"/>
      </tp>
      <tp>
        <v>7590</v>
        <stp/>
        <stp>P</stp>
        <stp>0</stp>
        <stp>STK</stp>
        <stp>N015750</stp>
        <stp>저가</stp>
        <stp/>
        <stp/>
        <tr r="Q404" s="1"/>
      </tp>
      <tp>
        <v>15000</v>
        <stp/>
        <stp>P</stp>
        <stp>0</stp>
        <stp>STK</stp>
        <stp>N114840</stp>
        <stp>저가</stp>
        <stp/>
        <stp/>
        <tr r="Q661" s="1"/>
      </tp>
      <tp>
        <v>75600</v>
        <stp/>
        <stp>P</stp>
        <stp>0</stp>
        <stp>STK</stp>
        <stp>N214370</stp>
        <stp>저가</stp>
        <stp/>
        <stp/>
        <tr r="Q126" s="1"/>
      </tp>
      <tp>
        <v>98400</v>
        <stp/>
        <stp>P</stp>
        <stp>0</stp>
        <stp>STK</stp>
        <stp>N010950</stp>
        <stp>시가</stp>
        <stp/>
        <stp/>
        <tr r="O69" s="1"/>
        <tr r="O66" s="3"/>
      </tp>
      <tp>
        <v>39000</v>
        <stp/>
        <stp>P</stp>
        <stp>0</stp>
        <stp>STK</stp>
        <stp>N319660</stp>
        <stp>저가</stp>
        <stp/>
        <stp/>
        <tr r="Q284" s="1"/>
      </tp>
      <tp>
        <v>1289000</v>
        <stp/>
        <stp>P</stp>
        <stp>0</stp>
        <stp>STK</stp>
        <stp>N012450</stp>
        <stp>시가</stp>
        <stp/>
        <stp/>
        <tr r="O11" s="3"/>
        <tr r="O12" s="1"/>
      </tp>
      <tp>
        <v>78600</v>
        <stp/>
        <stp>P</stp>
        <stp>0</stp>
        <stp>STK</stp>
        <stp>N012750</stp>
        <stp>시가</stp>
        <stp/>
        <stp/>
        <tr r="O153" s="1"/>
        <tr r="O132" s="3"/>
      </tp>
      <tp>
        <v>25850</v>
        <stp/>
        <stp>P</stp>
        <stp>0</stp>
        <stp>STK</stp>
        <stp>N112040</stp>
        <stp>시가</stp>
        <stp/>
        <stp/>
        <tr r="O334" s="1"/>
      </tp>
      <tp>
        <v>12750</v>
        <stp/>
        <stp>P</stp>
        <stp>0</stp>
        <stp>STK</stp>
        <stp>N018250</stp>
        <stp>저가</stp>
        <stp/>
        <stp/>
        <tr r="Q343" s="3"/>
        <tr r="Q590" s="1"/>
      </tp>
      <tp>
        <v>7700</v>
        <stp/>
        <stp>P</stp>
        <stp>0</stp>
        <stp>STK</stp>
        <stp>N015750</stp>
        <stp>시가</stp>
        <stp/>
        <stp/>
        <tr r="O404" s="1"/>
      </tp>
      <tp>
        <v>76000</v>
        <stp/>
        <stp>P</stp>
        <stp>0</stp>
        <stp>STK</stp>
        <stp>N214370</stp>
        <stp>시가</stp>
        <stp/>
        <stp/>
        <tr r="O126" s="1"/>
      </tp>
      <tp>
        <v>15000</v>
        <stp/>
        <stp>P</stp>
        <stp>0</stp>
        <stp>STK</stp>
        <stp>N114840</stp>
        <stp>시가</stp>
        <stp/>
        <stp/>
        <tr r="O661" s="1"/>
      </tp>
      <tp>
        <v>7830</v>
        <stp/>
        <stp>P</stp>
        <stp>0</stp>
        <stp>STK</stp>
        <stp>N015750</stp>
        <stp>고가</stp>
        <stp/>
        <stp/>
        <tr r="P404" s="1"/>
      </tp>
      <tp>
        <v>15520</v>
        <stp/>
        <stp>P</stp>
        <stp>0</stp>
        <stp>STK</stp>
        <stp>N114840</stp>
        <stp>고가</stp>
        <stp/>
        <stp/>
        <tr r="P661" s="1"/>
      </tp>
      <tp>
        <v>76700</v>
        <stp/>
        <stp>P</stp>
        <stp>0</stp>
        <stp>STK</stp>
        <stp>N214370</stp>
        <stp>고가</stp>
        <stp/>
        <stp/>
        <tr r="P126" s="1"/>
      </tp>
      <tp>
        <v>26050</v>
        <stp/>
        <stp>P</stp>
        <stp>0</stp>
        <stp>STK</stp>
        <stp>N112040</stp>
        <stp>고가</stp>
        <stp/>
        <stp/>
        <tr r="P334" s="1"/>
      </tp>
      <tp>
        <v>1301000</v>
        <stp/>
        <stp>P</stp>
        <stp>0</stp>
        <stp>STK</stp>
        <stp>N012450</stp>
        <stp>고가</stp>
        <stp/>
        <stp/>
        <tr r="P11" s="3"/>
        <tr r="P12" s="1"/>
      </tp>
      <tp>
        <v>78600</v>
        <stp/>
        <stp>P</stp>
        <stp>0</stp>
        <stp>STK</stp>
        <stp>N012750</stp>
        <stp>고가</stp>
        <stp/>
        <stp/>
        <tr r="P132" s="3"/>
        <tr r="P153" s="1"/>
      </tp>
      <tp>
        <v>98400</v>
        <stp/>
        <stp>P</stp>
        <stp>0</stp>
        <stp>STK</stp>
        <stp>N010950</stp>
        <stp>고가</stp>
        <stp/>
        <stp/>
        <tr r="P66" s="3"/>
        <tr r="P69" s="1"/>
      </tp>
      <tp>
        <v>40250</v>
        <stp/>
        <stp>P</stp>
        <stp>0</stp>
        <stp>STK</stp>
        <stp>N319660</stp>
        <stp>고가</stp>
        <stp/>
        <stp/>
        <tr r="P284" s="1"/>
      </tp>
      <tp>
        <v>12990</v>
        <stp/>
        <stp>P</stp>
        <stp>0</stp>
        <stp>STK</stp>
        <stp>N018250</stp>
        <stp>고가</stp>
        <stp/>
        <stp/>
        <tr r="P343" s="3"/>
        <tr r="P590" s="1"/>
      </tp>
      <tp>
        <v>25150</v>
        <stp/>
        <stp>P</stp>
        <stp>0</stp>
        <stp>STK</stp>
        <stp>N028050</stp>
        <stp>시가</stp>
        <stp/>
        <stp/>
        <tr r="O110" s="1"/>
        <tr r="O101" s="3"/>
      </tp>
      <tp>
        <v>431000</v>
        <stp/>
        <stp>P</stp>
        <stp>0</stp>
        <stp>STK</stp>
        <stp>N128940</stp>
        <stp>시가</stp>
        <stp/>
        <stp/>
        <tr r="O106" s="1"/>
        <tr r="O98" s="3"/>
      </tp>
      <tp>
        <v>18510</v>
        <stp/>
        <stp>P</stp>
        <stp>0</stp>
        <stp>STK</stp>
        <stp>N122640</stp>
        <stp>저가</stp>
        <stp/>
        <stp/>
        <tr r="Q541" s="1"/>
      </tp>
      <tp>
        <v>41050</v>
        <stp/>
        <stp>P</stp>
        <stp>0</stp>
        <stp>STK</stp>
        <stp>N020150</stp>
        <stp>저가</stp>
        <stp/>
        <stp/>
        <tr r="Q225" s="1"/>
        <tr r="Q170" s="3"/>
      </tp>
      <tp>
        <v>87100</v>
        <stp/>
        <stp>P</stp>
        <stp>0</stp>
        <stp>STK</stp>
        <stp>N126340</stp>
        <stp>저가</stp>
        <stp/>
        <stp/>
        <tr r="Q431" s="1"/>
      </tp>
      <tp>
        <v>12090</v>
        <stp/>
        <stp>P</stp>
        <stp>0</stp>
        <stp>STK</stp>
        <stp>N225570</stp>
        <stp>저가</stp>
        <stp/>
        <stp/>
        <tr r="Q354" s="1"/>
      </tp>
      <tp>
        <v>43950</v>
        <stp/>
        <stp>P</stp>
        <stp>0</stp>
        <stp>STK</stp>
        <stp>N020150</stp>
        <stp>시가</stp>
        <stp/>
        <stp/>
        <tr r="O225" s="1"/>
        <tr r="O170" s="3"/>
      </tp>
      <tp>
        <v>18770</v>
        <stp/>
        <stp>P</stp>
        <stp>0</stp>
        <stp>STK</stp>
        <stp>N122640</stp>
        <stp>시가</stp>
        <stp/>
        <stp/>
        <tr r="O541" s="1"/>
      </tp>
      <tp>
        <v>425500</v>
        <stp/>
        <stp>P</stp>
        <stp>0</stp>
        <stp>STK</stp>
        <stp>N128940</stp>
        <stp>저가</stp>
        <stp/>
        <stp/>
        <tr r="Q98" s="3"/>
        <tr r="Q106" s="1"/>
      </tp>
      <tp>
        <v>25000</v>
        <stp/>
        <stp>P</stp>
        <stp>0</stp>
        <stp>STK</stp>
        <stp>N028050</stp>
        <stp>저가</stp>
        <stp/>
        <stp/>
        <tr r="Q110" s="1"/>
        <tr r="Q101" s="3"/>
      </tp>
      <tp>
        <v>12170</v>
        <stp/>
        <stp>P</stp>
        <stp>0</stp>
        <stp>STK</stp>
        <stp>N225570</stp>
        <stp>시가</stp>
        <stp/>
        <stp/>
        <tr r="O354" s="1"/>
      </tp>
      <tp>
        <v>89100</v>
        <stp/>
        <stp>P</stp>
        <stp>0</stp>
        <stp>STK</stp>
        <stp>N126340</stp>
        <stp>시가</stp>
        <stp/>
        <stp/>
        <tr r="O431" s="1"/>
      </tp>
      <tp>
        <v>90800</v>
        <stp/>
        <stp>P</stp>
        <stp>0</stp>
        <stp>STK</stp>
        <stp>N126340</stp>
        <stp>고가</stp>
        <stp/>
        <stp/>
        <tr r="P431" s="1"/>
      </tp>
      <tp>
        <v>12190</v>
        <stp/>
        <stp>P</stp>
        <stp>0</stp>
        <stp>STK</stp>
        <stp>N225570</stp>
        <stp>고가</stp>
        <stp/>
        <stp/>
        <tr r="P354" s="1"/>
      </tp>
      <tp>
        <v>18810</v>
        <stp/>
        <stp>P</stp>
        <stp>0</stp>
        <stp>STK</stp>
        <stp>N122640</stp>
        <stp>고가</stp>
        <stp/>
        <stp/>
        <tr r="P541" s="1"/>
      </tp>
      <tp>
        <v>46700</v>
        <stp/>
        <stp>P</stp>
        <stp>0</stp>
        <stp>STK</stp>
        <stp>N020150</stp>
        <stp>고가</stp>
        <stp/>
        <stp/>
        <tr r="P170" s="3"/>
        <tr r="P225" s="1"/>
      </tp>
      <tp>
        <v>433000</v>
        <stp/>
        <stp>P</stp>
        <stp>0</stp>
        <stp>STK</stp>
        <stp>N128940</stp>
        <stp>고가</stp>
        <stp/>
        <stp/>
        <tr r="P98" s="3"/>
        <tr r="P106" s="1"/>
      </tp>
      <tp>
        <v>25150</v>
        <stp/>
        <stp>P</stp>
        <stp>0</stp>
        <stp>STK</stp>
        <stp>N028050</stp>
        <stp>고가</stp>
        <stp/>
        <stp/>
        <tr r="P110" s="1"/>
        <tr r="P101" s="3"/>
      </tp>
      <tp>
        <v>108300</v>
        <stp/>
        <stp>P</stp>
        <stp>0</stp>
        <stp>STK</stp>
        <stp>N138040</stp>
        <stp>시가</stp>
        <stp/>
        <stp/>
        <tr r="O44" s="3"/>
        <tr r="O44" s="1"/>
      </tp>
      <tp>
        <v>23350</v>
        <stp/>
        <stp>P</stp>
        <stp>0</stp>
        <stp>STK</stp>
        <stp>N032350</stp>
        <stp>저가</stp>
        <stp/>
        <stp/>
        <tr r="Q223" s="1"/>
        <tr r="Q176" s="3"/>
      </tp>
      <tp>
        <v>37100</v>
        <stp/>
        <stp>P</stp>
        <stp>0</stp>
        <stp>STK</stp>
        <stp>N336260</stp>
        <stp>저가</stp>
        <stp/>
        <stp/>
        <tr r="Q183" s="1"/>
        <tr r="Q150" s="3"/>
      </tp>
      <tp>
        <v>12330</v>
        <stp/>
        <stp>P</stp>
        <stp>0</stp>
        <stp>STK</stp>
        <stp>N035150</stp>
        <stp>저가</stp>
        <stp/>
        <stp/>
        <tr r="Q372" s="3"/>
        <tr r="Q663" s="1"/>
      </tp>
      <tp>
        <v>17780</v>
        <stp/>
        <stp>P</stp>
        <stp>0</stp>
        <stp>STK</stp>
        <stp>N035250</stp>
        <stp>저가</stp>
        <stp/>
        <stp/>
        <tr r="Q128" s="1"/>
        <tr r="Q118" s="3"/>
      </tp>
      <tp>
        <v>97100</v>
        <stp/>
        <stp>P</stp>
        <stp>0</stp>
        <stp>STK</stp>
        <stp>N034950</stp>
        <stp>저가</stp>
        <stp/>
        <stp/>
        <tr r="Q508" s="1"/>
      </tp>
      <tp>
        <v>23800</v>
        <stp/>
        <stp>P</stp>
        <stp>0</stp>
        <stp>STK</stp>
        <stp>N032350</stp>
        <stp>시가</stp>
        <stp/>
        <stp/>
        <tr r="O176" s="3"/>
        <tr r="O223" s="1"/>
      </tp>
      <tp>
        <v>107300</v>
        <stp/>
        <stp>P</stp>
        <stp>0</stp>
        <stp>STK</stp>
        <stp>N138040</stp>
        <stp>저가</stp>
        <stp/>
        <stp/>
        <tr r="Q44" s="3"/>
        <tr r="Q44" s="1"/>
      </tp>
      <tp>
        <v>12330</v>
        <stp/>
        <stp>P</stp>
        <stp>0</stp>
        <stp>STK</stp>
        <stp>N035150</stp>
        <stp>시가</stp>
        <stp/>
        <stp/>
        <tr r="O663" s="1"/>
        <tr r="O372" s="3"/>
      </tp>
      <tp>
        <v>17880</v>
        <stp/>
        <stp>P</stp>
        <stp>0</stp>
        <stp>STK</stp>
        <stp>N035250</stp>
        <stp>시가</stp>
        <stp/>
        <stp/>
        <tr r="O128" s="1"/>
        <tr r="O118" s="3"/>
      </tp>
      <tp>
        <v>97100</v>
        <stp/>
        <stp>P</stp>
        <stp>0</stp>
        <stp>STK</stp>
        <stp>N034950</stp>
        <stp>시가</stp>
        <stp/>
        <stp/>
        <tr r="O508" s="1"/>
      </tp>
      <tp>
        <v>38400</v>
        <stp/>
        <stp>P</stp>
        <stp>0</stp>
        <stp>STK</stp>
        <stp>N336260</stp>
        <stp>시가</stp>
        <stp/>
        <stp/>
        <tr r="O183" s="1"/>
        <tr r="O150" s="3"/>
      </tp>
      <tp>
        <v>38850</v>
        <stp/>
        <stp>P</stp>
        <stp>0</stp>
        <stp>STK</stp>
        <stp>N336260</stp>
        <stp>고가</stp>
        <stp/>
        <stp/>
        <tr r="P150" s="3"/>
        <tr r="P183" s="1"/>
      </tp>
      <tp>
        <v>12330</v>
        <stp/>
        <stp>P</stp>
        <stp>0</stp>
        <stp>STK</stp>
        <stp>N035150</stp>
        <stp>고가</stp>
        <stp/>
        <stp/>
        <tr r="P372" s="3"/>
        <tr r="P663" s="1"/>
      </tp>
      <tp>
        <v>18010</v>
        <stp/>
        <stp>P</stp>
        <stp>0</stp>
        <stp>STK</stp>
        <stp>N035250</stp>
        <stp>고가</stp>
        <stp/>
        <stp/>
        <tr r="P128" s="1"/>
        <tr r="P118" s="3"/>
      </tp>
      <tp>
        <v>97200</v>
        <stp/>
        <stp>P</stp>
        <stp>0</stp>
        <stp>STK</stp>
        <stp>N034950</stp>
        <stp>고가</stp>
        <stp/>
        <stp/>
        <tr r="P508" s="1"/>
      </tp>
      <tp>
        <v>23800</v>
        <stp/>
        <stp>P</stp>
        <stp>0</stp>
        <stp>STK</stp>
        <stp>N032350</stp>
        <stp>고가</stp>
        <stp/>
        <stp/>
        <tr r="P223" s="1"/>
        <tr r="P176" s="3"/>
      </tp>
      <tp>
        <v>108700</v>
        <stp/>
        <stp>P</stp>
        <stp>0</stp>
        <stp>STK</stp>
        <stp>N138040</stp>
        <stp>고가</stp>
        <stp/>
        <stp/>
        <tr r="P44" s="3"/>
        <tr r="P44" s="1"/>
      </tp>
      <tp>
        <v>19160</v>
        <stp/>
        <stp>P</stp>
        <stp>0</stp>
        <stp>STK</stp>
        <stp>N043150</stp>
        <stp>저가</stp>
        <stp/>
        <stp/>
        <tr r="Q642" s="1"/>
      </tp>
      <tp>
        <v>25850</v>
        <stp/>
        <stp>P</stp>
        <stp>0</stp>
        <stp>STK</stp>
        <stp>N243070</stp>
        <stp>저가</stp>
        <stp/>
        <stp/>
        <tr r="Q611" s="1"/>
      </tp>
      <tp>
        <v>15700</v>
        <stp/>
        <stp>P</stp>
        <stp>0</stp>
        <stp>STK</stp>
        <stp>N248070</stp>
        <stp>시가</stp>
        <stp/>
        <stp/>
        <tr r="O258" s="3"/>
        <tr r="O377" s="1"/>
      </tp>
      <tp>
        <v>22400</v>
        <stp/>
        <stp>P</stp>
        <stp>0</stp>
        <stp>STK</stp>
        <stp>N241770</stp>
        <stp>저가</stp>
        <stp/>
        <stp/>
        <tr r="Q683" s="1"/>
      </tp>
      <tp>
        <v>62600</v>
        <stp/>
        <stp>P</stp>
        <stp>0</stp>
        <stp>STK</stp>
        <stp>N047050</stp>
        <stp>저가</stp>
        <stp/>
        <stp/>
        <tr r="Q65" s="3"/>
        <tr r="Q68" s="1"/>
      </tp>
      <tp>
        <v>22450</v>
        <stp/>
        <stp>P</stp>
        <stp>0</stp>
        <stp>STK</stp>
        <stp>N241770</stp>
        <stp>시가</stp>
        <stp/>
        <stp/>
        <tr r="O683" s="1"/>
      </tp>
      <tp>
        <v>19290</v>
        <stp/>
        <stp>P</stp>
        <stp>0</stp>
        <stp>STK</stp>
        <stp>N043150</stp>
        <stp>시가</stp>
        <stp/>
        <stp/>
        <tr r="O642" s="1"/>
      </tp>
      <tp>
        <v>25850</v>
        <stp/>
        <stp>P</stp>
        <stp>0</stp>
        <stp>STK</stp>
        <stp>N243070</stp>
        <stp>시가</stp>
        <stp/>
        <stp/>
        <tr r="O611" s="1"/>
      </tp>
      <tp>
        <v>15600</v>
        <stp/>
        <stp>P</stp>
        <stp>0</stp>
        <stp>STK</stp>
        <stp>N248070</stp>
        <stp>저가</stp>
        <stp/>
        <stp/>
        <tr r="Q377" s="1"/>
        <tr r="Q258" s="3"/>
      </tp>
      <tp>
        <v>63400</v>
        <stp/>
        <stp>P</stp>
        <stp>0</stp>
        <stp>STK</stp>
        <stp>N047050</stp>
        <stp>시가</stp>
        <stp/>
        <stp/>
        <tr r="O68" s="1"/>
        <tr r="O65" s="3"/>
      </tp>
      <tp>
        <v>64000</v>
        <stp/>
        <stp>P</stp>
        <stp>0</stp>
        <stp>STK</stp>
        <stp>N047050</stp>
        <stp>고가</stp>
        <stp/>
        <stp/>
        <tr r="P68" s="1"/>
        <tr r="P65" s="3"/>
      </tp>
      <tp>
        <v>19290</v>
        <stp/>
        <stp>P</stp>
        <stp>0</stp>
        <stp>STK</stp>
        <stp>N043150</stp>
        <stp>고가</stp>
        <stp/>
        <stp/>
        <tr r="P642" s="1"/>
      </tp>
      <tp>
        <v>26150</v>
        <stp/>
        <stp>P</stp>
        <stp>0</stp>
        <stp>STK</stp>
        <stp>N243070</stp>
        <stp>고가</stp>
        <stp/>
        <stp/>
        <tr r="P611" s="1"/>
      </tp>
      <tp>
        <v>22450</v>
        <stp/>
        <stp>P</stp>
        <stp>0</stp>
        <stp>STK</stp>
        <stp>N241770</stp>
        <stp>고가</stp>
        <stp/>
        <stp/>
        <tr r="P683" s="1"/>
      </tp>
      <tp>
        <v>15750</v>
        <stp/>
        <stp>P</stp>
        <stp>0</stp>
        <stp>STK</stp>
        <stp>N248070</stp>
        <stp>고가</stp>
        <stp/>
        <stp/>
        <tr r="P377" s="1"/>
        <tr r="P258" s="3"/>
      </tp>
      <tp>
        <v>33250</v>
        <stp/>
        <stp>P</stp>
        <stp>0</stp>
        <stp>STK</stp>
        <stp>N459510</stp>
        <stp>시가</stp>
        <stp/>
        <stp/>
        <tr r="O490" s="1"/>
      </tp>
      <tp>
        <v>58400</v>
        <stp/>
        <stp>P</stp>
        <stp>0</stp>
        <stp>STK</stp>
        <stp>N251970</stp>
        <stp>저가</stp>
        <stp/>
        <stp/>
        <tr r="Q393" s="1"/>
      </tp>
      <tp>
        <v>50700</v>
        <stp/>
        <stp>P</stp>
        <stp>0</stp>
        <stp>STK</stp>
        <stp>N251270</stp>
        <stp>저가</stp>
        <stp/>
        <stp/>
        <tr r="Q120" s="1"/>
        <tr r="Q108" s="3"/>
      </tp>
      <tp>
        <v>53800</v>
        <stp/>
        <stp>P</stp>
        <stp>0</stp>
        <stp>STK</stp>
        <stp>N057050</stp>
        <stp>저가</stp>
        <stp/>
        <stp/>
        <tr r="Q268" s="3"/>
        <tr r="Q410" s="1"/>
      </tp>
      <tp>
        <v>55400</v>
        <stp/>
        <stp>P</stp>
        <stp>0</stp>
        <stp>STK</stp>
        <stp>N356860</stp>
        <stp>저가</stp>
        <stp/>
        <stp/>
        <tr r="Q453" s="1"/>
      </tp>
      <tp>
        <v>82500</v>
        <stp/>
        <stp>P</stp>
        <stp>0</stp>
        <stp>STK</stp>
        <stp>N055550</stp>
        <stp>저가</stp>
        <stp/>
        <stp/>
        <tr r="Q22" s="1"/>
        <tr r="Q22" s="3"/>
      </tp>
      <tp>
        <v>25300</v>
        <stp/>
        <stp>P</stp>
        <stp>0</stp>
        <stp>STK</stp>
        <stp>N054950</stp>
        <stp>저가</stp>
        <stp/>
        <stp/>
        <tr r="Q614" s="1"/>
      </tp>
      <tp>
        <v>113300</v>
        <stp/>
        <stp>P</stp>
        <stp>0</stp>
        <stp>STK</stp>
        <stp>N454910</stp>
        <stp>저가</stp>
        <stp/>
        <stp/>
        <tr r="Q87" s="1"/>
        <tr r="Q82" s="3"/>
      </tp>
      <tp>
        <v>51000</v>
        <stp/>
        <stp>P</stp>
        <stp>0</stp>
        <stp>STK</stp>
        <stp>N251270</stp>
        <stp>시가</stp>
        <stp/>
        <stp/>
        <tr r="O120" s="1"/>
        <tr r="O108" s="3"/>
      </tp>
      <tp>
        <v>59700</v>
        <stp/>
        <stp>P</stp>
        <stp>0</stp>
        <stp>STK</stp>
        <stp>N251970</stp>
        <stp>시가</stp>
        <stp/>
        <stp/>
        <tr r="O393" s="1"/>
      </tp>
      <tp>
        <v>31800</v>
        <stp/>
        <stp>P</stp>
        <stp>0</stp>
        <stp>STK</stp>
        <stp>N459510</stp>
        <stp>저가</stp>
        <stp/>
        <stp/>
        <tr r="Q490" s="1"/>
      </tp>
      <tp>
        <v>82700</v>
        <stp/>
        <stp>P</stp>
        <stp>0</stp>
        <stp>STK</stp>
        <stp>N055550</stp>
        <stp>시가</stp>
        <stp/>
        <stp/>
        <tr r="O22" s="1"/>
        <tr r="O22" s="3"/>
      </tp>
      <tp>
        <v>25450</v>
        <stp/>
        <stp>P</stp>
        <stp>0</stp>
        <stp>STK</stp>
        <stp>N054950</stp>
        <stp>시가</stp>
        <stp/>
        <stp/>
        <tr r="O614" s="1"/>
      </tp>
      <tp>
        <v>116400</v>
        <stp/>
        <stp>P</stp>
        <stp>0</stp>
        <stp>STK</stp>
        <stp>N454910</stp>
        <stp>시가</stp>
        <stp/>
        <stp/>
        <tr r="O82" s="3"/>
        <tr r="O87" s="1"/>
      </tp>
      <tp>
        <v>53900</v>
        <stp/>
        <stp>P</stp>
        <stp>0</stp>
        <stp>STK</stp>
        <stp>N057050</stp>
        <stp>시가</stp>
        <stp/>
        <stp/>
        <tr r="O410" s="1"/>
        <tr r="O268" s="3"/>
      </tp>
      <tp>
        <v>55800</v>
        <stp/>
        <stp>P</stp>
        <stp>0</stp>
        <stp>STK</stp>
        <stp>N356860</stp>
        <stp>시가</stp>
        <stp/>
        <stp/>
        <tr r="O453" s="1"/>
      </tp>
      <tp>
        <v>54000</v>
        <stp/>
        <stp>P</stp>
        <stp>0</stp>
        <stp>STK</stp>
        <stp>N057050</stp>
        <stp>고가</stp>
        <stp/>
        <stp/>
        <tr r="P268" s="3"/>
        <tr r="P410" s="1"/>
      </tp>
      <tp>
        <v>56500</v>
        <stp/>
        <stp>P</stp>
        <stp>0</stp>
        <stp>STK</stp>
        <stp>N356860</stp>
        <stp>고가</stp>
        <stp/>
        <stp/>
        <tr r="P453" s="1"/>
      </tp>
      <tp>
        <v>83400</v>
        <stp/>
        <stp>P</stp>
        <stp>0</stp>
        <stp>STK</stp>
        <stp>N055550</stp>
        <stp>고가</stp>
        <stp/>
        <stp/>
        <tr r="P22" s="1"/>
        <tr r="P22" s="3"/>
      </tp>
      <tp>
        <v>25600</v>
        <stp/>
        <stp>P</stp>
        <stp>0</stp>
        <stp>STK</stp>
        <stp>N054950</stp>
        <stp>고가</stp>
        <stp/>
        <stp/>
        <tr r="P614" s="1"/>
      </tp>
      <tp>
        <v>117700</v>
        <stp/>
        <stp>P</stp>
        <stp>0</stp>
        <stp>STK</stp>
        <stp>N454910</stp>
        <stp>고가</stp>
        <stp/>
        <stp/>
        <tr r="P82" s="3"/>
        <tr r="P87" s="1"/>
      </tp>
      <tp>
        <v>60900</v>
        <stp/>
        <stp>P</stp>
        <stp>0</stp>
        <stp>STK</stp>
        <stp>N251970</stp>
        <stp>고가</stp>
        <stp/>
        <stp/>
        <tr r="P393" s="1"/>
      </tp>
      <tp>
        <v>51400</v>
        <stp/>
        <stp>P</stp>
        <stp>0</stp>
        <stp>STK</stp>
        <stp>N251270</stp>
        <stp>고가</stp>
        <stp/>
        <stp/>
        <tr r="P108" s="3"/>
        <tr r="P120" s="1"/>
      </tp>
      <tp>
        <v>33500</v>
        <stp/>
        <stp>P</stp>
        <stp>0</stp>
        <stp>STK</stp>
        <stp>N459510</stp>
        <stp>고가</stp>
        <stp/>
        <stp/>
        <tr r="P490" s="1"/>
      </tp>
      <tp>
        <v>23000</v>
        <stp/>
        <stp>P</stp>
        <stp>0</stp>
        <stp>STK</stp>
        <stp>N469610</stp>
        <stp>시가</stp>
        <stp/>
        <stp/>
        <tr r="O696" s="1"/>
      </tp>
      <tp>
        <v>14200</v>
        <stp/>
        <stp>P</stp>
        <stp>0</stp>
        <stp>STK</stp>
        <stp>N060250</stp>
        <stp>저가</stp>
        <stp/>
        <stp/>
        <tr r="Q437" s="1"/>
      </tp>
      <tp>
        <v>115600</v>
        <stp/>
        <stp>P</stp>
        <stp>0</stp>
        <stp>STK</stp>
        <stp>N267270</stp>
        <stp>저가</stp>
        <stp/>
        <stp/>
        <tr r="Q174" s="3"/>
        <tr r="Q213" s="1"/>
      </tp>
      <tp>
        <v>59300</v>
        <stp/>
        <stp>P</stp>
        <stp>0</stp>
        <stp>STK</stp>
        <stp>N065350</stp>
        <stp>저가</stp>
        <stp/>
        <stp/>
        <tr r="Q239" s="1"/>
      </tp>
      <tp>
        <v>205000</v>
        <stp/>
        <stp>P</stp>
        <stp>0</stp>
        <stp>STK</stp>
        <stp>N064350</stp>
        <stp>저가</stp>
        <stp/>
        <stp/>
        <tr r="Q34" s="1"/>
        <tr r="Q34" s="3"/>
      </tp>
      <tp>
        <v>11910</v>
        <stp/>
        <stp>P</stp>
        <stp>0</stp>
        <stp>STK</stp>
        <stp>N064550</stp>
        <stp>저가</stp>
        <stp/>
        <stp/>
        <tr r="Q613" s="1"/>
      </tp>
      <tp>
        <v>14230</v>
        <stp/>
        <stp>P</stp>
        <stp>0</stp>
        <stp>STK</stp>
        <stp>N060250</stp>
        <stp>시가</stp>
        <stp/>
        <stp/>
        <tr r="O437" s="1"/>
      </tp>
      <tp>
        <v>22950</v>
        <stp/>
        <stp>P</stp>
        <stp>0</stp>
        <stp>STK</stp>
        <stp>N469610</stp>
        <stp>저가</stp>
        <stp/>
        <stp/>
        <tr r="Q696" s="1"/>
      </tp>
      <tp>
        <v>60400</v>
        <stp/>
        <stp>P</stp>
        <stp>0</stp>
        <stp>STK</stp>
        <stp>N065350</stp>
        <stp>시가</stp>
        <stp/>
        <stp/>
        <tr r="O239" s="1"/>
      </tp>
      <tp>
        <v>12000</v>
        <stp/>
        <stp>P</stp>
        <stp>0</stp>
        <stp>STK</stp>
        <stp>N064550</stp>
        <stp>시가</stp>
        <stp/>
        <stp/>
        <tr r="O613" s="1"/>
      </tp>
      <tp>
        <v>208000</v>
        <stp/>
        <stp>P</stp>
        <stp>0</stp>
        <stp>STK</stp>
        <stp>N064350</stp>
        <stp>시가</stp>
        <stp/>
        <stp/>
        <tr r="O34" s="3"/>
        <tr r="O34" s="1"/>
      </tp>
      <tp>
        <v>116000</v>
        <stp/>
        <stp>P</stp>
        <stp>0</stp>
        <stp>STK</stp>
        <stp>N267270</stp>
        <stp>시가</stp>
        <stp/>
        <stp/>
        <tr r="O174" s="3"/>
        <tr r="O213" s="1"/>
      </tp>
      <tp>
        <v>121100</v>
        <stp/>
        <stp>P</stp>
        <stp>0</stp>
        <stp>STK</stp>
        <stp>N267270</stp>
        <stp>고가</stp>
        <stp/>
        <stp/>
        <tr r="P213" s="1"/>
        <tr r="P174" s="3"/>
      </tp>
      <tp>
        <v>60900</v>
        <stp/>
        <stp>P</stp>
        <stp>0</stp>
        <stp>STK</stp>
        <stp>N065350</stp>
        <stp>고가</stp>
        <stp/>
        <stp/>
        <tr r="P239" s="1"/>
      </tp>
      <tp>
        <v>209000</v>
        <stp/>
        <stp>P</stp>
        <stp>0</stp>
        <stp>STK</stp>
        <stp>N064350</stp>
        <stp>고가</stp>
        <stp/>
        <stp/>
        <tr r="P34" s="3"/>
        <tr r="P34" s="1"/>
      </tp>
      <tp>
        <v>12000</v>
        <stp/>
        <stp>P</stp>
        <stp>0</stp>
        <stp>STK</stp>
        <stp>N064550</stp>
        <stp>고가</stp>
        <stp/>
        <stp/>
        <tr r="P613" s="1"/>
      </tp>
      <tp>
        <v>14400</v>
        <stp/>
        <stp>P</stp>
        <stp>0</stp>
        <stp>STK</stp>
        <stp>N060250</stp>
        <stp>고가</stp>
        <stp/>
        <stp/>
        <tr r="P437" s="1"/>
      </tp>
      <tp>
        <v>23200</v>
        <stp/>
        <stp>P</stp>
        <stp>0</stp>
        <stp>STK</stp>
        <stp>N469610</stp>
        <stp>고가</stp>
        <stp/>
        <stp/>
        <tr r="P696" s="1"/>
      </tp>
      <tp>
        <v>533000</v>
        <stp/>
        <stp>P</stp>
        <stp>0</stp>
        <stp>STK</stp>
        <stp>N079550</stp>
        <stp>시가</stp>
        <stp/>
        <stp/>
        <tr r="O62" s="3"/>
        <tr r="O66" s="1"/>
      </tp>
      <tp>
        <v>286000</v>
        <stp/>
        <stp>P</stp>
        <stp>0</stp>
        <stp>STK</stp>
        <stp>N278470</stp>
        <stp>시가</stp>
        <stp/>
        <stp/>
        <tr r="O74" s="1"/>
        <tr r="O67" s="3"/>
      </tp>
      <tp>
        <v>23200</v>
        <stp/>
        <stp>P</stp>
        <stp>0</stp>
        <stp>STK</stp>
        <stp>N078350</stp>
        <stp>시가</stp>
        <stp/>
        <stp/>
        <tr r="O566" s="1"/>
      </tp>
      <tp>
        <v>186600</v>
        <stp/>
        <stp>P</stp>
        <stp>0</stp>
        <stp>STK</stp>
        <stp>N071050</stp>
        <stp>저가</stp>
        <stp/>
        <stp/>
        <tr r="Q68" s="3"/>
        <tr r="Q70" s="1"/>
      </tp>
      <tp>
        <v>188000</v>
        <stp/>
        <stp>P</stp>
        <stp>0</stp>
        <stp>STK</stp>
        <stp>N071050</stp>
        <stp>시가</stp>
        <stp/>
        <stp/>
        <tr r="O68" s="3"/>
        <tr r="O70" s="1"/>
      </tp>
      <tp>
        <v>530000</v>
        <stp/>
        <stp>P</stp>
        <stp>0</stp>
        <stp>STK</stp>
        <stp>N079550</stp>
        <stp>저가</stp>
        <stp/>
        <stp/>
        <tr r="Q62" s="3"/>
        <tr r="Q66" s="1"/>
      </tp>
      <tp>
        <v>22600</v>
        <stp/>
        <stp>P</stp>
        <stp>0</stp>
        <stp>STK</stp>
        <stp>N078350</stp>
        <stp>저가</stp>
        <stp/>
        <stp/>
        <tr r="Q566" s="1"/>
      </tp>
      <tp>
        <v>279500</v>
        <stp/>
        <stp>P</stp>
        <stp>0</stp>
        <stp>STK</stp>
        <stp>N278470</stp>
        <stp>저가</stp>
        <stp/>
        <stp/>
        <tr r="Q74" s="1"/>
        <tr r="Q67" s="3"/>
      </tp>
      <tp>
        <v>194500</v>
        <stp/>
        <stp>P</stp>
        <stp>0</stp>
        <stp>STK</stp>
        <stp>N071050</stp>
        <stp>고가</stp>
        <stp/>
        <stp/>
        <tr r="P68" s="3"/>
        <tr r="P70" s="1"/>
      </tp>
      <tp>
        <v>538000</v>
        <stp/>
        <stp>P</stp>
        <stp>0</stp>
        <stp>STK</stp>
        <stp>N079550</stp>
        <stp>고가</stp>
        <stp/>
        <stp/>
        <tr r="P62" s="3"/>
        <tr r="P66" s="1"/>
      </tp>
      <tp>
        <v>23200</v>
        <stp/>
        <stp>P</stp>
        <stp>0</stp>
        <stp>STK</stp>
        <stp>N078350</stp>
        <stp>고가</stp>
        <stp/>
        <stp/>
        <tr r="P566" s="1"/>
      </tp>
      <tp>
        <v>288500</v>
        <stp/>
        <stp>P</stp>
        <stp>0</stp>
        <stp>STK</stp>
        <stp>N278470</stp>
        <stp>고가</stp>
        <stp/>
        <stp/>
        <tr r="P67" s="3"/>
        <tr r="P74" s="1"/>
      </tp>
      <tp>
        <v>6839</v>
        <stp/>
        <stp>P</stp>
        <stp>0</stp>
        <stp>STK</stp>
        <stp>N0008Z0</stp>
        <stp>누적거래량</stp>
        <stp/>
        <stp/>
        <tr r="L610" s="1"/>
      </tp>
      <tp>
        <v>9729</v>
        <stp/>
        <stp>P</stp>
        <stp>0</stp>
        <stp>STK</stp>
        <stp>N281820</stp>
        <stp>누적거래량</stp>
        <stp/>
        <stp/>
        <tr r="L350" s="1"/>
        <tr r="L247" s="3"/>
      </tp>
      <tp>
        <v>1288</v>
        <stp/>
        <stp>P</stp>
        <stp>0</stp>
        <stp>STK</stp>
        <stp>N053800</stp>
        <stp>누적거래량</stp>
        <stp/>
        <stp/>
        <tr r="L401" s="1"/>
      </tp>
      <tp>
        <v>327</v>
        <stp/>
        <stp>P</stp>
        <stp>0</stp>
        <stp>STK</stp>
        <stp>N036800</stp>
        <stp>누적거래량</stp>
        <stp/>
        <stp/>
        <tr r="L688" s="1"/>
      </tp>
      <tp>
        <v>11539</v>
        <stp/>
        <stp>P</stp>
        <stp>0</stp>
        <stp>STK</stp>
        <stp>N114810</stp>
        <stp>누적거래량</stp>
        <stp/>
        <stp/>
        <tr r="L603" s="1"/>
      </tp>
      <tp>
        <v>8559</v>
        <stp/>
        <stp>P</stp>
        <stp>0</stp>
        <stp>STK</stp>
        <stp>N017800</stp>
        <stp>누적거래량</stp>
        <stp/>
        <stp/>
        <tr r="L137" s="1"/>
        <tr r="L121" s="3"/>
      </tp>
      <tp>
        <v>23</v>
        <stp/>
        <stp>P</stp>
        <stp>0</stp>
        <stp>STK</stp>
        <stp>N016800</stp>
        <stp>누적거래량</stp>
        <stp/>
        <stp/>
        <tr r="L296" s="3"/>
        <tr r="L475" s="1"/>
      </tp>
      <tp>
        <v>5723</v>
        <stp/>
        <stp>P</stp>
        <stp>0</stp>
        <stp>STK</stp>
        <stp>N001800</stp>
        <stp>누적거래량</stp>
        <stp/>
        <stp/>
        <tr r="L205" s="3"/>
        <tr r="L267" s="1"/>
      </tp>
      <tp>
        <v>2034</v>
        <stp/>
        <stp>P</stp>
        <stp>0</stp>
        <stp>STK</stp>
        <stp>N004800</stp>
        <stp>누적거래량</stp>
        <stp/>
        <stp/>
        <tr r="L174" s="1"/>
        <tr r="L148" s="3"/>
      </tp>
      <tp>
        <v>2285326</v>
        <stp/>
        <stp>P</stp>
        <stp>0</stp>
        <stp>STK</stp>
        <stp>N006800</stp>
        <stp>누적거래량</stp>
        <stp/>
        <stp/>
        <tr r="L48" s="1"/>
        <tr r="L47" s="3"/>
      </tp>
      <tp>
        <v>7424</v>
        <stp/>
        <stp>P</stp>
        <stp>0</stp>
        <stp>STK</stp>
        <stp>N199800</stp>
        <stp>누적거래량</stp>
        <stp/>
        <stp/>
        <tr r="L471" s="1"/>
      </tp>
      <tp>
        <v>3606</v>
        <stp/>
        <stp>P</stp>
        <stp>0</stp>
        <stp>STK</stp>
        <stp>N472850</stp>
        <stp>누적거래량</stp>
        <stp/>
        <stp/>
        <tr r="L637" s="1"/>
      </tp>
      <tp>
        <v>128332</v>
        <stp/>
        <stp>P</stp>
        <stp>0</stp>
        <stp>STK</stp>
        <stp>N352820</stp>
        <stp>누적거래량</stp>
        <stp/>
        <stp/>
        <tr r="L53" s="3"/>
        <tr r="L56" s="1"/>
      </tp>
      <tp>
        <v>605</v>
        <stp/>
        <stp>P</stp>
        <stp>0</stp>
        <stp>STK</stp>
        <stp>N344820</stp>
        <stp>누적거래량</stp>
        <stp/>
        <stp/>
        <tr r="L516" s="1"/>
        <tr r="L316" s="3"/>
      </tp>
      <tp>
        <v>68950</v>
        <stp/>
        <stp>P</stp>
        <stp>0</stp>
        <stp>STK</stp>
        <stp>N047810</stp>
        <stp>누적거래량</stp>
        <stp/>
        <stp/>
        <tr r="L53" s="1"/>
        <tr r="L52" s="3"/>
      </tp>
      <tp>
        <v>347549</v>
        <stp/>
        <stp>P</stp>
        <stp>0</stp>
        <stp>STK</stp>
        <stp>N036810</stp>
        <stp>누적거래량</stp>
        <stp/>
        <stp/>
        <tr r="L379" s="1"/>
      </tp>
      <tp>
        <v>2253</v>
        <stp/>
        <stp>P</stp>
        <stp>0</stp>
        <stp>STK</stp>
        <stp>N017810</stp>
        <stp>누적거래량</stp>
        <stp/>
        <stp/>
        <tr r="L479" s="1"/>
        <tr r="L301" s="3"/>
      </tp>
      <tp>
        <v>1516</v>
        <stp/>
        <stp>P</stp>
        <stp>0</stp>
        <stp>STK</stp>
        <stp>N000810</stp>
        <stp>누적거래량</stp>
        <stp/>
        <stp/>
        <tr r="L35" s="3"/>
        <tr r="L35" s="1"/>
      </tp>
      <tp>
        <v>5300</v>
        <stp/>
        <stp>P</stp>
        <stp>0</stp>
        <stp>STK</stp>
        <stp>N403850</stp>
        <stp>누적거래량</stp>
        <stp/>
        <stp/>
        <tr r="L578" s="1"/>
      </tp>
      <tp>
        <v>4860</v>
        <stp/>
        <stp>P</stp>
        <stp>0</stp>
        <stp>STK</stp>
        <stp>N002810</stp>
        <stp>누적거래량</stp>
        <stp/>
        <stp/>
        <tr r="L616" s="1"/>
        <tr r="L354" s="3"/>
      </tp>
      <tp>
        <v>1156</v>
        <stp/>
        <stp>P</stp>
        <stp>0</stp>
        <stp>STK</stp>
        <stp>N005810</stp>
        <stp>누적거래량</stp>
        <stp/>
        <stp/>
        <tr r="L284" s="3"/>
        <tr r="L446" s="1"/>
      </tp>
      <tp>
        <v>37168</v>
        <stp/>
        <stp>P</stp>
        <stp>0</stp>
        <stp>STK</stp>
        <stp>N007810</stp>
        <stp>누적거래량</stp>
        <stp/>
        <stp/>
        <tr r="L250" s="1"/>
        <tr r="L199" s="3"/>
      </tp>
      <tp>
        <v>36620</v>
        <stp/>
        <stp>P</stp>
        <stp>0</stp>
        <stp>STK</stp>
        <stp>N460860</stp>
        <stp>누적거래량</stp>
        <stp/>
        <stp/>
        <tr r="L319" s="3"/>
        <tr r="L533" s="1"/>
      </tp>
      <tp>
        <v>15625</v>
        <stp/>
        <stp>P</stp>
        <stp>0</stp>
        <stp>STK</stp>
        <stp>N064820</stp>
        <stp>누적거래량</stp>
        <stp/>
        <stp/>
        <tr r="L548" s="1"/>
      </tp>
      <tp>
        <v>50645</v>
        <stp/>
        <stp>P</stp>
        <stp>0</stp>
        <stp>STK</stp>
        <stp>N222800</stp>
        <stp>누적거래량</stp>
        <stp/>
        <stp/>
        <tr r="L220" s="1"/>
      </tp>
      <tp>
        <v>10847</v>
        <stp/>
        <stp>P</stp>
        <stp>0</stp>
        <stp>STK</stp>
        <stp>N014820</stp>
        <stp>누적거래량</stp>
        <stp/>
        <stp/>
        <tr r="L381" s="1"/>
        <tr r="L252" s="3"/>
      </tp>
      <tp>
        <v>21509</v>
        <stp/>
        <stp>P</stp>
        <stp>0</stp>
        <stp>STK</stp>
        <stp>N001820</stp>
        <stp>누적거래량</stp>
        <stp/>
        <stp/>
        <tr r="L595" s="1"/>
        <tr r="L344" s="3"/>
      </tp>
      <tp>
        <v>12705</v>
        <stp/>
        <stp>P</stp>
        <stp>0</stp>
        <stp>STK</stp>
        <stp>N104830</stp>
        <stp>누적거래량</stp>
        <stp/>
        <stp/>
        <tr r="L504" s="1"/>
      </tp>
      <tp>
        <v>6159</v>
        <stp/>
        <stp>P</stp>
        <stp>0</stp>
        <stp>STK</stp>
        <stp>N192820</stp>
        <stp>누적거래량</stp>
        <stp/>
        <stp/>
        <tr r="L161" s="3"/>
        <tr r="L205" s="1"/>
      </tp>
      <tp>
        <v>9947</v>
        <stp/>
        <stp>P</stp>
        <stp>0</stp>
        <stp>STK</stp>
        <stp>N394800</stp>
        <stp>누적거래량</stp>
        <stp/>
        <stp/>
        <tr r="L495" s="1"/>
      </tp>
      <tp>
        <v>16869</v>
        <stp/>
        <stp>P</stp>
        <stp>0</stp>
        <stp>STK</stp>
        <stp>N383800</stp>
        <stp>누적거래량</stp>
        <stp/>
        <stp/>
        <tr r="L272" s="3"/>
        <tr r="L417" s="1"/>
      </tp>
      <tp>
        <v>1411</v>
        <stp/>
        <stp>P</stp>
        <stp>0</stp>
        <stp>STK</stp>
        <stp>N484870</stp>
        <stp>누적거래량</stp>
        <stp/>
        <stp/>
        <tr r="L203" s="3"/>
        <tr r="L256" s="1"/>
      </tp>
      <tp>
        <v>17218</v>
        <stp/>
        <stp>P</stp>
        <stp>0</stp>
        <stp>STK</stp>
        <stp>N277810</stp>
        <stp>누적거래량</stp>
        <stp/>
        <stp/>
        <tr r="L71" s="1"/>
      </tp>
      <tp>
        <v>2729</v>
        <stp/>
        <stp>P</stp>
        <stp>0</stp>
        <stp>STK</stp>
        <stp>N462870</stp>
        <stp>누적거래량</stp>
        <stp/>
        <stp/>
        <tr r="L172" s="3"/>
        <tr r="L214" s="1"/>
      </tp>
      <tp>
        <v>10736</v>
        <stp/>
        <stp>P</stp>
        <stp>0</stp>
        <stp>STK</stp>
        <stp>N458870</stp>
        <stp>누적거래량</stp>
        <stp/>
        <stp/>
        <tr r="L221" s="1"/>
      </tp>
      <tp>
        <v>1730</v>
        <stp/>
        <stp>P</stp>
        <stp>0</stp>
        <stp>STK</stp>
        <stp>N041830</stp>
        <stp>누적거래량</stp>
        <stp/>
        <stp/>
        <tr r="L543" s="1"/>
      </tp>
      <tp>
        <v>21097</v>
        <stp/>
        <stp>P</stp>
        <stp>0</stp>
        <stp>STK</stp>
        <stp>N240810</stp>
        <stp>누적거래량</stp>
        <stp/>
        <stp/>
        <tr r="L130" s="1"/>
      </tp>
      <tp>
        <v>14607</v>
        <stp/>
        <stp>P</stp>
        <stp>0</stp>
        <stp>STK</stp>
        <stp>N032830</stp>
        <stp>누적거래량</stp>
        <stp/>
        <stp/>
        <tr r="L24" s="1"/>
        <tr r="L24" s="3"/>
      </tp>
      <tp>
        <v>8434</v>
        <stp/>
        <stp>P</stp>
        <stp>0</stp>
        <stp>STK</stp>
        <stp>N036830</stp>
        <stp>누적거래량</stp>
        <stp/>
        <stp/>
        <tr r="L349" s="1"/>
      </tp>
      <tp>
        <v>96843</v>
        <stp/>
        <stp>P</stp>
        <stp>0</stp>
        <stp>STK</stp>
        <stp>N424870</stp>
        <stp>누적거래량</stp>
        <stp/>
        <stp/>
        <tr r="L353" s="1"/>
      </tp>
      <tp>
        <v>77321</v>
        <stp/>
        <stp>P</stp>
        <stp>0</stp>
        <stp>STK</stp>
        <stp>N014830</stp>
        <stp>누적거래량</stp>
        <stp/>
        <stp/>
        <tr r="L299" s="3"/>
        <tr r="L484" s="1"/>
      </tp>
      <tp>
        <v>80821</v>
        <stp/>
        <stp>P</stp>
        <stp>0</stp>
        <stp>STK</stp>
        <stp>N403870</stp>
        <stp>누적거래량</stp>
        <stp/>
        <stp/>
        <tr r="L157" s="1"/>
      </tp>
      <tp>
        <v>901</v>
        <stp/>
        <stp>P</stp>
        <stp>0</stp>
        <stp>STK</stp>
        <stp>N005830</stp>
        <stp>누적거래량</stp>
        <stp/>
        <stp/>
        <tr r="L75" s="1"/>
        <tr r="L70" s="3"/>
      </tp>
      <tp>
        <v>456046</v>
        <stp/>
        <stp>P</stp>
        <stp>0</stp>
        <stp>STK</stp>
        <stp>N009830</stp>
        <stp>누적거래량</stp>
        <stp/>
        <stp/>
        <tr r="L103" s="3"/>
        <tr r="L113" s="1"/>
      </tp>
      <tp>
        <v>95</v>
        <stp/>
        <stp>P</stp>
        <stp>0</stp>
        <stp>STK</stp>
        <stp>N039840</stp>
        <stp>누적거래량</stp>
        <stp/>
        <stp/>
        <tr r="L693" s="1"/>
      </tp>
      <tp>
        <v>21520</v>
        <stp/>
        <stp>P</stp>
        <stp>0</stp>
        <stp>STK</stp>
        <stp>N119850</stp>
        <stp>누적거래량</stp>
        <stp/>
        <stp/>
        <tr r="L432" s="1"/>
      </tp>
      <tp>
        <v>9</v>
        <stp/>
        <stp>P</stp>
        <stp>0</stp>
        <stp>STK</stp>
        <stp>N002840</stp>
        <stp>누적거래량</stp>
        <stp/>
        <stp/>
        <tr r="L261" s="3"/>
        <tr r="L392" s="1"/>
      </tp>
      <tp>
        <v>6979</v>
        <stp/>
        <stp>P</stp>
        <stp>0</stp>
        <stp>STK</stp>
        <stp>N294870</stp>
        <stp>누적거래량</stp>
        <stp/>
        <stp/>
        <tr r="L202" s="3"/>
        <tr r="L264" s="1"/>
      </tp>
      <tp>
        <v>819</v>
        <stp/>
        <stp>P</stp>
        <stp>0</stp>
        <stp>STK</stp>
        <stp>N084850</stp>
        <stp>누적거래량</stp>
        <stp/>
        <stp/>
        <tr r="L695" s="1"/>
      </tp>
      <tp>
        <v>584835</v>
        <stp/>
        <stp>P</stp>
        <stp>0</stp>
        <stp>STK</stp>
        <stp>N484810</stp>
        <stp>누적거래량</stp>
        <stp/>
        <stp/>
        <tr r="L559" s="1"/>
      </tp>
      <tp>
        <v>7222</v>
        <stp/>
        <stp>P</stp>
        <stp>0</stp>
        <stp>STK</stp>
        <stp>N356860</stp>
        <stp>누적거래량</stp>
        <stp/>
        <stp/>
        <tr r="L453" s="1"/>
      </tp>
      <tp>
        <v>2272</v>
        <stp/>
        <stp>P</stp>
        <stp>0</stp>
        <stp>STK</stp>
        <stp>N114840</stp>
        <stp>누적거래량</stp>
        <stp/>
        <stp/>
        <tr r="L661" s="1"/>
      </tp>
      <tp>
        <v>22082</v>
        <stp/>
        <stp>P</stp>
        <stp>0</stp>
        <stp>STK</stp>
        <stp>N100840</stp>
        <stp>누적거래량</stp>
        <stp/>
        <stp/>
        <tr r="L347" s="1"/>
        <tr r="L245" s="3"/>
      </tp>
      <tp>
        <v>8705</v>
        <stp/>
        <stp>P</stp>
        <stp>0</stp>
        <stp>STK</stp>
        <stp>N003850</stp>
        <stp>누적거래량</stp>
        <stp/>
        <stp/>
        <tr r="L254" s="3"/>
        <tr r="L366" s="1"/>
      </tp>
      <tp>
        <v>95716</v>
        <stp/>
        <stp>P</stp>
        <stp>0</stp>
        <stp>STK</stp>
        <stp>N005850</stp>
        <stp>누적거래량</stp>
        <stp/>
        <stp/>
        <tr r="L135" s="3"/>
        <tr r="L144" s="1"/>
      </tp>
      <tp>
        <v>179920</v>
        <stp/>
        <stp>P</stp>
        <stp>0</stp>
        <stp>STK</stp>
        <stp>N105840</stp>
        <stp>누적거래량</stp>
        <stp/>
        <stp/>
        <tr r="L451" s="1"/>
        <tr r="L288" s="3"/>
      </tp>
      <tp>
        <v>16135</v>
        <stp/>
        <stp>P</stp>
        <stp>0</stp>
        <stp>STK</stp>
        <stp>N195870</stp>
        <stp>누적거래량</stp>
        <stp/>
        <stp/>
        <tr r="L236" s="3"/>
        <tr r="L332" s="1"/>
      </tp>
      <tp>
        <v>9042</v>
        <stp/>
        <stp>P</stp>
        <stp>0</stp>
        <stp>STK</stp>
        <stp>N287840</stp>
        <stp>누적거래량</stp>
        <stp/>
        <stp/>
        <tr r="L380" s="1"/>
      </tp>
      <tp>
        <v>580</v>
        <stp/>
        <stp>P</stp>
        <stp>0</stp>
        <stp>STK</stp>
        <stp>N089860</stp>
        <stp>누적거래량</stp>
        <stp/>
        <stp/>
        <tr r="L297" s="1"/>
        <tr r="L220" s="3"/>
      </tp>
      <tp>
        <v>74600</v>
        <stp/>
        <stp>P</stp>
        <stp>0</stp>
        <stp>STK</stp>
        <stp>N347850</stp>
        <stp>누적거래량</stp>
        <stp/>
        <stp/>
        <tr r="L138" s="1"/>
      </tp>
      <tp>
        <v>26068</v>
        <stp/>
        <stp>P</stp>
        <stp>0</stp>
        <stp>STK</stp>
        <stp>N122870</stp>
        <stp>누적거래량</stp>
        <stp/>
        <stp/>
        <tr r="L270" s="1"/>
      </tp>
      <tp>
        <v>15368</v>
        <stp/>
        <stp>P</stp>
        <stp>0</stp>
        <stp>STK</stp>
        <stp>N017860</stp>
        <stp>누적거래량</stp>
        <stp/>
        <stp/>
        <tr r="L594" s="1"/>
        <tr r="L338" s="3"/>
      </tp>
      <tp>
        <v>35261</v>
        <stp/>
        <stp>P</stp>
        <stp>0</stp>
        <stp>STK</stp>
        <stp>N475830</stp>
        <stp>누적거래량</stp>
        <stp/>
        <stp/>
        <tr r="L197" s="1"/>
      </tp>
      <tp>
        <v>31224</v>
        <stp/>
        <stp>P</stp>
        <stp>0</stp>
        <stp>STK</stp>
        <stp>N476830</stp>
        <stp>누적거래량</stp>
        <stp/>
        <stp/>
        <tr r="L209" s="1"/>
      </tp>
      <tp>
        <v>993</v>
        <stp/>
        <stp>P</stp>
        <stp>0</stp>
        <stp>STK</stp>
        <stp>N140860</stp>
        <stp>누적거래량</stp>
        <stp/>
        <stp/>
        <tr r="L238" s="1"/>
      </tp>
      <tp>
        <v>9251</v>
        <stp/>
        <stp>P</stp>
        <stp>0</stp>
        <stp>STK</stp>
        <stp>N338840</stp>
        <stp>누적거래량</stp>
        <stp/>
        <stp/>
        <tr r="L580" s="1"/>
      </tp>
      <tp>
        <v>18897</v>
        <stp/>
        <stp>P</stp>
        <stp>0</stp>
        <stp>STK</stp>
        <stp>N108860</stp>
        <stp>누적거래량</stp>
        <stp/>
        <stp/>
        <tr r="L600" s="1"/>
      </tp>
      <tp>
        <v>39276</v>
        <stp/>
        <stp>P</stp>
        <stp>0</stp>
        <stp>STK</stp>
        <stp>N161890</stp>
        <stp>누적거래량</stp>
        <stp/>
        <stp/>
        <tr r="L245" s="1"/>
        <tr r="L193" s="3"/>
      </tp>
      <tp>
        <v>4488020</v>
        <stp/>
        <stp>P</stp>
        <stp>0</stp>
        <stp>STK</stp>
        <stp>N018880</stp>
        <stp>누적거래량</stp>
        <stp/>
        <stp/>
        <tr r="L122" s="3"/>
        <tr r="L142" s="1"/>
      </tp>
      <tp>
        <v>90740</v>
        <stp/>
        <stp>P</stp>
        <stp>0</stp>
        <stp>STK</stp>
        <stp>N000880</stp>
        <stp>누적거래량</stp>
        <stp/>
        <stp/>
        <tr r="L76" s="1"/>
        <tr r="L74" s="3"/>
      </tp>
      <tp>
        <v>7375</v>
        <stp/>
        <stp>P</stp>
        <stp>0</stp>
        <stp>STK</stp>
        <stp>N089890</stp>
        <stp>누적거래량</stp>
        <stp/>
        <stp/>
        <tr r="L520" s="1"/>
      </tp>
      <tp>
        <v>47364</v>
        <stp/>
        <stp>P</stp>
        <stp>0</stp>
        <stp>STK</stp>
        <stp>N050890</stp>
        <stp>누적거래량</stp>
        <stp/>
        <stp/>
        <tr r="L493" s="1"/>
      </tp>
      <tp>
        <v>6937</v>
        <stp/>
        <stp>P</stp>
        <stp>0</stp>
        <stp>STK</stp>
        <stp>N046890</stp>
        <stp>누적거래량</stp>
        <stp/>
        <stp/>
        <tr r="L576" s="1"/>
      </tp>
      <tp>
        <v>31545</v>
        <stp/>
        <stp>P</stp>
        <stp>0</stp>
        <stp>STK</stp>
        <stp>N036890</stp>
        <stp>누적거래량</stp>
        <stp/>
        <stp/>
        <tr r="L621" s="1"/>
      </tp>
      <tp>
        <v>6275</v>
        <stp/>
        <stp>P</stp>
        <stp>0</stp>
        <stp>STK</stp>
        <stp>N026890</stp>
        <stp>누적거래량</stp>
        <stp/>
        <stp/>
        <tr r="L318" s="3"/>
        <tr r="L530" s="1"/>
      </tp>
      <tp>
        <v>627</v>
        <stp/>
        <stp>P</stp>
        <stp>0</stp>
        <stp>STK</stp>
        <stp>N013890</stp>
        <stp>누적거래량</stp>
        <stp/>
        <stp/>
        <tr r="L653" s="1"/>
        <tr r="L364" s="3"/>
      </tp>
      <tp>
        <v>8448</v>
        <stp/>
        <stp>P</stp>
        <stp>0</stp>
        <stp>STK</stp>
        <stp>N237880</stp>
        <stp>누적거래량</stp>
        <stp/>
        <stp/>
        <tr r="L690" s="1"/>
      </tp>
      <tp>
        <v>71400</v>
        <stp/>
        <stp>P</stp>
        <stp>0</stp>
        <stp>STK</stp>
        <stp>N200880</stp>
        <stp>누적거래량</stp>
        <stp/>
        <stp/>
        <tr r="L317" s="3"/>
        <tr r="L503" s="1"/>
      </tp>
      <tp>
        <v>236000</v>
        <stp/>
        <stp>P</stp>
        <stp>0</stp>
        <stp>STK</stp>
        <stp>259960</stp>
        <stp>현재가</stp>
        <stp/>
        <stp/>
        <tr r="T67" s="3"/>
        <tr r="T67" s="1"/>
      </tp>
      <tp>
        <v>12780</v>
        <stp/>
        <stp>P</stp>
        <stp>0</stp>
        <stp>STK</stp>
        <stp>059090</stp>
        <stp>현재가</stp>
        <stp/>
        <stp/>
        <tr r="T515" s="1"/>
      </tp>
      <tp>
        <v>32200</v>
        <stp/>
        <stp>P</stp>
        <stp>0</stp>
        <stp>STK</stp>
        <stp>459510</stp>
        <stp>현재가</stp>
        <stp/>
        <stp/>
        <tr r="T490" s="1"/>
      </tp>
      <tp>
        <v>35700</v>
        <stp/>
        <stp>P</stp>
        <stp>0</stp>
        <stp>STK</stp>
        <stp>058970</stp>
        <stp>현재가</stp>
        <stp/>
        <stp/>
        <tr r="T509" s="1"/>
      </tp>
      <tp>
        <v>159200</v>
        <stp/>
        <stp>P</stp>
        <stp>0</stp>
        <stp>STK</stp>
        <stp>458870</stp>
        <stp>현재가</stp>
        <stp/>
        <stp/>
        <tr r="T221" s="1"/>
        <tr r="T221" s="3"/>
      </tp>
      <tp>
        <v>104400</v>
        <stp/>
        <stp>P</stp>
        <stp>0</stp>
        <stp>STK</stp>
        <stp>058610</stp>
        <stp>현재가</stp>
        <stp/>
        <stp/>
        <tr r="T178" s="1"/>
        <tr r="T178" s="3"/>
      </tp>
      <tp>
        <v>13260</v>
        <stp/>
        <stp>P</stp>
        <stp>0</stp>
        <stp>STK</stp>
        <stp>358570</stp>
        <stp>현재가</stp>
        <stp/>
        <stp/>
        <tr r="T336" s="1"/>
        <tr r="T336" s="3"/>
      </tp>
      <tp>
        <v>65000</v>
        <stp/>
        <stp>P</stp>
        <stp>0</stp>
        <stp>STK</stp>
        <stp>058470</stp>
        <stp>현재가</stp>
        <stp/>
        <stp/>
        <tr r="T109" s="3"/>
        <tr r="T109" s="1"/>
      </tp>
      <tp>
        <v>38750</v>
        <stp/>
        <stp>P</stp>
        <stp>0</stp>
        <stp>STK</stp>
        <stp>455900</stp>
        <stp>현재가</stp>
        <stp/>
        <stp/>
        <tr r="T415" s="1"/>
      </tp>
      <tp>
        <v>83300</v>
        <stp/>
        <stp>P</stp>
        <stp>0</stp>
        <stp>STK</stp>
        <stp>055550</stp>
        <stp>현재가</stp>
        <stp/>
        <stp/>
        <tr r="T22" s="3"/>
        <tr r="T22" s="1"/>
      </tp>
      <tp>
        <v>25500</v>
        <stp/>
        <stp>P</stp>
        <stp>0</stp>
        <stp>STK</stp>
        <stp>054950</stp>
        <stp>현재가</stp>
        <stp/>
        <stp/>
        <tr r="T614" s="1"/>
      </tp>
      <tp>
        <v>114000</v>
        <stp/>
        <stp>P</stp>
        <stp>0</stp>
        <stp>STK</stp>
        <stp>454910</stp>
        <stp>현재가</stp>
        <stp/>
        <stp/>
        <tr r="T87" s="3"/>
        <tr r="T87" s="1"/>
      </tp>
      <tp>
        <v>97100</v>
        <stp/>
        <stp>P</stp>
        <stp>0</stp>
        <stp>STK</stp>
        <stp>457190</stp>
        <stp>현재가</stp>
        <stp/>
        <stp/>
        <tr r="T159" s="1"/>
        <tr r="T159" s="3"/>
      </tp>
      <tp>
        <v>54000</v>
        <stp/>
        <stp>P</stp>
        <stp>0</stp>
        <stp>STK</stp>
        <stp>057050</stp>
        <stp>현재가</stp>
        <stp/>
        <stp/>
        <tr r="T410" s="1"/>
      </tp>
      <tp>
        <v>323500</v>
        <stp/>
        <stp>P</stp>
        <stp>0</stp>
        <stp>STK</stp>
        <stp>357780</stp>
        <stp>현재가</stp>
        <stp/>
        <stp/>
        <tr r="T167" s="1"/>
        <tr r="T167" s="3"/>
      </tp>
      <tp>
        <v>48750</v>
        <stp/>
        <stp>P</stp>
        <stp>0</stp>
        <stp>STK</stp>
        <stp>257720</stp>
        <stp>현재가</stp>
        <stp/>
        <stp/>
        <tr r="T156" s="3"/>
        <tr r="T156" s="1"/>
      </tp>
      <tp>
        <v>62300</v>
        <stp/>
        <stp>P</stp>
        <stp>0</stp>
        <stp>STK</stp>
        <stp>357550</stp>
        <stp>현재가</stp>
        <stp/>
        <stp/>
        <tr r="T609" s="1"/>
      </tp>
      <tp>
        <v>55500</v>
        <stp/>
        <stp>P</stp>
        <stp>0</stp>
        <stp>STK</stp>
        <stp>356860</stp>
        <stp>현재가</stp>
        <stp/>
        <stp/>
        <tr r="T453" s="1"/>
      </tp>
      <tp>
        <v>26000</v>
        <stp/>
        <stp>P</stp>
        <stp>0</stp>
        <stp>STK</stp>
        <stp>056190</stp>
        <stp>현재가</stp>
        <stp/>
        <stp/>
        <tr r="T327" s="3"/>
        <tr r="T327" s="1"/>
      </tp>
      <tp>
        <v>76300</v>
        <stp/>
        <stp>P</stp>
        <stp>0</stp>
        <stp>STK</stp>
        <stp>456160</stp>
        <stp>현재가</stp>
        <stp/>
        <stp/>
        <tr r="T278" s="3"/>
        <tr r="T278" s="1"/>
      </tp>
      <tp>
        <v>71700</v>
        <stp/>
        <stp>P</stp>
        <stp>0</stp>
        <stp>STK</stp>
        <stp>456040</stp>
        <stp>현재가</stp>
        <stp/>
        <stp/>
        <tr r="T409" s="1"/>
      </tp>
      <tp>
        <v>7240</v>
        <stp/>
        <stp>P</stp>
        <stp>0</stp>
        <stp>STK</stp>
        <stp>356680</stp>
        <stp>현재가</stp>
        <stp/>
        <stp/>
        <tr r="T694" s="1"/>
      </tp>
      <tp>
        <v>355000</v>
        <stp/>
        <stp>P</stp>
        <stp>0</stp>
        <stp>STK</stp>
        <stp>051910</stp>
        <stp>현재가</stp>
        <stp/>
        <stp/>
        <tr r="T33" s="3"/>
        <tr r="T33" s="1"/>
      </tp>
      <tp>
        <v>271500</v>
        <stp/>
        <stp>P</stp>
        <stp>0</stp>
        <stp>STK</stp>
        <stp>051900</stp>
        <stp>현재가</stp>
        <stp/>
        <stp/>
        <tr r="T124" s="3"/>
        <tr r="T124" s="1"/>
      </tp>
      <tp>
        <v>58500</v>
        <stp/>
        <stp>P</stp>
        <stp>0</stp>
        <stp>STK</stp>
        <stp>251970</stp>
        <stp>현재가</stp>
        <stp/>
        <stp/>
        <tr r="T393" s="1"/>
      </tp>
      <tp>
        <v>15360</v>
        <stp/>
        <stp>P</stp>
        <stp>0</stp>
        <stp>STK</stp>
        <stp>051360</stp>
        <stp>현재가</stp>
        <stp/>
        <stp/>
        <tr r="T672" s="1"/>
      </tp>
      <tp>
        <v>50600</v>
        <stp/>
        <stp>P</stp>
        <stp>0</stp>
        <stp>STK</stp>
        <stp>251270</stp>
        <stp>현재가</stp>
        <stp/>
        <stp/>
        <tr r="T120" s="3"/>
        <tr r="T120" s="1"/>
      </tp>
      <tp>
        <v>57500</v>
        <stp/>
        <stp>P</stp>
        <stp>0</stp>
        <stp>STK</stp>
        <stp>051600</stp>
        <stp>현재가</stp>
        <stp/>
        <stp/>
        <tr r="T166" s="1"/>
        <tr r="T166" s="3"/>
      </tp>
      <tp>
        <v>26500</v>
        <stp/>
        <stp>P</stp>
        <stp>0</stp>
        <stp>STK</stp>
        <stp>051500</stp>
        <stp>현재가</stp>
        <stp/>
        <stp/>
        <tr r="T605" s="1"/>
      </tp>
      <tp>
        <v>13080</v>
        <stp/>
        <stp>P</stp>
        <stp>0</stp>
        <stp>STK</stp>
        <stp>450950</stp>
        <stp>현재가</stp>
        <stp/>
        <stp/>
        <tr r="T498" s="1"/>
      </tp>
      <tp>
        <v>7650</v>
        <stp/>
        <stp>P</stp>
        <stp>0</stp>
        <stp>STK</stp>
        <stp>050890</stp>
        <stp>현재가</stp>
        <stp/>
        <stp/>
        <tr r="T493" s="1"/>
      </tp>
      <tp>
        <v>62300</v>
        <stp/>
        <stp>P</stp>
        <stp>0</stp>
        <stp>STK</stp>
        <stp>450080</stp>
        <stp>현재가</stp>
        <stp/>
        <stp/>
        <tr r="T121" s="1"/>
        <tr r="T121" s="3"/>
      </tp>
      <tp>
        <v>59600</v>
        <stp/>
        <stp>P</stp>
        <stp>0</stp>
        <stp>STK</stp>
        <stp>053800</stp>
        <stp>현재가</stp>
        <stp/>
        <stp/>
        <tr r="T401" s="1"/>
      </tp>
      <tp>
        <v>15060</v>
        <stp/>
        <stp>P</stp>
        <stp>0</stp>
        <stp>STK</stp>
        <stp>453340</stp>
        <stp>현재가</stp>
        <stp/>
        <stp/>
        <tr r="T480" s="1"/>
      </tp>
      <tp>
        <v>49700</v>
        <stp/>
        <stp>P</stp>
        <stp>0</stp>
        <stp>STK</stp>
        <stp>353200</stp>
        <stp>현재가</stp>
        <stp/>
        <stp/>
        <tr r="T176" s="3"/>
        <tr r="T176" s="1"/>
      </tp>
      <tp>
        <v>13460</v>
        <stp/>
        <stp>P</stp>
        <stp>0</stp>
        <stp>STK</stp>
        <stp>053030</stp>
        <stp>현재가</stp>
        <stp/>
        <stp/>
        <tr r="T506" s="1"/>
      </tp>
      <tp>
        <v>36900</v>
        <stp/>
        <stp>P</stp>
        <stp>0</stp>
        <stp>STK</stp>
        <stp>053610</stp>
        <stp>현재가</stp>
        <stp/>
        <stp/>
        <tr r="T538" s="1"/>
      </tp>
      <tp>
        <v>11320</v>
        <stp/>
        <stp>P</stp>
        <stp>0</stp>
        <stp>STK</stp>
        <stp>253590</stp>
        <stp>현재가</stp>
        <stp/>
        <stp/>
        <tr r="T474" s="1"/>
      </tp>
      <tp>
        <v>45750</v>
        <stp/>
        <stp>P</stp>
        <stp>0</stp>
        <stp>STK</stp>
        <stp>253450</stp>
        <stp>현재가</stp>
        <stp/>
        <stp/>
        <tr r="T261" s="1"/>
        <tr r="T261" s="3"/>
      </tp>
      <tp>
        <v>384500</v>
        <stp/>
        <stp>P</stp>
        <stp>0</stp>
        <stp>STK</stp>
        <stp>352820</stp>
        <stp>현재가</stp>
        <stp/>
        <stp/>
        <tr r="T56" s="3"/>
        <tr r="T56" s="1"/>
      </tp>
      <tp>
        <v>137200</v>
        <stp/>
        <stp>P</stp>
        <stp>0</stp>
        <stp>STK</stp>
        <stp>052690</stp>
        <stp>현재가</stp>
        <stp/>
        <stp/>
        <tr r="T104" s="3"/>
        <tr r="T104" s="1"/>
      </tp>
      <tp>
        <v>31650</v>
        <stp/>
        <stp>P</stp>
        <stp>0</stp>
        <stp>STK</stp>
        <stp>352480</stp>
        <stp>현재가</stp>
        <stp/>
        <stp/>
        <tr r="T528" s="1"/>
      </tp>
      <tp>
        <v>42800</v>
        <stp/>
        <stp>P</stp>
        <stp>0</stp>
        <stp>STK</stp>
        <stp>052400</stp>
        <stp>현재가</stp>
        <stp/>
        <stp/>
        <tr r="T418" s="1"/>
      </tp>
      <tp>
        <v>34150</v>
        <stp/>
        <stp>P</stp>
        <stp>0</stp>
        <stp>STK</stp>
        <stp>452430</stp>
        <stp>현재가</stp>
        <stp/>
        <stp/>
        <tr r="T658" s="1"/>
      </tp>
      <tp>
        <v>76900</v>
        <stp/>
        <stp>P</stp>
        <stp>0</stp>
        <stp>STK</stp>
        <stp>N389470</stp>
        <stp>시가</stp>
        <stp/>
        <stp/>
        <tr r="O326" s="1"/>
      </tp>
      <tp>
        <v>52300</v>
        <stp/>
        <stp>P</stp>
        <stp>0</stp>
        <stp>STK</stp>
        <stp>N082740</stp>
        <stp>저가</stp>
        <stp/>
        <stp/>
        <tr r="Q116" s="1"/>
        <tr r="Q110" s="3"/>
      </tp>
      <tp>
        <v>15260</v>
        <stp/>
        <stp>P</stp>
        <stp>0</stp>
        <stp>STK</stp>
        <stp>N381970</stp>
        <stp>저가</stp>
        <stp/>
        <stp/>
        <tr r="Q376" s="1"/>
        <tr r="Q255" s="3"/>
      </tp>
      <tp>
        <v>112200</v>
        <stp/>
        <stp>P</stp>
        <stp>0</stp>
        <stp>STK</stp>
        <stp>N280360</stp>
        <stp>저가</stp>
        <stp/>
        <stp/>
        <tr r="Q307" s="1"/>
        <tr r="Q224" s="3"/>
      </tp>
      <tp>
        <v>83700</v>
        <stp/>
        <stp>P</stp>
        <stp>0</stp>
        <stp>STK</stp>
        <stp>N185750</stp>
        <stp>저가</stp>
        <stp/>
        <stp/>
        <tr r="Q218" s="3"/>
        <tr r="Q290" s="1"/>
      </tp>
      <tp>
        <v>15360</v>
        <stp/>
        <stp>P</stp>
        <stp>0</stp>
        <stp>STK</stp>
        <stp>N381970</stp>
        <stp>시가</stp>
        <stp/>
        <stp/>
        <tr r="O376" s="1"/>
        <tr r="O255" s="3"/>
      </tp>
      <tp>
        <v>112600</v>
        <stp/>
        <stp>P</stp>
        <stp>0</stp>
        <stp>STK</stp>
        <stp>N280360</stp>
        <stp>시가</stp>
        <stp/>
        <stp/>
        <tr r="O307" s="1"/>
        <tr r="O224" s="3"/>
      </tp>
      <tp>
        <v>75700</v>
        <stp/>
        <stp>P</stp>
        <stp>0</stp>
        <stp>STK</stp>
        <stp>N389470</stp>
        <stp>저가</stp>
        <stp/>
        <stp/>
        <tr r="Q326" s="1"/>
      </tp>
      <tp>
        <v>52500</v>
        <stp/>
        <stp>P</stp>
        <stp>0</stp>
        <stp>STK</stp>
        <stp>N082740</stp>
        <stp>시가</stp>
        <stp/>
        <stp/>
        <tr r="O116" s="1"/>
        <tr r="O110" s="3"/>
      </tp>
      <tp>
        <v>83700</v>
        <stp/>
        <stp>P</stp>
        <stp>0</stp>
        <stp>STK</stp>
        <stp>N185750</stp>
        <stp>시가</stp>
        <stp/>
        <stp/>
        <tr r="O290" s="1"/>
        <tr r="O218" s="3"/>
      </tp>
      <tp>
        <v>84200</v>
        <stp/>
        <stp>P</stp>
        <stp>0</stp>
        <stp>STK</stp>
        <stp>N185750</stp>
        <stp>고가</stp>
        <stp/>
        <stp/>
        <tr r="P218" s="3"/>
        <tr r="P290" s="1"/>
      </tp>
      <tp>
        <v>53300</v>
        <stp/>
        <stp>P</stp>
        <stp>0</stp>
        <stp>STK</stp>
        <stp>N082740</stp>
        <stp>고가</stp>
        <stp/>
        <stp/>
        <tr r="P110" s="3"/>
        <tr r="P116" s="1"/>
      </tp>
      <tp>
        <v>15370</v>
        <stp/>
        <stp>P</stp>
        <stp>0</stp>
        <stp>STK</stp>
        <stp>N381970</stp>
        <stp>고가</stp>
        <stp/>
        <stp/>
        <tr r="P255" s="3"/>
        <tr r="P376" s="1"/>
      </tp>
      <tp>
        <v>113400</v>
        <stp/>
        <stp>P</stp>
        <stp>0</stp>
        <stp>STK</stp>
        <stp>N280360</stp>
        <stp>고가</stp>
        <stp/>
        <stp/>
        <tr r="P224" s="3"/>
        <tr r="P307" s="1"/>
      </tp>
      <tp>
        <v>76900</v>
        <stp/>
        <stp>P</stp>
        <stp>0</stp>
        <stp>STK</stp>
        <stp>N389470</stp>
        <stp>고가</stp>
        <stp/>
        <stp/>
        <tr r="P326" s="1"/>
      </tp>
      <tp>
        <v>102300</v>
        <stp/>
        <stp>P</stp>
        <stp>0</stp>
        <stp>STK</stp>
        <stp>N095340</stp>
        <stp>저가</stp>
        <stp/>
        <stp/>
        <tr r="Q198" s="1"/>
      </tp>
      <tp>
        <v>107300</v>
        <stp/>
        <stp>P</stp>
        <stp>0</stp>
        <stp>STK</stp>
        <stp>N095340</stp>
        <stp>시가</stp>
        <stp/>
        <stp/>
        <tr r="O198" s="1"/>
      </tp>
      <tp>
        <v>110000</v>
        <stp/>
        <stp>P</stp>
        <stp>0</stp>
        <stp>STK</stp>
        <stp>N095340</stp>
        <stp>고가</stp>
        <stp/>
        <stp/>
        <tr r="P198" s="1"/>
      </tp>
      <tp>
        <v>429000</v>
        <stp/>
        <stp>P</stp>
        <stp>0</stp>
        <stp>STK</stp>
        <stp>N009540</stp>
        <stp>시가</stp>
        <stp/>
        <stp/>
        <tr r="O27" s="3"/>
        <tr r="O27" s="1"/>
      </tp>
      <tp>
        <v>44400</v>
        <stp/>
        <stp>P</stp>
        <stp>0</stp>
        <stp>STK</stp>
        <stp>N009240</stp>
        <stp>시가</stp>
        <stp/>
        <stp/>
        <tr r="O301" s="1"/>
        <tr r="O223" s="3"/>
      </tp>
      <tp>
        <v>765000</v>
        <stp/>
        <stp>P</stp>
        <stp>0</stp>
        <stp>STK</stp>
        <stp>N003240</stp>
        <stp>저가</stp>
        <stp/>
        <stp/>
        <tr r="Q239" s="3"/>
        <tr r="Q341" s="1"/>
      </tp>
      <tp>
        <v>27600</v>
        <stp/>
        <stp>P</stp>
        <stp>0</stp>
        <stp>STK</stp>
        <stp>N003540</stp>
        <stp>저가</stp>
        <stp/>
        <stp/>
        <tr r="Q259" s="1"/>
        <tr r="Q200" s="3"/>
      </tp>
      <tp>
        <v>142100</v>
        <stp/>
        <stp>P</stp>
        <stp>0</stp>
        <stp>STK</stp>
        <stp>N002840</stp>
        <stp>저가</stp>
        <stp/>
        <stp/>
        <tr r="Q261" s="3"/>
        <tr r="Q392" s="1"/>
      </tp>
      <tp>
        <v>21900</v>
        <stp/>
        <stp>P</stp>
        <stp>0</stp>
        <stp>STK</stp>
        <stp>N002240</stp>
        <stp>저가</stp>
        <stp/>
        <stp/>
        <tr r="Q277" s="3"/>
        <tr r="Q426" s="1"/>
      </tp>
      <tp>
        <v>26500</v>
        <stp/>
        <stp>P</stp>
        <stp>0</stp>
        <stp>STK</stp>
        <stp>N001940</stp>
        <stp>저가</stp>
        <stp/>
        <stp/>
        <tr r="Q551" s="1"/>
        <tr r="Q328" s="3"/>
      </tp>
      <tp>
        <v>187000</v>
        <stp/>
        <stp>P</stp>
        <stp>0</stp>
        <stp>STK</stp>
        <stp>N001040</stp>
        <stp>저가</stp>
        <stp/>
        <stp/>
        <tr r="Q102" s="1"/>
        <tr r="Q96" s="3"/>
      </tp>
      <tp>
        <v>27500</v>
        <stp/>
        <stp>P</stp>
        <stp>0</stp>
        <stp>STK</stp>
        <stp>N001440</stp>
        <stp>저가</stp>
        <stp/>
        <stp/>
        <tr r="Q97" s="3"/>
        <tr r="Q107" s="1"/>
      </tp>
      <tp>
        <v>26800</v>
        <stp/>
        <stp>P</stp>
        <stp>0</stp>
        <stp>STK</stp>
        <stp>N000240</stp>
        <stp>저가</stp>
        <stp/>
        <stp/>
        <tr r="Q145" s="3"/>
        <tr r="Q171" s="1"/>
      </tp>
      <tp>
        <v>104300</v>
        <stp/>
        <stp>P</stp>
        <stp>0</stp>
        <stp>STK</stp>
        <stp>N000640</stp>
        <stp>저가</stp>
        <stp/>
        <stp/>
        <tr r="Q394" s="1"/>
        <tr r="Q264" s="3"/>
      </tp>
      <tp>
        <v>25150</v>
        <stp/>
        <stp>P</stp>
        <stp>0</stp>
        <stp>STK</stp>
        <stp>N007340</stp>
        <stp>저가</stp>
        <stp/>
        <stp/>
        <tr r="Q251" s="1"/>
        <tr r="Q198" s="3"/>
      </tp>
      <tp>
        <v>40850</v>
        <stp/>
        <stp>P</stp>
        <stp>0</stp>
        <stp>STK</stp>
        <stp>N006040</stp>
        <stp>저가</stp>
        <stp/>
        <stp/>
        <tr r="Q227" s="1"/>
        <tr r="Q181" s="3"/>
      </tp>
      <tp>
        <v>23000</v>
        <stp/>
        <stp>P</stp>
        <stp>0</stp>
        <stp>STK</stp>
        <stp>N005940</stp>
        <stp>저가</stp>
        <stp/>
        <stp/>
        <tr r="Q80" s="3"/>
        <tr r="Q85" s="1"/>
      </tp>
      <tp>
        <v>8380</v>
        <stp/>
        <stp>P</stp>
        <stp>0</stp>
        <stp>STK</stp>
        <stp>N005440</stp>
        <stp>저가</stp>
        <stp/>
        <stp/>
        <tr r="Q204" s="3"/>
        <tr r="Q265" s="1"/>
      </tp>
      <tp>
        <v>28900</v>
        <stp/>
        <stp>P</stp>
        <stp>0</stp>
        <stp>STK</stp>
        <stp>N001440</stp>
        <stp>시가</stp>
        <stp/>
        <stp/>
        <tr r="O107" s="1"/>
        <tr r="O97" s="3"/>
      </tp>
      <tp>
        <v>187000</v>
        <stp/>
        <stp>P</stp>
        <stp>0</stp>
        <stp>STK</stp>
        <stp>N001040</stp>
        <stp>시가</stp>
        <stp/>
        <stp/>
        <tr r="O96" s="3"/>
        <tr r="O102" s="1"/>
      </tp>
      <tp>
        <v>26500</v>
        <stp/>
        <stp>P</stp>
        <stp>0</stp>
        <stp>STK</stp>
        <stp>N001940</stp>
        <stp>시가</stp>
        <stp/>
        <stp/>
        <tr r="O328" s="3"/>
        <tr r="O551" s="1"/>
      </tp>
      <tp>
        <v>105500</v>
        <stp/>
        <stp>P</stp>
        <stp>0</stp>
        <stp>STK</stp>
        <stp>N000640</stp>
        <stp>시가</stp>
        <stp/>
        <stp/>
        <tr r="O394" s="1"/>
        <tr r="O264" s="3"/>
      </tp>
      <tp>
        <v>27050</v>
        <stp/>
        <stp>P</stp>
        <stp>0</stp>
        <stp>STK</stp>
        <stp>N000240</stp>
        <stp>시가</stp>
        <stp/>
        <stp/>
        <tr r="O171" s="1"/>
        <tr r="O145" s="3"/>
      </tp>
      <tp>
        <v>27700</v>
        <stp/>
        <stp>P</stp>
        <stp>0</stp>
        <stp>STK</stp>
        <stp>N003540</stp>
        <stp>시가</stp>
        <stp/>
        <stp/>
        <tr r="O259" s="1"/>
        <tr r="O200" s="3"/>
      </tp>
      <tp>
        <v>765000</v>
        <stp/>
        <stp>P</stp>
        <stp>0</stp>
        <stp>STK</stp>
        <stp>N003240</stp>
        <stp>시가</stp>
        <stp/>
        <stp/>
        <tr r="O239" s="3"/>
        <tr r="O341" s="1"/>
      </tp>
      <tp>
        <v>44100</v>
        <stp/>
        <stp>P</stp>
        <stp>0</stp>
        <stp>STK</stp>
        <stp>N009240</stp>
        <stp>저가</stp>
        <stp/>
        <stp/>
        <tr r="Q301" s="1"/>
        <tr r="Q223" s="3"/>
      </tp>
      <tp>
        <v>426500</v>
        <stp/>
        <stp>P</stp>
        <stp>0</stp>
        <stp>STK</stp>
        <stp>N009540</stp>
        <stp>저가</stp>
        <stp/>
        <stp/>
        <tr r="Q27" s="1"/>
        <tr r="Q27" s="3"/>
      </tp>
      <tp>
        <v>22200</v>
        <stp/>
        <stp>P</stp>
        <stp>0</stp>
        <stp>STK</stp>
        <stp>N002240</stp>
        <stp>시가</stp>
        <stp/>
        <stp/>
        <tr r="O277" s="3"/>
        <tr r="O426" s="1"/>
      </tp>
      <tp>
        <v>142100</v>
        <stp/>
        <stp>P</stp>
        <stp>0</stp>
        <stp>STK</stp>
        <stp>N002840</stp>
        <stp>시가</stp>
        <stp/>
        <stp/>
        <tr r="O392" s="1"/>
        <tr r="O261" s="3"/>
      </tp>
      <tp>
        <v>8480</v>
        <stp/>
        <stp>P</stp>
        <stp>0</stp>
        <stp>STK</stp>
        <stp>N005440</stp>
        <stp>시가</stp>
        <stp/>
        <stp/>
        <tr r="O265" s="1"/>
        <tr r="O204" s="3"/>
      </tp>
      <tp>
        <v>23100</v>
        <stp/>
        <stp>P</stp>
        <stp>0</stp>
        <stp>STK</stp>
        <stp>N005940</stp>
        <stp>시가</stp>
        <stp/>
        <stp/>
        <tr r="O80" s="3"/>
        <tr r="O85" s="1"/>
      </tp>
      <tp>
        <v>25150</v>
        <stp/>
        <stp>P</stp>
        <stp>0</stp>
        <stp>STK</stp>
        <stp>N007340</stp>
        <stp>시가</stp>
        <stp/>
        <stp/>
        <tr r="O251" s="1"/>
        <tr r="O198" s="3"/>
      </tp>
      <tp>
        <v>41000</v>
        <stp/>
        <stp>P</stp>
        <stp>0</stp>
        <stp>STK</stp>
        <stp>N006040</stp>
        <stp>시가</stp>
        <stp/>
        <stp/>
        <tr r="O227" s="1"/>
        <tr r="O181" s="3"/>
      </tp>
      <tp>
        <v>26150</v>
        <stp/>
        <stp>P</stp>
        <stp>0</stp>
        <stp>STK</stp>
        <stp>N007340</stp>
        <stp>고가</stp>
        <stp/>
        <stp/>
        <tr r="P198" s="3"/>
        <tr r="P251" s="1"/>
      </tp>
      <tp>
        <v>41150</v>
        <stp/>
        <stp>P</stp>
        <stp>0</stp>
        <stp>STK</stp>
        <stp>N006040</stp>
        <stp>고가</stp>
        <stp/>
        <stp/>
        <tr r="P227" s="1"/>
        <tr r="P181" s="3"/>
      </tp>
      <tp>
        <v>23600</v>
        <stp/>
        <stp>P</stp>
        <stp>0</stp>
        <stp>STK</stp>
        <stp>N005940</stp>
        <stp>고가</stp>
        <stp/>
        <stp/>
        <tr r="P80" s="3"/>
        <tr r="P85" s="1"/>
      </tp>
      <tp>
        <v>8610</v>
        <stp/>
        <stp>P</stp>
        <stp>0</stp>
        <stp>STK</stp>
        <stp>N005440</stp>
        <stp>고가</stp>
        <stp/>
        <stp/>
        <tr r="P265" s="1"/>
        <tr r="P204" s="3"/>
      </tp>
      <tp>
        <v>786000</v>
        <stp/>
        <stp>P</stp>
        <stp>0</stp>
        <stp>STK</stp>
        <stp>N003240</stp>
        <stp>고가</stp>
        <stp/>
        <stp/>
        <tr r="P239" s="3"/>
        <tr r="P341" s="1"/>
      </tp>
      <tp>
        <v>28150</v>
        <stp/>
        <stp>P</stp>
        <stp>0</stp>
        <stp>STK</stp>
        <stp>N003540</stp>
        <stp>고가</stp>
        <stp/>
        <stp/>
        <tr r="P259" s="1"/>
        <tr r="P200" s="3"/>
      </tp>
      <tp>
        <v>142200</v>
        <stp/>
        <stp>P</stp>
        <stp>0</stp>
        <stp>STK</stp>
        <stp>N002840</stp>
        <stp>고가</stp>
        <stp/>
        <stp/>
        <tr r="P261" s="3"/>
        <tr r="P392" s="1"/>
      </tp>
      <tp>
        <v>22250</v>
        <stp/>
        <stp>P</stp>
        <stp>0</stp>
        <stp>STK</stp>
        <stp>N002240</stp>
        <stp>고가</stp>
        <stp/>
        <stp/>
        <tr r="P277" s="3"/>
        <tr r="P426" s="1"/>
      </tp>
      <tp>
        <v>26500</v>
        <stp/>
        <stp>P</stp>
        <stp>0</stp>
        <stp>STK</stp>
        <stp>N001940</stp>
        <stp>고가</stp>
        <stp/>
        <stp/>
        <tr r="P551" s="1"/>
        <tr r="P328" s="3"/>
      </tp>
      <tp>
        <v>190200</v>
        <stp/>
        <stp>P</stp>
        <stp>0</stp>
        <stp>STK</stp>
        <stp>N001040</stp>
        <stp>고가</stp>
        <stp/>
        <stp/>
        <tr r="P102" s="1"/>
        <tr r="P96" s="3"/>
      </tp>
      <tp>
        <v>29100</v>
        <stp/>
        <stp>P</stp>
        <stp>0</stp>
        <stp>STK</stp>
        <stp>N001440</stp>
        <stp>고가</stp>
        <stp/>
        <stp/>
        <tr r="P97" s="3"/>
        <tr r="P107" s="1"/>
      </tp>
      <tp>
        <v>27100</v>
        <stp/>
        <stp>P</stp>
        <stp>0</stp>
        <stp>STK</stp>
        <stp>N000240</stp>
        <stp>고가</stp>
        <stp/>
        <stp/>
        <tr r="P145" s="3"/>
        <tr r="P171" s="1"/>
      </tp>
      <tp>
        <v>105800</v>
        <stp/>
        <stp>P</stp>
        <stp>0</stp>
        <stp>STK</stp>
        <stp>N000640</stp>
        <stp>고가</stp>
        <stp/>
        <stp/>
        <tr r="P394" s="1"/>
        <tr r="P264" s="3"/>
      </tp>
      <tp>
        <v>44400</v>
        <stp/>
        <stp>P</stp>
        <stp>0</stp>
        <stp>STK</stp>
        <stp>N009240</stp>
        <stp>고가</stp>
        <stp/>
        <stp/>
        <tr r="P223" s="3"/>
        <tr r="P301" s="1"/>
      </tp>
      <tp>
        <v>430500</v>
        <stp/>
        <stp>P</stp>
        <stp>0</stp>
        <stp>STK</stp>
        <stp>N009540</stp>
        <stp>고가</stp>
        <stp/>
        <stp/>
        <tr r="P27" s="1"/>
        <tr r="P27" s="3"/>
      </tp>
      <tp>
        <v>35200</v>
        <stp/>
        <stp>P</stp>
        <stp>0</stp>
        <stp>STK</stp>
        <stp>N119850</stp>
        <stp>시가</stp>
        <stp/>
        <stp/>
        <tr r="O432" s="1"/>
      </tp>
      <tp>
        <v>30200</v>
        <stp/>
        <stp>P</stp>
        <stp>0</stp>
        <stp>STK</stp>
        <stp>N010140</stp>
        <stp>저가</stp>
        <stp/>
        <stp/>
        <tr r="Q31" s="3"/>
        <tr r="Q30" s="1"/>
      </tp>
      <tp>
        <v>82400</v>
        <stp/>
        <stp>P</stp>
        <stp>0</stp>
        <stp>STK</stp>
        <stp>N017940</stp>
        <stp>저가</stp>
        <stp/>
        <stp/>
        <tr r="Q282" s="3"/>
        <tr r="Q444" s="1"/>
      </tp>
      <tp>
        <v>13310</v>
        <stp/>
        <stp>P</stp>
        <stp>0</stp>
        <stp>STK</stp>
        <stp>N417200</stp>
        <stp>저가</stp>
        <stp/>
        <stp/>
        <tr r="Q333" s="1"/>
      </tp>
      <tp>
        <v>8070</v>
        <stp/>
        <stp>P</stp>
        <stp>0</stp>
        <stp>STK</stp>
        <stp>N014940</stp>
        <stp>저가</stp>
        <stp/>
        <stp/>
        <tr r="Q550" s="1"/>
      </tp>
      <tp>
        <v>30300</v>
        <stp/>
        <stp>P</stp>
        <stp>0</stp>
        <stp>STK</stp>
        <stp>N010140</stp>
        <stp>시가</stp>
        <stp/>
        <stp/>
        <tr r="O30" s="1"/>
        <tr r="O31" s="3"/>
      </tp>
      <tp>
        <v>34700</v>
        <stp/>
        <stp>P</stp>
        <stp>0</stp>
        <stp>STK</stp>
        <stp>N119850</stp>
        <stp>저가</stp>
        <stp/>
        <stp/>
        <tr r="Q432" s="1"/>
      </tp>
      <tp>
        <v>8190</v>
        <stp/>
        <stp>P</stp>
        <stp>0</stp>
        <stp>STK</stp>
        <stp>N014940</stp>
        <stp>시가</stp>
        <stp/>
        <stp/>
        <tr r="O550" s="1"/>
      </tp>
      <tp>
        <v>13700</v>
        <stp/>
        <stp>P</stp>
        <stp>0</stp>
        <stp>STK</stp>
        <stp>N417200</stp>
        <stp>시가</stp>
        <stp/>
        <stp/>
        <tr r="O333" s="1"/>
      </tp>
      <tp>
        <v>82600</v>
        <stp/>
        <stp>P</stp>
        <stp>0</stp>
        <stp>STK</stp>
        <stp>N017940</stp>
        <stp>시가</stp>
        <stp/>
        <stp/>
        <tr r="O444" s="1"/>
        <tr r="O282" s="3"/>
      </tp>
      <tp>
        <v>83000</v>
        <stp/>
        <stp>P</stp>
        <stp>0</stp>
        <stp>STK</stp>
        <stp>N017940</stp>
        <stp>고가</stp>
        <stp/>
        <stp/>
        <tr r="P444" s="1"/>
        <tr r="P282" s="3"/>
      </tp>
      <tp>
        <v>13740</v>
        <stp/>
        <stp>P</stp>
        <stp>0</stp>
        <stp>STK</stp>
        <stp>N417200</stp>
        <stp>고가</stp>
        <stp/>
        <stp/>
        <tr r="P333" s="1"/>
      </tp>
      <tp>
        <v>8190</v>
        <stp/>
        <stp>P</stp>
        <stp>0</stp>
        <stp>STK</stp>
        <stp>N014940</stp>
        <stp>고가</stp>
        <stp/>
        <stp/>
        <tr r="P550" s="1"/>
      </tp>
      <tp>
        <v>30850</v>
        <stp/>
        <stp>P</stp>
        <stp>0</stp>
        <stp>STK</stp>
        <stp>N010140</stp>
        <stp>고가</stp>
        <stp/>
        <stp/>
        <tr r="P30" s="1"/>
        <tr r="P31" s="3"/>
      </tp>
      <tp>
        <v>35200</v>
        <stp/>
        <stp>P</stp>
        <stp>0</stp>
        <stp>STK</stp>
        <stp>N119850</stp>
        <stp>고가</stp>
        <stp/>
        <stp/>
        <tr r="P432" s="1"/>
      </tp>
      <tp>
        <v>23300</v>
        <stp/>
        <stp>P</stp>
        <stp>0</stp>
        <stp>STK</stp>
        <stp>N228760</stp>
        <stp>시가</stp>
        <stp/>
        <stp/>
        <tr r="O449" s="1"/>
      </tp>
      <tp>
        <v>75500</v>
        <stp/>
        <stp>P</stp>
        <stp>0</stp>
        <stp>STK</stp>
        <stp>N021240</stp>
        <stp>저가</stp>
        <stp/>
        <stp/>
        <tr r="Q103" s="1"/>
        <tr r="Q95" s="3"/>
      </tp>
      <tp>
        <v>75300</v>
        <stp/>
        <stp>P</stp>
        <stp>0</stp>
        <stp>STK</stp>
        <stp>N025540</stp>
        <stp>저가</stp>
        <stp/>
        <stp/>
        <tr r="Q248" s="3"/>
        <tr r="Q352" s="1"/>
      </tp>
      <tp>
        <v>75500</v>
        <stp/>
        <stp>P</stp>
        <stp>0</stp>
        <stp>STK</stp>
        <stp>N021240</stp>
        <stp>시가</stp>
        <stp/>
        <stp/>
        <tr r="O103" s="1"/>
        <tr r="O95" s="3"/>
      </tp>
      <tp>
        <v>23000</v>
        <stp/>
        <stp>P</stp>
        <stp>0</stp>
        <stp>STK</stp>
        <stp>N228760</stp>
        <stp>저가</stp>
        <stp/>
        <stp/>
        <tr r="Q449" s="1"/>
      </tp>
      <tp>
        <v>76500</v>
        <stp/>
        <stp>P</stp>
        <stp>0</stp>
        <stp>STK</stp>
        <stp>N025540</stp>
        <stp>시가</stp>
        <stp/>
        <stp/>
        <tr r="O352" s="1"/>
        <tr r="O248" s="3"/>
      </tp>
      <tp>
        <v>77300</v>
        <stp/>
        <stp>P</stp>
        <stp>0</stp>
        <stp>STK</stp>
        <stp>N025540</stp>
        <stp>고가</stp>
        <stp/>
        <stp/>
        <tr r="P352" s="1"/>
        <tr r="P248" s="3"/>
      </tp>
      <tp>
        <v>76600</v>
        <stp/>
        <stp>P</stp>
        <stp>0</stp>
        <stp>STK</stp>
        <stp>N021240</stp>
        <stp>고가</stp>
        <stp/>
        <stp/>
        <tr r="P95" s="3"/>
        <tr r="P103" s="1"/>
      </tp>
      <tp>
        <v>23400</v>
        <stp/>
        <stp>P</stp>
        <stp>0</stp>
        <stp>STK</stp>
        <stp>N228760</stp>
        <stp>고가</stp>
        <stp/>
        <stp/>
        <tr r="P449" s="1"/>
      </tp>
      <tp>
        <v>30950</v>
        <stp/>
        <stp>P</stp>
        <stp>0</stp>
        <stp>STK</stp>
        <stp>N039440</stp>
        <stp>시가</stp>
        <stp/>
        <stp/>
        <tr r="O494" s="1"/>
      </tp>
      <tp>
        <v>16000</v>
        <stp/>
        <stp>P</stp>
        <stp>0</stp>
        <stp>STK</stp>
        <stp>N039840</stp>
        <stp>시가</stp>
        <stp/>
        <stp/>
        <tr r="O693" s="1"/>
      </tp>
      <tp>
        <v>22600</v>
        <stp/>
        <stp>P</stp>
        <stp>0</stp>
        <stp>STK</stp>
        <stp>N033240</stp>
        <stp>저가</stp>
        <stp/>
        <stp/>
        <tr r="Q297" s="3"/>
        <tr r="Q461" s="1"/>
      </tp>
      <tp>
        <v>15700</v>
        <stp/>
        <stp>P</stp>
        <stp>0</stp>
        <stp>STK</stp>
        <stp>N033640</stp>
        <stp>저가</stp>
        <stp/>
        <stp/>
        <tr r="Q561" s="1"/>
      </tp>
      <tp>
        <v>15310</v>
        <stp/>
        <stp>P</stp>
        <stp>0</stp>
        <stp>STK</stp>
        <stp>N032640</stp>
        <stp>저가</stp>
        <stp/>
        <stp/>
        <tr r="Q87" s="3"/>
        <tr r="Q96" s="1"/>
      </tp>
      <tp>
        <v>15810</v>
        <stp/>
        <stp>P</stp>
        <stp>0</stp>
        <stp>STK</stp>
        <stp>N230360</stp>
        <stp>저가</stp>
        <stp/>
        <stp/>
        <tr r="Q482" s="1"/>
      </tp>
      <tp>
        <v>7930</v>
        <stp/>
        <stp>P</stp>
        <stp>0</stp>
        <stp>STK</stp>
        <stp>N336370</stp>
        <stp>저가</stp>
        <stp/>
        <stp/>
        <tr r="Q457" s="1"/>
        <tr r="Q286" s="3"/>
      </tp>
      <tp>
        <v>5240</v>
        <stp/>
        <stp>P</stp>
        <stp>0</stp>
        <stp>STK</stp>
        <stp>N036540</stp>
        <stp>저가</stp>
        <stp/>
        <stp/>
        <tr r="Q331" s="1"/>
      </tp>
      <tp>
        <v>8490</v>
        <stp/>
        <stp>P</stp>
        <stp>0</stp>
        <stp>STK</stp>
        <stp>N336570</stp>
        <stp>저가</stp>
        <stp/>
        <stp/>
        <tr r="Q372" s="1"/>
      </tp>
      <tp>
        <v>15820</v>
        <stp/>
        <stp>P</stp>
        <stp>0</stp>
        <stp>STK</stp>
        <stp>N230360</stp>
        <stp>시가</stp>
        <stp/>
        <stp/>
        <tr r="O482" s="1"/>
      </tp>
      <tp>
        <v>15860</v>
        <stp/>
        <stp>P</stp>
        <stp>0</stp>
        <stp>STK</stp>
        <stp>N033640</stp>
        <stp>시가</stp>
        <stp/>
        <stp/>
        <tr r="O561" s="1"/>
      </tp>
      <tp>
        <v>23050</v>
        <stp/>
        <stp>P</stp>
        <stp>0</stp>
        <stp>STK</stp>
        <stp>N033240</stp>
        <stp>시가</stp>
        <stp/>
        <stp/>
        <tr r="O297" s="3"/>
        <tr r="O461" s="1"/>
      </tp>
      <tp>
        <v>15830</v>
        <stp/>
        <stp>P</stp>
        <stp>0</stp>
        <stp>STK</stp>
        <stp>N039840</stp>
        <stp>저가</stp>
        <stp/>
        <stp/>
        <tr r="Q693" s="1"/>
      </tp>
      <tp>
        <v>29400</v>
        <stp/>
        <stp>P</stp>
        <stp>0</stp>
        <stp>STK</stp>
        <stp>N039440</stp>
        <stp>저가</stp>
        <stp/>
        <stp/>
        <tr r="Q494" s="1"/>
      </tp>
      <tp>
        <v>15370</v>
        <stp/>
        <stp>P</stp>
        <stp>0</stp>
        <stp>STK</stp>
        <stp>N032640</stp>
        <stp>시가</stp>
        <stp/>
        <stp/>
        <tr r="O96" s="1"/>
        <tr r="O87" s="3"/>
      </tp>
      <tp>
        <v>5330</v>
        <stp/>
        <stp>P</stp>
        <stp>0</stp>
        <stp>STK</stp>
        <stp>N036540</stp>
        <stp>시가</stp>
        <stp/>
        <stp/>
        <tr r="O331" s="1"/>
      </tp>
      <tp>
        <v>8650</v>
        <stp/>
        <stp>P</stp>
        <stp>0</stp>
        <stp>STK</stp>
        <stp>N336570</stp>
        <stp>시가</stp>
        <stp/>
        <stp/>
        <tr r="O372" s="1"/>
      </tp>
      <tp>
        <v>8050</v>
        <stp/>
        <stp>P</stp>
        <stp>0</stp>
        <stp>STK</stp>
        <stp>N336370</stp>
        <stp>시가</stp>
        <stp/>
        <stp/>
        <tr r="O457" s="1"/>
        <tr r="O286" s="3"/>
      </tp>
      <tp>
        <v>8150</v>
        <stp/>
        <stp>P</stp>
        <stp>0</stp>
        <stp>STK</stp>
        <stp>N336370</stp>
        <stp>고가</stp>
        <stp/>
        <stp/>
        <tr r="P457" s="1"/>
        <tr r="P286" s="3"/>
      </tp>
      <tp>
        <v>5370</v>
        <stp/>
        <stp>P</stp>
        <stp>0</stp>
        <stp>STK</stp>
        <stp>N036540</stp>
        <stp>고가</stp>
        <stp/>
        <stp/>
        <tr r="P331" s="1"/>
      </tp>
      <tp>
        <v>8670</v>
        <stp/>
        <stp>P</stp>
        <stp>0</stp>
        <stp>STK</stp>
        <stp>N336570</stp>
        <stp>고가</stp>
        <stp/>
        <stp/>
        <tr r="P372" s="1"/>
      </tp>
      <tp>
        <v>23100</v>
        <stp/>
        <stp>P</stp>
        <stp>0</stp>
        <stp>STK</stp>
        <stp>N033240</stp>
        <stp>고가</stp>
        <stp/>
        <stp/>
        <tr r="P297" s="3"/>
        <tr r="P461" s="1"/>
      </tp>
      <tp>
        <v>16240</v>
        <stp/>
        <stp>P</stp>
        <stp>0</stp>
        <stp>STK</stp>
        <stp>N033640</stp>
        <stp>고가</stp>
        <stp/>
        <stp/>
        <tr r="P561" s="1"/>
      </tp>
      <tp>
        <v>15500</v>
        <stp/>
        <stp>P</stp>
        <stp>0</stp>
        <stp>STK</stp>
        <stp>N032640</stp>
        <stp>고가</stp>
        <stp/>
        <stp/>
        <tr r="P87" s="3"/>
        <tr r="P96" s="1"/>
      </tp>
      <tp>
        <v>15860</v>
        <stp/>
        <stp>P</stp>
        <stp>0</stp>
        <stp>STK</stp>
        <stp>N230360</stp>
        <stp>고가</stp>
        <stp/>
        <stp/>
        <tr r="P482" s="1"/>
      </tp>
      <tp>
        <v>16000</v>
        <stp/>
        <stp>P</stp>
        <stp>0</stp>
        <stp>STK</stp>
        <stp>N039840</stp>
        <stp>고가</stp>
        <stp/>
        <stp/>
        <tr r="P693" s="1"/>
      </tp>
      <tp>
        <v>30950</v>
        <stp/>
        <stp>P</stp>
        <stp>0</stp>
        <stp>STK</stp>
        <stp>N039440</stp>
        <stp>고가</stp>
        <stp/>
        <stp/>
        <tr r="P494" s="1"/>
      </tp>
      <tp>
        <v>66800</v>
        <stp/>
        <stp>P</stp>
        <stp>0</stp>
        <stp>STK</stp>
        <stp>N348370</stp>
        <stp>시가</stp>
        <stp/>
        <stp/>
        <tr r="O263" s="1"/>
      </tp>
      <tp>
        <v>73100</v>
        <stp/>
        <stp>P</stp>
        <stp>0</stp>
        <stp>STK</stp>
        <stp>N448900</stp>
        <stp>시가</stp>
        <stp/>
        <stp/>
        <tr r="O486" s="1"/>
      </tp>
      <tp>
        <v>60200</v>
        <stp/>
        <stp>P</stp>
        <stp>0</stp>
        <stp>STK</stp>
        <stp>N241560</stp>
        <stp>저가</stp>
        <stp/>
        <stp/>
        <tr r="Q100" s="1"/>
        <tr r="Q93" s="3"/>
      </tp>
      <tp>
        <v>43850</v>
        <stp/>
        <stp>P</stp>
        <stp>0</stp>
        <stp>STK</stp>
        <stp>N340570</stp>
        <stp>저가</stp>
        <stp/>
        <stp/>
        <tr r="Q572" s="1"/>
      </tp>
      <tp>
        <v>4970</v>
        <stp/>
        <stp>P</stp>
        <stp>0</stp>
        <stp>STK</stp>
        <stp>N047040</stp>
        <stp>저가</stp>
        <stp/>
        <stp/>
        <tr r="Q173" s="3"/>
        <tr r="Q208" s="1"/>
      </tp>
      <tp>
        <v>61400</v>
        <stp/>
        <stp>P</stp>
        <stp>0</stp>
        <stp>STK</stp>
        <stp>N241560</stp>
        <stp>시가</stp>
        <stp/>
        <stp/>
        <tr r="O100" s="1"/>
        <tr r="O93" s="3"/>
      </tp>
      <tp>
        <v>43950</v>
        <stp/>
        <stp>P</stp>
        <stp>0</stp>
        <stp>STK</stp>
        <stp>N340570</stp>
        <stp>시가</stp>
        <stp/>
        <stp/>
        <tr r="O572" s="1"/>
      </tp>
      <tp>
        <v>70300</v>
        <stp/>
        <stp>P</stp>
        <stp>0</stp>
        <stp>STK</stp>
        <stp>N448900</stp>
        <stp>저가</stp>
        <stp/>
        <stp/>
        <tr r="Q486" s="1"/>
      </tp>
      <tp>
        <v>65600</v>
        <stp/>
        <stp>P</stp>
        <stp>0</stp>
        <stp>STK</stp>
        <stp>N348370</stp>
        <stp>저가</stp>
        <stp/>
        <stp/>
        <tr r="Q263" s="1"/>
      </tp>
      <tp>
        <v>5000</v>
        <stp/>
        <stp>P</stp>
        <stp>0</stp>
        <stp>STK</stp>
        <stp>N047040</stp>
        <stp>시가</stp>
        <stp/>
        <stp/>
        <tr r="O208" s="1"/>
        <tr r="O173" s="3"/>
      </tp>
      <tp>
        <v>5140</v>
        <stp/>
        <stp>P</stp>
        <stp>0</stp>
        <stp>STK</stp>
        <stp>N047040</stp>
        <stp>고가</stp>
        <stp/>
        <stp/>
        <tr r="P208" s="1"/>
        <tr r="P173" s="3"/>
      </tp>
      <tp>
        <v>61400</v>
        <stp/>
        <stp>P</stp>
        <stp>0</stp>
        <stp>STK</stp>
        <stp>N241560</stp>
        <stp>고가</stp>
        <stp/>
        <stp/>
        <tr r="P93" s="3"/>
        <tr r="P100" s="1"/>
      </tp>
      <tp>
        <v>44650</v>
        <stp/>
        <stp>P</stp>
        <stp>0</stp>
        <stp>STK</stp>
        <stp>N340570</stp>
        <stp>고가</stp>
        <stp/>
        <stp/>
        <tr r="P572" s="1"/>
      </tp>
      <tp>
        <v>73100</v>
        <stp/>
        <stp>P</stp>
        <stp>0</stp>
        <stp>STK</stp>
        <stp>N448900</stp>
        <stp>고가</stp>
        <stp/>
        <stp/>
        <tr r="P486" s="1"/>
      </tp>
      <tp>
        <v>68400</v>
        <stp/>
        <stp>P</stp>
        <stp>0</stp>
        <stp>STK</stp>
        <stp>N348370</stp>
        <stp>고가</stp>
        <stp/>
        <stp/>
        <tr r="P263" s="1"/>
      </tp>
      <tp>
        <v>238000</v>
        <stp/>
        <stp>P</stp>
        <stp>0</stp>
        <stp>STK</stp>
        <stp>N259960</stp>
        <stp>시가</stp>
        <stp/>
        <stp/>
        <tr r="O67" s="1"/>
        <tr r="O64" s="3"/>
      </tp>
      <tp>
        <v>13530</v>
        <stp/>
        <stp>P</stp>
        <stp>0</stp>
        <stp>STK</stp>
        <stp>N358570</stp>
        <stp>시가</stp>
        <stp/>
        <stp/>
        <tr r="O336" s="1"/>
      </tp>
      <tp>
        <v>38400</v>
        <stp/>
        <stp>P</stp>
        <stp>0</stp>
        <stp>STK</stp>
        <stp>N455900</stp>
        <stp>저가</stp>
        <stp/>
        <stp/>
        <tr r="Q415" s="1"/>
      </tp>
      <tp>
        <v>236000</v>
        <stp/>
        <stp>P</stp>
        <stp>0</stp>
        <stp>STK</stp>
        <stp>N259960</stp>
        <stp>저가</stp>
        <stp/>
        <stp/>
        <tr r="Q67" s="1"/>
        <tr r="Q64" s="3"/>
      </tp>
      <tp>
        <v>13250</v>
        <stp/>
        <stp>P</stp>
        <stp>0</stp>
        <stp>STK</stp>
        <stp>N358570</stp>
        <stp>저가</stp>
        <stp/>
        <stp/>
        <tr r="Q336" s="1"/>
      </tp>
      <tp>
        <v>39450</v>
        <stp/>
        <stp>P</stp>
        <stp>0</stp>
        <stp>STK</stp>
        <stp>N455900</stp>
        <stp>시가</stp>
        <stp/>
        <stp/>
        <tr r="O415" s="1"/>
      </tp>
      <tp>
        <v>40800</v>
        <stp/>
        <stp>P</stp>
        <stp>0</stp>
        <stp>STK</stp>
        <stp>N455900</stp>
        <stp>고가</stp>
        <stp/>
        <stp/>
        <tr r="P415" s="1"/>
      </tp>
      <tp>
        <v>238000</v>
        <stp/>
        <stp>P</stp>
        <stp>0</stp>
        <stp>STK</stp>
        <stp>N259960</stp>
        <stp>고가</stp>
        <stp/>
        <stp/>
        <tr r="P67" s="1"/>
        <tr r="P64" s="3"/>
      </tp>
      <tp>
        <v>13530</v>
        <stp/>
        <stp>P</stp>
        <stp>0</stp>
        <stp>STK</stp>
        <stp>N358570</stp>
        <stp>고가</stp>
        <stp/>
        <stp/>
        <tr r="P336" s="1"/>
      </tp>
      <tp>
        <v>140500</v>
        <stp/>
        <stp>P</stp>
        <stp>0</stp>
        <stp>STK</stp>
        <stp>N062040</stp>
        <stp>저가</stp>
        <stp/>
        <stp/>
        <tr r="Q112" s="3"/>
        <tr r="Q119" s="1"/>
      </tp>
      <tp>
        <v>873000</v>
        <stp/>
        <stp>P</stp>
        <stp>0</stp>
        <stp>STK</stp>
        <stp>N267260</stp>
        <stp>저가</stp>
        <stp/>
        <stp/>
        <tr r="Q26" s="3"/>
        <tr r="Q26" s="1"/>
      </tp>
      <tp>
        <v>68500</v>
        <stp/>
        <stp>P</stp>
        <stp>0</stp>
        <stp>STK</stp>
        <stp>N466100</stp>
        <stp>저가</stp>
        <stp/>
        <stp/>
        <tr r="Q216" s="1"/>
      </tp>
      <tp>
        <v>142200</v>
        <stp/>
        <stp>P</stp>
        <stp>0</stp>
        <stp>STK</stp>
        <stp>N062040</stp>
        <stp>시가</stp>
        <stp/>
        <stp/>
        <tr r="O119" s="1"/>
        <tr r="O112" s="3"/>
      </tp>
      <tp>
        <v>889000</v>
        <stp/>
        <stp>P</stp>
        <stp>0</stp>
        <stp>STK</stp>
        <stp>N267260</stp>
        <stp>시가</stp>
        <stp/>
        <stp/>
        <tr r="O26" s="3"/>
        <tr r="O26" s="1"/>
      </tp>
      <tp>
        <v>69800</v>
        <stp/>
        <stp>P</stp>
        <stp>0</stp>
        <stp>STK</stp>
        <stp>N466100</stp>
        <stp>시가</stp>
        <stp/>
        <stp/>
        <tr r="O216" s="1"/>
      </tp>
      <tp>
        <v>896000</v>
        <stp/>
        <stp>P</stp>
        <stp>0</stp>
        <stp>STK</stp>
        <stp>N267260</stp>
        <stp>고가</stp>
        <stp/>
        <stp/>
        <tr r="P26" s="1"/>
        <tr r="P26" s="3"/>
      </tp>
      <tp>
        <v>70700</v>
        <stp/>
        <stp>P</stp>
        <stp>0</stp>
        <stp>STK</stp>
        <stp>N466100</stp>
        <stp>고가</stp>
        <stp/>
        <stp/>
        <tr r="P216" s="1"/>
      </tp>
      <tp>
        <v>143500</v>
        <stp/>
        <stp>P</stp>
        <stp>0</stp>
        <stp>STK</stp>
        <stp>N062040</stp>
        <stp>고가</stp>
        <stp/>
        <stp/>
        <tr r="P112" s="3"/>
        <tr r="P119" s="1"/>
      </tp>
      <tp>
        <v>22250</v>
        <stp/>
        <stp>P</stp>
        <stp>0</stp>
        <stp>STK</stp>
        <stp>N079940</stp>
        <stp>시가</stp>
        <stp/>
        <stp/>
        <tr r="O517" s="1"/>
      </tp>
      <tp>
        <v>6250</v>
        <stp/>
        <stp>P</stp>
        <stp>0</stp>
        <stp>STK</stp>
        <stp>N073240</stp>
        <stp>저가</stp>
        <stp/>
        <stp/>
        <tr r="Q224" s="1"/>
        <tr r="Q180" s="3"/>
      </tp>
      <tp>
        <v>32100</v>
        <stp/>
        <stp>P</stp>
        <stp>0</stp>
        <stp>STK</stp>
        <stp>N078340</stp>
        <stp>시가</stp>
        <stp/>
        <stp/>
        <tr r="O540" s="1"/>
      </tp>
      <tp>
        <v>31900</v>
        <stp/>
        <stp>P</stp>
        <stp>0</stp>
        <stp>STK</stp>
        <stp>N372170</stp>
        <stp>저가</stp>
        <stp/>
        <stp/>
        <tr r="Q677" s="1"/>
      </tp>
      <tp>
        <v>115300</v>
        <stp/>
        <stp>P</stp>
        <stp>0</stp>
        <stp>STK</stp>
        <stp>N271560</stp>
        <stp>저가</stp>
        <stp/>
        <stp/>
        <tr r="Q114" s="1"/>
        <tr r="Q106" s="3"/>
      </tp>
      <tp>
        <v>26800</v>
        <stp/>
        <stp>P</stp>
        <stp>0</stp>
        <stp>STK</stp>
        <stp>N270660</stp>
        <stp>저가</stp>
        <stp/>
        <stp/>
        <tr r="Q539" s="1"/>
      </tp>
      <tp>
        <v>54000</v>
        <stp/>
        <stp>P</stp>
        <stp>0</stp>
        <stp>STK</stp>
        <stp>N376270</stp>
        <stp>저가</stp>
        <stp/>
        <stp/>
        <tr r="Q552" s="1"/>
      </tp>
      <tp>
        <v>8630</v>
        <stp/>
        <stp>P</stp>
        <stp>0</stp>
        <stp>STK</stp>
        <stp>N176750</stp>
        <stp>저가</stp>
        <stp/>
        <stp/>
        <tr r="Q675" s="1"/>
      </tp>
      <tp>
        <v>38950</v>
        <stp/>
        <stp>P</stp>
        <stp>0</stp>
        <stp>STK</stp>
        <stp>N475400</stp>
        <stp>저가</stp>
        <stp/>
        <stp/>
        <tr r="Q460" s="1"/>
      </tp>
      <tp>
        <v>117000</v>
        <stp/>
        <stp>P</stp>
        <stp>0</stp>
        <stp>STK</stp>
        <stp>N271560</stp>
        <stp>시가</stp>
        <stp/>
        <stp/>
        <tr r="O114" s="1"/>
        <tr r="O106" s="3"/>
      </tp>
      <tp>
        <v>27300</v>
        <stp/>
        <stp>P</stp>
        <stp>0</stp>
        <stp>STK</stp>
        <stp>N270660</stp>
        <stp>시가</stp>
        <stp/>
        <stp/>
        <tr r="O539" s="1"/>
      </tp>
      <tp>
        <v>6280</v>
        <stp/>
        <stp>P</stp>
        <stp>0</stp>
        <stp>STK</stp>
        <stp>N073240</stp>
        <stp>시가</stp>
        <stp/>
        <stp/>
        <tr r="O224" s="1"/>
        <tr r="O180" s="3"/>
      </tp>
      <tp>
        <v>22250</v>
        <stp/>
        <stp>P</stp>
        <stp>0</stp>
        <stp>STK</stp>
        <stp>N079940</stp>
        <stp>저가</stp>
        <stp/>
        <stp/>
        <tr r="Q517" s="1"/>
      </tp>
      <tp>
        <v>31900</v>
        <stp/>
        <stp>P</stp>
        <stp>0</stp>
        <stp>STK</stp>
        <stp>N372170</stp>
        <stp>시가</stp>
        <stp/>
        <stp/>
        <tr r="O677" s="1"/>
      </tp>
      <tp>
        <v>31900</v>
        <stp/>
        <stp>P</stp>
        <stp>0</stp>
        <stp>STK</stp>
        <stp>N078340</stp>
        <stp>저가</stp>
        <stp/>
        <stp/>
        <tr r="Q540" s="1"/>
      </tp>
      <tp>
        <v>41400</v>
        <stp/>
        <stp>P</stp>
        <stp>0</stp>
        <stp>STK</stp>
        <stp>N475400</stp>
        <stp>시가</stp>
        <stp/>
        <stp/>
        <tr r="O460" s="1"/>
      </tp>
      <tp>
        <v>8630</v>
        <stp/>
        <stp>P</stp>
        <stp>0</stp>
        <stp>STK</stp>
        <stp>N176750</stp>
        <stp>시가</stp>
        <stp/>
        <stp/>
        <tr r="O675" s="1"/>
      </tp>
      <tp>
        <v>54100</v>
        <stp/>
        <stp>P</stp>
        <stp>0</stp>
        <stp>STK</stp>
        <stp>N376270</stp>
        <stp>시가</stp>
        <stp/>
        <stp/>
        <tr r="O552" s="1"/>
      </tp>
      <tp>
        <v>56600</v>
        <stp/>
        <stp>P</stp>
        <stp>0</stp>
        <stp>STK</stp>
        <stp>N376270</stp>
        <stp>고가</stp>
        <stp/>
        <stp/>
        <tr r="P552" s="1"/>
      </tp>
      <tp>
        <v>8790</v>
        <stp/>
        <stp>P</stp>
        <stp>0</stp>
        <stp>STK</stp>
        <stp>N176750</stp>
        <stp>고가</stp>
        <stp/>
        <stp/>
        <tr r="P675" s="1"/>
      </tp>
      <tp>
        <v>42300</v>
        <stp/>
        <stp>P</stp>
        <stp>0</stp>
        <stp>STK</stp>
        <stp>N475400</stp>
        <stp>고가</stp>
        <stp/>
        <stp/>
        <tr r="P460" s="1"/>
      </tp>
      <tp>
        <v>6320</v>
        <stp/>
        <stp>P</stp>
        <stp>0</stp>
        <stp>STK</stp>
        <stp>N073240</stp>
        <stp>고가</stp>
        <stp/>
        <stp/>
        <tr r="P224" s="1"/>
        <tr r="P180" s="3"/>
      </tp>
      <tp>
        <v>33450</v>
        <stp/>
        <stp>P</stp>
        <stp>0</stp>
        <stp>STK</stp>
        <stp>N372170</stp>
        <stp>고가</stp>
        <stp/>
        <stp/>
        <tr r="P677" s="1"/>
      </tp>
      <tp>
        <v>117000</v>
        <stp/>
        <stp>P</stp>
        <stp>0</stp>
        <stp>STK</stp>
        <stp>N271560</stp>
        <stp>고가</stp>
        <stp/>
        <stp/>
        <tr r="P106" s="3"/>
        <tr r="P114" s="1"/>
      </tp>
      <tp>
        <v>30300</v>
        <stp/>
        <stp>P</stp>
        <stp>0</stp>
        <stp>STK</stp>
        <stp>N270660</stp>
        <stp>고가</stp>
        <stp/>
        <stp/>
        <tr r="P539" s="1"/>
      </tp>
      <tp>
        <v>32300</v>
        <stp/>
        <stp>P</stp>
        <stp>0</stp>
        <stp>STK</stp>
        <stp>N079940</stp>
        <stp>고가</stp>
        <stp/>
        <stp/>
        <tr r="P517" s="1"/>
      </tp>
      <tp>
        <v>32250</v>
        <stp/>
        <stp>P</stp>
        <stp>0</stp>
        <stp>STK</stp>
        <stp>N078340</stp>
        <stp>고가</stp>
        <stp/>
        <stp/>
        <tr r="P540" s="1"/>
      </tp>
      <tp>
        <v>38245</v>
        <stp/>
        <stp>P</stp>
        <stp>0</stp>
        <stp>STK</stp>
        <stp>N0009K0</stp>
        <stp>누적거래량</stp>
        <stp/>
        <stp/>
        <tr r="L143" s="1"/>
      </tp>
      <tp>
        <v>1079</v>
        <stp/>
        <stp>P</stp>
        <stp>0</stp>
        <stp>STK</stp>
        <stp>N086900</stp>
        <stp>누적거래량</stp>
        <stp/>
        <stp/>
        <tr r="L338" s="1"/>
      </tp>
      <tp>
        <v>427259</v>
        <stp/>
        <stp>P</stp>
        <stp>0</stp>
        <stp>STK</stp>
        <stp>N079900</stp>
        <stp>누적거래량</stp>
        <stp/>
        <stp/>
        <tr r="L259" s="3"/>
        <tr r="L382" s="1"/>
      </tp>
      <tp>
        <v>4485</v>
        <stp/>
        <stp>P</stp>
        <stp>0</stp>
        <stp>STK</stp>
        <stp>N051900</stp>
        <stp>누적거래량</stp>
        <stp/>
        <stp/>
        <tr r="L114" s="3"/>
        <tr r="L124" s="1"/>
      </tp>
      <tp>
        <v>30467</v>
        <stp/>
        <stp>P</stp>
        <stp>0</stp>
        <stp>STK</stp>
        <stp>N035900</stp>
        <stp>누적거래량</stp>
        <stp/>
        <stp/>
        <tr r="L185" s="1"/>
      </tp>
      <tp>
        <v>124538</v>
        <stp/>
        <stp>P</stp>
        <stp>0</stp>
        <stp>STK</stp>
        <stp>N025900</stp>
        <stp>누적거래량</stp>
        <stp/>
        <stp/>
        <tr r="L527" s="1"/>
      </tp>
      <tp>
        <v>2982</v>
        <stp/>
        <stp>P</stp>
        <stp>0</stp>
        <stp>STK</stp>
        <stp>N314930</stp>
        <stp>누적거래량</stp>
        <stp/>
        <stp/>
        <tr r="L573" s="1"/>
      </tp>
      <tp>
        <v>23261</v>
        <stp/>
        <stp>P</stp>
        <stp>0</stp>
        <stp>STK</stp>
        <stp>N009900</stp>
        <stp>누적거래량</stp>
        <stp/>
        <stp/>
        <tr r="L464" s="1"/>
        <tr r="L295" s="3"/>
      </tp>
      <tp>
        <v>983</v>
        <stp/>
        <stp>P</stp>
        <stp>0</stp>
        <stp>STK</stp>
        <stp>N170900</stp>
        <stp>누적거래량</stp>
        <stp/>
        <stp/>
        <tr r="L310" s="3"/>
        <tr r="L496" s="1"/>
      </tp>
      <tp>
        <v>3125</v>
        <stp/>
        <stp>P</stp>
        <stp>0</stp>
        <stp>STK</stp>
        <stp>N179900</stp>
        <stp>누적거래량</stp>
        <stp/>
        <stp/>
        <tr r="L525" s="1"/>
      </tp>
      <tp>
        <v>41994</v>
        <stp/>
        <stp>P</stp>
        <stp>0</stp>
        <stp>STK</stp>
        <stp>N051910</stp>
        <stp>누적거래량</stp>
        <stp/>
        <stp/>
        <tr r="L33" s="1"/>
        <tr r="L33" s="3"/>
      </tp>
      <tp>
        <v>4527</v>
        <stp/>
        <stp>P</stp>
        <stp>0</stp>
        <stp>STK</stp>
        <stp>N450950</stp>
        <stp>누적거래량</stp>
        <stp/>
        <stp/>
        <tr r="L498" s="1"/>
      </tp>
      <tp>
        <v>130735</v>
        <stp/>
        <stp>P</stp>
        <stp>0</stp>
        <stp>STK</stp>
        <stp>N082920</stp>
        <stp>누적거래량</stp>
        <stp/>
        <stp/>
        <tr r="L328" s="1"/>
      </tp>
      <tp>
        <v>10754</v>
        <stp/>
        <stp>P</stp>
        <stp>0</stp>
        <stp>STK</stp>
        <stp>N475960</stp>
        <stp>누적거래량</stp>
        <stp/>
        <stp/>
        <tr r="L428" s="1"/>
      </tp>
      <tp>
        <v>22842</v>
        <stp/>
        <stp>P</stp>
        <stp>0</stp>
        <stp>STK</stp>
        <stp>N047920</stp>
        <stp>누적거래량</stp>
        <stp/>
        <stp/>
        <tr r="L448" s="1"/>
      </tp>
      <tp>
        <v>19073</v>
        <stp/>
        <stp>P</stp>
        <stp>0</stp>
        <stp>STK</stp>
        <stp>N138930</stp>
        <stp>누적거래량</stp>
        <stp/>
        <stp/>
        <tr r="L104" s="3"/>
        <tr r="L112" s="1"/>
      </tp>
      <tp>
        <v>32</v>
        <stp/>
        <stp>P</stp>
        <stp>0</stp>
        <stp>STK</stp>
        <stp>N101930</stp>
        <stp>누적거래량</stp>
        <stp/>
        <stp/>
        <tr r="L522" s="1"/>
      </tp>
      <tp>
        <v>31</v>
        <stp/>
        <stp>P</stp>
        <stp>0</stp>
        <stp>STK</stp>
        <stp>N003920</stp>
        <stp>누적거래량</stp>
        <stp/>
        <stp/>
        <tr r="L355" s="3"/>
        <tr r="L617" s="1"/>
      </tp>
      <tp>
        <v>7700</v>
        <stp/>
        <stp>P</stp>
        <stp>0</stp>
        <stp>STK</stp>
        <stp>N382900</stp>
        <stp>누적거래량</stp>
        <stp/>
        <stp/>
        <tr r="L651" s="1"/>
      </tp>
      <tp>
        <v>33323</v>
        <stp/>
        <stp>P</stp>
        <stp>0</stp>
        <stp>STK</stp>
        <stp>N376900</stp>
        <stp>누적거래량</stp>
        <stp/>
        <stp/>
        <tr r="L310" s="1"/>
      </tp>
      <tp>
        <v>11820</v>
        <stp/>
        <stp>P</stp>
        <stp>0</stp>
        <stp>STK</stp>
        <stp>N078930</stp>
        <stp>누적거래량</stp>
        <stp/>
        <stp/>
        <tr r="L94" s="3"/>
        <tr r="L101" s="1"/>
      </tp>
      <tp>
        <v>13863</v>
        <stp/>
        <stp>P</stp>
        <stp>0</stp>
        <stp>STK</stp>
        <stp>N178920</stp>
        <stp>누적거래량</stp>
        <stp/>
        <stp/>
        <tr r="L501" s="1"/>
        <tr r="L307" s="3"/>
      </tp>
      <tp>
        <v>46067</v>
        <stp/>
        <stp>P</stp>
        <stp>0</stp>
        <stp>STK</stp>
        <stp>N036930</stp>
        <stp>누적거래량</stp>
        <stp/>
        <stp/>
        <tr r="L248" s="1"/>
      </tp>
      <tp>
        <v>2280981</v>
        <stp/>
        <stp>P</stp>
        <stp>0</stp>
        <stp>STK</stp>
        <stp>N005930</stp>
        <stp>누적거래량</stp>
        <stp/>
        <stp/>
        <tr r="L6" s="1"/>
        <tr r="L6" s="3"/>
      </tp>
      <tp>
        <v>4562</v>
        <stp/>
        <stp>P</stp>
        <stp>0</stp>
        <stp>STK</stp>
        <stp>N008930</stp>
        <stp>누적거래량</stp>
        <stp/>
        <stp/>
        <tr r="L165" s="1"/>
        <tr r="L140" s="3"/>
      </tp>
      <tp>
        <v>895</v>
        <stp/>
        <stp>P</stp>
        <stp>0</stp>
        <stp>STK</stp>
        <stp>N381970</stp>
        <stp>누적거래량</stp>
        <stp/>
        <stp/>
        <tr r="L255" s="3"/>
        <tr r="L376" s="1"/>
      </tp>
      <tp>
        <v>859</v>
        <stp/>
        <stp>P</stp>
        <stp>0</stp>
        <stp>STK</stp>
        <stp>N079940</stp>
        <stp>누적거래량</stp>
        <stp/>
        <stp/>
        <tr r="L517" s="1"/>
      </tp>
      <tp>
        <v>291269</v>
        <stp/>
        <stp>P</stp>
        <stp>0</stp>
        <stp>STK</stp>
        <stp>N455900</stp>
        <stp>누적거래량</stp>
        <stp/>
        <stp/>
        <tr r="L415" s="1"/>
      </tp>
      <tp>
        <v>1194</v>
        <stp/>
        <stp>P</stp>
        <stp>0</stp>
        <stp>STK</stp>
        <stp>N259960</stp>
        <stp>누적거래량</stp>
        <stp/>
        <stp/>
        <tr r="L64" s="3"/>
        <tr r="L67" s="1"/>
      </tp>
      <tp>
        <v>21773</v>
        <stp/>
        <stp>P</stp>
        <stp>0</stp>
        <stp>STK</stp>
        <stp>N448900</stp>
        <stp>누적거래량</stp>
        <stp/>
        <stp/>
        <tr r="L486" s="1"/>
      </tp>
      <tp>
        <v>24424</v>
        <stp/>
        <stp>P</stp>
        <stp>0</stp>
        <stp>STK</stp>
        <stp>N014940</stp>
        <stp>누적거래량</stp>
        <stp/>
        <stp/>
        <tr r="L550" s="1"/>
      </tp>
      <tp>
        <v>483</v>
        <stp/>
        <stp>P</stp>
        <stp>0</stp>
        <stp>STK</stp>
        <stp>N017940</stp>
        <stp>누적거래량</stp>
        <stp/>
        <stp/>
        <tr r="L282" s="3"/>
        <tr r="L444" s="1"/>
      </tp>
      <tp>
        <v>11</v>
        <stp/>
        <stp>P</stp>
        <stp>0</stp>
        <stp>STK</stp>
        <stp>N001940</stp>
        <stp>누적거래량</stp>
        <stp/>
        <stp/>
        <tr r="L328" s="3"/>
        <tr r="L551" s="1"/>
      </tp>
      <tp>
        <v>71283</v>
        <stp/>
        <stp>P</stp>
        <stp>0</stp>
        <stp>STK</stp>
        <stp>N005940</stp>
        <stp>누적거래량</stp>
        <stp/>
        <stp/>
        <tr r="L80" s="3"/>
        <tr r="L85" s="1"/>
      </tp>
      <tp>
        <v>12250</v>
        <stp/>
        <stp>P</stp>
        <stp>0</stp>
        <stp>STK</stp>
        <stp>N195940</stp>
        <stp>누적거래량</stp>
        <stp/>
        <stp/>
        <tr r="L262" s="1"/>
      </tp>
      <tp>
        <v>2982</v>
        <stp/>
        <stp>P</stp>
        <stp>0</stp>
        <stp>STK</stp>
        <stp>N097950</stp>
        <stp>누적거래량</stp>
        <stp/>
        <stp/>
        <tr r="L147" s="1"/>
        <tr r="L128" s="3"/>
      </tp>
      <tp>
        <v>6387</v>
        <stp/>
        <stp>P</stp>
        <stp>0</stp>
        <stp>STK</stp>
        <stp>N251970</stp>
        <stp>누적거래량</stp>
        <stp/>
        <stp/>
        <tr r="L393" s="1"/>
      </tp>
      <tp>
        <v>2464</v>
        <stp/>
        <stp>P</stp>
        <stp>0</stp>
        <stp>STK</stp>
        <stp>N054950</stp>
        <stp>누적거래량</stp>
        <stp/>
        <stp/>
        <tr r="L614" s="1"/>
      </tp>
      <tp>
        <v>167647</v>
        <stp/>
        <stp>P</stp>
        <stp>0</stp>
        <stp>STK</stp>
        <stp>N454910</stp>
        <stp>누적거래량</stp>
        <stp/>
        <stp/>
        <tr r="L82" s="3"/>
        <tr r="L87" s="1"/>
      </tp>
      <tp>
        <v>83</v>
        <stp/>
        <stp>P</stp>
        <stp>0</stp>
        <stp>STK</stp>
        <stp>N034950</stp>
        <stp>누적거래량</stp>
        <stp/>
        <stp/>
        <tr r="L508" s="1"/>
      </tp>
      <tp>
        <v>9186</v>
        <stp/>
        <stp>P</stp>
        <stp>0</stp>
        <stp>STK</stp>
        <stp>N128940</stp>
        <stp>누적거래량</stp>
        <stp/>
        <stp/>
        <tr r="L98" s="3"/>
        <tr r="L106" s="1"/>
      </tp>
      <tp>
        <v>17308</v>
        <stp/>
        <stp>P</stp>
        <stp>0</stp>
        <stp>STK</stp>
        <stp>N010950</stp>
        <stp>누적거래량</stp>
        <stp/>
        <stp/>
        <tr r="L69" s="1"/>
        <tr r="L66" s="3"/>
      </tp>
      <tp>
        <v>1547</v>
        <stp/>
        <stp>P</stp>
        <stp>0</stp>
        <stp>STK</stp>
        <stp>N102940</stp>
        <stp>누적거래량</stp>
        <stp/>
        <stp/>
        <tr r="L424" s="1"/>
      </tp>
      <tp>
        <v>800</v>
        <stp/>
        <stp>P</stp>
        <stp>0</stp>
        <stp>STK</stp>
        <stp>N286940</stp>
        <stp>누적거래량</stp>
        <stp/>
        <stp/>
        <tr r="L349" s="3"/>
        <tr r="L593" s="1"/>
      </tp>
      <tp>
        <v>4565</v>
        <stp/>
        <stp>P</stp>
        <stp>0</stp>
        <stp>STK</stp>
        <stp>N271940</stp>
        <stp>누적거래량</stp>
        <stp/>
        <stp/>
        <tr r="L298" s="3"/>
        <tr r="L481" s="1"/>
      </tp>
      <tp>
        <v>134266</v>
        <stp/>
        <stp>P</stp>
        <stp>0</stp>
        <stp>STK</stp>
        <stp>N064960</stp>
        <stp>누적거래량</stp>
        <stp/>
        <stp/>
        <tr r="L226" s="3"/>
        <tr r="L299" s="1"/>
      </tp>
      <tp>
        <v>1297</v>
        <stp/>
        <stp>P</stp>
        <stp>0</stp>
        <stp>STK</stp>
        <stp>N069960</stp>
        <stp>누적거래량</stp>
        <stp/>
        <stp/>
        <tr r="L203" s="1"/>
        <tr r="L169" s="3"/>
      </tp>
      <tp>
        <v>58705</v>
        <stp/>
        <stp>P</stp>
        <stp>0</stp>
        <stp>STK</stp>
        <stp>N131970</stp>
        <stp>누적거래량</stp>
        <stp/>
        <stp/>
        <tr r="L308" s="1"/>
      </tp>
      <tp>
        <v>11047</v>
        <stp/>
        <stp>P</stp>
        <stp>0</stp>
        <stp>STK</stp>
        <stp>N026960</stp>
        <stp>누적거래량</stp>
        <stp/>
        <stp/>
        <tr r="L172" s="1"/>
        <tr r="L144" s="3"/>
      </tp>
      <tp>
        <v>19916</v>
        <stp/>
        <stp>P</stp>
        <stp>0</stp>
        <stp>STK</stp>
        <stp>N017960</stp>
        <stp>누적거래량</stp>
        <stp/>
        <stp/>
        <tr r="L218" s="1"/>
        <tr r="L178" s="3"/>
      </tp>
      <tp>
        <v>364</v>
        <stp/>
        <stp>P</stp>
        <stp>0</stp>
        <stp>STK</stp>
        <stp>N003960</stp>
        <stp>누적거래량</stp>
        <stp/>
        <stp/>
        <tr r="L598" s="1"/>
        <tr r="L346" s="3"/>
      </tp>
      <tp>
        <v>13</v>
        <stp/>
        <stp>P</stp>
        <stp>0</stp>
        <stp>STK</stp>
        <stp>N002960</stp>
        <stp>누적거래량</stp>
        <stp/>
        <stp/>
        <tr r="L442" s="1"/>
        <tr r="L281" s="3"/>
      </tp>
      <tp>
        <v>2601</v>
        <stp/>
        <stp>P</stp>
        <stp>0</stp>
        <stp>STK</stp>
        <stp>N207940</stp>
        <stp>누적거래량</stp>
        <stp/>
        <stp/>
        <tr r="L10" s="3"/>
        <tr r="L10" s="1"/>
      </tp>
      <tp>
        <v>58212</v>
        <stp/>
        <stp>P</stp>
        <stp>0</stp>
        <stp>STK</stp>
        <stp>N307950</stp>
        <stp>누적거래량</stp>
        <stp/>
        <stp/>
        <tr r="L60" s="3"/>
        <tr r="L58" s="1"/>
      </tp>
      <tp>
        <v>27302</v>
        <stp/>
        <stp>P</stp>
        <stp>0</stp>
        <stp>STK</stp>
        <stp>N089970</stp>
        <stp>누적거래량</stp>
        <stp/>
        <stp/>
        <tr r="L406" s="1"/>
      </tp>
      <tp>
        <v>23190</v>
        <stp/>
        <stp>P</stp>
        <stp>0</stp>
        <stp>STK</stp>
        <stp>N071970</stp>
        <stp>누적거래량</stp>
        <stp/>
        <stp/>
        <tr r="L148" s="1"/>
        <tr r="L130" s="3"/>
      </tp>
      <tp>
        <v>24034</v>
        <stp/>
        <stp>P</stp>
        <stp>0</stp>
        <stp>STK</stp>
        <stp>N077970</stp>
        <stp>누적거래량</stp>
        <stp/>
        <stp/>
        <tr r="L197" s="3"/>
        <tr r="L246" s="1"/>
      </tp>
      <tp>
        <v>20019</v>
        <stp/>
        <stp>P</stp>
        <stp>0</stp>
        <stp>STK</stp>
        <stp>N460930</stp>
        <stp>누적거래량</stp>
        <stp/>
        <stp/>
        <tr r="L396" s="1"/>
      </tp>
      <tp>
        <v>218478</v>
        <stp/>
        <stp>P</stp>
        <stp>0</stp>
        <stp>STK</stp>
        <stp>N066970</stp>
        <stp>누적거래량</stp>
        <stp/>
        <stp/>
        <tr r="L102" s="3"/>
        <tr r="L115" s="1"/>
      </tp>
      <tp>
        <v>5937</v>
        <stp/>
        <stp>P</stp>
        <stp>0</stp>
        <stp>STK</stp>
        <stp>N058970</stp>
        <stp>누적거래량</stp>
        <stp/>
        <stp/>
        <tr r="L509" s="1"/>
      </tp>
      <tp>
        <v>27257</v>
        <stp/>
        <stp>P</stp>
        <stp>0</stp>
        <stp>STK</stp>
        <stp>N226950</stp>
        <stp>누적거래량</stp>
        <stp/>
        <stp/>
        <tr r="L186" s="1"/>
      </tp>
      <tp>
        <v>34</v>
        <stp/>
        <stp>P</stp>
        <stp>0</stp>
        <stp>STK</stp>
        <stp>N009970</stp>
        <stp>누적거래량</stp>
        <stp/>
        <stp/>
        <tr r="L138" s="3"/>
        <tr r="L173" s="1"/>
      </tp>
      <tp>
        <v>21275</v>
        <stp/>
        <stp>P</stp>
        <stp>0</stp>
        <stp>STK</stp>
        <stp>N089980</stp>
        <stp>누적거래량</stp>
        <stp/>
        <stp/>
        <tr r="L678" s="1"/>
      </tp>
      <tp>
        <v>3028</v>
        <stp/>
        <stp>P</stp>
        <stp>0</stp>
        <stp>STK</stp>
        <stp>N060980</stp>
        <stp>누적거래량</stp>
        <stp/>
        <stp/>
        <tr r="L312" s="3"/>
        <tr r="L505" s="1"/>
      </tp>
      <tp>
        <v>219</v>
        <stp/>
        <stp>P</stp>
        <stp>0</stp>
        <stp>STK</stp>
        <stp>N145990</stp>
        <stp>누적거래량</stp>
        <stp/>
        <stp/>
        <tr r="L492" s="1"/>
        <tr r="L305" s="3"/>
      </tp>
      <tp>
        <v>38688</v>
        <stp/>
        <stp>P</stp>
        <stp>0</stp>
        <stp>STK</stp>
        <stp>N031980</stp>
        <stp>누적거래량</stp>
        <stp/>
        <stp/>
        <tr r="L258" s="1"/>
      </tp>
      <tp>
        <v>41585</v>
        <stp/>
        <stp>P</stp>
        <stp>0</stp>
        <stp>STK</stp>
        <stp>N025980</stp>
        <stp>누적거래량</stp>
        <stp/>
        <stp/>
        <tr r="L373" s="1"/>
      </tp>
      <tp>
        <v>10455</v>
        <stp/>
        <stp>P</stp>
        <stp>0</stp>
        <stp>STK</stp>
        <stp>N110990</stp>
        <stp>누적거래량</stp>
        <stp/>
        <stp/>
        <tr r="L583" s="1"/>
      </tp>
      <tp>
        <v>8001</v>
        <stp/>
        <stp>P</stp>
        <stp>0</stp>
        <stp>STK</stp>
        <stp>N004980</stp>
        <stp>누적거래량</stp>
        <stp/>
        <stp/>
        <tr r="L380" s="3"/>
        <tr r="L689" s="1"/>
      </tp>
      <tp>
        <v>18138</v>
        <stp/>
        <stp>P</stp>
        <stp>0</stp>
        <stp>STK</stp>
        <stp>N000990</stp>
        <stp>누적거래량</stp>
        <stp/>
        <stp/>
        <tr r="L113" s="3"/>
        <tr r="L125" s="1"/>
      </tp>
      <tp>
        <v>35218</v>
        <stp/>
        <stp>P</stp>
        <stp>0</stp>
        <stp>STK</stp>
        <stp>N004990</stp>
        <stp>누적거래량</stp>
        <stp/>
        <stp/>
        <tr r="L150" s="1"/>
        <tr r="L131" s="3"/>
      </tp>
      <tp>
        <v>350</v>
        <stp/>
        <stp>P</stp>
        <stp>0</stp>
        <stp>STK</stp>
        <stp>N267980</stp>
        <stp>누적거래량</stp>
        <stp/>
        <stp/>
        <tr r="L655" s="1"/>
      </tp>
      <tp>
        <v>14752</v>
        <stp/>
        <stp>P</stp>
        <stp>0</stp>
        <stp>STK</stp>
        <stp>N473980</stp>
        <stp>누적거래량</stp>
        <stp/>
        <stp/>
        <tr r="L646" s="1"/>
      </tp>
      <tp>
        <v>74047</v>
        <stp/>
        <stp>P</stp>
        <stp>0</stp>
        <stp>STK</stp>
        <stp>N486990</stp>
        <stp>누적거래량</stp>
        <stp/>
        <stp/>
        <tr r="L315" s="1"/>
      </tp>
      <tp>
        <v>22150</v>
        <stp/>
        <stp>P</stp>
        <stp>0</stp>
        <stp>STK</stp>
        <stp>049070</stp>
        <stp>현재가</stp>
        <stp/>
        <stp/>
        <tr r="T519" s="1"/>
      </tp>
      <tp>
        <v>36400</v>
        <stp/>
        <stp>P</stp>
        <stp>0</stp>
        <stp>STK</stp>
        <stp>249420</stp>
        <stp>현재가</stp>
        <stp/>
        <stp/>
        <tr r="T285" s="3"/>
        <tr r="T285" s="1"/>
      </tp>
      <tp>
        <v>70300</v>
        <stp/>
        <stp>P</stp>
        <stp>0</stp>
        <stp>STK</stp>
        <stp>448900</stp>
        <stp>현재가</stp>
        <stp/>
        <stp/>
        <tr r="T486" s="1"/>
      </tp>
      <tp>
        <v>66500</v>
        <stp/>
        <stp>P</stp>
        <stp>0</stp>
        <stp>STK</stp>
        <stp>348370</stp>
        <stp>현재가</stp>
        <stp/>
        <stp/>
        <tr r="T263" s="1"/>
        <tr r="T263" s="3"/>
      </tp>
      <tp>
        <v>9940</v>
        <stp/>
        <stp>P</stp>
        <stp>0</stp>
        <stp>STK</stp>
        <stp>448280</stp>
        <stp>현재가</stp>
        <stp/>
        <stp/>
        <tr r="T638" s="1"/>
      </tp>
      <tp>
        <v>72000</v>
        <stp/>
        <stp>P</stp>
        <stp>0</stp>
        <stp>STK</stp>
        <stp>348210</stp>
        <stp>현재가</stp>
        <stp/>
        <stp/>
        <tr r="T360" s="1"/>
        <tr r="T360" s="3"/>
      </tp>
      <tp>
        <v>15610</v>
        <stp/>
        <stp>P</stp>
        <stp>0</stp>
        <stp>STK</stp>
        <stp>248070</stp>
        <stp>현재가</stp>
        <stp/>
        <stp/>
        <tr r="T377" s="3"/>
        <tr r="T377" s="1"/>
      </tp>
      <tp>
        <v>5820</v>
        <stp/>
        <stp>P</stp>
        <stp>0</stp>
        <stp>STK</stp>
        <stp>048410</stp>
        <stp>현재가</stp>
        <stp/>
        <stp/>
        <tr r="T452" s="1"/>
      </tp>
      <tp>
        <v>46500</v>
        <stp/>
        <stp>P</stp>
        <stp>0</stp>
        <stp>STK</stp>
        <stp>145990</stp>
        <stp>현재가</stp>
        <stp/>
        <stp/>
        <tr r="T492" s="1"/>
      </tp>
      <tp>
        <v>24200</v>
        <stp/>
        <stp>P</stp>
        <stp>0</stp>
        <stp>STK</stp>
        <stp>045100</stp>
        <stp>현재가</stp>
        <stp/>
        <stp/>
        <tr r="T500" s="1"/>
      </tp>
      <tp>
        <v>30000</v>
        <stp/>
        <stp>P</stp>
        <stp>0</stp>
        <stp>STK</stp>
        <stp>445090</stp>
        <stp>현재가</stp>
        <stp/>
        <stp/>
        <tr r="T606" s="1"/>
      </tp>
      <tp>
        <v>260000</v>
        <stp/>
        <stp>P</stp>
        <stp>0</stp>
        <stp>STK</stp>
        <stp>145020</stp>
        <stp>현재가</stp>
        <stp/>
        <stp/>
        <tr r="T158" s="3"/>
        <tr r="T158" s="1"/>
      </tp>
      <tp>
        <v>46850</v>
        <stp/>
        <stp>P</stp>
        <stp>0</stp>
        <stp>STK</stp>
        <stp>145720</stp>
        <stp>현재가</stp>
        <stp/>
        <stp/>
        <tr r="T467" s="1"/>
      </tp>
      <tp>
        <v>127900</v>
        <stp/>
        <stp>P</stp>
        <stp>0</stp>
        <stp>STK</stp>
        <stp>445680</stp>
        <stp>현재가</stp>
        <stp/>
        <stp/>
        <tr r="T204" s="3"/>
        <tr r="T204" s="1"/>
      </tp>
      <tp>
        <v>27050</v>
        <stp/>
        <stp>P</stp>
        <stp>0</stp>
        <stp>STK</stp>
        <stp>344820</stp>
        <stp>현재가</stp>
        <stp/>
        <stp/>
        <tr r="T516" s="1"/>
      </tp>
      <tp>
        <v>22350</v>
        <stp/>
        <stp>P</stp>
        <stp>0</stp>
        <stp>STK</stp>
        <stp>144510</stp>
        <stp>현재가</stp>
        <stp/>
        <stp/>
        <tr r="T575" s="1"/>
      </tp>
      <tp>
        <v>31950</v>
        <stp/>
        <stp>P</stp>
        <stp>0</stp>
        <stp>STK</stp>
        <stp>044490</stp>
        <stp>현재가</stp>
        <stp/>
        <stp/>
        <tr r="T391" s="1"/>
      </tp>
      <tp>
        <v>17790</v>
        <stp/>
        <stp>P</stp>
        <stp>0</stp>
        <stp>STK</stp>
        <stp>047920</stp>
        <stp>현재가</stp>
        <stp/>
        <stp/>
        <tr r="T448" s="1"/>
      </tp>
      <tp>
        <v>165600</v>
        <stp/>
        <stp>P</stp>
        <stp>0</stp>
        <stp>STK</stp>
        <stp>047810</stp>
        <stp>현재가</stp>
        <stp/>
        <stp/>
        <tr r="T53" s="3"/>
        <tr r="T53" s="1"/>
      </tp>
      <tp>
        <v>79600</v>
        <stp/>
        <stp>P</stp>
        <stp>0</stp>
        <stp>STK</stp>
        <stp>347850</stp>
        <stp>현재가</stp>
        <stp/>
        <stp/>
        <tr r="T138" s="3"/>
        <tr r="T138" s="1"/>
      </tp>
      <tp>
        <v>63800</v>
        <stp/>
        <stp>P</stp>
        <stp>0</stp>
        <stp>STK</stp>
        <stp>047050</stp>
        <stp>현재가</stp>
        <stp/>
        <stp/>
        <tr r="T68" s="3"/>
        <tr r="T68" s="1"/>
      </tp>
      <tp>
        <v>5120</v>
        <stp/>
        <stp>P</stp>
        <stp>0</stp>
        <stp>STK</stp>
        <stp>047040</stp>
        <stp>현재가</stp>
        <stp/>
        <stp/>
        <tr r="T208" s="3"/>
        <tr r="T208" s="1"/>
      </tp>
      <tp>
        <v>173600</v>
        <stp/>
        <stp>P</stp>
        <stp>0</stp>
        <stp>STK</stp>
        <stp>247540</stp>
        <stp>현재가</stp>
        <stp/>
        <stp/>
        <tr r="T54" s="3"/>
        <tr r="T54" s="1"/>
      </tp>
      <tp>
        <v>6080</v>
        <stp/>
        <stp>P</stp>
        <stp>0</stp>
        <stp>STK</stp>
        <stp>046890</stp>
        <stp>현재가</stp>
        <stp/>
        <stp/>
        <tr r="T576" s="1"/>
      </tp>
      <tp>
        <v>29650</v>
        <stp/>
        <stp>P</stp>
        <stp>0</stp>
        <stp>STK</stp>
        <stp>041830</stp>
        <stp>현재가</stp>
        <stp/>
        <stp/>
        <tr r="T543" s="1"/>
      </tp>
      <tp>
        <v>9080</v>
        <stp/>
        <stp>P</stp>
        <stp>0</stp>
        <stp>STK</stp>
        <stp>441270</stp>
        <stp>현재가</stp>
        <stp/>
        <stp/>
        <tr r="T569" s="1"/>
      </tp>
      <tp>
        <v>7350</v>
        <stp/>
        <stp>P</stp>
        <stp>0</stp>
        <stp>STK</stp>
        <stp>041190</stp>
        <stp>현재가</stp>
        <stp/>
        <stp/>
        <tr r="T425" s="1"/>
      </tp>
      <tp>
        <v>150000</v>
        <stp/>
        <stp>P</stp>
        <stp>0</stp>
        <stp>STK</stp>
        <stp>141080</stp>
        <stp>현재가</stp>
        <stp/>
        <stp/>
        <tr r="T105" s="3"/>
        <tr r="T105" s="1"/>
      </tp>
      <tp>
        <v>81700</v>
        <stp/>
        <stp>P</stp>
        <stp>0</stp>
        <stp>STK</stp>
        <stp>241710</stp>
        <stp>현재가</stp>
        <stp/>
        <stp/>
        <tr r="T357" s="1"/>
        <tr r="T357" s="3"/>
      </tp>
      <tp>
        <v>22500</v>
        <stp/>
        <stp>P</stp>
        <stp>0</stp>
        <stp>STK</stp>
        <stp>241770</stp>
        <stp>현재가</stp>
        <stp/>
        <stp/>
        <tr r="T683" s="1"/>
      </tp>
      <tp>
        <v>107900</v>
        <stp/>
        <stp>P</stp>
        <stp>0</stp>
        <stp>STK</stp>
        <stp>041510</stp>
        <stp>현재가</stp>
        <stp/>
        <stp/>
        <tr r="T177" s="1"/>
        <tr r="T177" s="3"/>
      </tp>
      <tp>
        <v>60800</v>
        <stp/>
        <stp>P</stp>
        <stp>0</stp>
        <stp>STK</stp>
        <stp>241560</stp>
        <stp>현재가</stp>
        <stp/>
        <stp/>
        <tr r="T100" s="1"/>
        <tr r="T100" s="3"/>
      </tp>
      <tp>
        <v>76300</v>
        <stp/>
        <stp>P</stp>
        <stp>0</stp>
        <stp>STK</stp>
        <stp>240810</stp>
        <stp>현재가</stp>
        <stp/>
        <stp/>
        <tr r="T130" s="1"/>
        <tr r="T130" s="3"/>
      </tp>
      <tp>
        <v>232000</v>
        <stp/>
        <stp>P</stp>
        <stp>0</stp>
        <stp>STK</stp>
        <stp>140860</stp>
        <stp>현재가</stp>
        <stp/>
        <stp/>
        <tr r="T238" s="1"/>
        <tr r="T238" s="3"/>
      </tp>
      <tp>
        <v>44900</v>
        <stp/>
        <stp>P</stp>
        <stp>0</stp>
        <stp>STK</stp>
        <stp>340570</stp>
        <stp>현재가</stp>
        <stp/>
        <stp/>
        <tr r="T572" s="1"/>
      </tp>
      <tp>
        <v>109400</v>
        <stp/>
        <stp>P</stp>
        <stp>0</stp>
        <stp>STK</stp>
        <stp>140410</stp>
        <stp>현재가</stp>
        <stp/>
        <stp/>
        <tr r="T151" s="1"/>
        <tr r="T151" s="3"/>
      </tp>
      <tp>
        <v>12000</v>
        <stp/>
        <stp>P</stp>
        <stp>0</stp>
        <stp>STK</stp>
        <stp>043370</stp>
        <stp>현재가</stp>
        <stp/>
        <stp/>
        <tr r="T650" s="1"/>
      </tp>
      <tp>
        <v>19120</v>
        <stp/>
        <stp>P</stp>
        <stp>0</stp>
        <stp>STK</stp>
        <stp>043150</stp>
        <stp>현재가</stp>
        <stp/>
        <stp/>
        <tr r="T642" s="1"/>
      </tp>
      <tp>
        <v>189100</v>
        <stp/>
        <stp>P</stp>
        <stp>0</stp>
        <stp>STK</stp>
        <stp>443060</stp>
        <stp>현재가</stp>
        <stp/>
        <stp/>
        <tr r="T83" s="1"/>
        <tr r="T83" s="3"/>
      </tp>
      <tp>
        <v>26100</v>
        <stp/>
        <stp>P</stp>
        <stp>0</stp>
        <stp>STK</stp>
        <stp>243070</stp>
        <stp>현재가</stp>
        <stp/>
        <stp/>
        <tr r="T611" s="1"/>
      </tp>
      <tp>
        <v>31650</v>
        <stp/>
        <stp>P</stp>
        <stp>0</stp>
        <stp>STK</stp>
        <stp>042000</stp>
        <stp>현재가</stp>
        <stp/>
        <stp/>
        <tr r="T367" s="3"/>
        <tr r="T367" s="1"/>
      </tp>
      <tp>
        <v>169800</v>
        <stp/>
        <stp>P</stp>
        <stp>0</stp>
        <stp>STK</stp>
        <stp>042700</stp>
        <stp>현재가</stp>
        <stp/>
        <stp/>
        <tr r="T51" s="3"/>
        <tr r="T51" s="1"/>
      </tp>
      <tp>
        <v>141100</v>
        <stp/>
        <stp>P</stp>
        <stp>0</stp>
        <stp>STK</stp>
        <stp>042660</stp>
        <stp>현재가</stp>
        <stp/>
        <stp/>
        <tr r="T20" s="3"/>
        <tr r="T20" s="1"/>
      </tp>
      <tp>
        <v>23800</v>
        <stp/>
        <stp>P</stp>
        <stp>0</stp>
        <stp>STK</stp>
        <stp>042520</stp>
        <stp>현재가</stp>
        <stp/>
        <stp/>
        <tr r="T604" s="1"/>
      </tp>
      <tp>
        <v>24900</v>
        <stp/>
        <stp>P</stp>
        <stp>0</stp>
        <stp>STK</stp>
        <stp>N089970</stp>
        <stp>시가</stp>
        <stp/>
        <stp/>
        <tr r="O406" s="1"/>
      </tp>
      <tp>
        <v>22900</v>
        <stp/>
        <stp>P</stp>
        <stp>0</stp>
        <stp>STK</stp>
        <stp>N082270</stp>
        <stp>저가</stp>
        <stp/>
        <stp/>
        <tr r="Q313" s="1"/>
      </tp>
      <tp>
        <v>75100</v>
        <stp/>
        <stp>P</stp>
        <stp>0</stp>
        <stp>STK</stp>
        <stp>N084370</stp>
        <stp>저가</stp>
        <stp/>
        <stp/>
        <tr r="Q219" s="1"/>
      </tp>
      <tp>
        <v>24250</v>
        <stp/>
        <stp>P</stp>
        <stp>0</stp>
        <stp>STK</stp>
        <stp>N089970</stp>
        <stp>저가</stp>
        <stp/>
        <stp/>
        <tr r="Q406" s="1"/>
      </tp>
      <tp>
        <v>23450</v>
        <stp/>
        <stp>P</stp>
        <stp>0</stp>
        <stp>STK</stp>
        <stp>N082270</stp>
        <stp>시가</stp>
        <stp/>
        <stp/>
        <tr r="O313" s="1"/>
      </tp>
      <tp>
        <v>76100</v>
        <stp/>
        <stp>P</stp>
        <stp>0</stp>
        <stp>STK</stp>
        <stp>N084370</stp>
        <stp>시가</stp>
        <stp/>
        <stp/>
        <tr r="O219" s="1"/>
      </tp>
      <tp>
        <v>76600</v>
        <stp/>
        <stp>P</stp>
        <stp>0</stp>
        <stp>STK</stp>
        <stp>N084370</stp>
        <stp>고가</stp>
        <stp/>
        <stp/>
        <tr r="P219" s="1"/>
      </tp>
      <tp>
        <v>23450</v>
        <stp/>
        <stp>P</stp>
        <stp>0</stp>
        <stp>STK</stp>
        <stp>N082270</stp>
        <stp>고가</stp>
        <stp/>
        <stp/>
        <tr r="P313" s="1"/>
      </tp>
      <tp>
        <v>25000</v>
        <stp/>
        <stp>P</stp>
        <stp>0</stp>
        <stp>STK</stp>
        <stp>N089970</stp>
        <stp>고가</stp>
        <stp/>
        <stp/>
        <tr r="P406" s="1"/>
      </tp>
      <tp>
        <v>7870</v>
        <stp/>
        <stp>P</stp>
        <stp>0</stp>
        <stp>STK</stp>
        <stp>N093370</stp>
        <stp>저가</stp>
        <stp/>
        <stp/>
        <tr r="Q355" s="1"/>
        <tr r="Q240" s="3"/>
      </tp>
      <tp>
        <v>38300</v>
        <stp/>
        <stp>P</stp>
        <stp>0</stp>
        <stp>STK</stp>
        <stp>N098070</stp>
        <stp>시가</stp>
        <stp/>
        <stp/>
        <tr r="O510" s="1"/>
      </tp>
      <tp>
        <v>220000</v>
        <stp/>
        <stp>P</stp>
        <stp>0</stp>
        <stp>STK</stp>
        <stp>N298050</stp>
        <stp>시가</stp>
        <stp/>
        <stp/>
        <tr r="O318" s="1"/>
        <tr r="O233" s="3"/>
      </tp>
      <tp>
        <v>52900</v>
        <stp/>
        <stp>P</stp>
        <stp>0</stp>
        <stp>STK</stp>
        <stp>N290650</stp>
        <stp>저가</stp>
        <stp/>
        <stp/>
        <tr r="Q266" s="1"/>
      </tp>
      <tp>
        <v>112800</v>
        <stp/>
        <stp>P</stp>
        <stp>0</stp>
        <stp>STK</stp>
        <stp>N096770</stp>
        <stp>저가</stp>
        <stp/>
        <stp/>
        <tr r="Q47" s="1"/>
        <tr r="Q45" s="3"/>
      </tp>
      <tp>
        <v>26550</v>
        <stp/>
        <stp>P</stp>
        <stp>0</stp>
        <stp>STK</stp>
        <stp>N094170</stp>
        <stp>저가</stp>
        <stp/>
        <stp/>
        <tr r="Q436" s="1"/>
      </tp>
      <tp>
        <v>54300</v>
        <stp/>
        <stp>P</stp>
        <stp>0</stp>
        <stp>STK</stp>
        <stp>N290650</stp>
        <stp>시가</stp>
        <stp/>
        <stp/>
        <tr r="O266" s="1"/>
      </tp>
      <tp>
        <v>8010</v>
        <stp/>
        <stp>P</stp>
        <stp>0</stp>
        <stp>STK</stp>
        <stp>N093370</stp>
        <stp>시가</stp>
        <stp/>
        <stp/>
        <tr r="O355" s="1"/>
        <tr r="O240" s="3"/>
      </tp>
      <tp>
        <v>37300</v>
        <stp/>
        <stp>P</stp>
        <stp>0</stp>
        <stp>STK</stp>
        <stp>N098070</stp>
        <stp>저가</stp>
        <stp/>
        <stp/>
        <tr r="Q510" s="1"/>
      </tp>
      <tp>
        <v>215500</v>
        <stp/>
        <stp>P</stp>
        <stp>0</stp>
        <stp>STK</stp>
        <stp>N298050</stp>
        <stp>저가</stp>
        <stp/>
        <stp/>
        <tr r="Q233" s="3"/>
        <tr r="Q318" s="1"/>
      </tp>
      <tp>
        <v>26850</v>
        <stp/>
        <stp>P</stp>
        <stp>0</stp>
        <stp>STK</stp>
        <stp>N094170</stp>
        <stp>시가</stp>
        <stp/>
        <stp/>
        <tr r="O436" s="1"/>
      </tp>
      <tp>
        <v>113000</v>
        <stp/>
        <stp>P</stp>
        <stp>0</stp>
        <stp>STK</stp>
        <stp>N096770</stp>
        <stp>시가</stp>
        <stp/>
        <stp/>
        <tr r="O45" s="3"/>
        <tr r="O47" s="1"/>
      </tp>
      <tp>
        <v>115900</v>
        <stp/>
        <stp>P</stp>
        <stp>0</stp>
        <stp>STK</stp>
        <stp>N096770</stp>
        <stp>고가</stp>
        <stp/>
        <stp/>
        <tr r="P47" s="1"/>
        <tr r="P45" s="3"/>
      </tp>
      <tp>
        <v>26950</v>
        <stp/>
        <stp>P</stp>
        <stp>0</stp>
        <stp>STK</stp>
        <stp>N094170</stp>
        <stp>고가</stp>
        <stp/>
        <stp/>
        <tr r="P436" s="1"/>
      </tp>
      <tp>
        <v>8450</v>
        <stp/>
        <stp>P</stp>
        <stp>0</stp>
        <stp>STK</stp>
        <stp>N093370</stp>
        <stp>고가</stp>
        <stp/>
        <stp/>
        <tr r="P355" s="1"/>
        <tr r="P240" s="3"/>
      </tp>
      <tp>
        <v>54300</v>
        <stp/>
        <stp>P</stp>
        <stp>0</stp>
        <stp>STK</stp>
        <stp>N290650</stp>
        <stp>고가</stp>
        <stp/>
        <stp/>
        <tr r="P266" s="1"/>
      </tp>
      <tp>
        <v>38800</v>
        <stp/>
        <stp>P</stp>
        <stp>0</stp>
        <stp>STK</stp>
        <stp>N098070</stp>
        <stp>고가</stp>
        <stp/>
        <stp/>
        <tr r="P510" s="1"/>
      </tp>
      <tp>
        <v>220000</v>
        <stp/>
        <stp>P</stp>
        <stp>0</stp>
        <stp>STK</stp>
        <stp>N298050</stp>
        <stp>고가</stp>
        <stp/>
        <stp/>
        <tr r="P233" s="3"/>
        <tr r="P318" s="1"/>
      </tp>
      <tp>
        <v>195000</v>
        <stp/>
        <stp>P</stp>
        <stp>0</stp>
        <stp>STK</stp>
        <stp>N009970</stp>
        <stp>시가</stp>
        <stp/>
        <stp/>
        <tr r="O138" s="3"/>
        <tr r="O173" s="1"/>
      </tp>
      <tp>
        <v>49900</v>
        <stp/>
        <stp>P</stp>
        <stp>0</stp>
        <stp>STK</stp>
        <stp>N003570</stp>
        <stp>저가</stp>
        <stp/>
        <stp/>
        <tr r="Q234" s="1"/>
        <tr r="Q186" s="3"/>
      </tp>
      <tp>
        <v>215000</v>
        <stp/>
        <stp>P</stp>
        <stp>0</stp>
        <stp>STK</stp>
        <stp>N003670</stp>
        <stp>저가</stp>
        <stp/>
        <stp/>
        <tr r="Q43" s="3"/>
        <tr r="Q46" s="1"/>
      </tp>
      <tp>
        <v>45750</v>
        <stp/>
        <stp>P</stp>
        <stp>0</stp>
        <stp>STK</stp>
        <stp>N008770</stp>
        <stp>시가</stp>
        <stp/>
        <stp/>
        <tr r="O226" s="1"/>
        <tr r="O179" s="3"/>
      </tp>
      <tp>
        <v>12000</v>
        <stp/>
        <stp>P</stp>
        <stp>0</stp>
        <stp>STK</stp>
        <stp>N108860</stp>
        <stp>시가</stp>
        <stp/>
        <stp/>
        <tr r="O600" s="1"/>
      </tp>
      <tp>
        <v>22000</v>
        <stp/>
        <stp>P</stp>
        <stp>0</stp>
        <stp>STK</stp>
        <stp>N402030</stp>
        <stp>저가</stp>
        <stp/>
        <stp/>
        <tr r="Q641" s="1"/>
      </tp>
      <tp>
        <v>49100</v>
        <stp/>
        <stp>P</stp>
        <stp>0</stp>
        <stp>STK</stp>
        <stp>N302440</stp>
        <stp>저가</stp>
        <stp/>
        <stp/>
        <tr r="Q116" s="3"/>
        <tr r="Q131" s="1"/>
      </tp>
      <tp>
        <v>22650</v>
        <stp/>
        <stp>P</stp>
        <stp>0</stp>
        <stp>STK</stp>
        <stp>N101160</stp>
        <stp>저가</stp>
        <stp/>
        <stp/>
        <tr r="Q558" s="1"/>
      </tp>
      <tp>
        <v>19570</v>
        <stp/>
        <stp>P</stp>
        <stp>0</stp>
        <stp>STK</stp>
        <stp>N101360</stp>
        <stp>저가</stp>
        <stp/>
        <stp/>
        <tr r="Q597" s="1"/>
      </tp>
      <tp>
        <v>60900</v>
        <stp/>
        <stp>P</stp>
        <stp>0</stp>
        <stp>STK</stp>
        <stp>N001270</stp>
        <stp>저가</stp>
        <stp/>
        <stp/>
        <tr r="Q274" s="3"/>
        <tr r="Q412" s="1"/>
      </tp>
      <tp>
        <v>58800</v>
        <stp/>
        <stp>P</stp>
        <stp>0</stp>
        <stp>STK</stp>
        <stp>N000070</stp>
        <stp>저가</stp>
        <stp/>
        <stp/>
        <tr r="Q311" s="3"/>
        <tr r="Q502" s="1"/>
      </tp>
      <tp>
        <v>161200</v>
        <stp/>
        <stp>P</stp>
        <stp>0</stp>
        <stp>STK</stp>
        <stp>N000270</stp>
        <stp>저가</stp>
        <stp/>
        <stp/>
        <tr r="Q12" s="3"/>
        <tr r="Q11" s="1"/>
      </tp>
      <tp>
        <v>53900</v>
        <stp/>
        <stp>P</stp>
        <stp>0</stp>
        <stp>STK</stp>
        <stp>N000670</stp>
        <stp>저가</stp>
        <stp/>
        <stp/>
        <tr r="Q231" s="3"/>
        <tr r="Q321" s="1"/>
      </tp>
      <tp>
        <v>21200</v>
        <stp/>
        <stp>P</stp>
        <stp>0</stp>
        <stp>STK</stp>
        <stp>N007070</stp>
        <stp>저가</stp>
        <stp/>
        <stp/>
        <tr r="Q183" s="3"/>
        <tr r="Q232" s="1"/>
      </tp>
      <tp>
        <v>11120</v>
        <stp/>
        <stp>P</stp>
        <stp>0</stp>
        <stp>STK</stp>
        <stp>N206650</stp>
        <stp>저가</stp>
        <stp/>
        <stp/>
        <tr r="Q531" s="1"/>
      </tp>
      <tp>
        <v>48550</v>
        <stp/>
        <stp>P</stp>
        <stp>0</stp>
        <stp>STK</stp>
        <stp>N005070</stp>
        <stp>저가</stp>
        <stp/>
        <stp/>
        <tr r="Q195" s="3"/>
        <tr r="Q252" s="1"/>
      </tp>
      <tp>
        <v>134000</v>
        <stp/>
        <stp>P</stp>
        <stp>0</stp>
        <stp>STK</stp>
        <stp>N105560</stp>
        <stp>저가</stp>
        <stp/>
        <stp/>
        <tr r="Q16" s="3"/>
        <tr r="Q16" s="1"/>
      </tp>
      <tp>
        <v>287000</v>
        <stp/>
        <stp>P</stp>
        <stp>0</stp>
        <stp>STK</stp>
        <stp>N004170</stp>
        <stp>저가</stp>
        <stp/>
        <stp/>
        <tr r="Q136" s="3"/>
        <tr r="Q160" s="1"/>
      </tp>
      <tp>
        <v>407500</v>
        <stp/>
        <stp>P</stp>
        <stp>0</stp>
        <stp>STK</stp>
        <stp>N004370</stp>
        <stp>저가</stp>
        <stp/>
        <stp/>
        <tr r="Q149" s="3"/>
        <tr r="Q179" s="1"/>
      </tp>
      <tp>
        <v>22900</v>
        <stp/>
        <stp>P</stp>
        <stp>0</stp>
        <stp>STK</stp>
        <stp>N101160</stp>
        <stp>시가</stp>
        <stp/>
        <stp/>
        <tr r="O558" s="1"/>
      </tp>
      <tp>
        <v>19830</v>
        <stp/>
        <stp>P</stp>
        <stp>0</stp>
        <stp>STK</stp>
        <stp>N101360</stp>
        <stp>시가</stp>
        <stp/>
        <stp/>
        <tr r="O597" s="1"/>
      </tp>
      <tp>
        <v>60900</v>
        <stp/>
        <stp>P</stp>
        <stp>0</stp>
        <stp>STK</stp>
        <stp>N001270</stp>
        <stp>시가</stp>
        <stp/>
        <stp/>
        <tr r="O274" s="3"/>
        <tr r="O412" s="1"/>
      </tp>
      <tp>
        <v>54700</v>
        <stp/>
        <stp>P</stp>
        <stp>0</stp>
        <stp>STK</stp>
        <stp>N000670</stp>
        <stp>시가</stp>
        <stp/>
        <stp/>
        <tr r="O321" s="1"/>
        <tr r="O231" s="3"/>
      </tp>
      <tp>
        <v>60000</v>
        <stp/>
        <stp>P</stp>
        <stp>0</stp>
        <stp>STK</stp>
        <stp>N000070</stp>
        <stp>시가</stp>
        <stp/>
        <stp/>
        <tr r="O502" s="1"/>
        <tr r="O311" s="3"/>
      </tp>
      <tp>
        <v>167300</v>
        <stp/>
        <stp>P</stp>
        <stp>0</stp>
        <stp>STK</stp>
        <stp>N000270</stp>
        <stp>시가</stp>
        <stp/>
        <stp/>
        <tr r="O12" s="3"/>
        <tr r="O11" s="1"/>
      </tp>
      <tp>
        <v>49900</v>
        <stp/>
        <stp>P</stp>
        <stp>0</stp>
        <stp>STK</stp>
        <stp>N003570</stp>
        <stp>시가</stp>
        <stp/>
        <stp/>
        <tr r="O234" s="1"/>
        <tr r="O186" s="3"/>
      </tp>
      <tp>
        <v>220000</v>
        <stp/>
        <stp>P</stp>
        <stp>0</stp>
        <stp>STK</stp>
        <stp>N003670</stp>
        <stp>시가</stp>
        <stp/>
        <stp/>
        <tr r="O46" s="1"/>
        <tr r="O43" s="3"/>
      </tp>
      <tp>
        <v>194200</v>
        <stp/>
        <stp>P</stp>
        <stp>0</stp>
        <stp>STK</stp>
        <stp>N009970</stp>
        <stp>저가</stp>
        <stp/>
        <stp/>
        <tr r="Q173" s="1"/>
        <tr r="Q138" s="3"/>
      </tp>
      <tp>
        <v>49400</v>
        <stp/>
        <stp>P</stp>
        <stp>0</stp>
        <stp>STK</stp>
        <stp>N302440</stp>
        <stp>시가</stp>
        <stp/>
        <stp/>
        <tr r="O116" s="3"/>
        <tr r="O131" s="1"/>
      </tp>
      <tp>
        <v>22300</v>
        <stp/>
        <stp>P</stp>
        <stp>0</stp>
        <stp>STK</stp>
        <stp>N402030</stp>
        <stp>시가</stp>
        <stp/>
        <stp/>
        <tr r="O641" s="1"/>
      </tp>
      <tp>
        <v>11880</v>
        <stp/>
        <stp>P</stp>
        <stp>0</stp>
        <stp>STK</stp>
        <stp>N108860</stp>
        <stp>저가</stp>
        <stp/>
        <stp/>
        <tr r="Q600" s="1"/>
      </tp>
      <tp>
        <v>45400</v>
        <stp/>
        <stp>P</stp>
        <stp>0</stp>
        <stp>STK</stp>
        <stp>N008770</stp>
        <stp>저가</stp>
        <stp/>
        <stp/>
        <tr r="Q226" s="1"/>
        <tr r="Q179" s="3"/>
      </tp>
      <tp>
        <v>134700</v>
        <stp/>
        <stp>P</stp>
        <stp>0</stp>
        <stp>STK</stp>
        <stp>N105560</stp>
        <stp>시가</stp>
        <stp/>
        <stp/>
        <tr r="O16" s="3"/>
        <tr r="O16" s="1"/>
      </tp>
      <tp>
        <v>48900</v>
        <stp/>
        <stp>P</stp>
        <stp>0</stp>
        <stp>STK</stp>
        <stp>N005070</stp>
        <stp>시가</stp>
        <stp/>
        <stp/>
        <tr r="O252" s="1"/>
        <tr r="O195" s="3"/>
      </tp>
      <tp>
        <v>292000</v>
        <stp/>
        <stp>P</stp>
        <stp>0</stp>
        <stp>STK</stp>
        <stp>N004170</stp>
        <stp>시가</stp>
        <stp/>
        <stp/>
        <tr r="O136" s="3"/>
        <tr r="O160" s="1"/>
      </tp>
      <tp>
        <v>410000</v>
        <stp/>
        <stp>P</stp>
        <stp>0</stp>
        <stp>STK</stp>
        <stp>N004370</stp>
        <stp>시가</stp>
        <stp/>
        <stp/>
        <tr r="O179" s="1"/>
        <tr r="O149" s="3"/>
      </tp>
      <tp>
        <v>21400</v>
        <stp/>
        <stp>P</stp>
        <stp>0</stp>
        <stp>STK</stp>
        <stp>N007070</stp>
        <stp>시가</stp>
        <stp/>
        <stp/>
        <tr r="O232" s="1"/>
        <tr r="O183" s="3"/>
      </tp>
      <tp>
        <v>11120</v>
        <stp/>
        <stp>P</stp>
        <stp>0</stp>
        <stp>STK</stp>
        <stp>N206650</stp>
        <stp>시가</stp>
        <stp/>
        <stp/>
        <tr r="O531" s="1"/>
      </tp>
      <tp>
        <v>21450</v>
        <stp/>
        <stp>P</stp>
        <stp>0</stp>
        <stp>STK</stp>
        <stp>N007070</stp>
        <stp>고가</stp>
        <stp/>
        <stp/>
        <tr r="P183" s="3"/>
        <tr r="P232" s="1"/>
      </tp>
      <tp>
        <v>11230</v>
        <stp/>
        <stp>P</stp>
        <stp>0</stp>
        <stp>STK</stp>
        <stp>N206650</stp>
        <stp>고가</stp>
        <stp/>
        <stp/>
        <tr r="P531" s="1"/>
      </tp>
      <tp>
        <v>53700</v>
        <stp/>
        <stp>P</stp>
        <stp>0</stp>
        <stp>STK</stp>
        <stp>N005070</stp>
        <stp>고가</stp>
        <stp/>
        <stp/>
        <tr r="P195" s="3"/>
        <tr r="P252" s="1"/>
      </tp>
      <tp>
        <v>134900</v>
        <stp/>
        <stp>P</stp>
        <stp>0</stp>
        <stp>STK</stp>
        <stp>N105560</stp>
        <stp>고가</stp>
        <stp/>
        <stp/>
        <tr r="P16" s="3"/>
        <tr r="P16" s="1"/>
      </tp>
      <tp>
        <v>292000</v>
        <stp/>
        <stp>P</stp>
        <stp>0</stp>
        <stp>STK</stp>
        <stp>N004170</stp>
        <stp>고가</stp>
        <stp/>
        <stp/>
        <tr r="P136" s="3"/>
        <tr r="P160" s="1"/>
      </tp>
      <tp>
        <v>417000</v>
        <stp/>
        <stp>P</stp>
        <stp>0</stp>
        <stp>STK</stp>
        <stp>N004370</stp>
        <stp>고가</stp>
        <stp/>
        <stp/>
        <tr r="P179" s="1"/>
        <tr r="P149" s="3"/>
      </tp>
      <tp>
        <v>50400</v>
        <stp/>
        <stp>P</stp>
        <stp>0</stp>
        <stp>STK</stp>
        <stp>N003570</stp>
        <stp>고가</stp>
        <stp/>
        <stp/>
        <tr r="P186" s="3"/>
        <tr r="P234" s="1"/>
      </tp>
      <tp>
        <v>225500</v>
        <stp/>
        <stp>P</stp>
        <stp>0</stp>
        <stp>STK</stp>
        <stp>N003670</stp>
        <stp>고가</stp>
        <stp/>
        <stp/>
        <tr r="P46" s="1"/>
        <tr r="P43" s="3"/>
      </tp>
      <tp>
        <v>22300</v>
        <stp/>
        <stp>P</stp>
        <stp>0</stp>
        <stp>STK</stp>
        <stp>N402030</stp>
        <stp>고가</stp>
        <stp/>
        <stp/>
        <tr r="P641" s="1"/>
      </tp>
      <tp>
        <v>49550</v>
        <stp/>
        <stp>P</stp>
        <stp>0</stp>
        <stp>STK</stp>
        <stp>N302440</stp>
        <stp>고가</stp>
        <stp/>
        <stp/>
        <tr r="P131" s="1"/>
        <tr r="P116" s="3"/>
      </tp>
      <tp>
        <v>22950</v>
        <stp/>
        <stp>P</stp>
        <stp>0</stp>
        <stp>STK</stp>
        <stp>N101160</stp>
        <stp>고가</stp>
        <stp/>
        <stp/>
        <tr r="P558" s="1"/>
      </tp>
      <tp>
        <v>19890</v>
        <stp/>
        <stp>P</stp>
        <stp>0</stp>
        <stp>STK</stp>
        <stp>N101360</stp>
        <stp>고가</stp>
        <stp/>
        <stp/>
        <tr r="P597" s="1"/>
      </tp>
      <tp>
        <v>67000</v>
        <stp/>
        <stp>P</stp>
        <stp>0</stp>
        <stp>STK</stp>
        <stp>N001270</stp>
        <stp>고가</stp>
        <stp/>
        <stp/>
        <tr r="P274" s="3"/>
        <tr r="P412" s="1"/>
      </tp>
      <tp>
        <v>60000</v>
        <stp/>
        <stp>P</stp>
        <stp>0</stp>
        <stp>STK</stp>
        <stp>N000070</stp>
        <stp>고가</stp>
        <stp/>
        <stp/>
        <tr r="P502" s="1"/>
        <tr r="P311" s="3"/>
      </tp>
      <tp>
        <v>167700</v>
        <stp/>
        <stp>P</stp>
        <stp>0</stp>
        <stp>STK</stp>
        <stp>N000270</stp>
        <stp>고가</stp>
        <stp/>
        <stp/>
        <tr r="P11" s="1"/>
        <tr r="P12" s="3"/>
      </tp>
      <tp>
        <v>55500</v>
        <stp/>
        <stp>P</stp>
        <stp>0</stp>
        <stp>STK</stp>
        <stp>N000670</stp>
        <stp>고가</stp>
        <stp/>
        <stp/>
        <tr r="P231" s="3"/>
        <tr r="P321" s="1"/>
      </tp>
      <tp>
        <v>195000</v>
        <stp/>
        <stp>P</stp>
        <stp>0</stp>
        <stp>STK</stp>
        <stp>N009970</stp>
        <stp>고가</stp>
        <stp/>
        <stp/>
        <tr r="P138" s="3"/>
        <tr r="P173" s="1"/>
      </tp>
      <tp>
        <v>12210</v>
        <stp/>
        <stp>P</stp>
        <stp>0</stp>
        <stp>STK</stp>
        <stp>N108860</stp>
        <stp>고가</stp>
        <stp/>
        <stp/>
        <tr r="P600" s="1"/>
      </tp>
      <tp>
        <v>45750</v>
        <stp/>
        <stp>P</stp>
        <stp>0</stp>
        <stp>STK</stp>
        <stp>N008770</stp>
        <stp>고가</stp>
        <stp/>
        <stp/>
        <tr r="P179" s="3"/>
        <tr r="P226" s="1"/>
      </tp>
      <tp>
        <v>37800</v>
        <stp/>
        <stp>P</stp>
        <stp>0</stp>
        <stp>STK</stp>
        <stp>N419530</stp>
        <stp>시가</stp>
        <stp/>
        <stp/>
        <tr r="O577" s="1"/>
      </tp>
      <tp>
        <v>12430</v>
        <stp/>
        <stp>P</stp>
        <stp>0</stp>
        <stp>STK</stp>
        <stp>N019170</stp>
        <stp>시가</stp>
        <stp/>
        <stp/>
        <tr r="O408" s="1"/>
        <tr r="O269" s="3"/>
      </tp>
      <tp>
        <v>230500</v>
        <stp/>
        <stp>P</stp>
        <stp>0</stp>
        <stp>STK</stp>
        <stp>N018670</stp>
        <stp>시가</stp>
        <stp/>
        <stp/>
        <tr r="O206" s="1"/>
        <tr r="O167" s="3"/>
      </tp>
      <tp>
        <v>77200</v>
        <stp/>
        <stp>P</stp>
        <stp>0</stp>
        <stp>STK</stp>
        <stp>N011170</stp>
        <stp>저가</stp>
        <stp/>
        <stp/>
        <tr r="Q126" s="3"/>
        <tr r="Q149" s="1"/>
      </tp>
      <tp>
        <v>282500</v>
        <stp/>
        <stp>P</stp>
        <stp>0</stp>
        <stp>STK</stp>
        <stp>N011070</stp>
        <stp>저가</stp>
        <stp/>
        <stp/>
        <tr r="Q94" s="1"/>
        <tr r="Q88" s="3"/>
      </tp>
      <tp>
        <v>13190</v>
        <stp/>
        <stp>P</stp>
        <stp>0</stp>
        <stp>STK</stp>
        <stp>N211050</stp>
        <stp>저가</stp>
        <stp/>
        <stp/>
        <tr r="Q421" s="1"/>
      </tp>
      <tp>
        <v>61300</v>
        <stp/>
        <stp>P</stp>
        <stp>0</stp>
        <stp>STK</stp>
        <stp>N017670</stp>
        <stp>저가</stp>
        <stp/>
        <stp/>
        <tr r="Q63" s="1"/>
        <tr r="Q61" s="3"/>
      </tp>
      <tp>
        <v>28950</v>
        <stp/>
        <stp>P</stp>
        <stp>0</stp>
        <stp>STK</stp>
        <stp>N316140</stp>
        <stp>저가</stp>
        <stp/>
        <stp/>
        <tr r="Q38" s="3"/>
        <tr r="Q40" s="1"/>
      </tp>
      <tp>
        <v>59600</v>
        <stp/>
        <stp>P</stp>
        <stp>0</stp>
        <stp>STK</stp>
        <stp>N214150</stp>
        <stp>저가</stp>
        <stp/>
        <stp/>
        <tr r="Q129" s="1"/>
      </tp>
      <tp>
        <v>463500</v>
        <stp/>
        <stp>P</stp>
        <stp>0</stp>
        <stp>STK</stp>
        <stp>N214450</stp>
        <stp>저가</stp>
        <stp/>
        <stp/>
        <tr r="Q117" s="1"/>
      </tp>
      <tp>
        <v>77200</v>
        <stp/>
        <stp>P</stp>
        <stp>0</stp>
        <stp>STK</stp>
        <stp>N011170</stp>
        <stp>시가</stp>
        <stp/>
        <stp/>
        <tr r="O149" s="1"/>
        <tr r="O126" s="3"/>
      </tp>
      <tp>
        <v>285000</v>
        <stp/>
        <stp>P</stp>
        <stp>0</stp>
        <stp>STK</stp>
        <stp>N011070</stp>
        <stp>시가</stp>
        <stp/>
        <stp/>
        <tr r="O88" s="3"/>
        <tr r="O94" s="1"/>
      </tp>
      <tp>
        <v>13210</v>
        <stp/>
        <stp>P</stp>
        <stp>0</stp>
        <stp>STK</stp>
        <stp>N211050</stp>
        <stp>시가</stp>
        <stp/>
        <stp/>
        <tr r="O421" s="1"/>
      </tp>
      <tp>
        <v>12250</v>
        <stp/>
        <stp>P</stp>
        <stp>0</stp>
        <stp>STK</stp>
        <stp>N019170</stp>
        <stp>저가</stp>
        <stp/>
        <stp/>
        <tr r="Q408" s="1"/>
        <tr r="Q269" s="3"/>
      </tp>
      <tp>
        <v>37050</v>
        <stp/>
        <stp>P</stp>
        <stp>0</stp>
        <stp>STK</stp>
        <stp>N419530</stp>
        <stp>저가</stp>
        <stp/>
        <stp/>
        <tr r="Q577" s="1"/>
      </tp>
      <tp>
        <v>229000</v>
        <stp/>
        <stp>P</stp>
        <stp>0</stp>
        <stp>STK</stp>
        <stp>N018670</stp>
        <stp>저가</stp>
        <stp/>
        <stp/>
        <tr r="Q206" s="1"/>
        <tr r="Q167" s="3"/>
      </tp>
      <tp>
        <v>473000</v>
        <stp/>
        <stp>P</stp>
        <stp>0</stp>
        <stp>STK</stp>
        <stp>N214450</stp>
        <stp>시가</stp>
        <stp/>
        <stp/>
        <tr r="O117" s="1"/>
      </tp>
      <tp>
        <v>60900</v>
        <stp/>
        <stp>P</stp>
        <stp>0</stp>
        <stp>STK</stp>
        <stp>N214150</stp>
        <stp>시가</stp>
        <stp/>
        <stp/>
        <tr r="O129" s="1"/>
      </tp>
      <tp>
        <v>61900</v>
        <stp/>
        <stp>P</stp>
        <stp>0</stp>
        <stp>STK</stp>
        <stp>N017670</stp>
        <stp>시가</stp>
        <stp/>
        <stp/>
        <tr r="O61" s="3"/>
        <tr r="O63" s="1"/>
      </tp>
      <tp>
        <v>29200</v>
        <stp/>
        <stp>P</stp>
        <stp>0</stp>
        <stp>STK</stp>
        <stp>N316140</stp>
        <stp>시가</stp>
        <stp/>
        <stp/>
        <tr r="O40" s="1"/>
        <tr r="O38" s="3"/>
      </tp>
      <tp>
        <v>63400</v>
        <stp/>
        <stp>P</stp>
        <stp>0</stp>
        <stp>STK</stp>
        <stp>N017670</stp>
        <stp>고가</stp>
        <stp/>
        <stp/>
        <tr r="P61" s="3"/>
        <tr r="P63" s="1"/>
      </tp>
      <tp>
        <v>29200</v>
        <stp/>
        <stp>P</stp>
        <stp>0</stp>
        <stp>STK</stp>
        <stp>N316140</stp>
        <stp>고가</stp>
        <stp/>
        <stp/>
        <tr r="P38" s="3"/>
        <tr r="P40" s="1"/>
      </tp>
      <tp>
        <v>61000</v>
        <stp/>
        <stp>P</stp>
        <stp>0</stp>
        <stp>STK</stp>
        <stp>N214150</stp>
        <stp>고가</stp>
        <stp/>
        <stp/>
        <tr r="P129" s="1"/>
      </tp>
      <tp>
        <v>477500</v>
        <stp/>
        <stp>P</stp>
        <stp>0</stp>
        <stp>STK</stp>
        <stp>N214450</stp>
        <stp>고가</stp>
        <stp/>
        <stp/>
        <tr r="P117" s="1"/>
      </tp>
      <tp>
        <v>80000</v>
        <stp/>
        <stp>P</stp>
        <stp>0</stp>
        <stp>STK</stp>
        <stp>N011170</stp>
        <stp>고가</stp>
        <stp/>
        <stp/>
        <tr r="P126" s="3"/>
        <tr r="P149" s="1"/>
      </tp>
      <tp>
        <v>287000</v>
        <stp/>
        <stp>P</stp>
        <stp>0</stp>
        <stp>STK</stp>
        <stp>N011070</stp>
        <stp>고가</stp>
        <stp/>
        <stp/>
        <tr r="P88" s="3"/>
        <tr r="P94" s="1"/>
      </tp>
      <tp>
        <v>13220</v>
        <stp/>
        <stp>P</stp>
        <stp>0</stp>
        <stp>STK</stp>
        <stp>N211050</stp>
        <stp>고가</stp>
        <stp/>
        <stp/>
        <tr r="P421" s="1"/>
      </tp>
      <tp>
        <v>12430</v>
        <stp/>
        <stp>P</stp>
        <stp>0</stp>
        <stp>STK</stp>
        <stp>N019170</stp>
        <stp>고가</stp>
        <stp/>
        <stp/>
        <tr r="P269" s="3"/>
        <tr r="P408" s="1"/>
      </tp>
      <tp>
        <v>37900</v>
        <stp/>
        <stp>P</stp>
        <stp>0</stp>
        <stp>STK</stp>
        <stp>N419530</stp>
        <stp>고가</stp>
        <stp/>
        <stp/>
        <tr r="P577" s="1"/>
      </tp>
      <tp>
        <v>230500</v>
        <stp/>
        <stp>P</stp>
        <stp>0</stp>
        <stp>STK</stp>
        <stp>N018670</stp>
        <stp>고가</stp>
        <stp/>
        <stp/>
        <tr r="P206" s="1"/>
        <tr r="P167" s="3"/>
      </tp>
      <tp>
        <v>4500</v>
        <stp/>
        <stp>P</stp>
        <stp>0</stp>
        <stp>STK</stp>
        <stp>N028670</stp>
        <stp>시가</stp>
        <stp/>
        <stp/>
        <tr r="O157" s="3"/>
        <tr r="O188" s="1"/>
      </tp>
      <tp>
        <v>117700</v>
        <stp/>
        <stp>P</stp>
        <stp>0</stp>
        <stp>STK</stp>
        <stp>N226950</stp>
        <stp>저가</stp>
        <stp/>
        <stp/>
        <tr r="Q186" s="1"/>
      </tp>
      <tp>
        <v>7650</v>
        <stp/>
        <stp>P</stp>
        <stp>0</stp>
        <stp>STK</stp>
        <stp>N025770</stp>
        <stp>저가</stp>
        <stp/>
        <stp/>
        <tr r="Q633" s="1"/>
      </tp>
      <tp>
        <v>4370</v>
        <stp/>
        <stp>P</stp>
        <stp>0</stp>
        <stp>STK</stp>
        <stp>N028670</stp>
        <stp>저가</stp>
        <stp/>
        <stp/>
        <tr r="Q188" s="1"/>
        <tr r="Q157" s="3"/>
      </tp>
      <tp>
        <v>7650</v>
        <stp/>
        <stp>P</stp>
        <stp>0</stp>
        <stp>STK</stp>
        <stp>N025770</stp>
        <stp>시가</stp>
        <stp/>
        <stp/>
        <tr r="O633" s="1"/>
      </tp>
      <tp>
        <v>118800</v>
        <stp/>
        <stp>P</stp>
        <stp>0</stp>
        <stp>STK</stp>
        <stp>N226950</stp>
        <stp>시가</stp>
        <stp/>
        <stp/>
        <tr r="O186" s="1"/>
      </tp>
      <tp>
        <v>120300</v>
        <stp/>
        <stp>P</stp>
        <stp>0</stp>
        <stp>STK</stp>
        <stp>N226950</stp>
        <stp>고가</stp>
        <stp/>
        <stp/>
        <tr r="P186" s="1"/>
      </tp>
      <tp>
        <v>7700</v>
        <stp/>
        <stp>P</stp>
        <stp>0</stp>
        <stp>STK</stp>
        <stp>N025770</stp>
        <stp>고가</stp>
        <stp/>
        <stp/>
        <tr r="P633" s="1"/>
      </tp>
      <tp>
        <v>4535</v>
        <stp/>
        <stp>P</stp>
        <stp>0</stp>
        <stp>STK</stp>
        <stp>N028670</stp>
        <stp>고가</stp>
        <stp/>
        <stp/>
        <tr r="P157" s="3"/>
        <tr r="P188" s="1"/>
      </tp>
      <tp>
        <v>18350</v>
        <stp/>
        <stp>P</stp>
        <stp>0</stp>
        <stp>STK</stp>
        <stp>N033270</stp>
        <stp>저가</stp>
        <stp/>
        <stp/>
        <tr r="Q625" s="1"/>
        <tr r="Q356" s="3"/>
      </tp>
      <tp>
        <v>22950</v>
        <stp/>
        <stp>P</stp>
        <stp>0</stp>
        <stp>STK</stp>
        <stp>N338840</stp>
        <stp>시가</stp>
        <stp/>
        <stp/>
        <tr r="O580" s="1"/>
      </tp>
      <tp>
        <v>12100</v>
        <stp/>
        <stp>P</stp>
        <stp>0</stp>
        <stp>STK</stp>
        <stp>N130660</stp>
        <stp>저가</stp>
        <stp/>
        <stp/>
        <tr r="Q321" s="3"/>
        <tr r="Q518" s="1"/>
      </tp>
      <tp>
        <v>65100</v>
        <stp/>
        <stp>P</stp>
        <stp>0</stp>
        <stp>STK</stp>
        <stp>N437730</stp>
        <stp>저가</stp>
        <stp/>
        <stp/>
        <tr r="Q192" s="1"/>
      </tp>
      <tp>
        <v>229000</v>
        <stp/>
        <stp>P</stp>
        <stp>0</stp>
        <stp>STK</stp>
        <stp>N036570</stp>
        <stp>저가</stp>
        <stp/>
        <stp/>
        <tr r="Q111" s="1"/>
        <tr r="Q100" s="3"/>
      </tp>
      <tp>
        <v>12260</v>
        <stp/>
        <stp>P</stp>
        <stp>0</stp>
        <stp>STK</stp>
        <stp>N130660</stp>
        <stp>시가</stp>
        <stp/>
        <stp/>
        <tr r="O321" s="3"/>
        <tr r="O518" s="1"/>
      </tp>
      <tp>
        <v>18370</v>
        <stp/>
        <stp>P</stp>
        <stp>0</stp>
        <stp>STK</stp>
        <stp>N033270</stp>
        <stp>시가</stp>
        <stp/>
        <stp/>
        <tr r="O625" s="1"/>
        <tr r="O356" s="3"/>
      </tp>
      <tp>
        <v>22000</v>
        <stp/>
        <stp>P</stp>
        <stp>0</stp>
        <stp>STK</stp>
        <stp>N338840</stp>
        <stp>저가</stp>
        <stp/>
        <stp/>
        <tr r="Q580" s="1"/>
      </tp>
      <tp>
        <v>67400</v>
        <stp/>
        <stp>P</stp>
        <stp>0</stp>
        <stp>STK</stp>
        <stp>N437730</stp>
        <stp>시가</stp>
        <stp/>
        <stp/>
        <tr r="O192" s="1"/>
      </tp>
      <tp>
        <v>230000</v>
        <stp/>
        <stp>P</stp>
        <stp>0</stp>
        <stp>STK</stp>
        <stp>N036570</stp>
        <stp>시가</stp>
        <stp/>
        <stp/>
        <tr r="O100" s="3"/>
        <tr r="O111" s="1"/>
      </tp>
      <tp>
        <v>68200</v>
        <stp/>
        <stp>P</stp>
        <stp>0</stp>
        <stp>STK</stp>
        <stp>N437730</stp>
        <stp>고가</stp>
        <stp/>
        <stp/>
        <tr r="P192" s="1"/>
      </tp>
      <tp>
        <v>232000</v>
        <stp/>
        <stp>P</stp>
        <stp>0</stp>
        <stp>STK</stp>
        <stp>N036570</stp>
        <stp>고가</stp>
        <stp/>
        <stp/>
        <tr r="P100" s="3"/>
        <tr r="P111" s="1"/>
      </tp>
      <tp>
        <v>18610</v>
        <stp/>
        <stp>P</stp>
        <stp>0</stp>
        <stp>STK</stp>
        <stp>N033270</stp>
        <stp>고가</stp>
        <stp/>
        <stp/>
        <tr r="P625" s="1"/>
        <tr r="P356" s="3"/>
      </tp>
      <tp>
        <v>12370</v>
        <stp/>
        <stp>P</stp>
        <stp>0</stp>
        <stp>STK</stp>
        <stp>N130660</stp>
        <stp>고가</stp>
        <stp/>
        <stp/>
        <tr r="P518" s="1"/>
        <tr r="P321" s="3"/>
      </tp>
      <tp>
        <v>22950</v>
        <stp/>
        <stp>P</stp>
        <stp>0</stp>
        <stp>STK</stp>
        <stp>N338840</stp>
        <stp>고가</stp>
        <stp/>
        <stp/>
        <tr r="P580" s="1"/>
      </tp>
      <tp>
        <v>23250</v>
        <stp/>
        <stp>P</stp>
        <stp>0</stp>
        <stp>STK</stp>
        <stp>N049070</stp>
        <stp>시가</stp>
        <stp/>
        <stp/>
        <tr r="O519" s="1"/>
      </tp>
      <tp>
        <v>12000</v>
        <stp/>
        <stp>P</stp>
        <stp>0</stp>
        <stp>STK</stp>
        <stp>N043370</stp>
        <stp>저가</stp>
        <stp/>
        <stp/>
        <tr r="Q650" s="1"/>
      </tp>
      <tp>
        <v>232000</v>
        <stp/>
        <stp>P</stp>
        <stp>0</stp>
        <stp>STK</stp>
        <stp>N140860</stp>
        <stp>저가</stp>
        <stp/>
        <stp/>
        <tr r="Q238" s="1"/>
      </tp>
      <tp>
        <v>235500</v>
        <stp/>
        <stp>P</stp>
        <stp>0</stp>
        <stp>STK</stp>
        <stp>N140860</stp>
        <stp>시가</stp>
        <stp/>
        <stp/>
        <tr r="O238" s="1"/>
      </tp>
      <tp>
        <v>12300</v>
        <stp/>
        <stp>P</stp>
        <stp>0</stp>
        <stp>STK</stp>
        <stp>N043370</stp>
        <stp>시가</stp>
        <stp/>
        <stp/>
        <tr r="O650" s="1"/>
      </tp>
      <tp>
        <v>22200</v>
        <stp/>
        <stp>P</stp>
        <stp>0</stp>
        <stp>STK</stp>
        <stp>N049070</stp>
        <stp>저가</stp>
        <stp/>
        <stp/>
        <tr r="Q519" s="1"/>
      </tp>
      <tp>
        <v>12300</v>
        <stp/>
        <stp>P</stp>
        <stp>0</stp>
        <stp>STK</stp>
        <stp>N043370</stp>
        <stp>고가</stp>
        <stp/>
        <stp/>
        <tr r="P650" s="1"/>
      </tp>
      <tp>
        <v>235500</v>
        <stp/>
        <stp>P</stp>
        <stp>0</stp>
        <stp>STK</stp>
        <stp>N140860</stp>
        <stp>고가</stp>
        <stp/>
        <stp/>
        <tr r="P238" s="1"/>
      </tp>
      <tp>
        <v>23400</v>
        <stp/>
        <stp>P</stp>
        <stp>0</stp>
        <stp>STK</stp>
        <stp>N049070</stp>
        <stp>고가</stp>
        <stp/>
        <stp/>
        <tr r="P519" s="1"/>
      </tp>
      <tp>
        <v>44950</v>
        <stp/>
        <stp>P</stp>
        <stp>0</stp>
        <stp>STK</stp>
        <stp>N253450</stp>
        <stp>저가</stp>
        <stp/>
        <stp/>
        <tr r="Q261" s="1"/>
      </tp>
      <tp>
        <v>65700</v>
        <stp/>
        <stp>P</stp>
        <stp>0</stp>
        <stp>STK</stp>
        <stp>N058470</stp>
        <stp>시가</stp>
        <stp/>
        <stp/>
        <tr r="O109" s="1"/>
      </tp>
      <tp>
        <v>35650</v>
        <stp/>
        <stp>P</stp>
        <stp>0</stp>
        <stp>STK</stp>
        <stp>N058970</stp>
        <stp>시가</stp>
        <stp/>
        <stp/>
        <tr r="O509" s="1"/>
      </tp>
      <tp>
        <v>33850</v>
        <stp/>
        <stp>P</stp>
        <stp>0</stp>
        <stp>STK</stp>
        <stp>N452430</stp>
        <stp>저가</stp>
        <stp/>
        <stp/>
        <tr r="Q658" s="1"/>
      </tp>
      <tp>
        <v>45700</v>
        <stp/>
        <stp>P</stp>
        <stp>0</stp>
        <stp>STK</stp>
        <stp>N253450</stp>
        <stp>시가</stp>
        <stp/>
        <stp/>
        <tr r="O261" s="1"/>
      </tp>
      <tp>
        <v>34500</v>
        <stp/>
        <stp>P</stp>
        <stp>0</stp>
        <stp>STK</stp>
        <stp>N452430</stp>
        <stp>시가</stp>
        <stp/>
        <stp/>
        <tr r="O658" s="1"/>
      </tp>
      <tp>
        <v>35250</v>
        <stp/>
        <stp>P</stp>
        <stp>0</stp>
        <stp>STK</stp>
        <stp>N058970</stp>
        <stp>저가</stp>
        <stp/>
        <stp/>
        <tr r="Q509" s="1"/>
      </tp>
      <tp>
        <v>65100</v>
        <stp/>
        <stp>P</stp>
        <stp>0</stp>
        <stp>STK</stp>
        <stp>N058470</stp>
        <stp>저가</stp>
        <stp/>
        <stp/>
        <tr r="Q109" s="1"/>
      </tp>
      <tp>
        <v>45750</v>
        <stp/>
        <stp>P</stp>
        <stp>0</stp>
        <stp>STK</stp>
        <stp>N253450</stp>
        <stp>고가</stp>
        <stp/>
        <stp/>
        <tr r="P261" s="1"/>
      </tp>
      <tp>
        <v>34700</v>
        <stp/>
        <stp>P</stp>
        <stp>0</stp>
        <stp>STK</stp>
        <stp>N452430</stp>
        <stp>고가</stp>
        <stp/>
        <stp/>
        <tr r="P658" s="1"/>
      </tp>
      <tp>
        <v>35850</v>
        <stp/>
        <stp>P</stp>
        <stp>0</stp>
        <stp>STK</stp>
        <stp>N058970</stp>
        <stp>고가</stp>
        <stp/>
        <stp/>
        <tr r="P509" s="1"/>
      </tp>
      <tp>
        <v>66400</v>
        <stp/>
        <stp>P</stp>
        <stp>0</stp>
        <stp>STK</stp>
        <stp>N058470</stp>
        <stp>고가</stp>
        <stp/>
        <stp/>
        <tr r="P109" s="1"/>
      </tp>
      <tp>
        <v>43150</v>
        <stp/>
        <stp>P</stp>
        <stp>0</stp>
        <stp>STK</stp>
        <stp>N263750</stp>
        <stp>저가</stp>
        <stp/>
        <stp/>
        <tr r="Q162" s="1"/>
      </tp>
      <tp>
        <v>78300</v>
        <stp/>
        <stp>P</stp>
        <stp>0</stp>
        <stp>STK</stp>
        <stp>N468530</stp>
        <stp>시가</stp>
        <stp/>
        <stp/>
        <tr r="O337" s="1"/>
      </tp>
      <tp>
        <v>15670</v>
        <stp/>
        <stp>P</stp>
        <stp>0</stp>
        <stp>STK</stp>
        <stp>N168360</stp>
        <stp>시가</stp>
        <stp/>
        <stp/>
        <tr r="O582" s="1"/>
      </tp>
      <tp>
        <v>210000</v>
        <stp/>
        <stp>P</stp>
        <stp>0</stp>
        <stp>STK</stp>
        <stp>N068270</stp>
        <stp>시가</stp>
        <stp/>
        <stp/>
        <tr r="O18" s="1"/>
        <tr r="O18" s="3"/>
      </tp>
      <tp>
        <v>18460</v>
        <stp/>
        <stp>P</stp>
        <stp>0</stp>
        <stp>STK</stp>
        <stp>N460930</stp>
        <stp>저가</stp>
        <stp/>
        <stp/>
        <tr r="Q396" s="1"/>
      </tp>
      <tp>
        <v>27100</v>
        <stp/>
        <stp>P</stp>
        <stp>0</stp>
        <stp>STK</stp>
        <stp>N060370</stp>
        <stp>저가</stp>
        <stp/>
        <stp/>
        <tr r="Q253" s="1"/>
      </tp>
      <tp>
        <v>243000</v>
        <stp/>
        <stp>P</stp>
        <stp>0</stp>
        <stp>STK</stp>
        <stp>N267250</stp>
        <stp>저가</stp>
        <stp/>
        <stp/>
        <tr r="Q41" s="1"/>
        <tr r="Q41" s="3"/>
      </tp>
      <tp>
        <v>124600</v>
        <stp/>
        <stp>P</stp>
        <stp>0</stp>
        <stp>STK</stp>
        <stp>N066970</stp>
        <stp>저가</stp>
        <stp/>
        <stp/>
        <tr r="Q115" s="1"/>
        <tr r="Q102" s="3"/>
      </tp>
      <tp>
        <v>106000</v>
        <stp/>
        <stp>P</stp>
        <stp>0</stp>
        <stp>STK</stp>
        <stp>N066570</stp>
        <stp>저가</stp>
        <stp/>
        <stp/>
        <tr r="Q46" s="3"/>
        <tr r="Q45" s="1"/>
      </tp>
      <tp>
        <v>55300</v>
        <stp/>
        <stp>P</stp>
        <stp>0</stp>
        <stp>STK</stp>
        <stp>N365340</stp>
        <stp>저가</stp>
        <stp/>
        <stp/>
        <tr r="Q419" s="1"/>
      </tp>
      <tp>
        <v>27700</v>
        <stp/>
        <stp>P</stp>
        <stp>0</stp>
        <stp>STK</stp>
        <stp>N060370</stp>
        <stp>시가</stp>
        <stp/>
        <stp/>
        <tr r="O253" s="1"/>
      </tp>
      <tp>
        <v>18460</v>
        <stp/>
        <stp>P</stp>
        <stp>0</stp>
        <stp>STK</stp>
        <stp>N460930</stp>
        <stp>시가</stp>
        <stp/>
        <stp/>
        <tr r="O396" s="1"/>
      </tp>
      <tp>
        <v>43300</v>
        <stp/>
        <stp>P</stp>
        <stp>0</stp>
        <stp>STK</stp>
        <stp>N263750</stp>
        <stp>시가</stp>
        <stp/>
        <stp/>
        <tr r="O162" s="1"/>
      </tp>
      <tp>
        <v>15500</v>
        <stp/>
        <stp>P</stp>
        <stp>0</stp>
        <stp>STK</stp>
        <stp>N168360</stp>
        <stp>저가</stp>
        <stp/>
        <stp/>
        <tr r="Q582" s="1"/>
      </tp>
      <tp>
        <v>207500</v>
        <stp/>
        <stp>P</stp>
        <stp>0</stp>
        <stp>STK</stp>
        <stp>N068270</stp>
        <stp>저가</stp>
        <stp/>
        <stp/>
        <tr r="Q18" s="1"/>
        <tr r="Q18" s="3"/>
      </tp>
      <tp>
        <v>78200</v>
        <stp/>
        <stp>P</stp>
        <stp>0</stp>
        <stp>STK</stp>
        <stp>N468530</stp>
        <stp>저가</stp>
        <stp/>
        <stp/>
        <tr r="Q337" s="1"/>
      </tp>
      <tp>
        <v>57300</v>
        <stp/>
        <stp>P</stp>
        <stp>0</stp>
        <stp>STK</stp>
        <stp>N365340</stp>
        <stp>시가</stp>
        <stp/>
        <stp/>
        <tr r="O419" s="1"/>
      </tp>
      <tp>
        <v>245000</v>
        <stp/>
        <stp>P</stp>
        <stp>0</stp>
        <stp>STK</stp>
        <stp>N267250</stp>
        <stp>시가</stp>
        <stp/>
        <stp/>
        <tr r="O41" s="3"/>
        <tr r="O41" s="1"/>
      </tp>
      <tp>
        <v>107400</v>
        <stp/>
        <stp>P</stp>
        <stp>0</stp>
        <stp>STK</stp>
        <stp>N066570</stp>
        <stp>시가</stp>
        <stp/>
        <stp/>
        <tr r="O46" s="3"/>
        <tr r="O45" s="1"/>
      </tp>
      <tp>
        <v>127900</v>
        <stp/>
        <stp>P</stp>
        <stp>0</stp>
        <stp>STK</stp>
        <stp>N066970</stp>
        <stp>시가</stp>
        <stp/>
        <stp/>
        <tr r="O102" s="3"/>
        <tr r="O115" s="1"/>
      </tp>
      <tp>
        <v>248000</v>
        <stp/>
        <stp>P</stp>
        <stp>0</stp>
        <stp>STK</stp>
        <stp>N267250</stp>
        <stp>고가</stp>
        <stp/>
        <stp/>
        <tr r="P41" s="1"/>
        <tr r="P41" s="3"/>
      </tp>
      <tp>
        <v>129700</v>
        <stp/>
        <stp>P</stp>
        <stp>0</stp>
        <stp>STK</stp>
        <stp>N066970</stp>
        <stp>고가</stp>
        <stp/>
        <stp/>
        <tr r="P115" s="1"/>
        <tr r="P102" s="3"/>
      </tp>
      <tp>
        <v>107900</v>
        <stp/>
        <stp>P</stp>
        <stp>0</stp>
        <stp>STK</stp>
        <stp>N066570</stp>
        <stp>고가</stp>
        <stp/>
        <stp/>
        <tr r="P46" s="3"/>
        <tr r="P45" s="1"/>
      </tp>
      <tp>
        <v>58200</v>
        <stp/>
        <stp>P</stp>
        <stp>0</stp>
        <stp>STK</stp>
        <stp>N365340</stp>
        <stp>고가</stp>
        <stp/>
        <stp/>
        <tr r="P419" s="1"/>
      </tp>
      <tp>
        <v>43800</v>
        <stp/>
        <stp>P</stp>
        <stp>0</stp>
        <stp>STK</stp>
        <stp>N263750</stp>
        <stp>고가</stp>
        <stp/>
        <stp/>
        <tr r="P162" s="1"/>
      </tp>
      <tp>
        <v>18610</v>
        <stp/>
        <stp>P</stp>
        <stp>0</stp>
        <stp>STK</stp>
        <stp>N460930</stp>
        <stp>고가</stp>
        <stp/>
        <stp/>
        <tr r="P396" s="1"/>
      </tp>
      <tp>
        <v>27700</v>
        <stp/>
        <stp>P</stp>
        <stp>0</stp>
        <stp>STK</stp>
        <stp>N060370</stp>
        <stp>고가</stp>
        <stp/>
        <stp/>
        <tr r="P253" s="1"/>
      </tp>
      <tp>
        <v>15780</v>
        <stp/>
        <stp>P</stp>
        <stp>0</stp>
        <stp>STK</stp>
        <stp>N168360</stp>
        <stp>고가</stp>
        <stp/>
        <stp/>
        <tr r="P582" s="1"/>
      </tp>
      <tp>
        <v>210000</v>
        <stp/>
        <stp>P</stp>
        <stp>0</stp>
        <stp>STK</stp>
        <stp>N068270</stp>
        <stp>고가</stp>
        <stp/>
        <stp/>
        <tr r="P18" s="1"/>
        <tr r="P18" s="3"/>
      </tp>
      <tp>
        <v>79700</v>
        <stp/>
        <stp>P</stp>
        <stp>0</stp>
        <stp>STK</stp>
        <stp>N468530</stp>
        <stp>고가</stp>
        <stp/>
        <stp/>
        <tr r="P337" s="1"/>
      </tp>
      <tp>
        <v>15390</v>
        <stp/>
        <stp>P</stp>
        <stp>0</stp>
        <stp>STK</stp>
        <stp>N079370</stp>
        <stp>시가</stp>
        <stp/>
        <stp/>
        <tr r="O487" s="1"/>
      </tp>
      <tp>
        <v>16350</v>
        <stp/>
        <stp>P</stp>
        <stp>0</stp>
        <stp>STK</stp>
        <stp>N378340</stp>
        <stp>시가</stp>
        <stp/>
        <stp/>
        <tr r="O648" s="1"/>
      </tp>
      <tp>
        <v>90500</v>
        <stp/>
        <stp>P</stp>
        <stp>0</stp>
        <stp>STK</stp>
        <stp>N071970</stp>
        <stp>저가</stp>
        <stp/>
        <stp/>
        <tr r="Q130" s="3"/>
        <tr r="Q148" s="1"/>
      </tp>
      <tp>
        <v>36900</v>
        <stp/>
        <stp>P</stp>
        <stp>0</stp>
        <stp>STK</stp>
        <stp>N077970</stp>
        <stp>저가</stp>
        <stp/>
        <stp/>
        <tr r="Q197" s="3"/>
        <tr r="Q246" s="1"/>
      </tp>
      <tp>
        <v>138500</v>
        <stp/>
        <stp>P</stp>
        <stp>0</stp>
        <stp>STK</stp>
        <stp>N476830</stp>
        <stp>저가</stp>
        <stp/>
        <stp/>
        <tr r="Q209" s="1"/>
      </tp>
      <tp>
        <v>105400</v>
        <stp/>
        <stp>P</stp>
        <stp>0</stp>
        <stp>STK</stp>
        <stp>N475830</stp>
        <stp>저가</stp>
        <stp/>
        <stp/>
        <tr r="Q197" s="1"/>
      </tp>
      <tp>
        <v>90700</v>
        <stp/>
        <stp>P</stp>
        <stp>0</stp>
        <stp>STK</stp>
        <stp>N071970</stp>
        <stp>시가</stp>
        <stp/>
        <stp/>
        <tr r="O148" s="1"/>
        <tr r="O130" s="3"/>
      </tp>
      <tp>
        <v>15320</v>
        <stp/>
        <stp>P</stp>
        <stp>0</stp>
        <stp>STK</stp>
        <stp>N079370</stp>
        <stp>저가</stp>
        <stp/>
        <stp/>
        <tr r="Q487" s="1"/>
      </tp>
      <tp>
        <v>15920</v>
        <stp/>
        <stp>P</stp>
        <stp>0</stp>
        <stp>STK</stp>
        <stp>N378340</stp>
        <stp>저가</stp>
        <stp/>
        <stp/>
        <tr r="Q648" s="1"/>
      </tp>
      <tp>
        <v>107200</v>
        <stp/>
        <stp>P</stp>
        <stp>0</stp>
        <stp>STK</stp>
        <stp>N475830</stp>
        <stp>시가</stp>
        <stp/>
        <stp/>
        <tr r="O197" s="1"/>
      </tp>
      <tp>
        <v>37000</v>
        <stp/>
        <stp>P</stp>
        <stp>0</stp>
        <stp>STK</stp>
        <stp>N077970</stp>
        <stp>시가</stp>
        <stp/>
        <stp/>
        <tr r="O197" s="3"/>
        <tr r="O246" s="1"/>
      </tp>
      <tp>
        <v>138700</v>
        <stp/>
        <stp>P</stp>
        <stp>0</stp>
        <stp>STK</stp>
        <stp>N476830</stp>
        <stp>시가</stp>
        <stp/>
        <stp/>
        <tr r="O209" s="1"/>
      </tp>
      <tp>
        <v>37600</v>
        <stp/>
        <stp>P</stp>
        <stp>0</stp>
        <stp>STK</stp>
        <stp>N077970</stp>
        <stp>고가</stp>
        <stp/>
        <stp/>
        <tr r="P197" s="3"/>
        <tr r="P246" s="1"/>
      </tp>
      <tp>
        <v>140400</v>
        <stp/>
        <stp>P</stp>
        <stp>0</stp>
        <stp>STK</stp>
        <stp>N476830</stp>
        <stp>고가</stp>
        <stp/>
        <stp/>
        <tr r="P209" s="1"/>
      </tp>
      <tp>
        <v>108600</v>
        <stp/>
        <stp>P</stp>
        <stp>0</stp>
        <stp>STK</stp>
        <stp>N475830</stp>
        <stp>고가</stp>
        <stp/>
        <stp/>
        <tr r="P197" s="1"/>
      </tp>
      <tp>
        <v>92600</v>
        <stp/>
        <stp>P</stp>
        <stp>0</stp>
        <stp>STK</stp>
        <stp>N071970</stp>
        <stp>고가</stp>
        <stp/>
        <stp/>
        <tr r="P130" s="3"/>
        <tr r="P148" s="1"/>
      </tp>
      <tp>
        <v>15550</v>
        <stp/>
        <stp>P</stp>
        <stp>0</stp>
        <stp>STK</stp>
        <stp>N079370</stp>
        <stp>고가</stp>
        <stp/>
        <stp/>
        <tr r="P487" s="1"/>
      </tp>
      <tp>
        <v>18650</v>
        <stp/>
        <stp>P</stp>
        <stp>0</stp>
        <stp>STK</stp>
        <stp>N378340</stp>
        <stp>고가</stp>
        <stp/>
        <stp/>
        <tr r="P648" s="1"/>
      </tp>
      <tp>
        <v>20850</v>
        <stp/>
        <stp>P</stp>
        <stp>0</stp>
        <stp>STK</stp>
        <stp>179900</stp>
        <stp>현재가</stp>
        <stp/>
        <stp/>
        <tr r="T525" s="1"/>
      </tp>
      <tp>
        <v>54550</v>
        <stp/>
        <stp>P</stp>
        <stp>0</stp>
        <stp>STK</stp>
        <stp>079900</stp>
        <stp>현재가</stp>
        <stp/>
        <stp/>
        <tr r="T382" s="1"/>
      </tp>
      <tp>
        <v>31900</v>
        <stp/>
        <stp>P</stp>
        <stp>0</stp>
        <stp>STK</stp>
        <stp>079940</stp>
        <stp>현재가</stp>
        <stp/>
        <stp/>
        <tr r="T517" s="1"/>
      </tp>
      <tp>
        <v>15320</v>
        <stp/>
        <stp>P</stp>
        <stp>0</stp>
        <stp>STK</stp>
        <stp>079370</stp>
        <stp>현재가</stp>
        <stp/>
        <stp/>
        <tr r="T487" s="1"/>
      </tp>
      <tp>
        <v>535000</v>
        <stp/>
        <stp>P</stp>
        <stp>0</stp>
        <stp>STK</stp>
        <stp>079550</stp>
        <stp>현재가</stp>
        <stp/>
        <stp/>
        <tr r="T66" s="1"/>
        <tr r="T66" s="3"/>
      </tp>
      <tp>
        <v>61200</v>
        <stp/>
        <stp>P</stp>
        <stp>0</stp>
        <stp>STK</stp>
        <stp>078930</stp>
        <stp>현재가</stp>
        <stp/>
        <stp/>
        <tr r="T101" s="3"/>
        <tr r="T101" s="1"/>
      </tp>
      <tp>
        <v>16250</v>
        <stp/>
        <stp>P</stp>
        <stp>0</stp>
        <stp>STK</stp>
        <stp>178920</stp>
        <stp>현재가</stp>
        <stp/>
        <stp/>
        <tr r="T501" s="1"/>
      </tp>
      <tp>
        <v>31400</v>
        <stp/>
        <stp>P</stp>
        <stp>0</stp>
        <stp>STK</stp>
        <stp>178320</stp>
        <stp>현재가</stp>
        <stp/>
        <stp/>
        <tr r="T228" s="1"/>
        <tr r="T228" s="3"/>
      </tp>
      <tp>
        <v>53800</v>
        <stp/>
        <stp>P</stp>
        <stp>0</stp>
        <stp>STK</stp>
        <stp>478340</stp>
        <stp>현재가</stp>
        <stp/>
        <stp/>
        <tr r="T422" s="1"/>
      </tp>
      <tp>
        <v>17910</v>
        <stp/>
        <stp>P</stp>
        <stp>0</stp>
        <stp>STK</stp>
        <stp>378340</stp>
        <stp>현재가</stp>
        <stp/>
        <stp/>
        <tr r="T648" s="1"/>
      </tp>
      <tp>
        <v>22550</v>
        <stp/>
        <stp>P</stp>
        <stp>0</stp>
        <stp>STK</stp>
        <stp>078350</stp>
        <stp>현재가</stp>
        <stp/>
        <stp/>
        <tr r="T566" s="1"/>
      </tp>
      <tp>
        <v>32100</v>
        <stp/>
        <stp>P</stp>
        <stp>0</stp>
        <stp>STK</stp>
        <stp>078340</stp>
        <stp>현재가</stp>
        <stp/>
        <stp/>
        <tr r="T540" s="1"/>
      </tp>
      <tp>
        <v>53200</v>
        <stp/>
        <stp>P</stp>
        <stp>0</stp>
        <stp>STK</stp>
        <stp>278280</stp>
        <stp>현재가</stp>
        <stp/>
        <stp/>
        <tr r="T434" s="1"/>
      </tp>
      <tp>
        <v>15060</v>
        <stp/>
        <stp>P</stp>
        <stp>0</stp>
        <stp>STK</stp>
        <stp>078160</stp>
        <stp>현재가</stp>
        <stp/>
        <stp/>
        <tr r="T435" s="1"/>
      </tp>
      <tp>
        <v>75000</v>
        <stp/>
        <stp>P</stp>
        <stp>0</stp>
        <stp>STK</stp>
        <stp>078600</stp>
        <stp>현재가</stp>
        <stp/>
        <stp/>
        <tr r="T317" s="1"/>
        <tr r="T317" s="3"/>
      </tp>
      <tp>
        <v>10010</v>
        <stp/>
        <stp>P</stp>
        <stp>0</stp>
        <stp>STK</stp>
        <stp>078520</stp>
        <stp>현재가</stp>
        <stp/>
        <stp/>
        <tr r="T670" s="1"/>
      </tp>
      <tp>
        <v>287000</v>
        <stp/>
        <stp>P</stp>
        <stp>0</stp>
        <stp>STK</stp>
        <stp>278470</stp>
        <stp>현재가</stp>
        <stp/>
        <stp/>
        <tr r="T74" s="1"/>
        <tr r="T74" s="3"/>
      </tp>
      <tp>
        <v>44400</v>
        <stp/>
        <stp>P</stp>
        <stp>0</stp>
        <stp>STK</stp>
        <stp>475960</stp>
        <stp>현재가</stp>
        <stp/>
        <stp/>
        <tr r="T428" s="1"/>
      </tp>
      <tp>
        <v>107600</v>
        <stp/>
        <stp>P</stp>
        <stp>0</stp>
        <stp>STK</stp>
        <stp>475830</stp>
        <stp>현재가</stp>
        <stp/>
        <stp/>
        <tr r="T197" s="1"/>
        <tr r="T197" s="3"/>
      </tp>
      <tp>
        <v>24250</v>
        <stp/>
        <stp>P</stp>
        <stp>0</stp>
        <stp>STK</stp>
        <stp>175330</stp>
        <stp>현재가</stp>
        <stp/>
        <stp/>
        <tr r="T118" s="1"/>
        <tr r="T118" s="3"/>
      </tp>
      <tp>
        <v>19890</v>
        <stp/>
        <stp>P</stp>
        <stp>0</stp>
        <stp>STK</stp>
        <stp>475150</stp>
        <stp>현재가</stp>
        <stp/>
        <stp/>
        <tr r="T399" s="1"/>
      </tp>
      <tp>
        <v>19230</v>
        <stp/>
        <stp>P</stp>
        <stp>0</stp>
        <stp>STK</stp>
        <stp>075580</stp>
        <stp>현재가</stp>
        <stp/>
        <stp/>
        <tr r="T296" s="3"/>
        <tr r="T296" s="1"/>
      </tp>
      <tp>
        <v>44300</v>
        <stp/>
        <stp>P</stp>
        <stp>0</stp>
        <stp>STK</stp>
        <stp>375500</stp>
        <stp>현재가</stp>
        <stp/>
        <stp/>
        <tr r="T235" s="1"/>
        <tr r="T235" s="3"/>
      </tp>
      <tp>
        <v>23950</v>
        <stp/>
        <stp>P</stp>
        <stp>0</stp>
        <stp>STK</stp>
        <stp>475560</stp>
        <stp>현재가</stp>
        <stp/>
        <stp/>
        <tr r="T571" s="1"/>
      </tp>
      <tp>
        <v>39150</v>
        <stp/>
        <stp>P</stp>
        <stp>0</stp>
        <stp>STK</stp>
        <stp>475400</stp>
        <stp>현재가</stp>
        <stp/>
        <stp/>
        <tr r="T460" s="1"/>
      </tp>
      <tp>
        <v>23600</v>
        <stp/>
        <stp>P</stp>
        <stp>0</stp>
        <stp>STK</stp>
        <stp>074600</stp>
        <stp>현재가</stp>
        <stp/>
        <stp/>
        <tr r="T405" s="1"/>
      </tp>
      <tp>
        <v>37250</v>
        <stp/>
        <stp>P</stp>
        <stp>0</stp>
        <stp>STK</stp>
        <stp>077970</stp>
        <stp>현재가</stp>
        <stp/>
        <stp/>
        <tr r="T246" s="1"/>
        <tr r="T246" s="3"/>
      </tp>
      <tp>
        <v>498500</v>
        <stp/>
        <stp>P</stp>
        <stp>0</stp>
        <stp>STK</stp>
        <stp>277810</stp>
        <stp>현재가</stp>
        <stp/>
        <stp/>
        <tr r="T71" s="3"/>
        <tr r="T71" s="1"/>
      </tp>
      <tp>
        <v>54300</v>
        <stp/>
        <stp>P</stp>
        <stp>0</stp>
        <stp>STK</stp>
        <stp>377300</stp>
        <stp>현재가</stp>
        <stp/>
        <stp/>
        <tr r="T92" s="3"/>
        <tr r="T92" s="1"/>
      </tp>
      <tp>
        <v>63100</v>
        <stp/>
        <stp>P</stp>
        <stp>0</stp>
        <stp>STK</stp>
        <stp>376900</stp>
        <stp>현재가</stp>
        <stp/>
        <stp/>
        <tr r="T310" s="3"/>
        <tr r="T310" s="1"/>
      </tp>
      <tp>
        <v>140500</v>
        <stp/>
        <stp>P</stp>
        <stp>0</stp>
        <stp>STK</stp>
        <stp>476830</stp>
        <stp>현재가</stp>
        <stp/>
        <stp/>
        <tr r="T209" s="3"/>
        <tr r="T209" s="1"/>
      </tp>
      <tp>
        <v>33200</v>
        <stp/>
        <stp>P</stp>
        <stp>0</stp>
        <stp>STK</stp>
        <stp>376300</stp>
        <stp>현재가</stp>
        <stp/>
        <stp/>
        <tr r="T364" s="1"/>
        <tr r="T364" s="3"/>
      </tp>
      <tp>
        <v>54600</v>
        <stp/>
        <stp>P</stp>
        <stp>0</stp>
        <stp>STK</stp>
        <stp>376270</stp>
        <stp>현재가</stp>
        <stp/>
        <stp/>
        <tr r="T552" s="1"/>
      </tp>
      <tp>
        <v>17820</v>
        <stp/>
        <stp>P</stp>
        <stp>0</stp>
        <stp>STK</stp>
        <stp>476060</stp>
        <stp>현재가</stp>
        <stp/>
        <stp/>
        <tr r="T340" s="3"/>
        <tr r="T340" s="1"/>
      </tp>
      <tp>
        <v>8730</v>
        <stp/>
        <stp>P</stp>
        <stp>0</stp>
        <stp>STK</stp>
        <stp>176750</stp>
        <stp>현재가</stp>
        <stp/>
        <stp/>
        <tr r="T675" s="1"/>
      </tp>
      <tp>
        <v>91400</v>
        <stp/>
        <stp>P</stp>
        <stp>0</stp>
        <stp>STK</stp>
        <stp>071970</stp>
        <stp>현재가</stp>
        <stp/>
        <stp/>
        <tr r="T148" s="3"/>
        <tr r="T148" s="1"/>
      </tp>
      <tp>
        <v>14100</v>
        <stp/>
        <stp>P</stp>
        <stp>0</stp>
        <stp>STK</stp>
        <stp>271940</stp>
        <stp>현재가</stp>
        <stp/>
        <stp/>
        <tr r="T481" s="1"/>
      </tp>
      <tp>
        <v>108400</v>
        <stp/>
        <stp>P</stp>
        <stp>0</stp>
        <stp>STK</stp>
        <stp>071320</stp>
        <stp>현재가</stp>
        <stp/>
        <stp/>
        <tr r="T271" s="3"/>
        <tr r="T271" s="1"/>
      </tp>
      <tp>
        <v>59200</v>
        <stp/>
        <stp>P</stp>
        <stp>0</stp>
        <stp>STK</stp>
        <stp>171090</stp>
        <stp>현재가</stp>
        <stp/>
        <stp/>
        <tr r="T456" s="1"/>
      </tp>
      <tp>
        <v>190800</v>
        <stp/>
        <stp>P</stp>
        <stp>0</stp>
        <stp>STK</stp>
        <stp>071050</stp>
        <stp>현재가</stp>
        <stp/>
        <stp/>
        <tr r="T70" s="3"/>
        <tr r="T70" s="1"/>
      </tp>
      <tp>
        <v>115600</v>
        <stp/>
        <stp>P</stp>
        <stp>0</stp>
        <stp>STK</stp>
        <stp>271560</stp>
        <stp>현재가</stp>
        <stp/>
        <stp/>
        <tr r="T114" s="1"/>
        <tr r="T114" s="3"/>
      </tp>
      <tp>
        <v>50100</v>
        <stp/>
        <stp>P</stp>
        <stp>0</stp>
        <stp>STK</stp>
        <stp>170900</stp>
        <stp>현재가</stp>
        <stp/>
        <stp/>
        <tr r="T496" s="1"/>
      </tp>
      <tp>
        <v>28200</v>
        <stp/>
        <stp>P</stp>
        <stp>0</stp>
        <stp>STK</stp>
        <stp>270660</stp>
        <stp>현재가</stp>
        <stp/>
        <stp/>
        <tr r="T539" s="1"/>
      </tp>
      <tp>
        <v>26750</v>
        <stp/>
        <stp>P</stp>
        <stp>0</stp>
        <stp>STK</stp>
        <stp>473980</stp>
        <stp>현재가</stp>
        <stp/>
        <stp/>
        <tr r="T646" s="1"/>
      </tp>
      <tp>
        <v>422500</v>
        <stp/>
        <stp>P</stp>
        <stp>0</stp>
        <stp>STK</stp>
        <stp>373220</stp>
        <stp>현재가</stp>
        <stp/>
        <stp/>
        <tr r="T9" s="1"/>
        <tr r="T9" s="3"/>
      </tp>
      <tp>
        <v>6260</v>
        <stp/>
        <stp>P</stp>
        <stp>0</stp>
        <stp>STK</stp>
        <stp>073240</stp>
        <stp>현재가</stp>
        <stp/>
        <stp/>
        <tr r="T224" s="3"/>
        <tr r="T224" s="1"/>
      </tp>
      <tp>
        <v>5100</v>
        <stp/>
        <stp>P</stp>
        <stp>0</stp>
        <stp>STK</stp>
        <stp>472850</stp>
        <stp>현재가</stp>
        <stp/>
        <stp/>
        <tr r="T637" s="1"/>
      </tp>
      <tp>
        <v>44200</v>
        <stp/>
        <stp>P</stp>
        <stp>0</stp>
        <stp>STK</stp>
        <stp>372320</stp>
        <stp>현재가</stp>
        <stp/>
        <stp/>
        <tr r="T400" s="1"/>
      </tp>
      <tp>
        <v>27850</v>
        <stp/>
        <stp>P</stp>
        <stp>0</stp>
        <stp>STK</stp>
        <stp>272290</stp>
        <stp>현재가</stp>
        <stp/>
        <stp/>
        <tr r="T469" s="1"/>
      </tp>
      <tp>
        <v>90800</v>
        <stp/>
        <stp>P</stp>
        <stp>0</stp>
        <stp>STK</stp>
        <stp>272210</stp>
        <stp>현재가</stp>
        <stp/>
        <stp/>
        <tr r="T50" s="3"/>
        <tr r="T50" s="1"/>
      </tp>
      <tp>
        <v>32600</v>
        <stp/>
        <stp>P</stp>
        <stp>0</stp>
        <stp>STK</stp>
        <stp>372170</stp>
        <stp>현재가</stp>
        <stp/>
        <stp/>
        <tr r="T677" s="1"/>
      </tp>
      <tp>
        <v>87300</v>
        <stp/>
        <stp>P</stp>
        <stp>0</stp>
        <stp>STK</stp>
        <stp>072710</stp>
        <stp>현재가</stp>
        <stp/>
        <stp/>
        <tr r="T536" s="1"/>
      </tp>
      <tp>
        <v>76300</v>
        <stp/>
        <stp>P</stp>
        <stp>0</stp>
        <stp>STK</stp>
        <stp>N389650</stp>
        <stp>시가</stp>
        <stp/>
        <stp/>
        <tr r="O427" s="1"/>
      </tp>
      <tp>
        <v>30550</v>
        <stp/>
        <stp>P</stp>
        <stp>0</stp>
        <stp>STK</stp>
        <stp>N089860</stp>
        <stp>시가</stp>
        <stp/>
        <stp/>
        <tr r="O297" s="1"/>
        <tr r="O220" s="3"/>
      </tp>
      <tp>
        <v>20550</v>
        <stp/>
        <stp>P</stp>
        <stp>0</stp>
        <stp>STK</stp>
        <stp>N281740</stp>
        <stp>저가</stp>
        <stp/>
        <stp/>
        <tr r="Q288" s="1"/>
      </tp>
      <tp>
        <v>45050</v>
        <stp/>
        <stp>P</stp>
        <stp>0</stp>
        <stp>STK</stp>
        <stp>N081660</stp>
        <stp>저가</stp>
        <stp/>
        <stp/>
        <tr r="Q189" s="1"/>
        <tr r="Q154" s="3"/>
      </tp>
      <tp>
        <v>21200</v>
        <stp/>
        <stp>P</stp>
        <stp>0</stp>
        <stp>STK</stp>
        <stp>N380550</stp>
        <stp>저가</stp>
        <stp/>
        <stp/>
        <tr r="Q660" s="1"/>
      </tp>
      <tp>
        <v>49450</v>
        <stp/>
        <stp>P</stp>
        <stp>0</stp>
        <stp>STK</stp>
        <stp>N287840</stp>
        <stp>저가</stp>
        <stp/>
        <stp/>
        <tr r="Q380" s="1"/>
      </tp>
      <tp>
        <v>21000</v>
        <stp/>
        <stp>P</stp>
        <stp>0</stp>
        <stp>STK</stp>
        <stp>N286940</stp>
        <stp>저가</stp>
        <stp/>
        <stp/>
        <tr r="Q349" s="3"/>
        <tr r="Q593" s="1"/>
      </tp>
      <tp>
        <v>15640</v>
        <stp/>
        <stp>P</stp>
        <stp>0</stp>
        <stp>STK</stp>
        <stp>N085660</stp>
        <stp>저가</stp>
        <stp/>
        <stp/>
        <tr r="Q268" s="1"/>
      </tp>
      <tp>
        <v>23500</v>
        <stp/>
        <stp>P</stp>
        <stp>0</stp>
        <stp>STK</stp>
        <stp>N484120</stp>
        <stp>저가</stp>
        <stp/>
        <stp/>
        <tr r="Q671" s="1"/>
      </tp>
      <tp>
        <v>22650</v>
        <stp/>
        <stp>P</stp>
        <stp>0</stp>
        <stp>STK</stp>
        <stp>N284740</stp>
        <stp>저가</stp>
        <stp/>
        <stp/>
        <tr r="Q470" s="1"/>
        <tr r="Q292" s="3"/>
      </tp>
      <tp>
        <v>27300</v>
        <stp/>
        <stp>P</stp>
        <stp>0</stp>
        <stp>STK</stp>
        <stp>N281740</stp>
        <stp>시가</stp>
        <stp/>
        <stp/>
        <tr r="O288" s="1"/>
      </tp>
      <tp>
        <v>45200</v>
        <stp/>
        <stp>P</stp>
        <stp>0</stp>
        <stp>STK</stp>
        <stp>N081660</stp>
        <stp>시가</stp>
        <stp/>
        <stp/>
        <tr r="O189" s="1"/>
        <tr r="O154" s="3"/>
      </tp>
      <tp>
        <v>21800</v>
        <stp/>
        <stp>P</stp>
        <stp>0</stp>
        <stp>STK</stp>
        <stp>N380550</stp>
        <stp>시가</stp>
        <stp/>
        <stp/>
        <tr r="O660" s="1"/>
      </tp>
      <tp>
        <v>30450</v>
        <stp/>
        <stp>P</stp>
        <stp>0</stp>
        <stp>STK</stp>
        <stp>N089860</stp>
        <stp>저가</stp>
        <stp/>
        <stp/>
        <tr r="Q297" s="1"/>
        <tr r="Q220" s="3"/>
      </tp>
      <tp>
        <v>75100</v>
        <stp/>
        <stp>P</stp>
        <stp>0</stp>
        <stp>STK</stp>
        <stp>N389650</stp>
        <stp>저가</stp>
        <stp/>
        <stp/>
        <tr r="Q427" s="1"/>
      </tp>
      <tp>
        <v>15830</v>
        <stp/>
        <stp>P</stp>
        <stp>0</stp>
        <stp>STK</stp>
        <stp>N085660</stp>
        <stp>시가</stp>
        <stp/>
        <stp/>
        <tr r="O268" s="1"/>
      </tp>
      <tp>
        <v>22700</v>
        <stp/>
        <stp>P</stp>
        <stp>0</stp>
        <stp>STK</stp>
        <stp>N284740</stp>
        <stp>시가</stp>
        <stp/>
        <stp/>
        <tr r="O292" s="3"/>
        <tr r="O470" s="1"/>
      </tp>
      <tp>
        <v>23700</v>
        <stp/>
        <stp>P</stp>
        <stp>0</stp>
        <stp>STK</stp>
        <stp>N484120</stp>
        <stp>시가</stp>
        <stp/>
        <stp/>
        <tr r="O671" s="1"/>
      </tp>
      <tp>
        <v>50600</v>
        <stp/>
        <stp>P</stp>
        <stp>0</stp>
        <stp>STK</stp>
        <stp>N287840</stp>
        <stp>시가</stp>
        <stp/>
        <stp/>
        <tr r="O380" s="1"/>
      </tp>
      <tp>
        <v>21250</v>
        <stp/>
        <stp>P</stp>
        <stp>0</stp>
        <stp>STK</stp>
        <stp>N286940</stp>
        <stp>시가</stp>
        <stp/>
        <stp/>
        <tr r="O593" s="1"/>
        <tr r="O349" s="3"/>
      </tp>
      <tp>
        <v>50700</v>
        <stp/>
        <stp>P</stp>
        <stp>0</stp>
        <stp>STK</stp>
        <stp>N287840</stp>
        <stp>고가</stp>
        <stp/>
        <stp/>
        <tr r="P380" s="1"/>
      </tp>
      <tp>
        <v>21450</v>
        <stp/>
        <stp>P</stp>
        <stp>0</stp>
        <stp>STK</stp>
        <stp>N286940</stp>
        <stp>고가</stp>
        <stp/>
        <stp/>
        <tr r="P593" s="1"/>
        <tr r="P349" s="3"/>
      </tp>
      <tp>
        <v>15980</v>
        <stp/>
        <stp>P</stp>
        <stp>0</stp>
        <stp>STK</stp>
        <stp>N085660</stp>
        <stp>고가</stp>
        <stp/>
        <stp/>
        <tr r="P268" s="1"/>
      </tp>
      <tp>
        <v>23950</v>
        <stp/>
        <stp>P</stp>
        <stp>0</stp>
        <stp>STK</stp>
        <stp>N484120</stp>
        <stp>고가</stp>
        <stp/>
        <stp/>
        <tr r="P671" s="1"/>
      </tp>
      <tp>
        <v>22900</v>
        <stp/>
        <stp>P</stp>
        <stp>0</stp>
        <stp>STK</stp>
        <stp>N284740</stp>
        <stp>고가</stp>
        <stp/>
        <stp/>
        <tr r="P292" s="3"/>
        <tr r="P470" s="1"/>
      </tp>
      <tp>
        <v>27300</v>
        <stp/>
        <stp>P</stp>
        <stp>0</stp>
        <stp>STK</stp>
        <stp>N281740</stp>
        <stp>고가</stp>
        <stp/>
        <stp/>
        <tr r="P288" s="1"/>
      </tp>
      <tp>
        <v>45250</v>
        <stp/>
        <stp>P</stp>
        <stp>0</stp>
        <stp>STK</stp>
        <stp>N081660</stp>
        <stp>고가</stp>
        <stp/>
        <stp/>
        <tr r="P189" s="1"/>
        <tr r="P154" s="3"/>
      </tp>
      <tp>
        <v>21800</v>
        <stp/>
        <stp>P</stp>
        <stp>0</stp>
        <stp>STK</stp>
        <stp>N380550</stp>
        <stp>고가</stp>
        <stp/>
        <stp/>
        <tr r="P660" s="1"/>
      </tp>
      <tp>
        <v>30600</v>
        <stp/>
        <stp>P</stp>
        <stp>0</stp>
        <stp>STK</stp>
        <stp>N089860</stp>
        <stp>고가</stp>
        <stp/>
        <stp/>
        <tr r="P297" s="1"/>
        <tr r="P220" s="3"/>
      </tp>
      <tp>
        <v>76700</v>
        <stp/>
        <stp>P</stp>
        <stp>0</stp>
        <stp>STK</stp>
        <stp>N389650</stp>
        <stp>고가</stp>
        <stp/>
        <stp/>
        <tr r="P427" s="1"/>
      </tp>
      <tp>
        <v>29050</v>
        <stp/>
        <stp>P</stp>
        <stp>0</stp>
        <stp>STK</stp>
        <stp>N098460</stp>
        <stp>시가</stp>
        <stp/>
        <stp/>
        <tr r="O202" s="1"/>
      </tp>
      <tp>
        <v>2360000</v>
        <stp/>
        <stp>P</stp>
        <stp>0</stp>
        <stp>STK</stp>
        <stp>N298040</stp>
        <stp>시가</stp>
        <stp/>
        <stp/>
        <tr r="O36" s="3"/>
        <tr r="O37" s="1"/>
      </tp>
      <tp>
        <v>16260</v>
        <stp/>
        <stp>P</stp>
        <stp>0</stp>
        <stp>STK</stp>
        <stp>N092460</stp>
        <stp>저가</stp>
        <stp/>
        <stp/>
        <tr r="Q640" s="1"/>
      </tp>
      <tp>
        <v>81600</v>
        <stp/>
        <stp>P</stp>
        <stp>0</stp>
        <stp>STK</stp>
        <stp>N090360</stp>
        <stp>저가</stp>
        <stp/>
        <stp/>
        <tr r="Q329" s="1"/>
      </tp>
      <tp>
        <v>16430</v>
        <stp/>
        <stp>P</stp>
        <stp>0</stp>
        <stp>STK</stp>
        <stp>N090460</stp>
        <stp>저가</stp>
        <stp/>
        <stp/>
        <tr r="Q455" s="1"/>
        <tr r="Q283" s="3"/>
      </tp>
      <tp>
        <v>367000</v>
        <stp/>
        <stp>P</stp>
        <stp>0</stp>
        <stp>STK</stp>
        <stp>N196170</stp>
        <stp>저가</stp>
        <stp/>
        <stp/>
        <tr r="Q42" s="1"/>
      </tp>
      <tp>
        <v>52300</v>
        <stp/>
        <stp>P</stp>
        <stp>0</stp>
        <stp>STK</stp>
        <stp>N195870</stp>
        <stp>저가</stp>
        <stp/>
        <stp/>
        <tr r="Q332" s="1"/>
        <tr r="Q236" s="3"/>
      </tp>
      <tp>
        <v>25800</v>
        <stp/>
        <stp>P</stp>
        <stp>0</stp>
        <stp>STK</stp>
        <stp>N095660</stp>
        <stp>저가</stp>
        <stp/>
        <stp/>
        <tr r="Q445" s="1"/>
      </tp>
      <tp>
        <v>55000</v>
        <stp/>
        <stp>P</stp>
        <stp>0</stp>
        <stp>STK</stp>
        <stp>N494120</stp>
        <stp>저가</stp>
        <stp/>
        <stp/>
        <tr r="Q526" s="1"/>
      </tp>
      <tp>
        <v>17190</v>
        <stp/>
        <stp>P</stp>
        <stp>0</stp>
        <stp>STK</stp>
        <stp>N094360</stp>
        <stp>저가</stp>
        <stp/>
        <stp/>
        <tr r="Q556" s="1"/>
      </tp>
      <tp>
        <v>11340</v>
        <stp/>
        <stp>P</stp>
        <stp>0</stp>
        <stp>STK</stp>
        <stp>N194370</stp>
        <stp>저가</stp>
        <stp/>
        <stp/>
        <tr r="Q347" s="3"/>
        <tr r="Q599" s="1"/>
      </tp>
      <tp>
        <v>16720</v>
        <stp/>
        <stp>P</stp>
        <stp>0</stp>
        <stp>STK</stp>
        <stp>N090460</stp>
        <stp>시가</stp>
        <stp/>
        <stp/>
        <tr r="O455" s="1"/>
        <tr r="O283" s="3"/>
      </tp>
      <tp>
        <v>82000</v>
        <stp/>
        <stp>P</stp>
        <stp>0</stp>
        <stp>STK</stp>
        <stp>N090360</stp>
        <stp>시가</stp>
        <stp/>
        <stp/>
        <tr r="O329" s="1"/>
      </tp>
      <tp>
        <v>16580</v>
        <stp/>
        <stp>P</stp>
        <stp>0</stp>
        <stp>STK</stp>
        <stp>N092460</stp>
        <stp>시가</stp>
        <stp/>
        <stp/>
        <tr r="O640" s="1"/>
      </tp>
      <tp>
        <v>2301000</v>
        <stp/>
        <stp>P</stp>
        <stp>0</stp>
        <stp>STK</stp>
        <stp>N298040</stp>
        <stp>저가</stp>
        <stp/>
        <stp/>
        <tr r="Q36" s="3"/>
        <tr r="Q37" s="1"/>
      </tp>
      <tp>
        <v>28600</v>
        <stp/>
        <stp>P</stp>
        <stp>0</stp>
        <stp>STK</stp>
        <stp>N098460</stp>
        <stp>저가</stp>
        <stp/>
        <stp/>
        <tr r="Q202" s="1"/>
      </tp>
      <tp>
        <v>25800</v>
        <stp/>
        <stp>P</stp>
        <stp>0</stp>
        <stp>STK</stp>
        <stp>N095660</stp>
        <stp>시가</stp>
        <stp/>
        <stp/>
        <tr r="O445" s="1"/>
      </tp>
      <tp>
        <v>53300</v>
        <stp/>
        <stp>P</stp>
        <stp>0</stp>
        <stp>STK</stp>
        <stp>N195870</stp>
        <stp>시가</stp>
        <stp/>
        <stp/>
        <tr r="O332" s="1"/>
        <tr r="O236" s="3"/>
      </tp>
      <tp>
        <v>56400</v>
        <stp/>
        <stp>P</stp>
        <stp>0</stp>
        <stp>STK</stp>
        <stp>N494120</stp>
        <stp>시가</stp>
        <stp/>
        <stp/>
        <tr r="O526" s="1"/>
      </tp>
      <tp>
        <v>17250</v>
        <stp/>
        <stp>P</stp>
        <stp>0</stp>
        <stp>STK</stp>
        <stp>N094360</stp>
        <stp>시가</stp>
        <stp/>
        <stp/>
        <tr r="O556" s="1"/>
      </tp>
      <tp>
        <v>11350</v>
        <stp/>
        <stp>P</stp>
        <stp>0</stp>
        <stp>STK</stp>
        <stp>N194370</stp>
        <stp>시가</stp>
        <stp/>
        <stp/>
        <tr r="O347" s="3"/>
        <tr r="O599" s="1"/>
      </tp>
      <tp>
        <v>384500</v>
        <stp/>
        <stp>P</stp>
        <stp>0</stp>
        <stp>STK</stp>
        <stp>N196170</stp>
        <stp>시가</stp>
        <stp/>
        <stp/>
        <tr r="O42" s="1"/>
      </tp>
      <tp>
        <v>384500</v>
        <stp/>
        <stp>P</stp>
        <stp>0</stp>
        <stp>STK</stp>
        <stp>N196170</stp>
        <stp>고가</stp>
        <stp/>
        <stp/>
        <tr r="P42" s="1"/>
      </tp>
      <tp>
        <v>54100</v>
        <stp/>
        <stp>P</stp>
        <stp>0</stp>
        <stp>STK</stp>
        <stp>N195870</stp>
        <stp>고가</stp>
        <stp/>
        <stp/>
        <tr r="P236" s="3"/>
        <tr r="P332" s="1"/>
      </tp>
      <tp>
        <v>26050</v>
        <stp/>
        <stp>P</stp>
        <stp>0</stp>
        <stp>STK</stp>
        <stp>N095660</stp>
        <stp>고가</stp>
        <stp/>
        <stp/>
        <tr r="P445" s="1"/>
      </tp>
      <tp>
        <v>56800</v>
        <stp/>
        <stp>P</stp>
        <stp>0</stp>
        <stp>STK</stp>
        <stp>N494120</stp>
        <stp>고가</stp>
        <stp/>
        <stp/>
        <tr r="P526" s="1"/>
      </tp>
      <tp>
        <v>17380</v>
        <stp/>
        <stp>P</stp>
        <stp>0</stp>
        <stp>STK</stp>
        <stp>N094360</stp>
        <stp>고가</stp>
        <stp/>
        <stp/>
        <tr r="P556" s="1"/>
      </tp>
      <tp>
        <v>11500</v>
        <stp/>
        <stp>P</stp>
        <stp>0</stp>
        <stp>STK</stp>
        <stp>N194370</stp>
        <stp>고가</stp>
        <stp/>
        <stp/>
        <tr r="P347" s="3"/>
        <tr r="P599" s="1"/>
      </tp>
      <tp>
        <v>16580</v>
        <stp/>
        <stp>P</stp>
        <stp>0</stp>
        <stp>STK</stp>
        <stp>N092460</stp>
        <stp>고가</stp>
        <stp/>
        <stp/>
        <tr r="P640" s="1"/>
      </tp>
      <tp>
        <v>87500</v>
        <stp/>
        <stp>P</stp>
        <stp>0</stp>
        <stp>STK</stp>
        <stp>N090360</stp>
        <stp>고가</stp>
        <stp/>
        <stp/>
        <tr r="P329" s="1"/>
      </tp>
      <tp>
        <v>16720</v>
        <stp/>
        <stp>P</stp>
        <stp>0</stp>
        <stp>STK</stp>
        <stp>N090460</stp>
        <stp>고가</stp>
        <stp/>
        <stp/>
        <tr r="P283" s="3"/>
        <tr r="P455" s="1"/>
      </tp>
      <tp>
        <v>2385000</v>
        <stp/>
        <stp>P</stp>
        <stp>0</stp>
        <stp>STK</stp>
        <stp>N298040</stp>
        <stp>고가</stp>
        <stp/>
        <stp/>
        <tr r="P37" s="1"/>
        <tr r="P36" s="3"/>
      </tp>
      <tp>
        <v>29550</v>
        <stp/>
        <stp>P</stp>
        <stp>0</stp>
        <stp>STK</stp>
        <stp>N098460</stp>
        <stp>고가</stp>
        <stp/>
        <stp/>
        <tr r="P202" s="1"/>
      </tp>
      <tp>
        <v>35250</v>
        <stp/>
        <stp>P</stp>
        <stp>0</stp>
        <stp>STK</stp>
        <stp>N003960</stp>
        <stp>저가</stp>
        <stp/>
        <stp/>
        <tr r="Q346" s="3"/>
        <tr r="Q598" s="1"/>
      </tp>
      <tp>
        <v>27950</v>
        <stp/>
        <stp>P</stp>
        <stp>0</stp>
        <stp>STK</stp>
        <stp>N003160</stp>
        <stp>저가</stp>
        <stp/>
        <stp/>
        <tr r="Q242" s="3"/>
        <tr r="Q342" s="1"/>
      </tp>
      <tp>
        <v>29800</v>
        <stp/>
        <stp>P</stp>
        <stp>0</stp>
        <stp>STK</stp>
        <stp>N108670</stp>
        <stp>시가</stp>
        <stp/>
        <stp/>
        <tr r="O665" s="1"/>
        <tr r="O369" s="3"/>
      </tp>
      <tp>
        <v>9950</v>
        <stp/>
        <stp>P</stp>
        <stp>0</stp>
        <stp>STK</stp>
        <stp>N008060</stp>
        <stp>시가</stp>
        <stp/>
        <stp/>
        <tr r="O585" s="1"/>
        <tr r="O340" s="3"/>
      </tp>
      <tp>
        <v>434000</v>
        <stp/>
        <stp>P</stp>
        <stp>0</stp>
        <stp>STK</stp>
        <stp>N002960</stp>
        <stp>저가</stp>
        <stp/>
        <stp/>
        <tr r="Q442" s="1"/>
        <tr r="Q281" s="3"/>
      </tp>
      <tp>
        <v>27350</v>
        <stp/>
        <stp>P</stp>
        <stp>0</stp>
        <stp>STK</stp>
        <stp>N001060</stp>
        <stp>저가</stp>
        <stp/>
        <stp/>
        <tr r="Q407" s="1"/>
        <tr r="Q271" s="3"/>
      </tp>
      <tp>
        <v>40900</v>
        <stp/>
        <stp>P</stp>
        <stp>0</stp>
        <stp>STK</stp>
        <stp>N001460</stp>
        <stp>저가</stp>
        <stp/>
        <stp/>
        <tr r="Q366" s="3"/>
        <tr r="Q657" s="1"/>
      </tp>
      <tp>
        <v>750000</v>
        <stp/>
        <stp>P</stp>
        <stp>0</stp>
        <stp>STK</stp>
        <stp>N000660</stp>
        <stp>저가</stp>
        <stp/>
        <stp/>
        <tr r="Q7" s="3"/>
        <tr r="Q7" s="1"/>
      </tp>
      <tp>
        <v>1783000</v>
        <stp/>
        <stp>P</stp>
        <stp>0</stp>
        <stp>STK</stp>
        <stp>N207940</stp>
        <stp>저가</stp>
        <stp/>
        <stp/>
        <tr r="Q10" s="1"/>
        <tr r="Q10" s="3"/>
      </tp>
      <tp>
        <v>457000</v>
        <stp/>
        <stp>P</stp>
        <stp>0</stp>
        <stp>STK</stp>
        <stp>N307950</stp>
        <stp>저가</stp>
        <stp/>
        <stp/>
        <tr r="Q58" s="1"/>
        <tr r="Q60" s="3"/>
      </tp>
      <tp>
        <v>56500</v>
        <stp/>
        <stp>P</stp>
        <stp>0</stp>
        <stp>STK</stp>
        <stp>N007160</stp>
        <stp>저가</stp>
        <stp/>
        <stp/>
        <tr r="Q649" s="1"/>
        <tr r="Q362" s="3"/>
      </tp>
      <tp>
        <v>111000</v>
        <stp/>
        <stp>P</stp>
        <stp>0</stp>
        <stp>STK</stp>
        <stp>N007660</stp>
        <stp>저가</stp>
        <stp/>
        <stp/>
        <tr r="Q81" s="3"/>
        <tr r="Q86" s="1"/>
      </tp>
      <tp>
        <v>18660</v>
        <stp/>
        <stp>P</stp>
        <stp>0</stp>
        <stp>STK</stp>
        <stp>N006360</stp>
        <stp>저가</stp>
        <stp/>
        <stp/>
        <tr r="Q240" s="1"/>
        <tr r="Q191" s="3"/>
      </tp>
      <tp>
        <v>218000</v>
        <stp/>
        <stp>P</stp>
        <stp>0</stp>
        <stp>STK</stp>
        <stp>N006260</stp>
        <stp>저가</stp>
        <stp/>
        <stp/>
        <tr r="Q89" s="1"/>
        <tr r="Q85" s="3"/>
      </tp>
      <tp>
        <v>12400</v>
        <stp/>
        <stp>P</stp>
        <stp>0</stp>
        <stp>STK</stp>
        <stp>N206640</stp>
        <stp>저가</stp>
        <stp/>
        <stp/>
        <tr r="Q629" s="1"/>
      </tp>
      <tp>
        <v>13560</v>
        <stp/>
        <stp>P</stp>
        <stp>0</stp>
        <stp>STK</stp>
        <stp>N004360</stp>
        <stp>저가</stp>
        <stp/>
        <stp/>
        <tr r="Q367" s="3"/>
        <tr r="Q659" s="1"/>
      </tp>
      <tp>
        <v>41200</v>
        <stp/>
        <stp>P</stp>
        <stp>0</stp>
        <stp>STK</stp>
        <stp>N001460</stp>
        <stp>시가</stp>
        <stp/>
        <stp/>
        <tr r="O366" s="3"/>
        <tr r="O657" s="1"/>
      </tp>
      <tp>
        <v>27450</v>
        <stp/>
        <stp>P</stp>
        <stp>0</stp>
        <stp>STK</stp>
        <stp>N001060</stp>
        <stp>시가</stp>
        <stp/>
        <stp/>
        <tr r="O271" s="3"/>
        <tr r="O407" s="1"/>
      </tp>
      <tp>
        <v>753000</v>
        <stp/>
        <stp>P</stp>
        <stp>0</stp>
        <stp>STK</stp>
        <stp>N000660</stp>
        <stp>시가</stp>
        <stp/>
        <stp/>
        <tr r="O7" s="3"/>
        <tr r="O7" s="1"/>
      </tp>
      <tp>
        <v>28750</v>
        <stp/>
        <stp>P</stp>
        <stp>0</stp>
        <stp>STK</stp>
        <stp>N003160</stp>
        <stp>시가</stp>
        <stp/>
        <stp/>
        <tr r="O242" s="3"/>
        <tr r="O342" s="1"/>
      </tp>
      <tp>
        <v>35400</v>
        <stp/>
        <stp>P</stp>
        <stp>0</stp>
        <stp>STK</stp>
        <stp>N003960</stp>
        <stp>시가</stp>
        <stp/>
        <stp/>
        <tr r="O346" s="3"/>
        <tr r="O598" s="1"/>
      </tp>
      <tp>
        <v>435000</v>
        <stp/>
        <stp>P</stp>
        <stp>0</stp>
        <stp>STK</stp>
        <stp>N002960</stp>
        <stp>시가</stp>
        <stp/>
        <stp/>
        <tr r="O281" s="3"/>
        <tr r="O442" s="1"/>
      </tp>
      <tp>
        <v>9940</v>
        <stp/>
        <stp>P</stp>
        <stp>0</stp>
        <stp>STK</stp>
        <stp>N008060</stp>
        <stp>저가</stp>
        <stp/>
        <stp/>
        <tr r="Q585" s="1"/>
        <tr r="Q340" s="3"/>
      </tp>
      <tp>
        <v>28900</v>
        <stp/>
        <stp>P</stp>
        <stp>0</stp>
        <stp>STK</stp>
        <stp>N108670</stp>
        <stp>저가</stp>
        <stp/>
        <stp/>
        <tr r="Q369" s="3"/>
        <tr r="Q665" s="1"/>
      </tp>
      <tp>
        <v>13690</v>
        <stp/>
        <stp>P</stp>
        <stp>0</stp>
        <stp>STK</stp>
        <stp>N004360</stp>
        <stp>시가</stp>
        <stp/>
        <stp/>
        <tr r="O367" s="3"/>
        <tr r="O659" s="1"/>
      </tp>
      <tp>
        <v>112300</v>
        <stp/>
        <stp>P</stp>
        <stp>0</stp>
        <stp>STK</stp>
        <stp>N007660</stp>
        <stp>시가</stp>
        <stp/>
        <stp/>
        <tr r="O86" s="1"/>
        <tr r="O81" s="3"/>
      </tp>
      <tp>
        <v>56500</v>
        <stp/>
        <stp>P</stp>
        <stp>0</stp>
        <stp>STK</stp>
        <stp>N007160</stp>
        <stp>시가</stp>
        <stp/>
        <stp/>
        <tr r="O649" s="1"/>
        <tr r="O362" s="3"/>
      </tp>
      <tp>
        <v>1793000</v>
        <stp/>
        <stp>P</stp>
        <stp>0</stp>
        <stp>STK</stp>
        <stp>N207940</stp>
        <stp>시가</stp>
        <stp/>
        <stp/>
        <tr r="O10" s="1"/>
        <tr r="O10" s="3"/>
      </tp>
      <tp>
        <v>472500</v>
        <stp/>
        <stp>P</stp>
        <stp>0</stp>
        <stp>STK</stp>
        <stp>N307950</stp>
        <stp>시가</stp>
        <stp/>
        <stp/>
        <tr r="O58" s="1"/>
        <tr r="O60" s="3"/>
      </tp>
      <tp>
        <v>12510</v>
        <stp/>
        <stp>P</stp>
        <stp>0</stp>
        <stp>STK</stp>
        <stp>N206640</stp>
        <stp>시가</stp>
        <stp/>
        <stp/>
        <tr r="O629" s="1"/>
      </tp>
      <tp>
        <v>18710</v>
        <stp/>
        <stp>P</stp>
        <stp>0</stp>
        <stp>STK</stp>
        <stp>N006360</stp>
        <stp>시가</stp>
        <stp/>
        <stp/>
        <tr r="O240" s="1"/>
        <tr r="O191" s="3"/>
      </tp>
      <tp>
        <v>220000</v>
        <stp/>
        <stp>P</stp>
        <stp>0</stp>
        <stp>STK</stp>
        <stp>N006260</stp>
        <stp>시가</stp>
        <stp/>
        <stp/>
        <tr r="O85" s="3"/>
        <tr r="O89" s="1"/>
      </tp>
      <tp>
        <v>1799000</v>
        <stp/>
        <stp>P</stp>
        <stp>0</stp>
        <stp>STK</stp>
        <stp>N207940</stp>
        <stp>고가</stp>
        <stp/>
        <stp/>
        <tr r="P10" s="3"/>
        <tr r="P10" s="1"/>
      </tp>
      <tp>
        <v>480000</v>
        <stp/>
        <stp>P</stp>
        <stp>0</stp>
        <stp>STK</stp>
        <stp>N307950</stp>
        <stp>고가</stp>
        <stp/>
        <stp/>
        <tr r="P58" s="1"/>
        <tr r="P60" s="3"/>
      </tp>
      <tp>
        <v>57000</v>
        <stp/>
        <stp>P</stp>
        <stp>0</stp>
        <stp>STK</stp>
        <stp>N007160</stp>
        <stp>고가</stp>
        <stp/>
        <stp/>
        <tr r="P649" s="1"/>
        <tr r="P362" s="3"/>
      </tp>
      <tp>
        <v>114200</v>
        <stp/>
        <stp>P</stp>
        <stp>0</stp>
        <stp>STK</stp>
        <stp>N007660</stp>
        <stp>고가</stp>
        <stp/>
        <stp/>
        <tr r="P86" s="1"/>
        <tr r="P81" s="3"/>
      </tp>
      <tp>
        <v>18860</v>
        <stp/>
        <stp>P</stp>
        <stp>0</stp>
        <stp>STK</stp>
        <stp>N006360</stp>
        <stp>고가</stp>
        <stp/>
        <stp/>
        <tr r="P240" s="1"/>
        <tr r="P191" s="3"/>
      </tp>
      <tp>
        <v>230500</v>
        <stp/>
        <stp>P</stp>
        <stp>0</stp>
        <stp>STK</stp>
        <stp>N006260</stp>
        <stp>고가</stp>
        <stp/>
        <stp/>
        <tr r="P89" s="1"/>
        <tr r="P85" s="3"/>
      </tp>
      <tp>
        <v>12600</v>
        <stp/>
        <stp>P</stp>
        <stp>0</stp>
        <stp>STK</stp>
        <stp>N206640</stp>
        <stp>고가</stp>
        <stp/>
        <stp/>
        <tr r="P629" s="1"/>
      </tp>
      <tp>
        <v>13690</v>
        <stp/>
        <stp>P</stp>
        <stp>0</stp>
        <stp>STK</stp>
        <stp>N004360</stp>
        <stp>고가</stp>
        <stp/>
        <stp/>
        <tr r="P367" s="3"/>
        <tr r="P659" s="1"/>
      </tp>
      <tp>
        <v>35550</v>
        <stp/>
        <stp>P</stp>
        <stp>0</stp>
        <stp>STK</stp>
        <stp>N003960</stp>
        <stp>고가</stp>
        <stp/>
        <stp/>
        <tr r="P598" s="1"/>
        <tr r="P346" s="3"/>
      </tp>
      <tp>
        <v>28750</v>
        <stp/>
        <stp>P</stp>
        <stp>0</stp>
        <stp>STK</stp>
        <stp>N003160</stp>
        <stp>고가</stp>
        <stp/>
        <stp/>
        <tr r="P242" s="3"/>
        <tr r="P342" s="1"/>
      </tp>
      <tp>
        <v>435000</v>
        <stp/>
        <stp>P</stp>
        <stp>0</stp>
        <stp>STK</stp>
        <stp>N002960</stp>
        <stp>고가</stp>
        <stp/>
        <stp/>
        <tr r="P281" s="3"/>
        <tr r="P442" s="1"/>
      </tp>
      <tp>
        <v>27850</v>
        <stp/>
        <stp>P</stp>
        <stp>0</stp>
        <stp>STK</stp>
        <stp>N001060</stp>
        <stp>고가</stp>
        <stp/>
        <stp/>
        <tr r="P271" s="3"/>
        <tr r="P407" s="1"/>
      </tp>
      <tp>
        <v>41300</v>
        <stp/>
        <stp>P</stp>
        <stp>0</stp>
        <stp>STK</stp>
        <stp>N001460</stp>
        <stp>고가</stp>
        <stp/>
        <stp/>
        <tr r="P657" s="1"/>
        <tr r="P366" s="3"/>
      </tp>
      <tp>
        <v>767000</v>
        <stp/>
        <stp>P</stp>
        <stp>0</stp>
        <stp>STK</stp>
        <stp>N000660</stp>
        <stp>고가</stp>
        <stp/>
        <stp/>
        <tr r="P7" s="3"/>
        <tr r="P7" s="1"/>
      </tp>
      <tp>
        <v>10000</v>
        <stp/>
        <stp>P</stp>
        <stp>0</stp>
        <stp>STK</stp>
        <stp>N008060</stp>
        <stp>고가</stp>
        <stp/>
        <stp/>
        <tr r="P340" s="3"/>
        <tr r="P585" s="1"/>
      </tp>
      <tp>
        <v>29800</v>
        <stp/>
        <stp>P</stp>
        <stp>0</stp>
        <stp>STK</stp>
        <stp>N108670</stp>
        <stp>고가</stp>
        <stp/>
        <stp/>
        <tr r="P369" s="3"/>
        <tr r="P665" s="1"/>
      </tp>
      <tp>
        <v>172700</v>
        <stp/>
        <stp>P</stp>
        <stp>0</stp>
        <stp>STK</stp>
        <stp>N018260</stp>
        <stp>시가</stp>
        <stp/>
        <stp/>
        <tr r="O60" s="1"/>
        <tr r="O59" s="3"/>
      </tp>
      <tp>
        <v>22100</v>
        <stp/>
        <stp>P</stp>
        <stp>0</stp>
        <stp>STK</stp>
        <stp>N011760</stp>
        <stp>저가</stp>
        <stp/>
        <stp/>
        <tr r="Q636" s="1"/>
        <tr r="Q361" s="3"/>
      </tp>
      <tp>
        <v>84700</v>
        <stp/>
        <stp>P</stp>
        <stp>0</stp>
        <stp>STK</stp>
        <stp>N111770</stp>
        <stp>저가</stp>
        <stp/>
        <stp/>
        <tr r="Q120" s="3"/>
        <tr r="Q135" s="1"/>
      </tp>
      <tp>
        <v>115000</v>
        <stp/>
        <stp>P</stp>
        <stp>0</stp>
        <stp>STK</stp>
        <stp>N010060</stp>
        <stp>저가</stp>
        <stp/>
        <stp/>
        <tr r="Q199" s="1"/>
        <tr r="Q165" s="3"/>
      </tp>
      <tp>
        <v>35000</v>
        <stp/>
        <stp>P</stp>
        <stp>0</stp>
        <stp>STK</stp>
        <stp>N017960</stp>
        <stp>저가</stp>
        <stp/>
        <stp/>
        <tr r="Q178" s="3"/>
        <tr r="Q218" s="1"/>
      </tp>
      <tp>
        <v>19210</v>
        <stp/>
        <stp>P</stp>
        <stp>0</stp>
        <stp>STK</stp>
        <stp>N017860</stp>
        <stp>저가</stp>
        <stp/>
        <stp/>
        <tr r="Q594" s="1"/>
        <tr r="Q338" s="3"/>
      </tp>
      <tp>
        <v>58100</v>
        <stp/>
        <stp>P</stp>
        <stp>0</stp>
        <stp>STK</stp>
        <stp>N317450</stp>
        <stp>저가</stp>
        <stp/>
        <stp/>
        <tr r="Q339" s="1"/>
        <tr r="Q238" s="3"/>
      </tp>
      <tp>
        <v>84400</v>
        <stp/>
        <stp>P</stp>
        <stp>0</stp>
        <stp>STK</stp>
        <stp>N016360</stp>
        <stp>저가</stp>
        <stp/>
        <stp/>
        <tr r="Q83" s="3"/>
        <tr r="Q88" s="1"/>
      </tp>
      <tp>
        <v>65800</v>
        <stp/>
        <stp>P</stp>
        <stp>0</stp>
        <stp>STK</stp>
        <stp>N015360</stp>
        <stp>저가</stp>
        <stp/>
        <stp/>
        <tr r="Q330" s="3"/>
        <tr r="Q549" s="1"/>
      </tp>
      <tp>
        <v>63400</v>
        <stp/>
        <stp>P</stp>
        <stp>0</stp>
        <stp>STK</stp>
        <stp>N015760</stp>
        <stp>저가</stp>
        <stp/>
        <stp/>
        <tr r="Q21" s="1"/>
        <tr r="Q20" s="3"/>
      </tp>
      <tp>
        <v>22100</v>
        <stp/>
        <stp>P</stp>
        <stp>0</stp>
        <stp>STK</stp>
        <stp>N011760</stp>
        <stp>시가</stp>
        <stp/>
        <stp/>
        <tr r="O361" s="3"/>
        <tr r="O636" s="1"/>
      </tp>
      <tp>
        <v>85400</v>
        <stp/>
        <stp>P</stp>
        <stp>0</stp>
        <stp>STK</stp>
        <stp>N111770</stp>
        <stp>시가</stp>
        <stp/>
        <stp/>
        <tr r="O120" s="3"/>
        <tr r="O135" s="1"/>
      </tp>
      <tp>
        <v>115500</v>
        <stp/>
        <stp>P</stp>
        <stp>0</stp>
        <stp>STK</stp>
        <stp>N010060</stp>
        <stp>시가</stp>
        <stp/>
        <stp/>
        <tr r="O165" s="3"/>
        <tr r="O199" s="1"/>
      </tp>
      <tp>
        <v>170400</v>
        <stp/>
        <stp>P</stp>
        <stp>0</stp>
        <stp>STK</stp>
        <stp>N018260</stp>
        <stp>저가</stp>
        <stp/>
        <stp/>
        <tr r="Q60" s="1"/>
        <tr r="Q59" s="3"/>
      </tp>
      <tp>
        <v>65900</v>
        <stp/>
        <stp>P</stp>
        <stp>0</stp>
        <stp>STK</stp>
        <stp>N015760</stp>
        <stp>시가</stp>
        <stp/>
        <stp/>
        <tr r="O20" s="3"/>
        <tr r="O21" s="1"/>
      </tp>
      <tp>
        <v>67400</v>
        <stp/>
        <stp>P</stp>
        <stp>0</stp>
        <stp>STK</stp>
        <stp>N015360</stp>
        <stp>시가</stp>
        <stp/>
        <stp/>
        <tr r="O330" s="3"/>
        <tr r="O549" s="1"/>
      </tp>
      <tp>
        <v>58100</v>
        <stp/>
        <stp>P</stp>
        <stp>0</stp>
        <stp>STK</stp>
        <stp>N317450</stp>
        <stp>시가</stp>
        <stp/>
        <stp/>
        <tr r="O339" s="1"/>
        <tr r="O238" s="3"/>
      </tp>
      <tp>
        <v>35100</v>
        <stp/>
        <stp>P</stp>
        <stp>0</stp>
        <stp>STK</stp>
        <stp>N017960</stp>
        <stp>시가</stp>
        <stp/>
        <stp/>
        <tr r="O178" s="3"/>
        <tr r="O218" s="1"/>
      </tp>
      <tp>
        <v>19450</v>
        <stp/>
        <stp>P</stp>
        <stp>0</stp>
        <stp>STK</stp>
        <stp>N017860</stp>
        <stp>시가</stp>
        <stp/>
        <stp/>
        <tr r="O594" s="1"/>
        <tr r="O338" s="3"/>
      </tp>
      <tp>
        <v>85000</v>
        <stp/>
        <stp>P</stp>
        <stp>0</stp>
        <stp>STK</stp>
        <stp>N016360</stp>
        <stp>시가</stp>
        <stp/>
        <stp/>
        <tr r="O83" s="3"/>
        <tr r="O88" s="1"/>
      </tp>
      <tp>
        <v>35700</v>
        <stp/>
        <stp>P</stp>
        <stp>0</stp>
        <stp>STK</stp>
        <stp>N017960</stp>
        <stp>고가</stp>
        <stp/>
        <stp/>
        <tr r="P218" s="1"/>
        <tr r="P178" s="3"/>
      </tp>
      <tp>
        <v>19460</v>
        <stp/>
        <stp>P</stp>
        <stp>0</stp>
        <stp>STK</stp>
        <stp>N017860</stp>
        <stp>고가</stp>
        <stp/>
        <stp/>
        <tr r="P338" s="3"/>
        <tr r="P594" s="1"/>
      </tp>
      <tp>
        <v>58800</v>
        <stp/>
        <stp>P</stp>
        <stp>0</stp>
        <stp>STK</stp>
        <stp>N317450</stp>
        <stp>고가</stp>
        <stp/>
        <stp/>
        <tr r="P339" s="1"/>
        <tr r="P238" s="3"/>
      </tp>
      <tp>
        <v>85800</v>
        <stp/>
        <stp>P</stp>
        <stp>0</stp>
        <stp>STK</stp>
        <stp>N016360</stp>
        <stp>고가</stp>
        <stp/>
        <stp/>
        <tr r="P88" s="1"/>
        <tr r="P83" s="3"/>
      </tp>
      <tp>
        <v>67400</v>
        <stp/>
        <stp>P</stp>
        <stp>0</stp>
        <stp>STK</stp>
        <stp>N015360</stp>
        <stp>고가</stp>
        <stp/>
        <stp/>
        <tr r="P330" s="3"/>
        <tr r="P549" s="1"/>
      </tp>
      <tp>
        <v>65900</v>
        <stp/>
        <stp>P</stp>
        <stp>0</stp>
        <stp>STK</stp>
        <stp>N015760</stp>
        <stp>고가</stp>
        <stp/>
        <stp/>
        <tr r="P21" s="1"/>
        <tr r="P20" s="3"/>
      </tp>
      <tp>
        <v>22750</v>
        <stp/>
        <stp>P</stp>
        <stp>0</stp>
        <stp>STK</stp>
        <stp>N011760</stp>
        <stp>고가</stp>
        <stp/>
        <stp/>
        <tr r="P636" s="1"/>
        <tr r="P361" s="3"/>
      </tp>
      <tp>
        <v>85400</v>
        <stp/>
        <stp>P</stp>
        <stp>0</stp>
        <stp>STK</stp>
        <stp>N111770</stp>
        <stp>고가</stp>
        <stp/>
        <stp/>
        <tr r="P135" s="1"/>
        <tr r="P120" s="3"/>
      </tp>
      <tp>
        <v>122400</v>
        <stp/>
        <stp>P</stp>
        <stp>0</stp>
        <stp>STK</stp>
        <stp>N010060</stp>
        <stp>고가</stp>
        <stp/>
        <stp/>
        <tr r="P165" s="3"/>
        <tr r="P199" s="1"/>
      </tp>
      <tp>
        <v>172900</v>
        <stp/>
        <stp>P</stp>
        <stp>0</stp>
        <stp>STK</stp>
        <stp>N018260</stp>
        <stp>고가</stp>
        <stp/>
        <stp/>
        <tr r="P59" s="3"/>
        <tr r="P60" s="1"/>
      </tp>
      <tp>
        <v>28600</v>
        <stp/>
        <stp>P</stp>
        <stp>0</stp>
        <stp>STK</stp>
        <stp>N029460</stp>
        <stp>시가</stp>
        <stp/>
        <stp/>
        <tr r="O554" s="1"/>
        <tr r="O329" s="3"/>
      </tp>
      <tp>
        <v>39100</v>
        <stp/>
        <stp>P</stp>
        <stp>0</stp>
        <stp>STK</stp>
        <stp>N229640</stp>
        <stp>시가</stp>
        <stp/>
        <stp/>
        <tr r="O289" s="1"/>
        <tr r="O214" s="3"/>
      </tp>
      <tp>
        <v>25150</v>
        <stp/>
        <stp>P</stp>
        <stp>0</stp>
        <stp>STK</stp>
        <stp>N023160</stp>
        <stp>저가</stp>
        <stp/>
        <stp/>
        <tr r="Q386" s="1"/>
      </tp>
      <tp>
        <v>298500</v>
        <stp/>
        <stp>P</stp>
        <stp>0</stp>
        <stp>STK</stp>
        <stp>N028260</stp>
        <stp>시가</stp>
        <stp/>
        <stp/>
        <tr r="O17" s="3"/>
        <tr r="O17" s="1"/>
      </tp>
      <tp>
        <v>69900</v>
        <stp/>
        <stp>P</stp>
        <stp>0</stp>
        <stp>STK</stp>
        <stp>N122870</stp>
        <stp>저가</stp>
        <stp/>
        <stp/>
        <tr r="Q270" s="1"/>
      </tp>
      <tp>
        <v>7700</v>
        <stp/>
        <stp>P</stp>
        <stp>0</stp>
        <stp>STK</stp>
        <stp>N020560</stp>
        <stp>저가</stp>
        <stp/>
        <stp/>
        <tr r="Q243" s="1"/>
        <tr r="Q192" s="3"/>
      </tp>
      <tp>
        <v>25900</v>
        <stp/>
        <stp>P</stp>
        <stp>0</stp>
        <stp>STK</stp>
        <stp>N026960</stp>
        <stp>저가</stp>
        <stp/>
        <stp/>
        <tr r="Q144" s="3"/>
        <tr r="Q172" s="1"/>
      </tp>
      <tp>
        <v>34300</v>
        <stp/>
        <stp>P</stp>
        <stp>0</stp>
        <stp>STK</stp>
        <stp>N425420</stp>
        <stp>저가</stp>
        <stp/>
        <stp/>
        <tr r="Q532" s="1"/>
      </tp>
      <tp>
        <v>7700</v>
        <stp/>
        <stp>P</stp>
        <stp>0</stp>
        <stp>STK</stp>
        <stp>N020560</stp>
        <stp>시가</stp>
        <stp/>
        <stp/>
        <tr r="O243" s="1"/>
        <tr r="O192" s="3"/>
      </tp>
      <tp>
        <v>25200</v>
        <stp/>
        <stp>P</stp>
        <stp>0</stp>
        <stp>STK</stp>
        <stp>N023160</stp>
        <stp>시가</stp>
        <stp/>
        <stp/>
        <tr r="O386" s="1"/>
      </tp>
      <tp>
        <v>28550</v>
        <stp/>
        <stp>P</stp>
        <stp>0</stp>
        <stp>STK</stp>
        <stp>N029460</stp>
        <stp>저가</stp>
        <stp/>
        <stp/>
        <tr r="Q554" s="1"/>
        <tr r="Q329" s="3"/>
      </tp>
      <tp>
        <v>39050</v>
        <stp/>
        <stp>P</stp>
        <stp>0</stp>
        <stp>STK</stp>
        <stp>N229640</stp>
        <stp>저가</stp>
        <stp/>
        <stp/>
        <tr r="Q214" s="3"/>
        <tr r="Q289" s="1"/>
      </tp>
      <tp>
        <v>70300</v>
        <stp/>
        <stp>P</stp>
        <stp>0</stp>
        <stp>STK</stp>
        <stp>N122870</stp>
        <stp>시가</stp>
        <stp/>
        <stp/>
        <tr r="O270" s="1"/>
      </tp>
      <tp>
        <v>298500</v>
        <stp/>
        <stp>P</stp>
        <stp>0</stp>
        <stp>STK</stp>
        <stp>N028260</stp>
        <stp>저가</stp>
        <stp/>
        <stp/>
        <tr r="Q17" s="1"/>
        <tr r="Q17" s="3"/>
      </tp>
      <tp>
        <v>34450</v>
        <stp/>
        <stp>P</stp>
        <stp>0</stp>
        <stp>STK</stp>
        <stp>N425420</stp>
        <stp>시가</stp>
        <stp/>
        <stp/>
        <tr r="O532" s="1"/>
      </tp>
      <tp>
        <v>26300</v>
        <stp/>
        <stp>P</stp>
        <stp>0</stp>
        <stp>STK</stp>
        <stp>N026960</stp>
        <stp>시가</stp>
        <stp/>
        <stp/>
        <tr r="O172" s="1"/>
        <tr r="O144" s="3"/>
      </tp>
      <tp>
        <v>26350</v>
        <stp/>
        <stp>P</stp>
        <stp>0</stp>
        <stp>STK</stp>
        <stp>N026960</stp>
        <stp>고가</stp>
        <stp/>
        <stp/>
        <tr r="P172" s="1"/>
        <tr r="P144" s="3"/>
      </tp>
      <tp>
        <v>34700</v>
        <stp/>
        <stp>P</stp>
        <stp>0</stp>
        <stp>STK</stp>
        <stp>N425420</stp>
        <stp>고가</stp>
        <stp/>
        <stp/>
        <tr r="P532" s="1"/>
      </tp>
      <tp>
        <v>25700</v>
        <stp/>
        <stp>P</stp>
        <stp>0</stp>
        <stp>STK</stp>
        <stp>N023160</stp>
        <stp>고가</stp>
        <stp/>
        <stp/>
        <tr r="P386" s="1"/>
      </tp>
      <tp>
        <v>71400</v>
        <stp/>
        <stp>P</stp>
        <stp>0</stp>
        <stp>STK</stp>
        <stp>N122870</stp>
        <stp>고가</stp>
        <stp/>
        <stp/>
        <tr r="P270" s="1"/>
      </tp>
      <tp>
        <v>7750</v>
        <stp/>
        <stp>P</stp>
        <stp>0</stp>
        <stp>STK</stp>
        <stp>N020560</stp>
        <stp>고가</stp>
        <stp/>
        <stp/>
        <tr r="P192" s="3"/>
        <tr r="P243" s="1"/>
      </tp>
      <tp>
        <v>29000</v>
        <stp/>
        <stp>P</stp>
        <stp>0</stp>
        <stp>STK</stp>
        <stp>N029460</stp>
        <stp>고가</stp>
        <stp/>
        <stp/>
        <tr r="P554" s="1"/>
        <tr r="P329" s="3"/>
      </tp>
      <tp>
        <v>39950</v>
        <stp/>
        <stp>P</stp>
        <stp>0</stp>
        <stp>STK</stp>
        <stp>N229640</stp>
        <stp>고가</stp>
        <stp/>
        <stp/>
        <tr r="P214" s="3"/>
        <tr r="P289" s="1"/>
      </tp>
      <tp>
        <v>302000</v>
        <stp/>
        <stp>P</stp>
        <stp>0</stp>
        <stp>STK</stp>
        <stp>N028260</stp>
        <stp>고가</stp>
        <stp/>
        <stp/>
        <tr r="P17" s="1"/>
        <tr r="P17" s="3"/>
      </tp>
      <tp>
        <v>14370</v>
        <stp/>
        <stp>P</stp>
        <stp>0</stp>
        <stp>STK</stp>
        <stp>N232140</stp>
        <stp>저가</stp>
        <stp/>
        <stp/>
        <tr r="Q280" s="1"/>
      </tp>
      <tp>
        <v>52900</v>
        <stp/>
        <stp>P</stp>
        <stp>0</stp>
        <stp>STK</stp>
        <stp>N131970</stp>
        <stp>저가</stp>
        <stp/>
        <stp/>
        <tr r="Q308" s="1"/>
      </tp>
      <tp>
        <v>40750</v>
        <stp/>
        <stp>P</stp>
        <stp>0</stp>
        <stp>STK</stp>
        <stp>N036460</stp>
        <stp>저가</stp>
        <stp/>
        <stp/>
        <tr r="Q134" s="1"/>
        <tr r="Q119" s="3"/>
      </tp>
      <tp>
        <v>63600</v>
        <stp/>
        <stp>P</stp>
        <stp>0</stp>
        <stp>STK</stp>
        <stp>N035760</stp>
        <stp>저가</stp>
        <stp/>
        <stp/>
        <tr r="Q260" s="1"/>
      </tp>
      <tp>
        <v>54600</v>
        <stp/>
        <stp>P</stp>
        <stp>0</stp>
        <stp>STK</stp>
        <stp>N131970</stp>
        <stp>시가</stp>
        <stp/>
        <stp/>
        <tr r="O308" s="1"/>
      </tp>
      <tp>
        <v>14490</v>
        <stp/>
        <stp>P</stp>
        <stp>0</stp>
        <stp>STK</stp>
        <stp>N232140</stp>
        <stp>시가</stp>
        <stp/>
        <stp/>
        <tr r="O280" s="1"/>
      </tp>
      <tp>
        <v>64300</v>
        <stp/>
        <stp>P</stp>
        <stp>0</stp>
        <stp>STK</stp>
        <stp>N035760</stp>
        <stp>시가</stp>
        <stp/>
        <stp/>
        <tr r="O260" s="1"/>
      </tp>
      <tp>
        <v>41250</v>
        <stp/>
        <stp>P</stp>
        <stp>0</stp>
        <stp>STK</stp>
        <stp>N036460</stp>
        <stp>시가</stp>
        <stp/>
        <stp/>
        <tr r="O134" s="1"/>
        <tr r="O119" s="3"/>
      </tp>
      <tp>
        <v>41700</v>
        <stp/>
        <stp>P</stp>
        <stp>0</stp>
        <stp>STK</stp>
        <stp>N036460</stp>
        <stp>고가</stp>
        <stp/>
        <stp/>
        <tr r="P134" s="1"/>
        <tr r="P119" s="3"/>
      </tp>
      <tp>
        <v>64500</v>
        <stp/>
        <stp>P</stp>
        <stp>0</stp>
        <stp>STK</stp>
        <stp>N035760</stp>
        <stp>고가</stp>
        <stp/>
        <stp/>
        <tr r="P260" s="1"/>
      </tp>
      <tp>
        <v>14600</v>
        <stp/>
        <stp>P</stp>
        <stp>0</stp>
        <stp>STK</stp>
        <stp>N232140</stp>
        <stp>고가</stp>
        <stp/>
        <stp/>
        <tr r="P280" s="1"/>
      </tp>
      <tp>
        <v>55300</v>
        <stp/>
        <stp>P</stp>
        <stp>0</stp>
        <stp>STK</stp>
        <stp>N131970</stp>
        <stp>고가</stp>
        <stp/>
        <stp/>
        <tr r="P308" s="1"/>
      </tp>
      <tp>
        <v>137900</v>
        <stp/>
        <stp>P</stp>
        <stp>0</stp>
        <stp>STK</stp>
        <stp>N042660</stp>
        <stp>저가</stp>
        <stp/>
        <stp/>
        <tr r="Q19" s="3"/>
        <tr r="Q20" s="1"/>
      </tp>
      <tp>
        <v>78700</v>
        <stp/>
        <stp>P</stp>
        <stp>0</stp>
        <stp>STK</stp>
        <stp>N347850</stp>
        <stp>저가</stp>
        <stp/>
        <stp/>
        <tr r="Q138" s="1"/>
      </tp>
      <tp>
        <v>173600</v>
        <stp/>
        <stp>P</stp>
        <stp>0</stp>
        <stp>STK</stp>
        <stp>N247540</stp>
        <stp>저가</stp>
        <stp/>
        <stp/>
        <tr r="Q54" s="1"/>
      </tp>
      <tp>
        <v>138200</v>
        <stp/>
        <stp>P</stp>
        <stp>0</stp>
        <stp>STK</stp>
        <stp>N042660</stp>
        <stp>시가</stp>
        <stp/>
        <stp/>
        <tr r="O19" s="3"/>
        <tr r="O20" s="1"/>
      </tp>
      <tp>
        <v>180000</v>
        <stp/>
        <stp>P</stp>
        <stp>0</stp>
        <stp>STK</stp>
        <stp>N247540</stp>
        <stp>시가</stp>
        <stp/>
        <stp/>
        <tr r="O54" s="1"/>
      </tp>
      <tp>
        <v>80100</v>
        <stp/>
        <stp>P</stp>
        <stp>0</stp>
        <stp>STK</stp>
        <stp>N347850</stp>
        <stp>시가</stp>
        <stp/>
        <stp/>
        <tr r="O138" s="1"/>
      </tp>
      <tp>
        <v>80100</v>
        <stp/>
        <stp>P</stp>
        <stp>0</stp>
        <stp>STK</stp>
        <stp>N347850</stp>
        <stp>고가</stp>
        <stp/>
        <stp/>
        <tr r="P138" s="1"/>
      </tp>
      <tp>
        <v>180000</v>
        <stp/>
        <stp>P</stp>
        <stp>0</stp>
        <stp>STK</stp>
        <stp>N247540</stp>
        <stp>고가</stp>
        <stp/>
        <stp/>
        <tr r="P54" s="1"/>
      </tp>
      <tp>
        <v>142500</v>
        <stp/>
        <stp>P</stp>
        <stp>0</stp>
        <stp>STK</stp>
        <stp>N042660</stp>
        <stp>고가</stp>
        <stp/>
        <stp/>
        <tr r="P20" s="1"/>
        <tr r="P19" s="3"/>
      </tp>
      <tp>
        <v>15480</v>
        <stp/>
        <stp>P</stp>
        <stp>0</stp>
        <stp>STK</stp>
        <stp>N051360</stp>
        <stp>저가</stp>
        <stp/>
        <stp/>
        <tr r="Q672" s="1"/>
      </tp>
      <tp>
        <v>60200</v>
        <stp/>
        <stp>P</stp>
        <stp>0</stp>
        <stp>STK</stp>
        <stp>N357550</stp>
        <stp>저가</stp>
        <stp/>
        <stp/>
        <tr r="Q609" s="1"/>
      </tp>
      <tp>
        <v>15620</v>
        <stp/>
        <stp>P</stp>
        <stp>0</stp>
        <stp>STK</stp>
        <stp>N051360</stp>
        <stp>시가</stp>
        <stp/>
        <stp/>
        <tr r="O672" s="1"/>
      </tp>
      <tp>
        <v>62400</v>
        <stp/>
        <stp>P</stp>
        <stp>0</stp>
        <stp>STK</stp>
        <stp>N357550</stp>
        <stp>시가</stp>
        <stp/>
        <stp/>
        <tr r="O609" s="1"/>
      </tp>
      <tp>
        <v>63100</v>
        <stp/>
        <stp>P</stp>
        <stp>0</stp>
        <stp>STK</stp>
        <stp>N357550</stp>
        <stp>고가</stp>
        <stp/>
        <stp/>
        <tr r="P609" s="1"/>
      </tp>
      <tp>
        <v>15680</v>
        <stp/>
        <stp>P</stp>
        <stp>0</stp>
        <stp>STK</stp>
        <stp>N051360</stp>
        <stp>고가</stp>
        <stp/>
        <stp/>
        <tr r="P672" s="1"/>
      </tp>
      <tp>
        <v>18480</v>
        <stp/>
        <stp>P</stp>
        <stp>0</stp>
        <stp>STK</stp>
        <stp>N069260</stp>
        <stp>시가</stp>
        <stp/>
        <stp/>
        <tr r="O369" s="1"/>
        <tr r="O251" s="3"/>
      </tp>
      <tp>
        <v>91100</v>
        <stp/>
        <stp>P</stp>
        <stp>0</stp>
        <stp>STK</stp>
        <stp>N069960</stp>
        <stp>시가</stp>
        <stp/>
        <stp/>
        <tr r="O203" s="1"/>
        <tr r="O169" s="3"/>
      </tp>
      <tp>
        <v>61200</v>
        <stp/>
        <stp>P</stp>
        <stp>0</stp>
        <stp>STK</stp>
        <stp>N068760</stp>
        <stp>시가</stp>
        <stp/>
        <stp/>
        <tr r="O168" s="1"/>
      </tp>
      <tp>
        <v>64900</v>
        <stp/>
        <stp>P</stp>
        <stp>0</stp>
        <stp>STK</stp>
        <stp>N067160</stp>
        <stp>저가</stp>
        <stp/>
        <stp/>
        <tr r="Q370" s="1"/>
      </tp>
      <tp>
        <v>38750</v>
        <stp/>
        <stp>P</stp>
        <stp>0</stp>
        <stp>STK</stp>
        <stp>N065660</stp>
        <stp>저가</stp>
        <stp/>
        <stp/>
        <tr r="Q553" s="1"/>
      </tp>
      <tp>
        <v>38600</v>
        <stp/>
        <stp>P</stp>
        <stp>0</stp>
        <stp>STK</stp>
        <stp>N064960</stp>
        <stp>저가</stp>
        <stp/>
        <stp/>
        <tr r="Q226" s="3"/>
        <tr r="Q299" s="1"/>
      </tp>
      <tp>
        <v>172800</v>
        <stp/>
        <stp>P</stp>
        <stp>0</stp>
        <stp>STK</stp>
        <stp>N064760</stp>
        <stp>저가</stp>
        <stp/>
        <stp/>
        <tr r="Q215" s="1"/>
      </tp>
      <tp>
        <v>91000</v>
        <stp/>
        <stp>P</stp>
        <stp>0</stp>
        <stp>STK</stp>
        <stp>N069960</stp>
        <stp>저가</stp>
        <stp/>
        <stp/>
        <tr r="Q169" s="3"/>
        <tr r="Q203" s="1"/>
      </tp>
      <tp>
        <v>18360</v>
        <stp/>
        <stp>P</stp>
        <stp>0</stp>
        <stp>STK</stp>
        <stp>N069260</stp>
        <stp>저가</stp>
        <stp/>
        <stp/>
        <tr r="Q251" s="3"/>
        <tr r="Q369" s="1"/>
      </tp>
      <tp>
        <v>61000</v>
        <stp/>
        <stp>P</stp>
        <stp>0</stp>
        <stp>STK</stp>
        <stp>N068760</stp>
        <stp>저가</stp>
        <stp/>
        <stp/>
        <tr r="Q168" s="1"/>
      </tp>
      <tp>
        <v>38750</v>
        <stp/>
        <stp>P</stp>
        <stp>0</stp>
        <stp>STK</stp>
        <stp>N065660</stp>
        <stp>시가</stp>
        <stp/>
        <stp/>
        <tr r="O553" s="1"/>
      </tp>
      <tp>
        <v>177100</v>
        <stp/>
        <stp>P</stp>
        <stp>0</stp>
        <stp>STK</stp>
        <stp>N064760</stp>
        <stp>시가</stp>
        <stp/>
        <stp/>
        <tr r="O215" s="1"/>
      </tp>
      <tp>
        <v>40000</v>
        <stp/>
        <stp>P</stp>
        <stp>0</stp>
        <stp>STK</stp>
        <stp>N064960</stp>
        <stp>시가</stp>
        <stp/>
        <stp/>
        <tr r="O226" s="3"/>
        <tr r="O299" s="1"/>
      </tp>
      <tp>
        <v>64900</v>
        <stp/>
        <stp>P</stp>
        <stp>0</stp>
        <stp>STK</stp>
        <stp>N067160</stp>
        <stp>시가</stp>
        <stp/>
        <stp/>
        <tr r="O370" s="1"/>
      </tp>
      <tp>
        <v>65500</v>
        <stp/>
        <stp>P</stp>
        <stp>0</stp>
        <stp>STK</stp>
        <stp>N067160</stp>
        <stp>고가</stp>
        <stp/>
        <stp/>
        <tr r="P370" s="1"/>
      </tp>
      <tp>
        <v>39850</v>
        <stp/>
        <stp>P</stp>
        <stp>0</stp>
        <stp>STK</stp>
        <stp>N065660</stp>
        <stp>고가</stp>
        <stp/>
        <stp/>
        <tr r="P553" s="1"/>
      </tp>
      <tp>
        <v>41100</v>
        <stp/>
        <stp>P</stp>
        <stp>0</stp>
        <stp>STK</stp>
        <stp>N064960</stp>
        <stp>고가</stp>
        <stp/>
        <stp/>
        <tr r="P226" s="3"/>
        <tr r="P299" s="1"/>
      </tp>
      <tp>
        <v>177100</v>
        <stp/>
        <stp>P</stp>
        <stp>0</stp>
        <stp>STK</stp>
        <stp>N064760</stp>
        <stp>고가</stp>
        <stp/>
        <stp/>
        <tr r="P215" s="1"/>
      </tp>
      <tp>
        <v>91700</v>
        <stp/>
        <stp>P</stp>
        <stp>0</stp>
        <stp>STK</stp>
        <stp>N069960</stp>
        <stp>고가</stp>
        <stp/>
        <stp/>
        <tr r="P203" s="1"/>
        <tr r="P169" s="3"/>
      </tp>
      <tp>
        <v>18660</v>
        <stp/>
        <stp>P</stp>
        <stp>0</stp>
        <stp>STK</stp>
        <stp>N069260</stp>
        <stp>고가</stp>
        <stp/>
        <stp/>
        <tr r="P251" s="3"/>
        <tr r="P369" s="1"/>
      </tp>
      <tp>
        <v>61600</v>
        <stp/>
        <stp>P</stp>
        <stp>0</stp>
        <stp>STK</stp>
        <stp>N068760</stp>
        <stp>고가</stp>
        <stp/>
        <stp/>
        <tr r="P168" s="1"/>
      </tp>
      <tp>
        <v>14970</v>
        <stp/>
        <stp>P</stp>
        <stp>0</stp>
        <stp>STK</stp>
        <stp>N078160</stp>
        <stp>시가</stp>
        <stp/>
        <stp/>
        <tr r="O435" s="1"/>
      </tp>
      <tp>
        <v>13800</v>
        <stp/>
        <stp>P</stp>
        <stp>0</stp>
        <stp>STK</stp>
        <stp>N271940</stp>
        <stp>저가</stp>
        <stp/>
        <stp/>
        <tr r="Q481" s="1"/>
        <tr r="Q298" s="3"/>
      </tp>
      <tp>
        <v>13860</v>
        <stp/>
        <stp>P</stp>
        <stp>0</stp>
        <stp>STK</stp>
        <stp>N271940</stp>
        <stp>시가</stp>
        <stp/>
        <stp/>
        <tr r="O298" s="3"/>
        <tr r="O481" s="1"/>
      </tp>
      <tp>
        <v>14800</v>
        <stp/>
        <stp>P</stp>
        <stp>0</stp>
        <stp>STK</stp>
        <stp>N078160</stp>
        <stp>저가</stp>
        <stp/>
        <stp/>
        <tr r="Q435" s="1"/>
      </tp>
      <tp>
        <v>14100</v>
        <stp/>
        <stp>P</stp>
        <stp>0</stp>
        <stp>STK</stp>
        <stp>N271940</stp>
        <stp>고가</stp>
        <stp/>
        <stp/>
        <tr r="P298" s="3"/>
        <tr r="P481" s="1"/>
      </tp>
      <tp>
        <v>14970</v>
        <stp/>
        <stp>P</stp>
        <stp>0</stp>
        <stp>STK</stp>
        <stp>N078160</stp>
        <stp>고가</stp>
        <stp/>
        <stp/>
        <tr r="P435" s="1"/>
      </tp>
      <tp>
        <v>90600</v>
        <stp/>
        <stp>P</stp>
        <stp>0</stp>
        <stp>STK</stp>
        <stp>069960</stp>
        <stp>현재가</stp>
        <stp/>
        <stp/>
        <tr r="T203" s="3"/>
        <tr r="T203" s="1"/>
      </tp>
      <tp>
        <v>18700</v>
        <stp/>
        <stp>P</stp>
        <stp>0</stp>
        <stp>STK</stp>
        <stp>069260</stp>
        <stp>현재가</stp>
        <stp/>
        <stp/>
        <tr r="T369" s="3"/>
        <tr r="T369" s="1"/>
      </tp>
      <tp>
        <v>12070</v>
        <stp/>
        <stp>P</stp>
        <stp>0</stp>
        <stp>STK</stp>
        <stp>069080</stp>
        <stp>현재가</stp>
        <stp/>
        <stp/>
        <tr r="T523" s="1"/>
      </tp>
      <tp>
        <v>164600</v>
        <stp/>
        <stp>P</stp>
        <stp>0</stp>
        <stp>STK</stp>
        <stp>069620</stp>
        <stp>현재가</stp>
        <stp/>
        <stp/>
        <tr r="T217" s="1"/>
        <tr r="T217" s="3"/>
      </tp>
      <tp>
        <v>23100</v>
        <stp/>
        <stp>P</stp>
        <stp>0</stp>
        <stp>STK</stp>
        <stp>469610</stp>
        <stp>현재가</stp>
        <stp/>
        <stp/>
        <tr r="T696" s="1"/>
      </tp>
      <tp>
        <v>15410</v>
        <stp/>
        <stp>P</stp>
        <stp>0</stp>
        <stp>STK</stp>
        <stp>168360</stp>
        <stp>현재가</stp>
        <stp/>
        <stp/>
        <tr r="T582" s="1"/>
      </tp>
      <tp>
        <v>136600</v>
        <stp/>
        <stp>P</stp>
        <stp>0</stp>
        <stp>STK</stp>
        <stp>268280</stp>
        <stp>현재가</stp>
        <stp/>
        <stp/>
        <tr r="T388" s="1"/>
      </tp>
      <tp>
        <v>207000</v>
        <stp/>
        <stp>P</stp>
        <stp>0</stp>
        <stp>STK</stp>
        <stp>068270</stp>
        <stp>현재가</stp>
        <stp/>
        <stp/>
        <tr r="T18" s="3"/>
        <tr r="T18" s="1"/>
      </tp>
      <tp>
        <v>61100</v>
        <stp/>
        <stp>P</stp>
        <stp>0</stp>
        <stp>STK</stp>
        <stp>068760</stp>
        <stp>현재가</stp>
        <stp/>
        <stp/>
        <tr r="T168" s="1"/>
        <tr r="T168" s="3"/>
      </tp>
      <tp>
        <v>79500</v>
        <stp/>
        <stp>P</stp>
        <stp>0</stp>
        <stp>STK</stp>
        <stp>468530</stp>
        <stp>현재가</stp>
        <stp/>
        <stp/>
        <tr r="T337" s="1"/>
        <tr r="T337" s="3"/>
      </tp>
      <tp>
        <v>55100</v>
        <stp/>
        <stp>P</stp>
        <stp>0</stp>
        <stp>STK</stp>
        <stp>365340</stp>
        <stp>현재가</stp>
        <stp/>
        <stp/>
        <tr r="T419" s="1"/>
      </tp>
      <tp>
        <v>59500</v>
        <stp/>
        <stp>P</stp>
        <stp>0</stp>
        <stp>STK</stp>
        <stp>065350</stp>
        <stp>현재가</stp>
        <stp/>
        <stp/>
        <tr r="T239" s="3"/>
        <tr r="T239" s="1"/>
      </tp>
      <tp>
        <v>30400</v>
        <stp/>
        <stp>P</stp>
        <stp>0</stp>
        <stp>STK</stp>
        <stp>065680</stp>
        <stp>현재가</stp>
        <stp/>
        <stp/>
        <tr r="T635" s="1"/>
      </tp>
      <tp>
        <v>38800</v>
        <stp/>
        <stp>P</stp>
        <stp>0</stp>
        <stp>STK</stp>
        <stp>065660</stp>
        <stp>현재가</stp>
        <stp/>
        <stp/>
        <tr r="T553" s="1"/>
      </tp>
      <tp>
        <v>19030</v>
        <stp/>
        <stp>P</stp>
        <stp>0</stp>
        <stp>STK</stp>
        <stp>265520</stp>
        <stp>현재가</stp>
        <stp/>
        <stp/>
        <tr r="T639" s="1"/>
      </tp>
      <tp>
        <v>39050</v>
        <stp/>
        <stp>P</stp>
        <stp>0</stp>
        <stp>STK</stp>
        <stp>064960</stp>
        <stp>현재가</stp>
        <stp/>
        <stp/>
        <tr r="T299" s="3"/>
        <tr r="T299" s="1"/>
      </tp>
      <tp>
        <v>12090</v>
        <stp/>
        <stp>P</stp>
        <stp>0</stp>
        <stp>STK</stp>
        <stp>064820</stp>
        <stp>현재가</stp>
        <stp/>
        <stp/>
        <tr r="T548" s="1"/>
      </tp>
      <tp>
        <v>205500</v>
        <stp/>
        <stp>P</stp>
        <stp>0</stp>
        <stp>STK</stp>
        <stp>064350</stp>
        <stp>현재가</stp>
        <stp/>
        <stp/>
        <tr r="T34" s="1"/>
        <tr r="T34" s="3"/>
      </tp>
      <tp>
        <v>174100</v>
        <stp/>
        <stp>P</stp>
        <stp>0</stp>
        <stp>STK</stp>
        <stp>064760</stp>
        <stp>현재가</stp>
        <stp/>
        <stp/>
        <tr r="T215" s="3"/>
        <tr r="T215" s="1"/>
      </tp>
      <tp>
        <v>12020</v>
        <stp/>
        <stp>P</stp>
        <stp>0</stp>
        <stp>STK</stp>
        <stp>064550</stp>
        <stp>현재가</stp>
        <stp/>
        <stp/>
        <tr r="T613" s="1"/>
      </tp>
      <tp>
        <v>69300</v>
        <stp/>
        <stp>P</stp>
        <stp>0</stp>
        <stp>STK</stp>
        <stp>064400</stp>
        <stp>현재가</stp>
        <stp/>
        <stp/>
        <tr r="T91" s="3"/>
        <tr r="T91" s="1"/>
      </tp>
      <tp>
        <v>34800</v>
        <stp/>
        <stp>P</stp>
        <stp>0</stp>
        <stp>STK</stp>
        <stp>267980</stp>
        <stp>현재가</stp>
        <stp/>
        <stp/>
        <tr r="T655" s="1"/>
      </tp>
      <tp>
        <v>25450</v>
        <stp/>
        <stp>P</stp>
        <stp>0</stp>
        <stp>STK</stp>
        <stp>067310</stp>
        <stp>현재가</stp>
        <stp/>
        <stp/>
        <tr r="T230" s="3"/>
        <tr r="T230" s="1"/>
      </tp>
      <tp>
        <v>243500</v>
        <stp/>
        <stp>P</stp>
        <stp>0</stp>
        <stp>STK</stp>
        <stp>267250</stp>
        <stp>현재가</stp>
        <stp/>
        <stp/>
        <tr r="T41" s="1"/>
        <tr r="T41" s="3"/>
      </tp>
      <tp>
        <v>120100</v>
        <stp/>
        <stp>P</stp>
        <stp>0</stp>
        <stp>STK</stp>
        <stp>267270</stp>
        <stp>현재가</stp>
        <stp/>
        <stp/>
        <tr r="T213" s="1"/>
        <tr r="T213" s="3"/>
      </tp>
      <tp>
        <v>872000</v>
        <stp/>
        <stp>P</stp>
        <stp>0</stp>
        <stp>STK</stp>
        <stp>267260</stp>
        <stp>현재가</stp>
        <stp/>
        <stp/>
        <tr r="T26" s="1"/>
        <tr r="T26" s="3"/>
      </tp>
      <tp>
        <v>65300</v>
        <stp/>
        <stp>P</stp>
        <stp>0</stp>
        <stp>STK</stp>
        <stp>067160</stp>
        <stp>현재가</stp>
        <stp/>
        <stp/>
        <tr r="T370" s="1"/>
        <tr r="T370" s="3"/>
      </tp>
      <tp>
        <v>15790</v>
        <stp/>
        <stp>P</stp>
        <stp>0</stp>
        <stp>STK</stp>
        <stp>067080</stp>
        <stp>현재가</stp>
        <stp/>
        <stp/>
        <tr r="T620" s="1"/>
      </tp>
      <tp>
        <v>125000</v>
        <stp/>
        <stp>P</stp>
        <stp>0</stp>
        <stp>STK</stp>
        <stp>066970</stp>
        <stp>현재가</stp>
        <stp/>
        <stp/>
        <tr r="T115" s="1"/>
        <tr r="T115" s="3"/>
      </tp>
      <tp>
        <v>68700</v>
        <stp/>
        <stp>P</stp>
        <stp>0</stp>
        <stp>STK</stp>
        <stp>466100</stp>
        <stp>현재가</stp>
        <stp/>
        <stp/>
        <tr r="T216" s="1"/>
        <tr r="T216" s="3"/>
      </tp>
      <tp>
        <v>52900</v>
        <stp/>
        <stp>P</stp>
        <stp>0</stp>
        <stp>STK</stp>
        <stp>166090</stp>
        <stp>현재가</stp>
        <stp/>
        <stp/>
        <tr r="T300" s="3"/>
        <tr r="T300" s="1"/>
      </tp>
      <tp>
        <v>106100</v>
        <stp/>
        <stp>P</stp>
        <stp>0</stp>
        <stp>STK</stp>
        <stp>066570</stp>
        <stp>현재가</stp>
        <stp/>
        <stp/>
        <tr r="T45" s="1"/>
        <tr r="T45" s="3"/>
      </tp>
      <tp>
        <v>66200</v>
        <stp/>
        <stp>P</stp>
        <stp>0</stp>
        <stp>STK</stp>
        <stp>161890</stp>
        <stp>현재가</stp>
        <stp/>
        <stp/>
        <tr r="T245" s="1"/>
        <tr r="T245" s="3"/>
      </tp>
      <tp>
        <v>67400</v>
        <stp/>
        <stp>P</stp>
        <stp>0</stp>
        <stp>STK</stp>
        <stp>161390</stp>
        <stp>현재가</stp>
        <stp/>
        <stp/>
        <tr r="T81" s="3"/>
        <tr r="T81" s="1"/>
      </tp>
      <tp>
        <v>42400</v>
        <stp/>
        <stp>P</stp>
        <stp>0</stp>
        <stp>STK</stp>
        <stp>061090</stp>
        <stp>현재가</stp>
        <stp/>
        <stp/>
        <tr r="T679" s="1"/>
      </tp>
      <tp>
        <v>9490</v>
        <stp/>
        <stp>P</stp>
        <stp>0</stp>
        <stp>STK</stp>
        <stp>161000</stp>
        <stp>현재가</stp>
        <stp/>
        <stp/>
        <tr r="T521" s="1"/>
      </tp>
      <tp>
        <v>26550</v>
        <stp/>
        <stp>P</stp>
        <stp>0</stp>
        <stp>STK</stp>
        <stp>361610</stp>
        <stp>현재가</stp>
        <stp/>
        <stp/>
        <tr r="T211" s="1"/>
        <tr r="T211" s="3"/>
      </tp>
      <tp>
        <v>44800</v>
        <stp/>
        <stp>P</stp>
        <stp>0</stp>
        <stp>STK</stp>
        <stp>161580</stp>
        <stp>현재가</stp>
        <stp/>
        <stp/>
        <tr r="T311" s="3"/>
        <tr r="T311" s="1"/>
      </tp>
      <tp>
        <v>46300</v>
        <stp/>
        <stp>P</stp>
        <stp>0</stp>
        <stp>STK</stp>
        <stp>060980</stp>
        <stp>현재가</stp>
        <stp/>
        <stp/>
        <tr r="T505" s="1"/>
      </tp>
      <tp>
        <v>18570</v>
        <stp/>
        <stp>P</stp>
        <stp>0</stp>
        <stp>STK</stp>
        <stp>460930</stp>
        <stp>현재가</stp>
        <stp/>
        <stp/>
        <tr r="T396" s="1"/>
      </tp>
      <tp>
        <v>8300</v>
        <stp/>
        <stp>P</stp>
        <stp>0</stp>
        <stp>STK</stp>
        <stp>460860</stp>
        <stp>현재가</stp>
        <stp/>
        <stp/>
        <tr r="T533" s="1"/>
      </tp>
      <tp>
        <v>27100</v>
        <stp/>
        <stp>P</stp>
        <stp>0</stp>
        <stp>STK</stp>
        <stp>060370</stp>
        <stp>현재가</stp>
        <stp/>
        <stp/>
        <tr r="T253" s="3"/>
        <tr r="T253" s="1"/>
      </tp>
      <tp>
        <v>18690</v>
        <stp/>
        <stp>P</stp>
        <stp>0</stp>
        <stp>STK</stp>
        <stp>060280</stp>
        <stp>현재가</stp>
        <stp/>
        <stp/>
        <tr r="T346" s="3"/>
        <tr r="T346" s="1"/>
      </tp>
      <tp>
        <v>14360</v>
        <stp/>
        <stp>P</stp>
        <stp>0</stp>
        <stp>STK</stp>
        <stp>060250</stp>
        <stp>현재가</stp>
        <stp/>
        <stp/>
        <tr r="T437" s="1"/>
      </tp>
      <tp>
        <v>69800</v>
        <stp/>
        <stp>P</stp>
        <stp>0</stp>
        <stp>STK</stp>
        <stp>160190</stp>
        <stp>현재가</stp>
        <stp/>
        <stp/>
        <tr r="T190" s="1"/>
        <tr r="T190" s="3"/>
      </tp>
      <tp>
        <v>13860</v>
        <stp/>
        <stp>P</stp>
        <stp>0</stp>
        <stp>STK</stp>
        <stp>060720</stp>
        <stp>현재가</stp>
        <stp/>
        <stp/>
        <tr r="T570" s="1"/>
      </tp>
      <tp>
        <v>43550</v>
        <stp/>
        <stp>P</stp>
        <stp>0</stp>
        <stp>STK</stp>
        <stp>263750</stp>
        <stp>현재가</stp>
        <stp/>
        <stp/>
        <tr r="T162" s="1"/>
        <tr r="T162" s="3"/>
      </tp>
      <tp>
        <v>34200</v>
        <stp/>
        <stp>P</stp>
        <stp>0</stp>
        <stp>STK</stp>
        <stp>462870</stp>
        <stp>현재가</stp>
        <stp/>
        <stp/>
        <tr r="T214" s="1"/>
        <tr r="T214" s="3"/>
      </tp>
      <tp>
        <v>140600</v>
        <stp/>
        <stp>P</stp>
        <stp>0</stp>
        <stp>STK</stp>
        <stp>062040</stp>
        <stp>현재가</stp>
        <stp/>
        <stp/>
        <tr r="T119" s="1"/>
        <tr r="T119" s="3"/>
      </tp>
      <tp>
        <v>33350</v>
        <stp/>
        <stp>P</stp>
        <stp>0</stp>
        <stp>STK</stp>
        <stp>N089010</stp>
        <stp>시가</stp>
        <stp/>
        <stp/>
        <tr r="O463" s="1"/>
      </tp>
      <tp>
        <v>74500</v>
        <stp/>
        <stp>P</stp>
        <stp>0</stp>
        <stp>STK</stp>
        <stp>N189300</stp>
        <stp>시가</stp>
        <stp/>
        <stp/>
        <tr r="O356" s="1"/>
      </tp>
      <tp>
        <v>97000</v>
        <stp/>
        <stp>P</stp>
        <stp>0</stp>
        <stp>STK</stp>
        <stp>N183300</stp>
        <stp>저가</stp>
        <stp/>
        <stp/>
        <tr r="Q303" s="1"/>
      </tp>
      <tp>
        <v>65800</v>
        <stp/>
        <stp>P</stp>
        <stp>0</stp>
        <stp>STK</stp>
        <stp>N383220</stp>
        <stp>저가</stp>
        <stp/>
        <stp/>
        <tr r="Q175" s="1"/>
        <tr r="Q147" s="3"/>
      </tp>
      <tp>
        <v>147400</v>
        <stp/>
        <stp>P</stp>
        <stp>0</stp>
        <stp>STK</stp>
        <stp>N483650</stp>
        <stp>저가</stp>
        <stp/>
        <stp/>
        <tr r="Q233" s="1"/>
        <tr r="Q177" s="3"/>
      </tp>
      <tp>
        <v>95100</v>
        <stp/>
        <stp>P</stp>
        <stp>0</stp>
        <stp>STK</stp>
        <stp>N388720</stp>
        <stp>시가</stp>
        <stp/>
        <stp/>
        <tr r="O283" s="1"/>
      </tp>
      <tp>
        <v>120000</v>
        <stp/>
        <stp>P</stp>
        <stp>0</stp>
        <stp>STK</stp>
        <stp>N282330</stp>
        <stp>저가</stp>
        <stp/>
        <stp/>
        <tr r="Q210" s="1"/>
        <tr r="Q171" s="3"/>
      </tp>
      <tp>
        <v>233000</v>
        <stp/>
        <stp>P</stp>
        <stp>0</stp>
        <stp>STK</stp>
        <stp>N087010</stp>
        <stp>저가</stp>
        <stp/>
        <stp/>
        <tr r="Q108" s="1"/>
      </tp>
      <tp>
        <v>67200</v>
        <stp/>
        <stp>P</stp>
        <stp>0</stp>
        <stp>STK</stp>
        <stp>N285130</stp>
        <stp>저가</stp>
        <stp/>
        <stp/>
        <tr r="Q215" s="3"/>
        <tr r="Q292" s="1"/>
      </tp>
      <tp>
        <v>49850</v>
        <stp/>
        <stp>P</stp>
        <stp>0</stp>
        <stp>STK</stp>
        <stp>N084110</stp>
        <stp>저가</stp>
        <stp/>
        <stp/>
        <tr r="Q423" s="1"/>
      </tp>
      <tp>
        <v>10280</v>
        <stp/>
        <stp>P</stp>
        <stp>0</stp>
        <stp>STK</stp>
        <stp>N084010</stp>
        <stp>저가</stp>
        <stp/>
        <stp/>
        <tr r="Q378" s="3"/>
        <tr r="Q684" s="1"/>
      </tp>
      <tp>
        <v>150000</v>
        <stp/>
        <stp>P</stp>
        <stp>0</stp>
        <stp>STK</stp>
        <stp>N483650</stp>
        <stp>시가</stp>
        <stp/>
        <stp/>
        <tr r="O177" s="3"/>
        <tr r="O233" s="1"/>
      </tp>
      <tp>
        <v>98700</v>
        <stp/>
        <stp>P</stp>
        <stp>0</stp>
        <stp>STK</stp>
        <stp>N183300</stp>
        <stp>시가</stp>
        <stp/>
        <stp/>
        <tr r="O303" s="1"/>
      </tp>
      <tp>
        <v>66100</v>
        <stp/>
        <stp>P</stp>
        <stp>0</stp>
        <stp>STK</stp>
        <stp>N383220</stp>
        <stp>시가</stp>
        <stp/>
        <stp/>
        <tr r="O147" s="3"/>
        <tr r="O175" s="1"/>
      </tp>
      <tp>
        <v>32100</v>
        <stp/>
        <stp>P</stp>
        <stp>0</stp>
        <stp>STK</stp>
        <stp>N089010</stp>
        <stp>저가</stp>
        <stp/>
        <stp/>
        <tr r="Q463" s="1"/>
      </tp>
      <tp>
        <v>72800</v>
        <stp/>
        <stp>P</stp>
        <stp>0</stp>
        <stp>STK</stp>
        <stp>N189300</stp>
        <stp>저가</stp>
        <stp/>
        <stp/>
        <tr r="Q356" s="1"/>
      </tp>
      <tp>
        <v>121000</v>
        <stp/>
        <stp>P</stp>
        <stp>0</stp>
        <stp>STK</stp>
        <stp>N282330</stp>
        <stp>시가</stp>
        <stp/>
        <stp/>
        <tr r="O171" s="3"/>
        <tr r="O210" s="1"/>
      </tp>
      <tp>
        <v>93000</v>
        <stp/>
        <stp>P</stp>
        <stp>0</stp>
        <stp>STK</stp>
        <stp>N388720</stp>
        <stp>저가</stp>
        <stp/>
        <stp/>
        <tr r="Q283" s="1"/>
      </tp>
      <tp>
        <v>67600</v>
        <stp/>
        <stp>P</stp>
        <stp>0</stp>
        <stp>STK</stp>
        <stp>N285130</stp>
        <stp>시가</stp>
        <stp/>
        <stp/>
        <tr r="O215" s="3"/>
        <tr r="O292" s="1"/>
      </tp>
      <tp>
        <v>50700</v>
        <stp/>
        <stp>P</stp>
        <stp>0</stp>
        <stp>STK</stp>
        <stp>N084110</stp>
        <stp>시가</stp>
        <stp/>
        <stp/>
        <tr r="O423" s="1"/>
      </tp>
      <tp>
        <v>10520</v>
        <stp/>
        <stp>P</stp>
        <stp>0</stp>
        <stp>STK</stp>
        <stp>N084010</stp>
        <stp>시가</stp>
        <stp/>
        <stp/>
        <tr r="O378" s="3"/>
        <tr r="O684" s="1"/>
      </tp>
      <tp>
        <v>238500</v>
        <stp/>
        <stp>P</stp>
        <stp>0</stp>
        <stp>STK</stp>
        <stp>N087010</stp>
        <stp>시가</stp>
        <stp/>
        <stp/>
        <tr r="O108" s="1"/>
      </tp>
      <tp>
        <v>241500</v>
        <stp/>
        <stp>P</stp>
        <stp>0</stp>
        <stp>STK</stp>
        <stp>N087010</stp>
        <stp>고가</stp>
        <stp/>
        <stp/>
        <tr r="P108" s="1"/>
      </tp>
      <tp>
        <v>67600</v>
        <stp/>
        <stp>P</stp>
        <stp>0</stp>
        <stp>STK</stp>
        <stp>N285130</stp>
        <stp>고가</stp>
        <stp/>
        <stp/>
        <tr r="P215" s="3"/>
        <tr r="P292" s="1"/>
      </tp>
      <tp>
        <v>50700</v>
        <stp/>
        <stp>P</stp>
        <stp>0</stp>
        <stp>STK</stp>
        <stp>N084110</stp>
        <stp>고가</stp>
        <stp/>
        <stp/>
        <tr r="P423" s="1"/>
      </tp>
      <tp>
        <v>10540</v>
        <stp/>
        <stp>P</stp>
        <stp>0</stp>
        <stp>STK</stp>
        <stp>N084010</stp>
        <stp>고가</stp>
        <stp/>
        <stp/>
        <tr r="P684" s="1"/>
        <tr r="P378" s="3"/>
      </tp>
      <tp>
        <v>99900</v>
        <stp/>
        <stp>P</stp>
        <stp>0</stp>
        <stp>STK</stp>
        <stp>N183300</stp>
        <stp>고가</stp>
        <stp/>
        <stp/>
        <tr r="P303" s="1"/>
      </tp>
      <tp>
        <v>66400</v>
        <stp/>
        <stp>P</stp>
        <stp>0</stp>
        <stp>STK</stp>
        <stp>N383220</stp>
        <stp>고가</stp>
        <stp/>
        <stp/>
        <tr r="P175" s="1"/>
        <tr r="P147" s="3"/>
      </tp>
      <tp>
        <v>150000</v>
        <stp/>
        <stp>P</stp>
        <stp>0</stp>
        <stp>STK</stp>
        <stp>N483650</stp>
        <stp>고가</stp>
        <stp/>
        <stp/>
        <tr r="P177" s="3"/>
        <tr r="P233" s="1"/>
      </tp>
      <tp>
        <v>121400</v>
        <stp/>
        <stp>P</stp>
        <stp>0</stp>
        <stp>STK</stp>
        <stp>N282330</stp>
        <stp>고가</stp>
        <stp/>
        <stp/>
        <tr r="P210" s="1"/>
        <tr r="P171" s="3"/>
      </tp>
      <tp>
        <v>34000</v>
        <stp/>
        <stp>P</stp>
        <stp>0</stp>
        <stp>STK</stp>
        <stp>N089010</stp>
        <stp>고가</stp>
        <stp/>
        <stp/>
        <tr r="P463" s="1"/>
      </tp>
      <tp>
        <v>76400</v>
        <stp/>
        <stp>P</stp>
        <stp>0</stp>
        <stp>STK</stp>
        <stp>N189300</stp>
        <stp>고가</stp>
        <stp/>
        <stp/>
        <tr r="P356" s="1"/>
      </tp>
      <tp>
        <v>97000</v>
        <stp/>
        <stp>P</stp>
        <stp>0</stp>
        <stp>STK</stp>
        <stp>N388720</stp>
        <stp>고가</stp>
        <stp/>
        <stp/>
        <tr r="P283" s="1"/>
      </tp>
      <tp>
        <v>60300</v>
        <stp/>
        <stp>P</stp>
        <stp>0</stp>
        <stp>STK</stp>
        <stp>N399720</stp>
        <stp>시가</stp>
        <stp/>
        <stp/>
        <tr r="O383" s="1"/>
      </tp>
      <tp>
        <v>31300</v>
        <stp/>
        <stp>P</stp>
        <stp>0</stp>
        <stp>STK</stp>
        <stp>N299030</stp>
        <stp>시가</stp>
        <stp/>
        <stp/>
        <tr r="O691" s="1"/>
      </tp>
      <tp>
        <v>56500</v>
        <stp/>
        <stp>P</stp>
        <stp>0</stp>
        <stp>STK</stp>
        <stp>N199800</stp>
        <stp>시가</stp>
        <stp/>
        <stp/>
        <tr r="O471" s="1"/>
      </tp>
      <tp>
        <v>27300</v>
        <stp/>
        <stp>P</stp>
        <stp>0</stp>
        <stp>STK</stp>
        <stp>N192400</stp>
        <stp>저가</stp>
        <stp/>
        <stp/>
        <tr r="Q232" s="3"/>
        <tr r="Q320" s="1"/>
      </tp>
      <tp>
        <v>47350</v>
        <stp/>
        <stp>P</stp>
        <stp>0</stp>
        <stp>STK</stp>
        <stp>N095610</stp>
        <stp>저가</stp>
        <stp/>
        <stp/>
        <tr r="Q319" s="1"/>
      </tp>
      <tp>
        <v>13620</v>
        <stp/>
        <stp>P</stp>
        <stp>0</stp>
        <stp>STK</stp>
        <stp>N194700</stp>
        <stp>저가</stp>
        <stp/>
        <stp/>
        <tr r="Q668" s="1"/>
      </tp>
      <tp>
        <v>55600</v>
        <stp/>
        <stp>P</stp>
        <stp>0</stp>
        <stp>STK</stp>
        <stp>N199800</stp>
        <stp>저가</stp>
        <stp/>
        <stp/>
        <tr r="Q471" s="1"/>
      </tp>
      <tp>
        <v>30700</v>
        <stp/>
        <stp>P</stp>
        <stp>0</stp>
        <stp>STK</stp>
        <stp>N299030</stp>
        <stp>저가</stp>
        <stp/>
        <stp/>
        <tr r="Q691" s="1"/>
      </tp>
      <tp>
        <v>60200</v>
        <stp/>
        <stp>P</stp>
        <stp>0</stp>
        <stp>STK</stp>
        <stp>N399720</stp>
        <stp>저가</stp>
        <stp/>
        <stp/>
        <tr r="Q383" s="1"/>
      </tp>
      <tp>
        <v>27400</v>
        <stp/>
        <stp>P</stp>
        <stp>0</stp>
        <stp>STK</stp>
        <stp>N192400</stp>
        <stp>시가</stp>
        <stp/>
        <stp/>
        <tr r="O320" s="1"/>
        <tr r="O232" s="3"/>
      </tp>
      <tp>
        <v>47800</v>
        <stp/>
        <stp>P</stp>
        <stp>0</stp>
        <stp>STK</stp>
        <stp>N095610</stp>
        <stp>시가</stp>
        <stp/>
        <stp/>
        <tr r="O319" s="1"/>
      </tp>
      <tp>
        <v>13620</v>
        <stp/>
        <stp>P</stp>
        <stp>0</stp>
        <stp>STK</stp>
        <stp>N194700</stp>
        <stp>시가</stp>
        <stp/>
        <stp/>
        <tr r="O668" s="1"/>
      </tp>
      <tp>
        <v>49900</v>
        <stp/>
        <stp>P</stp>
        <stp>0</stp>
        <stp>STK</stp>
        <stp>N095610</stp>
        <stp>고가</stp>
        <stp/>
        <stp/>
        <tr r="P319" s="1"/>
      </tp>
      <tp>
        <v>13680</v>
        <stp/>
        <stp>P</stp>
        <stp>0</stp>
        <stp>STK</stp>
        <stp>N194700</stp>
        <stp>고가</stp>
        <stp/>
        <stp/>
        <tr r="P668" s="1"/>
      </tp>
      <tp>
        <v>27900</v>
        <stp/>
        <stp>P</stp>
        <stp>0</stp>
        <stp>STK</stp>
        <stp>N192400</stp>
        <stp>고가</stp>
        <stp/>
        <stp/>
        <tr r="P320" s="1"/>
        <tr r="P232" s="3"/>
      </tp>
      <tp>
        <v>59000</v>
        <stp/>
        <stp>P</stp>
        <stp>0</stp>
        <stp>STK</stp>
        <stp>N199800</stp>
        <stp>고가</stp>
        <stp/>
        <stp/>
        <tr r="P471" s="1"/>
      </tp>
      <tp>
        <v>31850</v>
        <stp/>
        <stp>P</stp>
        <stp>0</stp>
        <stp>STK</stp>
        <stp>N299030</stp>
        <stp>고가</stp>
        <stp/>
        <stp/>
        <tr r="P691" s="1"/>
      </tp>
      <tp>
        <v>61800</v>
        <stp/>
        <stp>P</stp>
        <stp>0</stp>
        <stp>STK</stp>
        <stp>N399720</stp>
        <stp>고가</stp>
        <stp/>
        <stp/>
        <tr r="P383" s="1"/>
      </tp>
      <tp>
        <v>23750</v>
        <stp/>
        <stp>P</stp>
        <stp>0</stp>
        <stp>STK</stp>
        <stp>N403850</stp>
        <stp>저가</stp>
        <stp/>
        <stp/>
        <tr r="Q578" s="1"/>
      </tp>
      <tp>
        <v>12050</v>
        <stp/>
        <stp>P</stp>
        <stp>0</stp>
        <stp>STK</stp>
        <stp>N403550</stp>
        <stp>저가</stp>
        <stp/>
        <stp/>
        <tr r="Q322" s="3"/>
        <tr r="Q537" s="1"/>
      </tp>
      <tp>
        <v>16340</v>
        <stp/>
        <stp>P</stp>
        <stp>0</stp>
        <stp>STK</stp>
        <stp>N002810</stp>
        <stp>저가</stp>
        <stp/>
        <stp/>
        <tr r="Q616" s="1"/>
        <tr r="Q354" s="3"/>
      </tp>
      <tp>
        <v>15080</v>
        <stp/>
        <stp>P</stp>
        <stp>0</stp>
        <stp>STK</stp>
        <stp>N002710</stp>
        <stp>저가</stp>
        <stp/>
        <stp/>
        <tr r="Q567" s="1"/>
        <tr r="Q324" s="3"/>
      </tp>
      <tp>
        <v>486000</v>
        <stp/>
        <stp>P</stp>
        <stp>0</stp>
        <stp>STK</stp>
        <stp>N000810</stp>
        <stp>저가</stp>
        <stp/>
        <stp/>
        <tr r="Q35" s="1"/>
        <tr r="Q35" s="3"/>
      </tp>
      <tp>
        <v>12380</v>
        <stp/>
        <stp>P</stp>
        <stp>0</stp>
        <stp>STK</stp>
        <stp>N200130</stp>
        <stp>저가</stp>
        <stp/>
        <stp/>
        <tr r="Q562" s="1"/>
      </tp>
      <tp>
        <v>36600</v>
        <stp/>
        <stp>P</stp>
        <stp>0</stp>
        <stp>STK</stp>
        <stp>N000210</stp>
        <stp>저가</stp>
        <stp/>
        <stp/>
        <tr r="Q250" s="3"/>
        <tr r="Q365" s="1"/>
      </tp>
      <tp>
        <v>16500</v>
        <stp/>
        <stp>P</stp>
        <stp>0</stp>
        <stp>STK</stp>
        <stp>N300720</stp>
        <stp>저가</stp>
        <stp/>
        <stp/>
        <tr r="Q211" s="3"/>
        <tr r="Q279" s="1"/>
      </tp>
      <tp>
        <v>62200</v>
        <stp/>
        <stp>P</stp>
        <stp>0</stp>
        <stp>STK</stp>
        <stp>N007810</stp>
        <stp>저가</stp>
        <stp/>
        <stp/>
        <tr r="Q199" s="3"/>
        <tr r="Q250" s="1"/>
      </tp>
      <tp>
        <v>385500</v>
        <stp/>
        <stp>P</stp>
        <stp>0</stp>
        <stp>STK</stp>
        <stp>N007310</stp>
        <stp>저가</stp>
        <stp/>
        <stp/>
        <tr r="Q244" s="1"/>
        <tr r="Q194" s="3"/>
      </tp>
      <tp>
        <v>25650</v>
        <stp/>
        <stp>P</stp>
        <stp>0</stp>
        <stp>STK</stp>
        <stp>N006110</stp>
        <stp>저가</stp>
        <stp/>
        <stp/>
        <tr r="Q568" s="1"/>
        <tr r="Q331" s="3"/>
      </tp>
      <tp>
        <v>38300</v>
        <stp/>
        <stp>P</stp>
        <stp>0</stp>
        <stp>STK</stp>
        <stp>N005810</stp>
        <stp>저가</stp>
        <stp/>
        <stp/>
        <tr r="Q284" s="3"/>
        <tr r="Q446" s="1"/>
      </tp>
      <tp>
        <v>12890</v>
        <stp/>
        <stp>P</stp>
        <stp>0</stp>
        <stp>STK</stp>
        <stp>N005710</stp>
        <stp>저가</stp>
        <stp/>
        <stp/>
        <tr r="Q656" s="1"/>
      </tp>
      <tp>
        <v>50300</v>
        <stp/>
        <stp>P</stp>
        <stp>0</stp>
        <stp>STK</stp>
        <stp>N005610</stp>
        <stp>저가</stp>
        <stp/>
        <stp/>
        <tr r="Q511" s="1"/>
        <tr r="Q313" s="3"/>
      </tp>
      <tp>
        <v>10000</v>
        <stp/>
        <stp>P</stp>
        <stp>0</stp>
        <stp>STK</stp>
        <stp>N104700</stp>
        <stp>저가</stp>
        <stp/>
        <stp/>
        <tr r="Q332" s="3"/>
        <tr r="Q565" s="1"/>
      </tp>
      <tp>
        <v>16550</v>
        <stp/>
        <stp>P</stp>
        <stp>0</stp>
        <stp>STK</stp>
        <stp>N300720</stp>
        <stp>시가</stp>
        <stp/>
        <stp/>
        <tr r="O211" s="3"/>
        <tr r="O279" s="1"/>
      </tp>
      <tp>
        <v>12380</v>
        <stp/>
        <stp>P</stp>
        <stp>0</stp>
        <stp>STK</stp>
        <stp>N200130</stp>
        <stp>시가</stp>
        <stp/>
        <stp/>
        <tr r="O562" s="1"/>
      </tp>
      <tp>
        <v>36600</v>
        <stp/>
        <stp>P</stp>
        <stp>0</stp>
        <stp>STK</stp>
        <stp>N000210</stp>
        <stp>시가</stp>
        <stp/>
        <stp/>
        <tr r="O365" s="1"/>
        <tr r="O250" s="3"/>
      </tp>
      <tp>
        <v>486000</v>
        <stp/>
        <stp>P</stp>
        <stp>0</stp>
        <stp>STK</stp>
        <stp>N000810</stp>
        <stp>시가</stp>
        <stp/>
        <stp/>
        <tr r="O35" s="3"/>
        <tr r="O35" s="1"/>
      </tp>
      <tp>
        <v>12060</v>
        <stp/>
        <stp>P</stp>
        <stp>0</stp>
        <stp>STK</stp>
        <stp>N403550</stp>
        <stp>시가</stp>
        <stp/>
        <stp/>
        <tr r="O322" s="3"/>
        <tr r="O537" s="1"/>
      </tp>
      <tp>
        <v>24000</v>
        <stp/>
        <stp>P</stp>
        <stp>0</stp>
        <stp>STK</stp>
        <stp>N403850</stp>
        <stp>시가</stp>
        <stp/>
        <stp/>
        <tr r="O578" s="1"/>
      </tp>
      <tp>
        <v>15080</v>
        <stp/>
        <stp>P</stp>
        <stp>0</stp>
        <stp>STK</stp>
        <stp>N002710</stp>
        <stp>시가</stp>
        <stp/>
        <stp/>
        <tr r="O324" s="3"/>
        <tr r="O567" s="1"/>
      </tp>
      <tp>
        <v>16340</v>
        <stp/>
        <stp>P</stp>
        <stp>0</stp>
        <stp>STK</stp>
        <stp>N002810</stp>
        <stp>시가</stp>
        <stp/>
        <stp/>
        <tr r="O616" s="1"/>
        <tr r="O354" s="3"/>
      </tp>
      <tp>
        <v>12900</v>
        <stp/>
        <stp>P</stp>
        <stp>0</stp>
        <stp>STK</stp>
        <stp>N005710</stp>
        <stp>시가</stp>
        <stp/>
        <stp/>
        <tr r="O656" s="1"/>
      </tp>
      <tp>
        <v>50400</v>
        <stp/>
        <stp>P</stp>
        <stp>0</stp>
        <stp>STK</stp>
        <stp>N005610</stp>
        <stp>시가</stp>
        <stp/>
        <stp/>
        <tr r="O313" s="3"/>
        <tr r="O511" s="1"/>
      </tp>
      <tp>
        <v>39900</v>
        <stp/>
        <stp>P</stp>
        <stp>0</stp>
        <stp>STK</stp>
        <stp>N005810</stp>
        <stp>시가</stp>
        <stp/>
        <stp/>
        <tr r="O284" s="3"/>
        <tr r="O446" s="1"/>
      </tp>
      <tp>
        <v>10000</v>
        <stp/>
        <stp>P</stp>
        <stp>0</stp>
        <stp>STK</stp>
        <stp>N104700</stp>
        <stp>시가</stp>
        <stp/>
        <stp/>
        <tr r="O332" s="3"/>
        <tr r="O565" s="1"/>
      </tp>
      <tp>
        <v>388500</v>
        <stp/>
        <stp>P</stp>
        <stp>0</stp>
        <stp>STK</stp>
        <stp>N007310</stp>
        <stp>시가</stp>
        <stp/>
        <stp/>
        <tr r="O244" s="1"/>
        <tr r="O194" s="3"/>
      </tp>
      <tp>
        <v>65800</v>
        <stp/>
        <stp>P</stp>
        <stp>0</stp>
        <stp>STK</stp>
        <stp>N007810</stp>
        <stp>시가</stp>
        <stp/>
        <stp/>
        <tr r="O250" s="1"/>
        <tr r="O199" s="3"/>
      </tp>
      <tp>
        <v>26700</v>
        <stp/>
        <stp>P</stp>
        <stp>0</stp>
        <stp>STK</stp>
        <stp>N006110</stp>
        <stp>시가</stp>
        <stp/>
        <stp/>
        <tr r="O568" s="1"/>
        <tr r="O331" s="3"/>
      </tp>
      <tp>
        <v>66000</v>
        <stp/>
        <stp>P</stp>
        <stp>0</stp>
        <stp>STK</stp>
        <stp>N007810</stp>
        <stp>고가</stp>
        <stp/>
        <stp/>
        <tr r="P199" s="3"/>
        <tr r="P250" s="1"/>
      </tp>
      <tp>
        <v>388500</v>
        <stp/>
        <stp>P</stp>
        <stp>0</stp>
        <stp>STK</stp>
        <stp>N007310</stp>
        <stp>고가</stp>
        <stp/>
        <stp/>
        <tr r="P244" s="1"/>
        <tr r="P194" s="3"/>
      </tp>
      <tp>
        <v>26900</v>
        <stp/>
        <stp>P</stp>
        <stp>0</stp>
        <stp>STK</stp>
        <stp>N006110</stp>
        <stp>고가</stp>
        <stp/>
        <stp/>
        <tr r="P568" s="1"/>
        <tr r="P331" s="3"/>
      </tp>
      <tp>
        <v>39900</v>
        <stp/>
        <stp>P</stp>
        <stp>0</stp>
        <stp>STK</stp>
        <stp>N005810</stp>
        <stp>고가</stp>
        <stp/>
        <stp/>
        <tr r="P284" s="3"/>
        <tr r="P446" s="1"/>
      </tp>
      <tp>
        <v>12990</v>
        <stp/>
        <stp>P</stp>
        <stp>0</stp>
        <stp>STK</stp>
        <stp>N005710</stp>
        <stp>고가</stp>
        <stp/>
        <stp/>
        <tr r="P656" s="1"/>
      </tp>
      <tp>
        <v>50500</v>
        <stp/>
        <stp>P</stp>
        <stp>0</stp>
        <stp>STK</stp>
        <stp>N005610</stp>
        <stp>고가</stp>
        <stp/>
        <stp/>
        <tr r="P511" s="1"/>
        <tr r="P313" s="3"/>
      </tp>
      <tp>
        <v>10000</v>
        <stp/>
        <stp>P</stp>
        <stp>0</stp>
        <stp>STK</stp>
        <stp>N104700</stp>
        <stp>고가</stp>
        <stp/>
        <stp/>
        <tr r="P332" s="3"/>
        <tr r="P565" s="1"/>
      </tp>
      <tp>
        <v>24000</v>
        <stp/>
        <stp>P</stp>
        <stp>0</stp>
        <stp>STK</stp>
        <stp>N403850</stp>
        <stp>고가</stp>
        <stp/>
        <stp/>
        <tr r="P578" s="1"/>
      </tp>
      <tp>
        <v>12060</v>
        <stp/>
        <stp>P</stp>
        <stp>0</stp>
        <stp>STK</stp>
        <stp>N403550</stp>
        <stp>고가</stp>
        <stp/>
        <stp/>
        <tr r="P537" s="1"/>
        <tr r="P322" s="3"/>
      </tp>
      <tp>
        <v>16530</v>
        <stp/>
        <stp>P</stp>
        <stp>0</stp>
        <stp>STK</stp>
        <stp>N002810</stp>
        <stp>고가</stp>
        <stp/>
        <stp/>
        <tr r="P616" s="1"/>
        <tr r="P354" s="3"/>
      </tp>
      <tp>
        <v>16490</v>
        <stp/>
        <stp>P</stp>
        <stp>0</stp>
        <stp>STK</stp>
        <stp>N002710</stp>
        <stp>고가</stp>
        <stp/>
        <stp/>
        <tr r="P567" s="1"/>
        <tr r="P324" s="3"/>
      </tp>
      <tp>
        <v>492000</v>
        <stp/>
        <stp>P</stp>
        <stp>0</stp>
        <stp>STK</stp>
        <stp>N000810</stp>
        <stp>고가</stp>
        <stp/>
        <stp/>
        <tr r="P35" s="1"/>
        <tr r="P35" s="3"/>
      </tp>
      <tp>
        <v>12420</v>
        <stp/>
        <stp>P</stp>
        <stp>0</stp>
        <stp>STK</stp>
        <stp>N200130</stp>
        <stp>고가</stp>
        <stp/>
        <stp/>
        <tr r="P562" s="1"/>
      </tp>
      <tp>
        <v>37000</v>
        <stp/>
        <stp>P</stp>
        <stp>0</stp>
        <stp>STK</stp>
        <stp>N000210</stp>
        <stp>고가</stp>
        <stp/>
        <stp/>
        <tr r="P250" s="3"/>
        <tr r="P365" s="1"/>
      </tp>
      <tp>
        <v>16600</v>
        <stp/>
        <stp>P</stp>
        <stp>0</stp>
        <stp>STK</stp>
        <stp>N300720</stp>
        <stp>고가</stp>
        <stp/>
        <stp/>
        <tr r="P211" s="3"/>
        <tr r="P279" s="1"/>
      </tp>
      <tp>
        <v>19010</v>
        <stp/>
        <stp>P</stp>
        <stp>0</stp>
        <stp>STK</stp>
        <stp>N018310</stp>
        <stp>시가</stp>
        <stp/>
        <stp/>
        <tr r="O644" s="1"/>
      </tp>
      <tp>
        <v>96400</v>
        <stp/>
        <stp>P</stp>
        <stp>0</stp>
        <stp>STK</stp>
        <stp>N012510</stp>
        <stp>저가</stp>
        <stp/>
        <stp/>
        <tr r="Q155" s="1"/>
        <tr r="Q133" s="3"/>
      </tp>
      <tp>
        <v>88100</v>
        <stp/>
        <stp>P</stp>
        <stp>0</stp>
        <stp>STK</stp>
        <stp>N011210</stp>
        <stp>저가</stp>
        <stp/>
        <stp/>
        <tr r="Q164" s="1"/>
        <tr r="Q146" s="3"/>
      </tp>
      <tp>
        <v>12890</v>
        <stp/>
        <stp>P</stp>
        <stp>0</stp>
        <stp>STK</stp>
        <stp>N017810</stp>
        <stp>저가</stp>
        <stp/>
        <stp/>
        <tr r="Q301" s="3"/>
        <tr r="Q479" s="1"/>
      </tp>
      <tp>
        <v>11690</v>
        <stp/>
        <stp>P</stp>
        <stp>0</stp>
        <stp>STK</stp>
        <stp>N016610</stp>
        <stp>저가</stp>
        <stp/>
        <stp/>
        <tr r="Q483" s="1"/>
        <tr r="Q302" s="3"/>
      </tp>
      <tp>
        <v>85800</v>
        <stp/>
        <stp>P</stp>
        <stp>0</stp>
        <stp>STK</stp>
        <stp>N214430</stp>
        <stp>저가</stp>
        <stp/>
        <stp/>
        <tr r="Q414" s="1"/>
      </tp>
      <tp>
        <v>91300</v>
        <stp/>
        <stp>P</stp>
        <stp>0</stp>
        <stp>STK</stp>
        <stp>N011210</stp>
        <stp>시가</stp>
        <stp/>
        <stp/>
        <tr r="O146" s="3"/>
        <tr r="O164" s="1"/>
      </tp>
      <tp>
        <v>97500</v>
        <stp/>
        <stp>P</stp>
        <stp>0</stp>
        <stp>STK</stp>
        <stp>N012510</stp>
        <stp>시가</stp>
        <stp/>
        <stp/>
        <tr r="O133" s="3"/>
        <tr r="O155" s="1"/>
      </tp>
      <tp>
        <v>19010</v>
        <stp/>
        <stp>P</stp>
        <stp>0</stp>
        <stp>STK</stp>
        <stp>N018310</stp>
        <stp>저가</stp>
        <stp/>
        <stp/>
        <tr r="Q644" s="1"/>
      </tp>
      <tp>
        <v>87200</v>
        <stp/>
        <stp>P</stp>
        <stp>0</stp>
        <stp>STK</stp>
        <stp>N214430</stp>
        <stp>시가</stp>
        <stp/>
        <stp/>
        <tr r="O414" s="1"/>
      </tp>
      <tp>
        <v>12970</v>
        <stp/>
        <stp>P</stp>
        <stp>0</stp>
        <stp>STK</stp>
        <stp>N017810</stp>
        <stp>시가</stp>
        <stp/>
        <stp/>
        <tr r="O479" s="1"/>
        <tr r="O301" s="3"/>
      </tp>
      <tp>
        <v>11800</v>
        <stp/>
        <stp>P</stp>
        <stp>0</stp>
        <stp>STK</stp>
        <stp>N016610</stp>
        <stp>시가</stp>
        <stp/>
        <stp/>
        <tr r="O302" s="3"/>
        <tr r="O483" s="1"/>
      </tp>
      <tp>
        <v>13200</v>
        <stp/>
        <stp>P</stp>
        <stp>0</stp>
        <stp>STK</stp>
        <stp>N017810</stp>
        <stp>고가</stp>
        <stp/>
        <stp/>
        <tr r="P479" s="1"/>
        <tr r="P301" s="3"/>
      </tp>
      <tp>
        <v>11980</v>
        <stp/>
        <stp>P</stp>
        <stp>0</stp>
        <stp>STK</stp>
        <stp>N016610</stp>
        <stp>고가</stp>
        <stp/>
        <stp/>
        <tr r="P302" s="3"/>
        <tr r="P483" s="1"/>
      </tp>
      <tp>
        <v>88200</v>
        <stp/>
        <stp>P</stp>
        <stp>0</stp>
        <stp>STK</stp>
        <stp>N214430</stp>
        <stp>고가</stp>
        <stp/>
        <stp/>
        <tr r="P414" s="1"/>
      </tp>
      <tp>
        <v>97500</v>
        <stp/>
        <stp>P</stp>
        <stp>0</stp>
        <stp>STK</stp>
        <stp>N012510</stp>
        <stp>고가</stp>
        <stp/>
        <stp/>
        <tr r="P155" s="1"/>
        <tr r="P133" s="3"/>
      </tp>
      <tp>
        <v>91400</v>
        <stp/>
        <stp>P</stp>
        <stp>0</stp>
        <stp>STK</stp>
        <stp>N011210</stp>
        <stp>고가</stp>
        <stp/>
        <stp/>
        <tr r="P164" s="1"/>
        <tr r="P146" s="3"/>
      </tp>
      <tp>
        <v>19030</v>
        <stp/>
        <stp>P</stp>
        <stp>0</stp>
        <stp>STK</stp>
        <stp>N018310</stp>
        <stp>고가</stp>
        <stp/>
        <stp/>
        <tr r="P644" s="1"/>
      </tp>
      <tp>
        <v>56300</v>
        <stp/>
        <stp>P</stp>
        <stp>0</stp>
        <stp>STK</stp>
        <stp>N121600</stp>
        <stp>저가</stp>
        <stp/>
        <stp/>
        <tr r="Q416" s="1"/>
      </tp>
      <tp>
        <v>20950</v>
        <stp/>
        <stp>P</stp>
        <stp>0</stp>
        <stp>STK</stp>
        <stp>N024110</stp>
        <stp>저가</stp>
        <stp/>
        <stp/>
        <tr r="Q52" s="1"/>
        <tr r="Q50" s="3"/>
      </tp>
      <tp>
        <v>56300</v>
        <stp/>
        <stp>P</stp>
        <stp>0</stp>
        <stp>STK</stp>
        <stp>N121600</stp>
        <stp>시가</stp>
        <stp/>
        <stp/>
        <tr r="O416" s="1"/>
      </tp>
      <tp>
        <v>21000</v>
        <stp/>
        <stp>P</stp>
        <stp>0</stp>
        <stp>STK</stp>
        <stp>N024110</stp>
        <stp>시가</stp>
        <stp/>
        <stp/>
        <tr r="O52" s="1"/>
        <tr r="O50" s="3"/>
      </tp>
      <tp>
        <v>21150</v>
        <stp/>
        <stp>P</stp>
        <stp>0</stp>
        <stp>STK</stp>
        <stp>N024110</stp>
        <stp>고가</stp>
        <stp/>
        <stp/>
        <tr r="P50" s="3"/>
        <tr r="P52" s="1"/>
      </tp>
      <tp>
        <v>60900</v>
        <stp/>
        <stp>P</stp>
        <stp>0</stp>
        <stp>STK</stp>
        <stp>N121600</stp>
        <stp>고가</stp>
        <stp/>
        <stp/>
        <tr r="P416" s="1"/>
      </tp>
      <tp>
        <v>20150</v>
        <stp/>
        <stp>P</stp>
        <stp>0</stp>
        <stp>STK</stp>
        <stp>N338220</stp>
        <stp>시가</stp>
        <stp/>
        <stp/>
        <tr r="O643" s="1"/>
      </tp>
      <tp>
        <v>49300</v>
        <stp/>
        <stp>P</stp>
        <stp>0</stp>
        <stp>STK</stp>
        <stp>N031210</stp>
        <stp>저가</stp>
        <stp/>
        <stp/>
        <tr r="Q123" s="3"/>
        <tr r="Q140" s="1"/>
      </tp>
      <tp>
        <v>10300</v>
        <stp/>
        <stp>P</stp>
        <stp>0</stp>
        <stp>STK</stp>
        <stp>N030610</stp>
        <stp>저가</stp>
        <stp/>
        <stp/>
        <tr r="Q213" s="3"/>
        <tr r="Q286" s="1"/>
      </tp>
      <tp>
        <v>43950</v>
        <stp/>
        <stp>P</stp>
        <stp>0</stp>
        <stp>STK</stp>
        <stp>N137400</stp>
        <stp>저가</stp>
        <stp/>
        <stp/>
        <tr r="Q322" s="1"/>
      </tp>
      <tp>
        <v>30850</v>
        <stp/>
        <stp>P</stp>
        <stp>0</stp>
        <stp>STK</stp>
        <stp>N037710</stp>
        <stp>저가</stp>
        <stp/>
        <stp/>
        <tr r="Q374" s="3"/>
        <tr r="Q673" s="1"/>
      </tp>
      <tp>
        <v>37000</v>
        <stp/>
        <stp>P</stp>
        <stp>0</stp>
        <stp>STK</stp>
        <stp>N036810</stp>
        <stp>저가</stp>
        <stp/>
        <stp/>
        <tr r="Q379" s="1"/>
      </tp>
      <tp>
        <v>13050</v>
        <stp/>
        <stp>P</stp>
        <stp>0</stp>
        <stp>STK</stp>
        <stp>N034310</stp>
        <stp>저가</stp>
        <stp/>
        <stp/>
        <tr r="Q304" s="3"/>
        <tr r="Q488" s="1"/>
      </tp>
      <tp>
        <v>49300</v>
        <stp/>
        <stp>P</stp>
        <stp>0</stp>
        <stp>STK</stp>
        <stp>N031210</stp>
        <stp>시가</stp>
        <stp/>
        <stp/>
        <tr r="O123" s="3"/>
        <tr r="O140" s="1"/>
      </tp>
      <tp>
        <v>10300</v>
        <stp/>
        <stp>P</stp>
        <stp>0</stp>
        <stp>STK</stp>
        <stp>N030610</stp>
        <stp>시가</stp>
        <stp/>
        <stp/>
        <tr r="O286" s="1"/>
        <tr r="O213" s="3"/>
      </tp>
      <tp>
        <v>20100</v>
        <stp/>
        <stp>P</stp>
        <stp>0</stp>
        <stp>STK</stp>
        <stp>N338220</stp>
        <stp>저가</stp>
        <stp/>
        <stp/>
        <tr r="Q643" s="1"/>
      </tp>
      <tp>
        <v>16970</v>
        <stp/>
        <stp>P</stp>
        <stp>0</stp>
        <stp>STK</stp>
        <stp>N034310</stp>
        <stp>시가</stp>
        <stp/>
        <stp/>
        <tr r="O488" s="1"/>
        <tr r="O304" s="3"/>
      </tp>
      <tp>
        <v>44550</v>
        <stp/>
        <stp>P</stp>
        <stp>0</stp>
        <stp>STK</stp>
        <stp>N137400</stp>
        <stp>시가</stp>
        <stp/>
        <stp/>
        <tr r="O322" s="1"/>
      </tp>
      <tp>
        <v>30850</v>
        <stp/>
        <stp>P</stp>
        <stp>0</stp>
        <stp>STK</stp>
        <stp>N037710</stp>
        <stp>시가</stp>
        <stp/>
        <stp/>
        <tr r="O374" s="3"/>
        <tr r="O673" s="1"/>
      </tp>
      <tp>
        <v>38950</v>
        <stp/>
        <stp>P</stp>
        <stp>0</stp>
        <stp>STK</stp>
        <stp>N036810</stp>
        <stp>시가</stp>
        <stp/>
        <stp/>
        <tr r="O379" s="1"/>
      </tp>
      <tp>
        <v>46600</v>
        <stp/>
        <stp>P</stp>
        <stp>0</stp>
        <stp>STK</stp>
        <stp>N137400</stp>
        <stp>고가</stp>
        <stp/>
        <stp/>
        <tr r="P322" s="1"/>
      </tp>
      <tp>
        <v>31050</v>
        <stp/>
        <stp>P</stp>
        <stp>0</stp>
        <stp>STK</stp>
        <stp>N037710</stp>
        <stp>고가</stp>
        <stp/>
        <stp/>
        <tr r="P673" s="1"/>
        <tr r="P374" s="3"/>
      </tp>
      <tp>
        <v>39900</v>
        <stp/>
        <stp>P</stp>
        <stp>0</stp>
        <stp>STK</stp>
        <stp>N036810</stp>
        <stp>고가</stp>
        <stp/>
        <stp/>
        <tr r="P379" s="1"/>
      </tp>
      <tp>
        <v>16970</v>
        <stp/>
        <stp>P</stp>
        <stp>0</stp>
        <stp>STK</stp>
        <stp>N034310</stp>
        <stp>고가</stp>
        <stp/>
        <stp/>
        <tr r="P488" s="1"/>
        <tr r="P304" s="3"/>
      </tp>
      <tp>
        <v>49750</v>
        <stp/>
        <stp>P</stp>
        <stp>0</stp>
        <stp>STK</stp>
        <stp>N031210</stp>
        <stp>고가</stp>
        <stp/>
        <stp/>
        <tr r="P140" s="1"/>
        <tr r="P123" s="3"/>
      </tp>
      <tp>
        <v>10700</v>
        <stp/>
        <stp>P</stp>
        <stp>0</stp>
        <stp>STK</stp>
        <stp>N030610</stp>
        <stp>고가</stp>
        <stp/>
        <stp/>
        <tr r="P213" s="3"/>
        <tr r="P286" s="1"/>
      </tp>
      <tp>
        <v>20350</v>
        <stp/>
        <stp>P</stp>
        <stp>0</stp>
        <stp>STK</stp>
        <stp>N338220</stp>
        <stp>고가</stp>
        <stp/>
        <stp/>
        <tr r="P643" s="1"/>
      </tp>
      <tp>
        <v>4890</v>
        <stp/>
        <stp>P</stp>
        <stp>0</stp>
        <stp>STK</stp>
        <stp>N048410</stp>
        <stp>시가</stp>
        <stp/>
        <stp/>
        <tr r="O452" s="1"/>
      </tp>
      <tp>
        <v>108100</v>
        <stp/>
        <stp>P</stp>
        <stp>0</stp>
        <stp>STK</stp>
        <stp>N041510</stp>
        <stp>저가</stp>
        <stp/>
        <stp/>
        <tr r="Q177" s="1"/>
      </tp>
      <tp>
        <v>165300</v>
        <stp/>
        <stp>P</stp>
        <stp>0</stp>
        <stp>STK</stp>
        <stp>N047810</stp>
        <stp>저가</stp>
        <stp/>
        <stp/>
        <tr r="Q52" s="3"/>
        <tr r="Q53" s="1"/>
      </tp>
      <tp>
        <v>26850</v>
        <stp/>
        <stp>P</stp>
        <stp>0</stp>
        <stp>STK</stp>
        <stp>N344820</stp>
        <stp>저가</stp>
        <stp/>
        <stp/>
        <tr r="Q516" s="1"/>
        <tr r="Q316" s="3"/>
      </tp>
      <tp>
        <v>109000</v>
        <stp/>
        <stp>P</stp>
        <stp>0</stp>
        <stp>STK</stp>
        <stp>N041510</stp>
        <stp>시가</stp>
        <stp/>
        <stp/>
        <tr r="O177" s="1"/>
      </tp>
      <tp>
        <v>4890</v>
        <stp/>
        <stp>P</stp>
        <stp>0</stp>
        <stp>STK</stp>
        <stp>N048410</stp>
        <stp>저가</stp>
        <stp/>
        <stp/>
        <tr r="Q452" s="1"/>
      </tp>
      <tp>
        <v>26850</v>
        <stp/>
        <stp>P</stp>
        <stp>0</stp>
        <stp>STK</stp>
        <stp>N344820</stp>
        <stp>시가</stp>
        <stp/>
        <stp/>
        <tr r="O516" s="1"/>
        <tr r="O316" s="3"/>
      </tp>
      <tp>
        <v>166200</v>
        <stp/>
        <stp>P</stp>
        <stp>0</stp>
        <stp>STK</stp>
        <stp>N047810</stp>
        <stp>시가</stp>
        <stp/>
        <stp/>
        <tr r="O52" s="3"/>
        <tr r="O53" s="1"/>
      </tp>
      <tp>
        <v>167400</v>
        <stp/>
        <stp>P</stp>
        <stp>0</stp>
        <stp>STK</stp>
        <stp>N047810</stp>
        <stp>고가</stp>
        <stp/>
        <stp/>
        <tr r="P53" s="1"/>
        <tr r="P52" s="3"/>
      </tp>
      <tp>
        <v>27150</v>
        <stp/>
        <stp>P</stp>
        <stp>0</stp>
        <stp>STK</stp>
        <stp>N344820</stp>
        <stp>고가</stp>
        <stp/>
        <stp/>
        <tr r="P516" s="1"/>
        <tr r="P316" s="3"/>
      </tp>
      <tp>
        <v>109300</v>
        <stp/>
        <stp>P</stp>
        <stp>0</stp>
        <stp>STK</stp>
        <stp>N041510</stp>
        <stp>고가</stp>
        <stp/>
        <stp/>
        <tr r="P177" s="1"/>
      </tp>
      <tp>
        <v>5980</v>
        <stp/>
        <stp>P</stp>
        <stp>0</stp>
        <stp>STK</stp>
        <stp>N048410</stp>
        <stp>고가</stp>
        <stp/>
        <stp/>
        <tr r="P452" s="1"/>
      </tp>
      <tp>
        <v>36800</v>
        <stp/>
        <stp>P</stp>
        <stp>0</stp>
        <stp>STK</stp>
        <stp>N053610</stp>
        <stp>저가</stp>
        <stp/>
        <stp/>
        <tr r="Q538" s="1"/>
      </tp>
      <tp>
        <v>106500</v>
        <stp/>
        <stp>P</stp>
        <stp>0</stp>
        <stp>STK</stp>
        <stp>N058610</stp>
        <stp>시가</stp>
        <stp/>
        <stp/>
        <tr r="O178" s="1"/>
      </tp>
      <tp>
        <v>373000</v>
        <stp/>
        <stp>P</stp>
        <stp>0</stp>
        <stp>STK</stp>
        <stp>N352820</stp>
        <stp>저가</stp>
        <stp/>
        <stp/>
        <tr r="Q53" s="3"/>
        <tr r="Q56" s="1"/>
      </tp>
      <tp>
        <v>353000</v>
        <stp/>
        <stp>P</stp>
        <stp>0</stp>
        <stp>STK</stp>
        <stp>N051910</stp>
        <stp>저가</stp>
        <stp/>
        <stp/>
        <tr r="Q33" s="3"/>
        <tr r="Q33" s="1"/>
      </tp>
      <tp>
        <v>13040</v>
        <stp/>
        <stp>P</stp>
        <stp>0</stp>
        <stp>STK</stp>
        <stp>N450950</stp>
        <stp>저가</stp>
        <stp/>
        <stp/>
        <tr r="Q498" s="1"/>
      </tp>
      <tp>
        <v>355500</v>
        <stp/>
        <stp>P</stp>
        <stp>0</stp>
        <stp>STK</stp>
        <stp>N051910</stp>
        <stp>시가</stp>
        <stp/>
        <stp/>
        <tr r="O33" s="3"/>
        <tr r="O33" s="1"/>
      </tp>
      <tp>
        <v>13190</v>
        <stp/>
        <stp>P</stp>
        <stp>0</stp>
        <stp>STK</stp>
        <stp>N450950</stp>
        <stp>시가</stp>
        <stp/>
        <stp/>
        <tr r="O498" s="1"/>
      </tp>
      <tp>
        <v>37900</v>
        <stp/>
        <stp>P</stp>
        <stp>0</stp>
        <stp>STK</stp>
        <stp>N053610</stp>
        <stp>시가</stp>
        <stp/>
        <stp/>
        <tr r="O538" s="1"/>
      </tp>
      <tp>
        <v>374500</v>
        <stp/>
        <stp>P</stp>
        <stp>0</stp>
        <stp>STK</stp>
        <stp>N352820</stp>
        <stp>시가</stp>
        <stp/>
        <stp/>
        <tr r="O56" s="1"/>
        <tr r="O53" s="3"/>
      </tp>
      <tp>
        <v>102500</v>
        <stp/>
        <stp>P</stp>
        <stp>0</stp>
        <stp>STK</stp>
        <stp>N058610</stp>
        <stp>저가</stp>
        <stp/>
        <stp/>
        <tr r="Q178" s="1"/>
      </tp>
      <tp>
        <v>38350</v>
        <stp/>
        <stp>P</stp>
        <stp>0</stp>
        <stp>STK</stp>
        <stp>N053610</stp>
        <stp>고가</stp>
        <stp/>
        <stp/>
        <tr r="P538" s="1"/>
      </tp>
      <tp>
        <v>393000</v>
        <stp/>
        <stp>P</stp>
        <stp>0</stp>
        <stp>STK</stp>
        <stp>N352820</stp>
        <stp>고가</stp>
        <stp/>
        <stp/>
        <tr r="P56" s="1"/>
        <tr r="P53" s="3"/>
      </tp>
      <tp>
        <v>359000</v>
        <stp/>
        <stp>P</stp>
        <stp>0</stp>
        <stp>STK</stp>
        <stp>N051910</stp>
        <stp>고가</stp>
        <stp/>
        <stp/>
        <tr r="P33" s="1"/>
        <tr r="P33" s="3"/>
      </tp>
      <tp>
        <v>13300</v>
        <stp/>
        <stp>P</stp>
        <stp>0</stp>
        <stp>STK</stp>
        <stp>N450950</stp>
        <stp>고가</stp>
        <stp/>
        <stp/>
        <tr r="P498" s="1"/>
      </tp>
      <tp>
        <v>107700</v>
        <stp/>
        <stp>P</stp>
        <stp>0</stp>
        <stp>STK</stp>
        <stp>N058610</stp>
        <stp>고가</stp>
        <stp/>
        <stp/>
        <tr r="P178" s="1"/>
      </tp>
      <tp>
        <v>9470</v>
        <stp/>
        <stp>P</stp>
        <stp>0</stp>
        <stp>STK</stp>
        <stp>N161000</stp>
        <stp>저가</stp>
        <stp/>
        <stp/>
        <tr r="Q308" s="3"/>
        <tr r="Q521" s="1"/>
      </tp>
      <tp>
        <v>25450</v>
        <stp/>
        <stp>P</stp>
        <stp>0</stp>
        <stp>STK</stp>
        <stp>N067310</stp>
        <stp>저가</stp>
        <stp/>
        <stp/>
        <tr r="Q230" s="1"/>
      </tp>
      <tp>
        <v>9660</v>
        <stp/>
        <stp>P</stp>
        <stp>0</stp>
        <stp>STK</stp>
        <stp>N161000</stp>
        <stp>시가</stp>
        <stp/>
        <stp/>
        <tr r="O308" s="3"/>
        <tr r="O521" s="1"/>
      </tp>
      <tp>
        <v>25650</v>
        <stp/>
        <stp>P</stp>
        <stp>0</stp>
        <stp>STK</stp>
        <stp>N067310</stp>
        <stp>시가</stp>
        <stp/>
        <stp/>
        <tr r="O230" s="1"/>
      </tp>
      <tp>
        <v>25850</v>
        <stp/>
        <stp>P</stp>
        <stp>0</stp>
        <stp>STK</stp>
        <stp>N067310</stp>
        <stp>고가</stp>
        <stp/>
        <stp/>
        <tr r="P230" s="1"/>
      </tp>
      <tp>
        <v>9860</v>
        <stp/>
        <stp>P</stp>
        <stp>0</stp>
        <stp>STK</stp>
        <stp>N161000</stp>
        <stp>고가</stp>
        <stp/>
        <stp/>
        <tr r="P308" s="3"/>
        <tr r="P521" s="1"/>
      </tp>
      <tp>
        <v>21400</v>
        <stp/>
        <stp>P</stp>
        <stp>0</stp>
        <stp>STK</stp>
        <stp>N179900</stp>
        <stp>시가</stp>
        <stp/>
        <stp/>
        <tr r="O525" s="1"/>
      </tp>
      <tp>
        <v>421500</v>
        <stp/>
        <stp>P</stp>
        <stp>0</stp>
        <stp>STK</stp>
        <stp>N373220</stp>
        <stp>저가</stp>
        <stp/>
        <stp/>
        <tr r="Q9" s="3"/>
        <tr r="Q9" s="1"/>
      </tp>
      <tp>
        <v>5010</v>
        <stp/>
        <stp>P</stp>
        <stp>0</stp>
        <stp>STK</stp>
        <stp>N472850</stp>
        <stp>저가</stp>
        <stp/>
        <stp/>
        <tr r="Q637" s="1"/>
      </tp>
      <tp>
        <v>43800</v>
        <stp/>
        <stp>P</stp>
        <stp>0</stp>
        <stp>STK</stp>
        <stp>N372320</stp>
        <stp>저가</stp>
        <stp/>
        <stp/>
        <tr r="Q400" s="1"/>
      </tp>
      <tp>
        <v>87400</v>
        <stp/>
        <stp>P</stp>
        <stp>0</stp>
        <stp>STK</stp>
        <stp>N072710</stp>
        <stp>저가</stp>
        <stp/>
        <stp/>
        <tr r="Q320" s="3"/>
        <tr r="Q536" s="1"/>
      </tp>
      <tp>
        <v>50200</v>
        <stp/>
        <stp>P</stp>
        <stp>0</stp>
        <stp>STK</stp>
        <stp>N170900</stp>
        <stp>저가</stp>
        <stp/>
        <stp/>
        <tr r="Q310" s="3"/>
        <tr r="Q496" s="1"/>
      </tp>
      <tp>
        <v>19670</v>
        <stp/>
        <stp>P</stp>
        <stp>0</stp>
        <stp>STK</stp>
        <stp>N475150</stp>
        <stp>저가</stp>
        <stp/>
        <stp/>
        <tr r="Q267" s="3"/>
        <tr r="Q399" s="1"/>
      </tp>
      <tp>
        <v>50200</v>
        <stp/>
        <stp>P</stp>
        <stp>0</stp>
        <stp>STK</stp>
        <stp>N170900</stp>
        <stp>시가</stp>
        <stp/>
        <stp/>
        <tr r="O310" s="3"/>
        <tr r="O496" s="1"/>
      </tp>
      <tp>
        <v>424000</v>
        <stp/>
        <stp>P</stp>
        <stp>0</stp>
        <stp>STK</stp>
        <stp>N373220</stp>
        <stp>시가</stp>
        <stp/>
        <stp/>
        <tr r="O9" s="3"/>
        <tr r="O9" s="1"/>
      </tp>
      <tp>
        <v>20500</v>
        <stp/>
        <stp>P</stp>
        <stp>0</stp>
        <stp>STK</stp>
        <stp>N179900</stp>
        <stp>저가</stp>
        <stp/>
        <stp/>
        <tr r="Q525" s="1"/>
      </tp>
      <tp>
        <v>87400</v>
        <stp/>
        <stp>P</stp>
        <stp>0</stp>
        <stp>STK</stp>
        <stp>N072710</stp>
        <stp>시가</stp>
        <stp/>
        <stp/>
        <tr r="O536" s="1"/>
        <tr r="O320" s="3"/>
      </tp>
      <tp>
        <v>44250</v>
        <stp/>
        <stp>P</stp>
        <stp>0</stp>
        <stp>STK</stp>
        <stp>N372320</stp>
        <stp>시가</stp>
        <stp/>
        <stp/>
        <tr r="O400" s="1"/>
      </tp>
      <tp>
        <v>5010</v>
        <stp/>
        <stp>P</stp>
        <stp>0</stp>
        <stp>STK</stp>
        <stp>N472850</stp>
        <stp>시가</stp>
        <stp/>
        <stp/>
        <tr r="O637" s="1"/>
      </tp>
      <tp>
        <v>19670</v>
        <stp/>
        <stp>P</stp>
        <stp>0</stp>
        <stp>STK</stp>
        <stp>N475150</stp>
        <stp>시가</stp>
        <stp/>
        <stp/>
        <tr r="O399" s="1"/>
        <tr r="O267" s="3"/>
      </tp>
      <tp>
        <v>20300</v>
        <stp/>
        <stp>P</stp>
        <stp>0</stp>
        <stp>STK</stp>
        <stp>N475150</stp>
        <stp>고가</stp>
        <stp/>
        <stp/>
        <tr r="P267" s="3"/>
        <tr r="P399" s="1"/>
      </tp>
      <tp>
        <v>435000</v>
        <stp/>
        <stp>P</stp>
        <stp>0</stp>
        <stp>STK</stp>
        <stp>N373220</stp>
        <stp>고가</stp>
        <stp/>
        <stp/>
        <tr r="P9" s="3"/>
        <tr r="P9" s="1"/>
      </tp>
      <tp>
        <v>5130</v>
        <stp/>
        <stp>P</stp>
        <stp>0</stp>
        <stp>STK</stp>
        <stp>N472850</stp>
        <stp>고가</stp>
        <stp/>
        <stp/>
        <tr r="P637" s="1"/>
      </tp>
      <tp>
        <v>44650</v>
        <stp/>
        <stp>P</stp>
        <stp>0</stp>
        <stp>STK</stp>
        <stp>N372320</stp>
        <stp>고가</stp>
        <stp/>
        <stp/>
        <tr r="P400" s="1"/>
      </tp>
      <tp>
        <v>88100</v>
        <stp/>
        <stp>P</stp>
        <stp>0</stp>
        <stp>STK</stp>
        <stp>N072710</stp>
        <stp>고가</stp>
        <stp/>
        <stp/>
        <tr r="P320" s="3"/>
        <tr r="P536" s="1"/>
      </tp>
      <tp>
        <v>50400</v>
        <stp/>
        <stp>P</stp>
        <stp>0</stp>
        <stp>STK</stp>
        <stp>N170900</stp>
        <stp>고가</stp>
        <stp/>
        <stp/>
        <tr r="P496" s="1"/>
        <tr r="P310" s="3"/>
      </tp>
      <tp>
        <v>21500</v>
        <stp/>
        <stp>P</stp>
        <stp>0</stp>
        <stp>STK</stp>
        <stp>N179900</stp>
        <stp>고가</stp>
        <stp/>
        <stp/>
        <tr r="P525" s="1"/>
      </tp>
      <tp>
        <v>34200</v>
        <stp/>
        <stp>P</stp>
        <stp>0</stp>
        <stp>STK</stp>
        <stp>119850</stp>
        <stp>현재가</stp>
        <stp/>
        <stp/>
        <tr r="T432" s="1"/>
      </tp>
      <tp>
        <v>12340</v>
        <stp/>
        <stp>P</stp>
        <stp>0</stp>
        <stp>STK</stp>
        <stp>019170</stp>
        <stp>현재가</stp>
        <stp/>
        <stp/>
        <tr r="T408" s="1"/>
      </tp>
      <tp>
        <v>38950</v>
        <stp/>
        <stp>P</stp>
        <stp>0</stp>
        <stp>STK</stp>
        <stp>319660</stp>
        <stp>현재가</stp>
        <stp/>
        <stp/>
        <tr r="T284" s="3"/>
        <tr r="T284" s="1"/>
      </tp>
      <tp>
        <v>37150</v>
        <stp/>
        <stp>P</stp>
        <stp>0</stp>
        <stp>STK</stp>
        <stp>419530</stp>
        <stp>현재가</stp>
        <stp/>
        <stp/>
        <tr r="T577" s="1"/>
      </tp>
      <tp>
        <v>3340</v>
        <stp/>
        <stp>P</stp>
        <stp>0</stp>
        <stp>STK</stp>
        <stp>018880</stp>
        <stp>현재가</stp>
        <stp/>
        <stp/>
        <tr r="T142" s="1"/>
        <tr r="T142" s="3"/>
      </tp>
      <tp>
        <v>19120</v>
        <stp/>
        <stp>P</stp>
        <stp>0</stp>
        <stp>STK</stp>
        <stp>018310</stp>
        <stp>현재가</stp>
        <stp/>
        <stp/>
        <tr r="T644" s="1"/>
      </tp>
      <tp>
        <v>16780</v>
        <stp/>
        <stp>P</stp>
        <stp>0</stp>
        <stp>STK</stp>
        <stp>018290</stp>
        <stp>현재가</stp>
        <stp/>
        <stp/>
        <tr r="T439" s="1"/>
      </tp>
      <tp>
        <v>171200</v>
        <stp/>
        <stp>P</stp>
        <stp>0</stp>
        <stp>STK</stp>
        <stp>018260</stp>
        <stp>현재가</stp>
        <stp/>
        <stp/>
        <tr r="T60" s="3"/>
        <tr r="T60" s="1"/>
      </tp>
      <tp>
        <v>12810</v>
        <stp/>
        <stp>P</stp>
        <stp>0</stp>
        <stp>STK</stp>
        <stp>018250</stp>
        <stp>현재가</stp>
        <stp/>
        <stp/>
        <tr r="T590" s="1"/>
      </tp>
      <tp>
        <v>229500</v>
        <stp/>
        <stp>P</stp>
        <stp>0</stp>
        <stp>STK</stp>
        <stp>018670</stp>
        <stp>현재가</stp>
        <stp/>
        <stp/>
        <tr r="T206" s="3"/>
        <tr r="T206" s="1"/>
      </tp>
      <tp>
        <v>34150</v>
        <stp/>
        <stp>P</stp>
        <stp>0</stp>
        <stp>STK</stp>
        <stp>218410</stp>
        <stp>현재가</stp>
        <stp/>
        <stp/>
        <tr r="T324" s="1"/>
        <tr r="T324" s="3"/>
      </tp>
      <tp>
        <v>66300</v>
        <stp/>
        <stp>P</stp>
        <stp>0</stp>
        <stp>STK</stp>
        <stp>015360</stp>
        <stp>현재가</stp>
        <stp/>
        <stp/>
        <tr r="T549" s="1"/>
      </tp>
      <tp>
        <v>39000</v>
        <stp/>
        <stp>P</stp>
        <stp>0</stp>
        <stp>STK</stp>
        <stp>215200</stp>
        <stp>현재가</stp>
        <stp/>
        <stp/>
        <tr r="T535" s="1"/>
      </tp>
      <tp>
        <v>52900</v>
        <stp/>
        <stp>P</stp>
        <stp>0</stp>
        <stp>STK</stp>
        <stp>215000</stp>
        <stp>현재가</stp>
        <stp/>
        <stp/>
        <tr r="T592" s="1"/>
      </tp>
      <tp>
        <v>63800</v>
        <stp/>
        <stp>P</stp>
        <stp>0</stp>
        <stp>STK</stp>
        <stp>015760</stp>
        <stp>현재가</stp>
        <stp/>
        <stp/>
        <tr r="T21" s="3"/>
        <tr r="T21" s="1"/>
      </tp>
      <tp>
        <v>7590</v>
        <stp/>
        <stp>P</stp>
        <stp>0</stp>
        <stp>STK</stp>
        <stp>015750</stp>
        <stp>현재가</stp>
        <stp/>
        <stp/>
        <tr r="T404" s="1"/>
      </tp>
      <tp>
        <v>11930</v>
        <stp/>
        <stp>P</stp>
        <stp>0</stp>
        <stp>STK</stp>
        <stp>314930</stp>
        <stp>현재가</stp>
        <stp/>
        <stp/>
        <tr r="T573" s="1"/>
      </tp>
      <tp>
        <v>8140</v>
        <stp/>
        <stp>P</stp>
        <stp>0</stp>
        <stp>STK</stp>
        <stp>014940</stp>
        <stp>현재가</stp>
        <stp/>
        <stp/>
        <tr r="T550" s="1"/>
      </tp>
      <tp>
        <v>82400</v>
        <stp/>
        <stp>P</stp>
        <stp>0</stp>
        <stp>STK</stp>
        <stp>014830</stp>
        <stp>현재가</stp>
        <stp/>
        <stp/>
        <tr r="T484" s="1"/>
      </tp>
      <tp>
        <v>27150</v>
        <stp/>
        <stp>P</stp>
        <stp>0</stp>
        <stp>STK</stp>
        <stp>014820</stp>
        <stp>현재가</stp>
        <stp/>
        <stp/>
        <tr r="T381" s="1"/>
      </tp>
      <tp>
        <v>11500</v>
        <stp/>
        <stp>P</stp>
        <stp>0</stp>
        <stp>STK</stp>
        <stp>114810</stp>
        <stp>현재가</stp>
        <stp/>
        <stp/>
        <tr r="T603" s="1"/>
      </tp>
      <tp>
        <v>15370</v>
        <stp/>
        <stp>P</stp>
        <stp>0</stp>
        <stp>STK</stp>
        <stp>114840</stp>
        <stp>현재가</stp>
        <stp/>
        <stp/>
        <tr r="T661" s="1"/>
      </tp>
      <tp>
        <v>18640</v>
        <stp/>
        <stp>P</stp>
        <stp>0</stp>
        <stp>STK</stp>
        <stp>214320</stp>
        <stp>현재가</stp>
        <stp/>
        <stp/>
        <tr r="T375" s="3"/>
        <tr r="T375" s="1"/>
      </tp>
      <tp>
        <v>75700</v>
        <stp/>
        <stp>P</stp>
        <stp>0</stp>
        <stp>STK</stp>
        <stp>214370</stp>
        <stp>현재가</stp>
        <stp/>
        <stp/>
        <tr r="T126" s="3"/>
        <tr r="T126" s="1"/>
      </tp>
      <tp>
        <v>18330</v>
        <stp/>
        <stp>P</stp>
        <stp>0</stp>
        <stp>STK</stp>
        <stp>114190</stp>
        <stp>현재가</stp>
        <stp/>
        <stp/>
        <tr r="T563" s="1"/>
      </tp>
      <tp>
        <v>59900</v>
        <stp/>
        <stp>P</stp>
        <stp>0</stp>
        <stp>STK</stp>
        <stp>214150</stp>
        <stp>현재가</stp>
        <stp/>
        <stp/>
        <tr r="T129" s="3"/>
        <tr r="T129" s="1"/>
      </tp>
      <tp>
        <v>13040</v>
        <stp/>
        <stp>P</stp>
        <stp>0</stp>
        <stp>STK</stp>
        <stp>114090</stp>
        <stp>현재가</stp>
        <stp/>
        <stp/>
        <tr r="T351" s="3"/>
        <tr r="T351" s="1"/>
      </tp>
      <tp>
        <v>282000</v>
        <stp/>
        <stp>P</stp>
        <stp>0</stp>
        <stp>STK</stp>
        <stp>014680</stp>
        <stp>현재가</stp>
        <stp/>
        <stp/>
        <tr r="T152" s="1"/>
        <tr r="T152" s="3"/>
      </tp>
      <tp>
        <v>29000</v>
        <stp/>
        <stp>P</stp>
        <stp>0</stp>
        <stp>STK</stp>
        <stp>014620</stp>
        <stp>현재가</stp>
        <stp/>
        <stp/>
        <tr r="T361" s="1"/>
        <tr r="T361" s="3"/>
      </tp>
      <tp>
        <v>85900</v>
        <stp/>
        <stp>P</stp>
        <stp>0</stp>
        <stp>STK</stp>
        <stp>214430</stp>
        <stp>현재가</stp>
        <stp/>
        <stp/>
        <tr r="T414" s="1"/>
      </tp>
      <tp>
        <v>464000</v>
        <stp/>
        <stp>P</stp>
        <stp>0</stp>
        <stp>STK</stp>
        <stp>214450</stp>
        <stp>현재가</stp>
        <stp/>
        <stp/>
        <tr r="T117" s="1"/>
        <tr r="T117" s="3"/>
      </tp>
      <tp>
        <v>35600</v>
        <stp/>
        <stp>P</stp>
        <stp>0</stp>
        <stp>STK</stp>
        <stp>017960</stp>
        <stp>현재가</stp>
        <stp/>
        <stp/>
        <tr r="T218" s="1"/>
        <tr r="T218" s="3"/>
      </tp>
      <tp>
        <v>82500</v>
        <stp/>
        <stp>P</stp>
        <stp>0</stp>
        <stp>STK</stp>
        <stp>017940</stp>
        <stp>현재가</stp>
        <stp/>
        <stp/>
        <tr r="T444" s="1"/>
      </tp>
      <tp>
        <v>12860</v>
        <stp/>
        <stp>P</stp>
        <stp>0</stp>
        <stp>STK</stp>
        <stp>017810</stp>
        <stp>현재가</stp>
        <stp/>
        <stp/>
        <tr r="T479" s="1"/>
      </tp>
      <tp>
        <v>93400</v>
        <stp/>
        <stp>P</stp>
        <stp>0</stp>
        <stp>STK</stp>
        <stp>017800</stp>
        <stp>현재가</stp>
        <stp/>
        <stp/>
        <tr r="T137" s="1"/>
        <tr r="T137" s="3"/>
      </tp>
      <tp>
        <v>19360</v>
        <stp/>
        <stp>P</stp>
        <stp>0</stp>
        <stp>STK</stp>
        <stp>017860</stp>
        <stp>현재가</stp>
        <stp/>
        <stp/>
        <tr r="T594" s="1"/>
      </tp>
      <tp>
        <v>63900</v>
        <stp/>
        <stp>P</stp>
        <stp>0</stp>
        <stp>STK</stp>
        <stp>017390</stp>
        <stp>현재가</stp>
        <stp/>
        <stp/>
        <tr r="T601" s="1"/>
      </tp>
      <tp>
        <v>18760</v>
        <stp/>
        <stp>P</stp>
        <stp>0</stp>
        <stp>STK</stp>
        <stp>317330</stp>
        <stp>현재가</stp>
        <stp/>
        <stp/>
        <tr r="T574" s="1"/>
      </tp>
      <tp>
        <v>13350</v>
        <stp/>
        <stp>P</stp>
        <stp>0</stp>
        <stp>STK</stp>
        <stp>417200</stp>
        <stp>현재가</stp>
        <stp/>
        <stp/>
        <tr r="T333" s="3"/>
        <tr r="T333" s="1"/>
      </tp>
      <tp>
        <v>26100</v>
        <stp/>
        <stp>P</stp>
        <stp>0</stp>
        <stp>STK</stp>
        <stp>117730</stp>
        <stp>현재가</stp>
        <stp/>
        <stp/>
        <tr r="T411" s="1"/>
      </tp>
      <tp>
        <v>63500</v>
        <stp/>
        <stp>P</stp>
        <stp>0</stp>
        <stp>STK</stp>
        <stp>017670</stp>
        <stp>현재가</stp>
        <stp/>
        <stp/>
        <tr r="T63" s="3"/>
        <tr r="T63" s="1"/>
      </tp>
      <tp>
        <v>15370</v>
        <stp/>
        <stp>P</stp>
        <stp>0</stp>
        <stp>STK</stp>
        <stp>217590</stp>
        <stp>현재가</stp>
        <stp/>
        <stp/>
        <tr r="T542" s="1"/>
      </tp>
      <tp>
        <v>58600</v>
        <stp/>
        <stp>P</stp>
        <stp>0</stp>
        <stp>STK</stp>
        <stp>317450</stp>
        <stp>현재가</stp>
        <stp/>
        <stp/>
        <tr r="T339" s="3"/>
        <tr r="T339" s="1"/>
      </tp>
      <tp>
        <v>43600</v>
        <stp/>
        <stp>P</stp>
        <stp>0</stp>
        <stp>STK</stp>
        <stp>016800</stp>
        <stp>현재가</stp>
        <stp/>
        <stp/>
        <tr r="T475" s="1"/>
      </tp>
      <tp>
        <v>85600</v>
        <stp/>
        <stp>P</stp>
        <stp>0</stp>
        <stp>STK</stp>
        <stp>016360</stp>
        <stp>현재가</stp>
        <stp/>
        <stp/>
        <tr r="T88" s="1"/>
        <tr r="T88" s="3"/>
      </tp>
      <tp>
        <v>33200</v>
        <stp/>
        <stp>P</stp>
        <stp>0</stp>
        <stp>STK</stp>
        <stp>416180</stp>
        <stp>현재가</stp>
        <stp/>
        <stp/>
        <tr r="T634" s="1"/>
      </tp>
      <tp>
        <v>29150</v>
        <stp/>
        <stp>P</stp>
        <stp>0</stp>
        <stp>STK</stp>
        <stp>316140</stp>
        <stp>현재가</stp>
        <stp/>
        <stp/>
        <tr r="T40" s="3"/>
        <tr r="T40" s="1"/>
      </tp>
      <tp>
        <v>11880</v>
        <stp/>
        <stp>P</stp>
        <stp>0</stp>
        <stp>STK</stp>
        <stp>016610</stp>
        <stp>현재가</stp>
        <stp/>
        <stp/>
        <tr r="T483" s="1"/>
      </tp>
      <tp>
        <v>12270</v>
        <stp/>
        <stp>P</stp>
        <stp>0</stp>
        <stp>STK</stp>
        <stp>016590</stp>
        <stp>현재가</stp>
        <stp/>
        <stp/>
        <tr r="T462" s="1"/>
      </tp>
      <tp>
        <v>88100</v>
        <stp/>
        <stp>P</stp>
        <stp>0</stp>
        <stp>STK</stp>
        <stp>011210</stp>
        <stp>현재가</stp>
        <stp/>
        <stp/>
        <tr r="T164" s="1"/>
        <tr r="T164" s="3"/>
      </tp>
      <tp>
        <v>20300</v>
        <stp/>
        <stp>P</stp>
        <stp>0</stp>
        <stp>STK</stp>
        <stp>011200</stp>
        <stp>현재가</stp>
        <stp/>
        <stp/>
        <tr r="T43" s="1"/>
        <tr r="T43" s="3"/>
      </tp>
      <tp>
        <v>79500</v>
        <stp/>
        <stp>P</stp>
        <stp>0</stp>
        <stp>STK</stp>
        <stp>011170</stp>
        <stp>현재가</stp>
        <stp/>
        <stp/>
        <tr r="T149" s="3"/>
        <tr r="T149" s="1"/>
      </tp>
      <tp>
        <v>282000</v>
        <stp/>
        <stp>P</stp>
        <stp>0</stp>
        <stp>STK</stp>
        <stp>011070</stp>
        <stp>현재가</stp>
        <stp/>
        <stp/>
        <tr r="T94" s="3"/>
        <tr r="T94" s="1"/>
      </tp>
      <tp>
        <v>13230</v>
        <stp/>
        <stp>P</stp>
        <stp>0</stp>
        <stp>STK</stp>
        <stp>211050</stp>
        <stp>현재가</stp>
        <stp/>
        <stp/>
        <tr r="T421" s="1"/>
      </tp>
      <tp>
        <v>112500</v>
        <stp/>
        <stp>P</stp>
        <stp>0</stp>
        <stp>STK</stp>
        <stp>011790</stp>
        <stp>현재가</stp>
        <stp/>
        <stp/>
        <tr r="T123" s="1"/>
        <tr r="T123" s="3"/>
      </tp>
      <tp>
        <v>150900</v>
        <stp/>
        <stp>P</stp>
        <stp>0</stp>
        <stp>STK</stp>
        <stp>011780</stp>
        <stp>현재가</stp>
        <stp/>
        <stp/>
        <tr r="T133" s="1"/>
        <tr r="T133" s="3"/>
      </tp>
      <tp>
        <v>22100</v>
        <stp/>
        <stp>P</stp>
        <stp>0</stp>
        <stp>STK</stp>
        <stp>011760</stp>
        <stp>현재가</stp>
        <stp/>
        <stp/>
        <tr r="T636" s="1"/>
      </tp>
      <tp>
        <v>85300</v>
        <stp/>
        <stp>P</stp>
        <stp>0</stp>
        <stp>STK</stp>
        <stp>111770</stp>
        <stp>현재가</stp>
        <stp/>
        <stp/>
        <tr r="T135" s="3"/>
        <tr r="T135" s="1"/>
      </tp>
      <tp>
        <v>25400</v>
        <stp/>
        <stp>P</stp>
        <stp>0</stp>
        <stp>STK</stp>
        <stp>011500</stp>
        <stp>현재가</stp>
        <stp/>
        <stp/>
        <tr r="T631" s="1"/>
      </tp>
      <tp>
        <v>17650</v>
        <stp/>
        <stp>P</stp>
        <stp>0</stp>
        <stp>STK</stp>
        <stp>110990</stp>
        <stp>현재가</stp>
        <stp/>
        <stp/>
        <tr r="T583" s="1"/>
      </tp>
      <tp>
        <v>97800</v>
        <stp/>
        <stp>P</stp>
        <stp>0</stp>
        <stp>STK</stp>
        <stp>010950</stp>
        <stp>현재가</stp>
        <stp/>
        <stp/>
        <tr r="T69" s="3"/>
        <tr r="T69" s="1"/>
      </tp>
      <tp>
        <v>180100</v>
        <stp/>
        <stp>P</stp>
        <stp>0</stp>
        <stp>STK</stp>
        <stp>310210</stp>
        <stp>현재가</stp>
        <stp/>
        <stp/>
        <tr r="T145" s="1"/>
        <tr r="T145" s="3"/>
      </tp>
      <tp>
        <v>1550000</v>
        <stp/>
        <stp>P</stp>
        <stp>0</stp>
        <stp>STK</stp>
        <stp>010130</stp>
        <stp>현재가</stp>
        <stp/>
        <stp/>
        <tr r="T25" s="1"/>
        <tr r="T25" s="3"/>
      </tp>
      <tp>
        <v>506000</v>
        <stp/>
        <stp>P</stp>
        <stp>0</stp>
        <stp>STK</stp>
        <stp>010120</stp>
        <stp>현재가</stp>
        <stp/>
        <stp/>
        <tr r="T55" s="1"/>
        <tr r="T55" s="3"/>
      </tp>
      <tp>
        <v>30700</v>
        <stp/>
        <stp>P</stp>
        <stp>0</stp>
        <stp>STK</stp>
        <stp>010140</stp>
        <stp>현재가</stp>
        <stp/>
        <stp/>
        <tr r="T30" s="1"/>
        <tr r="T30" s="3"/>
      </tp>
      <tp>
        <v>122200</v>
        <stp/>
        <stp>P</stp>
        <stp>0</stp>
        <stp>STK</stp>
        <stp>010060</stp>
        <stp>현재가</stp>
        <stp/>
        <stp/>
        <tr r="T199" s="1"/>
        <tr r="T199" s="3"/>
      </tp>
      <tp>
        <v>22850</v>
        <stp/>
        <stp>P</stp>
        <stp>0</stp>
        <stp>STK</stp>
        <stp>010780</stp>
        <stp>현재가</stp>
        <stp/>
        <stp/>
        <tr r="T395" s="1"/>
      </tp>
      <tp>
        <v>9650</v>
        <stp/>
        <stp>P</stp>
        <stp>0</stp>
        <stp>STK</stp>
        <stp>010690</stp>
        <stp>현재가</stp>
        <stp/>
        <stp/>
        <tr r="T560" s="1"/>
      </tp>
      <tp>
        <v>12250</v>
        <stp/>
        <stp>P</stp>
        <stp>0</stp>
        <stp>STK</stp>
        <stp>013890</stp>
        <stp>현재가</stp>
        <stp/>
        <stp/>
        <tr r="T653" s="1"/>
      </tp>
      <tp>
        <v>31700</v>
        <stp/>
        <stp>P</stp>
        <stp>0</stp>
        <stp>STK</stp>
        <stp>013030</stp>
        <stp>현재가</stp>
        <stp/>
        <stp/>
        <tr r="T555" s="1"/>
      </tp>
      <tp>
        <v>36200</v>
        <stp/>
        <stp>P</stp>
        <stp>0</stp>
        <stp>STK</stp>
        <stp>213420</stp>
        <stp>현재가</stp>
        <stp/>
        <stp/>
        <tr r="T335" s="1"/>
        <tr r="T335" s="3"/>
      </tp>
      <tp>
        <v>447500</v>
        <stp/>
        <stp>P</stp>
        <stp>0</stp>
        <stp>STK</stp>
        <stp>012330</stp>
        <stp>현재가</stp>
        <stp/>
        <stp/>
        <tr r="T19" s="3"/>
        <tr r="T19" s="1"/>
      </tp>
      <tp>
        <v>25900</v>
        <stp/>
        <stp>P</stp>
        <stp>0</stp>
        <stp>STK</stp>
        <stp>112040</stp>
        <stp>현재가</stp>
        <stp/>
        <stp/>
        <tr r="T334" s="3"/>
        <tr r="T334" s="1"/>
      </tp>
      <tp>
        <v>91700</v>
        <stp/>
        <stp>P</stp>
        <stp>0</stp>
        <stp>STK</stp>
        <stp>0120G0</stp>
        <stp>현재가</stp>
        <stp/>
        <stp/>
        <tr r="T433" s="1"/>
      </tp>
      <tp>
        <v>77600</v>
        <stp/>
        <stp>P</stp>
        <stp>0</stp>
        <stp>STK</stp>
        <stp>012750</stp>
        <stp>현재가</stp>
        <stp/>
        <stp/>
        <tr r="T153" s="3"/>
        <tr r="T153" s="1"/>
      </tp>
      <tp>
        <v>17190</v>
        <stp/>
        <stp>P</stp>
        <stp>0</stp>
        <stp>STK</stp>
        <stp>012630</stp>
        <stp>현재가</stp>
        <stp/>
        <stp/>
        <tr r="T309" s="1"/>
        <tr r="T309" s="3"/>
      </tp>
      <tp>
        <v>40800</v>
        <stp/>
        <stp>P</stp>
        <stp>0</stp>
        <stp>STK</stp>
        <stp>112610</stp>
        <stp>현재가</stp>
        <stp/>
        <stp/>
        <tr r="T237" s="3"/>
        <tr r="T237" s="1"/>
      </tp>
      <tp>
        <v>632000</v>
        <stp/>
        <stp>P</stp>
        <stp>0</stp>
        <stp>STK</stp>
        <stp>0126Z0</stp>
        <stp>현재가</stp>
        <stp/>
        <stp/>
        <tr r="T57" s="3"/>
        <tr r="T57" s="1"/>
      </tp>
      <tp>
        <v>96500</v>
        <stp/>
        <stp>P</stp>
        <stp>0</stp>
        <stp>STK</stp>
        <stp>012510</stp>
        <stp>현재가</stp>
        <stp/>
        <stp/>
        <tr r="T155" s="3"/>
        <tr r="T155" s="1"/>
      </tp>
      <tp>
        <v>1276000</v>
        <stp/>
        <stp>P</stp>
        <stp>0</stp>
        <stp>STK</stp>
        <stp>012450</stp>
        <stp>현재가</stp>
        <stp/>
        <stp/>
        <tr r="T12" s="3"/>
        <tr r="T12" s="1"/>
      </tp>
      <tp>
        <v>38300</v>
        <stp/>
        <stp>P</stp>
        <stp>0</stp>
        <stp>STK</stp>
        <stp>N281820</stp>
        <stp>저가</stp>
        <stp/>
        <stp/>
        <tr r="Q350" s="1"/>
        <tr r="Q247" s="3"/>
      </tp>
      <tp>
        <v>29950</v>
        <stp/>
        <stp>P</stp>
        <stp>0</stp>
        <stp>STK</stp>
        <stp>N181710</stp>
        <stp>저가</stp>
        <stp/>
        <stp/>
        <tr r="Q230" s="3"/>
        <tr r="Q316" s="1"/>
      </tp>
      <tp>
        <v>118700</v>
        <stp/>
        <stp>P</stp>
        <stp>0</stp>
        <stp>STK</stp>
        <stp>N086900</stp>
        <stp>저가</stp>
        <stp/>
        <stp/>
        <tr r="Q338" s="1"/>
      </tp>
      <tp>
        <v>30100</v>
        <stp/>
        <stp>P</stp>
        <stp>0</stp>
        <stp>STK</stp>
        <stp>N181710</stp>
        <stp>시가</stp>
        <stp/>
        <stp/>
        <tr r="O230" s="3"/>
        <tr r="O316" s="1"/>
      </tp>
      <tp>
        <v>38500</v>
        <stp/>
        <stp>P</stp>
        <stp>0</stp>
        <stp>STK</stp>
        <stp>N281820</stp>
        <stp>시가</stp>
        <stp/>
        <stp/>
        <tr r="O350" s="1"/>
        <tr r="O247" s="3"/>
      </tp>
      <tp>
        <v>118700</v>
        <stp/>
        <stp>P</stp>
        <stp>0</stp>
        <stp>STK</stp>
        <stp>N086900</stp>
        <stp>시가</stp>
        <stp/>
        <stp/>
        <tr r="O338" s="1"/>
      </tp>
      <tp>
        <v>120200</v>
        <stp/>
        <stp>P</stp>
        <stp>0</stp>
        <stp>STK</stp>
        <stp>N086900</stp>
        <stp>고가</stp>
        <stp/>
        <stp/>
        <tr r="P338" s="1"/>
      </tp>
      <tp>
        <v>38750</v>
        <stp/>
        <stp>P</stp>
        <stp>0</stp>
        <stp>STK</stp>
        <stp>N281820</stp>
        <stp>고가</stp>
        <stp/>
        <stp/>
        <tr r="P247" s="3"/>
        <tr r="P350" s="1"/>
      </tp>
      <tp>
        <v>30150</v>
        <stp/>
        <stp>P</stp>
        <stp>0</stp>
        <stp>STK</stp>
        <stp>N181710</stp>
        <stp>고가</stp>
        <stp/>
        <stp/>
        <tr r="P316" s="1"/>
        <tr r="P230" s="3"/>
      </tp>
      <tp>
        <v>388500</v>
        <stp/>
        <stp>P</stp>
        <stp>0</stp>
        <stp>STK</stp>
        <stp>N298020</stp>
        <stp>시가</stp>
        <stp/>
        <stp/>
        <tr r="O188" s="3"/>
        <tr r="O231" s="1"/>
      </tp>
      <tp>
        <v>24000</v>
        <stp/>
        <stp>P</stp>
        <stp>0</stp>
        <stp>STK</stp>
        <stp>N190510</stp>
        <stp>저가</stp>
        <stp/>
        <stp/>
        <tr r="Q579" s="1"/>
      </tp>
      <tp>
        <v>47350</v>
        <stp/>
        <stp>P</stp>
        <stp>0</stp>
        <stp>STK</stp>
        <stp>N397030</stp>
        <stp>저가</stp>
        <stp/>
        <stp/>
        <tr r="Q293" s="1"/>
      </tp>
      <tp>
        <v>12280</v>
        <stp/>
        <stp>P</stp>
        <stp>0</stp>
        <stp>STK</stp>
        <stp>N095500</stp>
        <stp>저가</stp>
        <stp/>
        <stp/>
        <tr r="Q596" s="1"/>
      </tp>
      <tp>
        <v>25000</v>
        <stp/>
        <stp>P</stp>
        <stp>0</stp>
        <stp>STK</stp>
        <stp>N190510</stp>
        <stp>시가</stp>
        <stp/>
        <stp/>
        <tr r="O579" s="1"/>
      </tp>
      <tp>
        <v>376000</v>
        <stp/>
        <stp>P</stp>
        <stp>0</stp>
        <stp>STK</stp>
        <stp>N298020</stp>
        <stp>저가</stp>
        <stp/>
        <stp/>
        <tr r="Q188" s="3"/>
        <tr r="Q231" s="1"/>
      </tp>
      <tp>
        <v>12780</v>
        <stp/>
        <stp>P</stp>
        <stp>0</stp>
        <stp>STK</stp>
        <stp>N095500</stp>
        <stp>시가</stp>
        <stp/>
        <stp/>
        <tr r="O596" s="1"/>
      </tp>
      <tp>
        <v>47600</v>
        <stp/>
        <stp>P</stp>
        <stp>0</stp>
        <stp>STK</stp>
        <stp>N397030</stp>
        <stp>시가</stp>
        <stp/>
        <stp/>
        <tr r="O293" s="1"/>
      </tp>
      <tp>
        <v>47950</v>
        <stp/>
        <stp>P</stp>
        <stp>0</stp>
        <stp>STK</stp>
        <stp>N397030</stp>
        <stp>고가</stp>
        <stp/>
        <stp/>
        <tr r="P293" s="1"/>
      </tp>
      <tp>
        <v>12930</v>
        <stp/>
        <stp>P</stp>
        <stp>0</stp>
        <stp>STK</stp>
        <stp>N095500</stp>
        <stp>고가</stp>
        <stp/>
        <stp/>
        <tr r="P596" s="1"/>
      </tp>
      <tp>
        <v>25300</v>
        <stp/>
        <stp>P</stp>
        <stp>0</stp>
        <stp>STK</stp>
        <stp>N190510</stp>
        <stp>고가</stp>
        <stp/>
        <stp/>
        <tr r="P579" s="1"/>
      </tp>
      <tp>
        <v>399000</v>
        <stp/>
        <stp>P</stp>
        <stp>0</stp>
        <stp>STK</stp>
        <stp>N298020</stp>
        <stp>고가</stp>
        <stp/>
        <stp/>
        <tr r="P231" s="1"/>
        <tr r="P188" s="3"/>
      </tp>
      <tp>
        <v>9370</v>
        <stp/>
        <stp>P</stp>
        <stp>0</stp>
        <stp>STK</stp>
        <stp>N009900</stp>
        <stp>시가</stp>
        <stp/>
        <stp/>
        <tr r="O464" s="1"/>
        <tr r="O295" s="3"/>
      </tp>
      <tp>
        <v>15600</v>
        <stp/>
        <stp>P</stp>
        <stp>0</stp>
        <stp>STK</stp>
        <stp>N003300</stp>
        <stp>저가</stp>
        <stp/>
        <stp/>
        <tr r="Q303" s="3"/>
        <tr r="Q489" s="1"/>
      </tp>
      <tp>
        <v>12520</v>
        <stp/>
        <stp>P</stp>
        <stp>0</stp>
        <stp>STK</stp>
        <stp>N003200</stp>
        <stp>저가</stp>
        <stp/>
        <stp/>
        <tr r="Q618" s="1"/>
        <tr r="Q358" s="3"/>
      </tp>
      <tp>
        <v>23150</v>
        <stp/>
        <stp>P</stp>
        <stp>0</stp>
        <stp>STK</stp>
        <stp>N308430</stp>
        <stp>시가</stp>
        <stp/>
        <stp/>
        <tr r="O622" s="1"/>
      </tp>
      <tp>
        <v>441500</v>
        <stp/>
        <stp>P</stp>
        <stp>0</stp>
        <stp>STK</stp>
        <stp>N402340</stp>
        <stp>저가</stp>
        <stp/>
        <stp/>
        <tr r="Q15" s="1"/>
        <tr r="Q15" s="3"/>
      </tp>
      <tp>
        <v>48550</v>
        <stp/>
        <stp>P</stp>
        <stp>0</stp>
        <stp>STK</stp>
        <stp>N102710</stp>
        <stp>저가</stp>
        <stp/>
        <stp/>
        <tr r="Q398" s="1"/>
      </tp>
      <tp>
        <v>20550</v>
        <stp/>
        <stp>P</stp>
        <stp>0</stp>
        <stp>STK</stp>
        <stp>N001800</stp>
        <stp>저가</stp>
        <stp/>
        <stp/>
        <tr r="Q205" s="3"/>
        <tr r="Q267" s="1"/>
      </tp>
      <tp>
        <v>8610</v>
        <stp/>
        <stp>P</stp>
        <stp>0</stp>
        <stp>STK</stp>
        <stp>N001500</stp>
        <stp>저가</stp>
        <stp/>
        <stp/>
        <tr r="Q289" s="3"/>
        <tr r="Q459" s="1"/>
      </tp>
      <tp>
        <v>104700</v>
        <stp/>
        <stp>P</stp>
        <stp>0</stp>
        <stp>STK</stp>
        <stp>N000100</stp>
        <stp>저가</stp>
        <stp/>
        <stp/>
        <tr r="Q78" s="3"/>
        <tr r="Q84" s="1"/>
      </tp>
      <tp>
        <v>88600</v>
        <stp/>
        <stp>P</stp>
        <stp>0</stp>
        <stp>STK</stp>
        <stp>N000500</stp>
        <stp>저가</stp>
        <stp/>
        <stp/>
        <tr r="Q249" s="1"/>
        <tr r="Q196" s="3"/>
      </tp>
      <tp>
        <v>19510</v>
        <stp/>
        <stp>P</stp>
        <stp>0</stp>
        <stp>STK</stp>
        <stp>N007700</stp>
        <stp>저가</stp>
        <stp/>
        <stp/>
        <tr r="Q249" s="3"/>
        <tr r="Q362" s="1"/>
      </tp>
      <tp>
        <v>30000</v>
        <stp/>
        <stp>P</stp>
        <stp>0</stp>
        <stp>STK</stp>
        <stp>N006800</stp>
        <stp>저가</stp>
        <stp/>
        <stp/>
        <tr r="Q48" s="1"/>
        <tr r="Q47" s="3"/>
      </tp>
      <tp>
        <v>391000</v>
        <stp/>
        <stp>P</stp>
        <stp>0</stp>
        <stp>STK</stp>
        <stp>N006400</stp>
        <stp>저가</stp>
        <stp/>
        <stp/>
        <tr r="Q31" s="1"/>
        <tr r="Q28" s="3"/>
      </tp>
      <tp>
        <v>131400</v>
        <stp/>
        <stp>P</stp>
        <stp>0</stp>
        <stp>STK</stp>
        <stp>N005300</stp>
        <stp>저가</stp>
        <stp/>
        <stp/>
        <tr r="Q210" s="3"/>
        <tr r="Q281" s="1"/>
      </tp>
      <tp>
        <v>19130</v>
        <stp/>
        <stp>P</stp>
        <stp>0</stp>
        <stp>STK</stp>
        <stp>N005500</stp>
        <stp>저가</stp>
        <stp/>
        <stp/>
        <tr r="Q666" s="1"/>
        <tr r="Q371" s="3"/>
      </tp>
      <tp>
        <v>151600</v>
        <stp/>
        <stp>P</stp>
        <stp>0</stp>
        <stp>STK</stp>
        <stp>N004800</stp>
        <stp>저가</stp>
        <stp/>
        <stp/>
        <tr r="Q174" s="1"/>
        <tr r="Q148" s="3"/>
      </tp>
      <tp>
        <v>45350</v>
        <stp/>
        <stp>P</stp>
        <stp>0</stp>
        <stp>STK</stp>
        <stp>N004000</stp>
        <stp>저가</stp>
        <stp/>
        <stp/>
        <tr r="Q287" s="1"/>
        <tr r="Q216" s="3"/>
      </tp>
      <tp>
        <v>65700</v>
        <stp/>
        <stp>P</stp>
        <stp>0</stp>
        <stp>STK</stp>
        <stp>N204320</stp>
        <stp>저가</stp>
        <stp/>
        <stp/>
        <tr r="Q125" s="3"/>
        <tr r="Q139" s="1"/>
      </tp>
      <tp>
        <v>70000</v>
        <stp/>
        <stp>P</stp>
        <stp>0</stp>
        <stp>STK</stp>
        <stp>N004700</stp>
        <stp>저가</stp>
        <stp/>
        <stp/>
        <tr r="Q306" s="3"/>
        <tr r="Q497" s="1"/>
      </tp>
      <tp>
        <v>8680</v>
        <stp/>
        <stp>P</stp>
        <stp>0</stp>
        <stp>STK</stp>
        <stp>N001500</stp>
        <stp>시가</stp>
        <stp/>
        <stp/>
        <tr r="O289" s="3"/>
        <tr r="O459" s="1"/>
      </tp>
      <tp>
        <v>20800</v>
        <stp/>
        <stp>P</stp>
        <stp>0</stp>
        <stp>STK</stp>
        <stp>N001800</stp>
        <stp>시가</stp>
        <stp/>
        <stp/>
        <tr r="O205" s="3"/>
        <tr r="O267" s="1"/>
      </tp>
      <tp>
        <v>88600</v>
        <stp/>
        <stp>P</stp>
        <stp>0</stp>
        <stp>STK</stp>
        <stp>N000500</stp>
        <stp>시가</stp>
        <stp/>
        <stp/>
        <tr r="O196" s="3"/>
        <tr r="O249" s="1"/>
      </tp>
      <tp>
        <v>105500</v>
        <stp/>
        <stp>P</stp>
        <stp>0</stp>
        <stp>STK</stp>
        <stp>N000100</stp>
        <stp>시가</stp>
        <stp/>
        <stp/>
        <tr r="O84" s="1"/>
        <tr r="O78" s="3"/>
      </tp>
      <tp>
        <v>15600</v>
        <stp/>
        <stp>P</stp>
        <stp>0</stp>
        <stp>STK</stp>
        <stp>N003300</stp>
        <stp>시가</stp>
        <stp/>
        <stp/>
        <tr r="O303" s="3"/>
        <tr r="O489" s="1"/>
      </tp>
      <tp>
        <v>12520</v>
        <stp/>
        <stp>P</stp>
        <stp>0</stp>
        <stp>STK</stp>
        <stp>N003200</stp>
        <stp>시가</stp>
        <stp/>
        <stp/>
        <tr r="O358" s="3"/>
        <tr r="O618" s="1"/>
      </tp>
      <tp>
        <v>9370</v>
        <stp/>
        <stp>P</stp>
        <stp>0</stp>
        <stp>STK</stp>
        <stp>N009900</stp>
        <stp>저가</stp>
        <stp/>
        <stp/>
        <tr r="Q464" s="1"/>
        <tr r="Q295" s="3"/>
      </tp>
      <tp>
        <v>48900</v>
        <stp/>
        <stp>P</stp>
        <stp>0</stp>
        <stp>STK</stp>
        <stp>N102710</stp>
        <stp>시가</stp>
        <stp/>
        <stp/>
        <tr r="O398" s="1"/>
      </tp>
      <tp>
        <v>447500</v>
        <stp/>
        <stp>P</stp>
        <stp>0</stp>
        <stp>STK</stp>
        <stp>N402340</stp>
        <stp>시가</stp>
        <stp/>
        <stp/>
        <tr r="O15" s="1"/>
        <tr r="O15" s="3"/>
      </tp>
      <tp>
        <v>23000</v>
        <stp/>
        <stp>P</stp>
        <stp>0</stp>
        <stp>STK</stp>
        <stp>N308430</stp>
        <stp>저가</stp>
        <stp/>
        <stp/>
        <tr r="Q622" s="1"/>
      </tp>
      <tp>
        <v>19430</v>
        <stp/>
        <stp>P</stp>
        <stp>0</stp>
        <stp>STK</stp>
        <stp>N005500</stp>
        <stp>시가</stp>
        <stp/>
        <stp/>
        <tr r="O371" s="3"/>
        <tr r="O666" s="1"/>
      </tp>
      <tp>
        <v>131500</v>
        <stp/>
        <stp>P</stp>
        <stp>0</stp>
        <stp>STK</stp>
        <stp>N005300</stp>
        <stp>시가</stp>
        <stp/>
        <stp/>
        <tr r="O210" s="3"/>
        <tr r="O281" s="1"/>
      </tp>
      <tp>
        <v>70000</v>
        <stp/>
        <stp>P</stp>
        <stp>0</stp>
        <stp>STK</stp>
        <stp>N004700</stp>
        <stp>시가</stp>
        <stp/>
        <stp/>
        <tr r="O497" s="1"/>
        <tr r="O306" s="3"/>
      </tp>
      <tp>
        <v>45350</v>
        <stp/>
        <stp>P</stp>
        <stp>0</stp>
        <stp>STK</stp>
        <stp>N004000</stp>
        <stp>시가</stp>
        <stp/>
        <stp/>
        <tr r="O287" s="1"/>
        <tr r="O216" s="3"/>
      </tp>
      <tp>
        <v>67900</v>
        <stp/>
        <stp>P</stp>
        <stp>0</stp>
        <stp>STK</stp>
        <stp>N204320</stp>
        <stp>시가</stp>
        <stp/>
        <stp/>
        <tr r="O125" s="3"/>
        <tr r="O139" s="1"/>
      </tp>
      <tp>
        <v>151600</v>
        <stp/>
        <stp>P</stp>
        <stp>0</stp>
        <stp>STK</stp>
        <stp>N004800</stp>
        <stp>시가</stp>
        <stp/>
        <stp/>
        <tr r="O174" s="1"/>
        <tr r="O148" s="3"/>
      </tp>
      <tp>
        <v>19770</v>
        <stp/>
        <stp>P</stp>
        <stp>0</stp>
        <stp>STK</stp>
        <stp>N007700</stp>
        <stp>시가</stp>
        <stp/>
        <stp/>
        <tr r="O249" s="3"/>
        <tr r="O362" s="1"/>
      </tp>
      <tp>
        <v>400500</v>
        <stp/>
        <stp>P</stp>
        <stp>0</stp>
        <stp>STK</stp>
        <stp>N006400</stp>
        <stp>시가</stp>
        <stp/>
        <stp/>
        <tr r="O28" s="3"/>
        <tr r="O31" s="1"/>
      </tp>
      <tp>
        <v>30150</v>
        <stp/>
        <stp>P</stp>
        <stp>0</stp>
        <stp>STK</stp>
        <stp>N006800</stp>
        <stp>시가</stp>
        <stp/>
        <stp/>
        <tr r="O47" s="3"/>
        <tr r="O48" s="1"/>
      </tp>
      <tp>
        <v>19780</v>
        <stp/>
        <stp>P</stp>
        <stp>0</stp>
        <stp>STK</stp>
        <stp>N007700</stp>
        <stp>고가</stp>
        <stp/>
        <stp/>
        <tr r="P362" s="1"/>
        <tr r="P249" s="3"/>
      </tp>
      <tp>
        <v>32600</v>
        <stp/>
        <stp>P</stp>
        <stp>0</stp>
        <stp>STK</stp>
        <stp>N006800</stp>
        <stp>고가</stp>
        <stp/>
        <stp/>
        <tr r="P48" s="1"/>
        <tr r="P47" s="3"/>
      </tp>
      <tp>
        <v>409000</v>
        <stp/>
        <stp>P</stp>
        <stp>0</stp>
        <stp>STK</stp>
        <stp>N006400</stp>
        <stp>고가</stp>
        <stp/>
        <stp/>
        <tr r="P31" s="1"/>
        <tr r="P28" s="3"/>
      </tp>
      <tp>
        <v>132500</v>
        <stp/>
        <stp>P</stp>
        <stp>0</stp>
        <stp>STK</stp>
        <stp>N005300</stp>
        <stp>고가</stp>
        <stp/>
        <stp/>
        <tr r="P210" s="3"/>
        <tr r="P281" s="1"/>
      </tp>
      <tp>
        <v>19430</v>
        <stp/>
        <stp>P</stp>
        <stp>0</stp>
        <stp>STK</stp>
        <stp>N005500</stp>
        <stp>고가</stp>
        <stp/>
        <stp/>
        <tr r="P371" s="3"/>
        <tr r="P666" s="1"/>
      </tp>
      <tp>
        <v>154000</v>
        <stp/>
        <stp>P</stp>
        <stp>0</stp>
        <stp>STK</stp>
        <stp>N004800</stp>
        <stp>고가</stp>
        <stp/>
        <stp/>
        <tr r="P174" s="1"/>
        <tr r="P148" s="3"/>
      </tp>
      <tp>
        <v>45700</v>
        <stp/>
        <stp>P</stp>
        <stp>0</stp>
        <stp>STK</stp>
        <stp>N004000</stp>
        <stp>고가</stp>
        <stp/>
        <stp/>
        <tr r="P216" s="3"/>
        <tr r="P287" s="1"/>
      </tp>
      <tp>
        <v>69500</v>
        <stp/>
        <stp>P</stp>
        <stp>0</stp>
        <stp>STK</stp>
        <stp>N204320</stp>
        <stp>고가</stp>
        <stp/>
        <stp/>
        <tr r="P125" s="3"/>
        <tr r="P139" s="1"/>
      </tp>
      <tp>
        <v>73500</v>
        <stp/>
        <stp>P</stp>
        <stp>0</stp>
        <stp>STK</stp>
        <stp>N004700</stp>
        <stp>고가</stp>
        <stp/>
        <stp/>
        <tr r="P306" s="3"/>
        <tr r="P497" s="1"/>
      </tp>
      <tp>
        <v>15600</v>
        <stp/>
        <stp>P</stp>
        <stp>0</stp>
        <stp>STK</stp>
        <stp>N003300</stp>
        <stp>고가</stp>
        <stp/>
        <stp/>
        <tr r="P489" s="1"/>
        <tr r="P303" s="3"/>
      </tp>
      <tp>
        <v>12630</v>
        <stp/>
        <stp>P</stp>
        <stp>0</stp>
        <stp>STK</stp>
        <stp>N003200</stp>
        <stp>고가</stp>
        <stp/>
        <stp/>
        <tr r="P358" s="3"/>
        <tr r="P618" s="1"/>
      </tp>
      <tp>
        <v>452500</v>
        <stp/>
        <stp>P</stp>
        <stp>0</stp>
        <stp>STK</stp>
        <stp>N402340</stp>
        <stp>고가</stp>
        <stp/>
        <stp/>
        <tr r="P15" s="3"/>
        <tr r="P15" s="1"/>
      </tp>
      <tp>
        <v>49350</v>
        <stp/>
        <stp>P</stp>
        <stp>0</stp>
        <stp>STK</stp>
        <stp>N102710</stp>
        <stp>고가</stp>
        <stp/>
        <stp/>
        <tr r="P398" s="1"/>
      </tp>
      <tp>
        <v>20850</v>
        <stp/>
        <stp>P</stp>
        <stp>0</stp>
        <stp>STK</stp>
        <stp>N001800</stp>
        <stp>고가</stp>
        <stp/>
        <stp/>
        <tr r="P205" s="3"/>
        <tr r="P267" s="1"/>
      </tp>
      <tp>
        <v>8760</v>
        <stp/>
        <stp>P</stp>
        <stp>0</stp>
        <stp>STK</stp>
        <stp>N001500</stp>
        <stp>고가</stp>
        <stp/>
        <stp/>
        <tr r="P459" s="1"/>
        <tr r="P289" s="3"/>
      </tp>
      <tp>
        <v>105900</v>
        <stp/>
        <stp>P</stp>
        <stp>0</stp>
        <stp>STK</stp>
        <stp>N000100</stp>
        <stp>고가</stp>
        <stp/>
        <stp/>
        <tr r="P84" s="1"/>
        <tr r="P78" s="3"/>
      </tp>
      <tp>
        <v>89500</v>
        <stp/>
        <stp>P</stp>
        <stp>0</stp>
        <stp>STK</stp>
        <stp>N000500</stp>
        <stp>고가</stp>
        <stp/>
        <stp/>
        <tr r="P249" s="1"/>
        <tr r="P196" s="3"/>
      </tp>
      <tp>
        <v>9660</v>
        <stp/>
        <stp>P</stp>
        <stp>0</stp>
        <stp>STK</stp>
        <stp>N009900</stp>
        <stp>고가</stp>
        <stp/>
        <stp/>
        <tr r="P295" s="3"/>
        <tr r="P464" s="1"/>
      </tp>
      <tp>
        <v>23350</v>
        <stp/>
        <stp>P</stp>
        <stp>0</stp>
        <stp>STK</stp>
        <stp>N308430</stp>
        <stp>고가</stp>
        <stp/>
        <stp/>
        <tr r="P622" s="1"/>
      </tp>
      <tp>
        <v>36100</v>
        <stp/>
        <stp>P</stp>
        <stp>0</stp>
        <stp>STK</stp>
        <stp>N213420</stp>
        <stp>저가</stp>
        <stp/>
        <stp/>
        <tr r="Q335" s="1"/>
      </tp>
      <tp>
        <v>40100</v>
        <stp/>
        <stp>P</stp>
        <stp>0</stp>
        <stp>STK</stp>
        <stp>N112610</stp>
        <stp>저가</stp>
        <stp/>
        <stp/>
        <tr r="Q237" s="1"/>
        <tr r="Q185" s="3"/>
      </tp>
      <tp>
        <v>20250</v>
        <stp/>
        <stp>P</stp>
        <stp>0</stp>
        <stp>STK</stp>
        <stp>N011200</stp>
        <stp>저가</stp>
        <stp/>
        <stp/>
        <tr r="Q42" s="3"/>
        <tr r="Q43" s="1"/>
      </tp>
      <tp>
        <v>25000</v>
        <stp/>
        <stp>P</stp>
        <stp>0</stp>
        <stp>STK</stp>
        <stp>N011500</stp>
        <stp>저가</stp>
        <stp/>
        <stp/>
        <tr r="Q333" s="3"/>
        <tr r="Q631" s="1"/>
      </tp>
      <tp>
        <v>93200</v>
        <stp/>
        <stp>P</stp>
        <stp>0</stp>
        <stp>STK</stp>
        <stp>N017800</stp>
        <stp>저가</stp>
        <stp/>
        <stp/>
        <tr r="Q137" s="1"/>
        <tr r="Q121" s="3"/>
      </tp>
      <tp>
        <v>18730</v>
        <stp/>
        <stp>P</stp>
        <stp>0</stp>
        <stp>STK</stp>
        <stp>N317330</stp>
        <stp>저가</stp>
        <stp/>
        <stp/>
        <tr r="Q574" s="1"/>
      </tp>
      <tp>
        <v>42700</v>
        <stp/>
        <stp>P</stp>
        <stp>0</stp>
        <stp>STK</stp>
        <stp>N016800</stp>
        <stp>저가</stp>
        <stp/>
        <stp/>
        <tr r="Q475" s="1"/>
        <tr r="Q296" s="3"/>
      </tp>
      <tp>
        <v>11810</v>
        <stp/>
        <stp>P</stp>
        <stp>0</stp>
        <stp>STK</stp>
        <stp>N314930</stp>
        <stp>저가</stp>
        <stp/>
        <stp/>
        <tr r="Q573" s="1"/>
      </tp>
      <tp>
        <v>11620</v>
        <stp/>
        <stp>P</stp>
        <stp>0</stp>
        <stp>STK</stp>
        <stp>N114810</stp>
        <stp>저가</stp>
        <stp/>
        <stp/>
        <tr r="Q603" s="1"/>
      </tp>
      <tp>
        <v>18460</v>
        <stp/>
        <stp>P</stp>
        <stp>0</stp>
        <stp>STK</stp>
        <stp>N214320</stp>
        <stp>저가</stp>
        <stp/>
        <stp/>
        <tr r="Q256" s="3"/>
        <tr r="Q375" s="1"/>
      </tp>
      <tp>
        <v>25000</v>
        <stp/>
        <stp>P</stp>
        <stp>0</stp>
        <stp>STK</stp>
        <stp>N011500</stp>
        <stp>시가</stp>
        <stp/>
        <stp/>
        <tr r="O631" s="1"/>
        <tr r="O333" s="3"/>
      </tp>
      <tp>
        <v>20550</v>
        <stp/>
        <stp>P</stp>
        <stp>0</stp>
        <stp>STK</stp>
        <stp>N011200</stp>
        <stp>시가</stp>
        <stp/>
        <stp/>
        <tr r="O42" s="3"/>
        <tr r="O43" s="1"/>
      </tp>
      <tp>
        <v>37000</v>
        <stp/>
        <stp>P</stp>
        <stp>0</stp>
        <stp>STK</stp>
        <stp>N213420</stp>
        <stp>시가</stp>
        <stp/>
        <stp/>
        <tr r="O335" s="1"/>
      </tp>
      <tp>
        <v>40400</v>
        <stp/>
        <stp>P</stp>
        <stp>0</stp>
        <stp>STK</stp>
        <stp>N112610</stp>
        <stp>시가</stp>
        <stp/>
        <stp/>
        <tr r="O185" s="3"/>
        <tr r="O237" s="1"/>
      </tp>
      <tp>
        <v>18600</v>
        <stp/>
        <stp>P</stp>
        <stp>0</stp>
        <stp>STK</stp>
        <stp>N214320</stp>
        <stp>시가</stp>
        <stp/>
        <stp/>
        <tr r="O375" s="1"/>
        <tr r="O256" s="3"/>
      </tp>
      <tp>
        <v>11840</v>
        <stp/>
        <stp>P</stp>
        <stp>0</stp>
        <stp>STK</stp>
        <stp>N314930</stp>
        <stp>시가</stp>
        <stp/>
        <stp/>
        <tr r="O573" s="1"/>
      </tp>
      <tp>
        <v>11790</v>
        <stp/>
        <stp>P</stp>
        <stp>0</stp>
        <stp>STK</stp>
        <stp>N114810</stp>
        <stp>시가</stp>
        <stp/>
        <stp/>
        <tr r="O603" s="1"/>
      </tp>
      <tp>
        <v>18950</v>
        <stp/>
        <stp>P</stp>
        <stp>0</stp>
        <stp>STK</stp>
        <stp>N317330</stp>
        <stp>시가</stp>
        <stp/>
        <stp/>
        <tr r="O574" s="1"/>
      </tp>
      <tp>
        <v>93500</v>
        <stp/>
        <stp>P</stp>
        <stp>0</stp>
        <stp>STK</stp>
        <stp>N017800</stp>
        <stp>시가</stp>
        <stp/>
        <stp/>
        <tr r="O137" s="1"/>
        <tr r="O121" s="3"/>
      </tp>
      <tp>
        <v>42700</v>
        <stp/>
        <stp>P</stp>
        <stp>0</stp>
        <stp>STK</stp>
        <stp>N016800</stp>
        <stp>시가</stp>
        <stp/>
        <stp/>
        <tr r="O475" s="1"/>
        <tr r="O296" s="3"/>
      </tp>
      <tp>
        <v>94100</v>
        <stp/>
        <stp>P</stp>
        <stp>0</stp>
        <stp>STK</stp>
        <stp>N017800</stp>
        <stp>고가</stp>
        <stp/>
        <stp/>
        <tr r="P121" s="3"/>
        <tr r="P137" s="1"/>
      </tp>
      <tp>
        <v>19200</v>
        <stp/>
        <stp>P</stp>
        <stp>0</stp>
        <stp>STK</stp>
        <stp>N317330</stp>
        <stp>고가</stp>
        <stp/>
        <stp/>
        <tr r="P574" s="1"/>
      </tp>
      <tp>
        <v>43350</v>
        <stp/>
        <stp>P</stp>
        <stp>0</stp>
        <stp>STK</stp>
        <stp>N016800</stp>
        <stp>고가</stp>
        <stp/>
        <stp/>
        <tr r="P296" s="3"/>
        <tr r="P475" s="1"/>
      </tp>
      <tp>
        <v>11960</v>
        <stp/>
        <stp>P</stp>
        <stp>0</stp>
        <stp>STK</stp>
        <stp>N314930</stp>
        <stp>고가</stp>
        <stp/>
        <stp/>
        <tr r="P573" s="1"/>
      </tp>
      <tp>
        <v>11790</v>
        <stp/>
        <stp>P</stp>
        <stp>0</stp>
        <stp>STK</stp>
        <stp>N114810</stp>
        <stp>고가</stp>
        <stp/>
        <stp/>
        <tr r="P603" s="1"/>
      </tp>
      <tp>
        <v>18600</v>
        <stp/>
        <stp>P</stp>
        <stp>0</stp>
        <stp>STK</stp>
        <stp>N214320</stp>
        <stp>고가</stp>
        <stp/>
        <stp/>
        <tr r="P375" s="1"/>
        <tr r="P256" s="3"/>
      </tp>
      <tp>
        <v>37000</v>
        <stp/>
        <stp>P</stp>
        <stp>0</stp>
        <stp>STK</stp>
        <stp>N213420</stp>
        <stp>고가</stp>
        <stp/>
        <stp/>
        <tr r="P335" s="1"/>
      </tp>
      <tp>
        <v>40850</v>
        <stp/>
        <stp>P</stp>
        <stp>0</stp>
        <stp>STK</stp>
        <stp>N112610</stp>
        <stp>고가</stp>
        <stp/>
        <stp/>
        <tr r="P237" s="1"/>
        <tr r="P185" s="3"/>
      </tp>
      <tp>
        <v>20750</v>
        <stp/>
        <stp>P</stp>
        <stp>0</stp>
        <stp>STK</stp>
        <stp>N011200</stp>
        <stp>고가</stp>
        <stp/>
        <stp/>
        <tr r="P42" s="3"/>
        <tr r="P43" s="1"/>
      </tp>
      <tp>
        <v>27050</v>
        <stp/>
        <stp>P</stp>
        <stp>0</stp>
        <stp>STK</stp>
        <stp>N011500</stp>
        <stp>고가</stp>
        <stp/>
        <stp/>
        <tr r="P333" s="3"/>
        <tr r="P631" s="1"/>
      </tp>
      <tp>
        <v>37800</v>
        <stp/>
        <stp>P</stp>
        <stp>0</stp>
        <stp>STK</stp>
        <stp>N328130</stp>
        <stp>시가</stp>
        <stp/>
        <stp/>
        <tr r="O295" s="1"/>
      </tp>
      <tp>
        <v>53200</v>
        <stp/>
        <stp>P</stp>
        <stp>0</stp>
        <stp>STK</stp>
        <stp>N028300</stp>
        <stp>시가</stp>
        <stp/>
        <stp/>
        <tr r="O93" s="1"/>
      </tp>
      <tp>
        <v>40000</v>
        <stp/>
        <stp>P</stp>
        <stp>0</stp>
        <stp>STK</stp>
        <stp>N022100</stp>
        <stp>저가</stp>
        <stp/>
        <stp/>
        <tr r="Q95" s="1"/>
        <tr r="Q90" s="3"/>
      </tp>
      <tp>
        <v>46550</v>
        <stp/>
        <stp>P</stp>
        <stp>0</stp>
        <stp>STK</stp>
        <stp>N120110</stp>
        <stp>저가</stp>
        <stp/>
        <stp/>
        <tr r="Q277" s="1"/>
        <tr r="Q207" s="3"/>
      </tp>
      <tp>
        <v>15200</v>
        <stp/>
        <stp>P</stp>
        <stp>0</stp>
        <stp>STK</stp>
        <stp>N020000</stp>
        <stp>저가</stp>
        <stp/>
        <stp/>
        <tr r="Q337" s="3"/>
        <tr r="Q584" s="1"/>
      </tp>
      <tp>
        <v>116700</v>
        <stp/>
        <stp>P</stp>
        <stp>0</stp>
        <stp>STK</stp>
        <stp>N326030</stp>
        <stp>저가</stp>
        <stp/>
        <stp/>
        <tr r="Q72" s="3"/>
        <tr r="Q78" s="1"/>
      </tp>
      <tp>
        <v>11170</v>
        <stp/>
        <stp>P</stp>
        <stp>0</stp>
        <stp>STK</stp>
        <stp>N226320</stp>
        <stp>저가</stp>
        <stp/>
        <stp/>
        <tr r="Q676" s="1"/>
        <tr r="Q373" s="3"/>
      </tp>
      <tp>
        <v>9020</v>
        <stp/>
        <stp>P</stp>
        <stp>0</stp>
        <stp>STK</stp>
        <stp>N025900</stp>
        <stp>저가</stp>
        <stp/>
        <stp/>
        <tr r="Q527" s="1"/>
      </tp>
      <tp>
        <v>46800</v>
        <stp/>
        <stp>P</stp>
        <stp>0</stp>
        <stp>STK</stp>
        <stp>N120110</stp>
        <stp>시가</stp>
        <stp/>
        <stp/>
        <tr r="O207" s="3"/>
        <tr r="O277" s="1"/>
      </tp>
      <tp>
        <v>15270</v>
        <stp/>
        <stp>P</stp>
        <stp>0</stp>
        <stp>STK</stp>
        <stp>N020000</stp>
        <stp>시가</stp>
        <stp/>
        <stp/>
        <tr r="O337" s="3"/>
        <tr r="O584" s="1"/>
      </tp>
      <tp>
        <v>40600</v>
        <stp/>
        <stp>P</stp>
        <stp>0</stp>
        <stp>STK</stp>
        <stp>N022100</stp>
        <stp>시가</stp>
        <stp/>
        <stp/>
        <tr r="O95" s="1"/>
        <tr r="O90" s="3"/>
      </tp>
      <tp>
        <v>37700</v>
        <stp/>
        <stp>P</stp>
        <stp>0</stp>
        <stp>STK</stp>
        <stp>N328130</stp>
        <stp>저가</stp>
        <stp/>
        <stp/>
        <tr r="Q295" s="1"/>
      </tp>
      <tp>
        <v>51900</v>
        <stp/>
        <stp>P</stp>
        <stp>0</stp>
        <stp>STK</stp>
        <stp>N028300</stp>
        <stp>저가</stp>
        <stp/>
        <stp/>
        <tr r="Q93" s="1"/>
      </tp>
      <tp>
        <v>9340</v>
        <stp/>
        <stp>P</stp>
        <stp>0</stp>
        <stp>STK</stp>
        <stp>N025900</stp>
        <stp>시가</stp>
        <stp/>
        <stp/>
        <tr r="O527" s="1"/>
      </tp>
      <tp>
        <v>117000</v>
        <stp/>
        <stp>P</stp>
        <stp>0</stp>
        <stp>STK</stp>
        <stp>N326030</stp>
        <stp>시가</stp>
        <stp/>
        <stp/>
        <tr r="O72" s="3"/>
        <tr r="O78" s="1"/>
      </tp>
      <tp>
        <v>11190</v>
        <stp/>
        <stp>P</stp>
        <stp>0</stp>
        <stp>STK</stp>
        <stp>N226320</stp>
        <stp>시가</stp>
        <stp/>
        <stp/>
        <tr r="O676" s="1"/>
        <tr r="O373" s="3"/>
      </tp>
      <tp>
        <v>117700</v>
        <stp/>
        <stp>P</stp>
        <stp>0</stp>
        <stp>STK</stp>
        <stp>N326030</stp>
        <stp>고가</stp>
        <stp/>
        <stp/>
        <tr r="P72" s="3"/>
        <tr r="P78" s="1"/>
      </tp>
      <tp>
        <v>11220</v>
        <stp/>
        <stp>P</stp>
        <stp>0</stp>
        <stp>STK</stp>
        <stp>N226320</stp>
        <stp>고가</stp>
        <stp/>
        <stp/>
        <tr r="P373" s="3"/>
        <tr r="P676" s="1"/>
      </tp>
      <tp>
        <v>9400</v>
        <stp/>
        <stp>P</stp>
        <stp>0</stp>
        <stp>STK</stp>
        <stp>N025900</stp>
        <stp>고가</stp>
        <stp/>
        <stp/>
        <tr r="P527" s="1"/>
      </tp>
      <tp>
        <v>41200</v>
        <stp/>
        <stp>P</stp>
        <stp>0</stp>
        <stp>STK</stp>
        <stp>N022100</stp>
        <stp>고가</stp>
        <stp/>
        <stp/>
        <tr r="P95" s="1"/>
        <tr r="P90" s="3"/>
      </tp>
      <tp>
        <v>47400</v>
        <stp/>
        <stp>P</stp>
        <stp>0</stp>
        <stp>STK</stp>
        <stp>N120110</stp>
        <stp>고가</stp>
        <stp/>
        <stp/>
        <tr r="P207" s="3"/>
        <tr r="P277" s="1"/>
      </tp>
      <tp>
        <v>15270</v>
        <stp/>
        <stp>P</stp>
        <stp>0</stp>
        <stp>STK</stp>
        <stp>N020000</stp>
        <stp>고가</stp>
        <stp/>
        <stp/>
        <tr r="P584" s="1"/>
        <tr r="P337" s="3"/>
      </tp>
      <tp>
        <v>38000</v>
        <stp/>
        <stp>P</stp>
        <stp>0</stp>
        <stp>STK</stp>
        <stp>N328130</stp>
        <stp>고가</stp>
        <stp/>
        <stp/>
        <tr r="P295" s="1"/>
      </tp>
      <tp>
        <v>53400</v>
        <stp/>
        <stp>P</stp>
        <stp>0</stp>
        <stp>STK</stp>
        <stp>N028300</stp>
        <stp>고가</stp>
        <stp/>
        <stp/>
        <tr r="P93" s="1"/>
      </tp>
      <tp>
        <v>40850</v>
        <stp/>
        <stp>P</stp>
        <stp>0</stp>
        <stp>STK</stp>
        <stp>N039200</stp>
        <stp>시가</stp>
        <stp/>
        <stp/>
        <tr r="O236" s="1"/>
      </tp>
      <tp>
        <v>39050</v>
        <stp/>
        <stp>P</stp>
        <stp>0</stp>
        <stp>STK</stp>
        <stp>N033100</stp>
        <stp>저가</stp>
        <stp/>
        <stp/>
        <tr r="Q403" s="1"/>
      </tp>
      <tp>
        <v>26350</v>
        <stp/>
        <stp>P</stp>
        <stp>0</stp>
        <stp>STK</stp>
        <stp>N033500</stp>
        <stp>저가</stp>
        <stp/>
        <stp/>
        <tr r="Q344" s="1"/>
      </tp>
      <tp>
        <v>33500</v>
        <stp/>
        <stp>P</stp>
        <stp>0</stp>
        <stp>STK</stp>
        <stp>N138610</stp>
        <stp>시가</stp>
        <stp/>
        <stp/>
        <tr r="O545" s="1"/>
      </tp>
      <tp>
        <v>15430</v>
        <stp/>
        <stp>P</stp>
        <stp>0</stp>
        <stp>STK</stp>
        <stp>N032500</stp>
        <stp>저가</stp>
        <stp/>
        <stp/>
        <tr r="Q413" s="1"/>
      </tp>
      <tp>
        <v>20800</v>
        <stp/>
        <stp>P</stp>
        <stp>0</stp>
        <stp>STK</stp>
        <stp>N030000</stp>
        <stp>저가</stp>
        <stp/>
        <stp/>
        <tr r="Q156" s="3"/>
        <tr r="Q184" s="1"/>
      </tp>
      <tp>
        <v>55000</v>
        <stp/>
        <stp>P</stp>
        <stp>0</stp>
        <stp>STK</stp>
        <stp>N030200</stp>
        <stp>저가</stp>
        <stp/>
        <stp/>
        <tr r="Q59" s="1"/>
        <tr r="Q57" s="3"/>
      </tp>
      <tp>
        <v>8240</v>
        <stp/>
        <stp>P</stp>
        <stp>0</stp>
        <stp>STK</stp>
        <stp>N137310</stp>
        <stp>저가</stp>
        <stp/>
        <stp/>
        <tr r="Q227" s="3"/>
        <tr r="Q312" s="1"/>
      </tp>
      <tp>
        <v>22600</v>
        <stp/>
        <stp>P</stp>
        <stp>0</stp>
        <stp>STK</stp>
        <stp>N036800</stp>
        <stp>저가</stp>
        <stp/>
        <stp/>
        <tr r="Q688" s="1"/>
      </tp>
      <tp>
        <v>9400</v>
        <stp/>
        <stp>P</stp>
        <stp>0</stp>
        <stp>STK</stp>
        <stp>N036200</stp>
        <stp>저가</stp>
        <stp/>
        <stp/>
        <tr r="Q626" s="1"/>
      </tp>
      <tp>
        <v>67800</v>
        <stp/>
        <stp>P</stp>
        <stp>0</stp>
        <stp>STK</stp>
        <stp>N035900</stp>
        <stp>저가</stp>
        <stp/>
        <stp/>
        <tr r="Q185" s="1"/>
      </tp>
      <tp>
        <v>9760</v>
        <stp/>
        <stp>P</stp>
        <stp>0</stp>
        <stp>STK</stp>
        <stp>N035600</stp>
        <stp>저가</stp>
        <stp/>
        <stp/>
        <tr r="Q652" s="1"/>
      </tp>
      <tp>
        <v>20850</v>
        <stp/>
        <stp>P</stp>
        <stp>0</stp>
        <stp>STK</stp>
        <stp>N030000</stp>
        <stp>시가</stp>
        <stp/>
        <stp/>
        <tr r="O156" s="3"/>
        <tr r="O184" s="1"/>
      </tp>
      <tp>
        <v>55000</v>
        <stp/>
        <stp>P</stp>
        <stp>0</stp>
        <stp>STK</stp>
        <stp>N030200</stp>
        <stp>시가</stp>
        <stp/>
        <stp/>
        <tr r="O59" s="1"/>
        <tr r="O57" s="3"/>
      </tp>
      <tp>
        <v>26350</v>
        <stp/>
        <stp>P</stp>
        <stp>0</stp>
        <stp>STK</stp>
        <stp>N033500</stp>
        <stp>시가</stp>
        <stp/>
        <stp/>
        <tr r="O344" s="1"/>
      </tp>
      <tp>
        <v>39950</v>
        <stp/>
        <stp>P</stp>
        <stp>0</stp>
        <stp>STK</stp>
        <stp>N033100</stp>
        <stp>시가</stp>
        <stp/>
        <stp/>
        <tr r="O403" s="1"/>
      </tp>
      <tp>
        <v>40750</v>
        <stp/>
        <stp>P</stp>
        <stp>0</stp>
        <stp>STK</stp>
        <stp>N039200</stp>
        <stp>저가</stp>
        <stp/>
        <stp/>
        <tr r="Q236" s="1"/>
      </tp>
      <tp>
        <v>15730</v>
        <stp/>
        <stp>P</stp>
        <stp>0</stp>
        <stp>STK</stp>
        <stp>N032500</stp>
        <stp>시가</stp>
        <stp/>
        <stp/>
        <tr r="O413" s="1"/>
      </tp>
      <tp>
        <v>33500</v>
        <stp/>
        <stp>P</stp>
        <stp>0</stp>
        <stp>STK</stp>
        <stp>N138610</stp>
        <stp>저가</stp>
        <stp/>
        <stp/>
        <tr r="Q545" s="1"/>
      </tp>
      <tp>
        <v>9880</v>
        <stp/>
        <stp>P</stp>
        <stp>0</stp>
        <stp>STK</stp>
        <stp>N035600</stp>
        <stp>시가</stp>
        <stp/>
        <stp/>
        <tr r="O652" s="1"/>
      </tp>
      <tp>
        <v>68300</v>
        <stp/>
        <stp>P</stp>
        <stp>0</stp>
        <stp>STK</stp>
        <stp>N035900</stp>
        <stp>시가</stp>
        <stp/>
        <stp/>
        <tr r="O185" s="1"/>
      </tp>
      <tp>
        <v>8260</v>
        <stp/>
        <stp>P</stp>
        <stp>0</stp>
        <stp>STK</stp>
        <stp>N137310</stp>
        <stp>시가</stp>
        <stp/>
        <stp/>
        <tr r="O227" s="3"/>
        <tr r="O312" s="1"/>
      </tp>
      <tp>
        <v>9410</v>
        <stp/>
        <stp>P</stp>
        <stp>0</stp>
        <stp>STK</stp>
        <stp>N036200</stp>
        <stp>시가</stp>
        <stp/>
        <stp/>
        <tr r="O626" s="1"/>
      </tp>
      <tp>
        <v>22600</v>
        <stp/>
        <stp>P</stp>
        <stp>0</stp>
        <stp>STK</stp>
        <stp>N036800</stp>
        <stp>시가</stp>
        <stp/>
        <stp/>
        <tr r="O688" s="1"/>
      </tp>
      <tp>
        <v>8280</v>
        <stp/>
        <stp>P</stp>
        <stp>0</stp>
        <stp>STK</stp>
        <stp>N137310</stp>
        <stp>고가</stp>
        <stp/>
        <stp/>
        <tr r="P227" s="3"/>
        <tr r="P312" s="1"/>
      </tp>
      <tp>
        <v>22900</v>
        <stp/>
        <stp>P</stp>
        <stp>0</stp>
        <stp>STK</stp>
        <stp>N036800</stp>
        <stp>고가</stp>
        <stp/>
        <stp/>
        <tr r="P688" s="1"/>
      </tp>
      <tp>
        <v>9480</v>
        <stp/>
        <stp>P</stp>
        <stp>0</stp>
        <stp>STK</stp>
        <stp>N036200</stp>
        <stp>고가</stp>
        <stp/>
        <stp/>
        <tr r="P626" s="1"/>
      </tp>
      <tp>
        <v>68800</v>
        <stp/>
        <stp>P</stp>
        <stp>0</stp>
        <stp>STK</stp>
        <stp>N035900</stp>
        <stp>고가</stp>
        <stp/>
        <stp/>
        <tr r="P185" s="1"/>
      </tp>
      <tp>
        <v>9890</v>
        <stp/>
        <stp>P</stp>
        <stp>0</stp>
        <stp>STK</stp>
        <stp>N035600</stp>
        <stp>고가</stp>
        <stp/>
        <stp/>
        <tr r="P652" s="1"/>
      </tp>
      <tp>
        <v>40000</v>
        <stp/>
        <stp>P</stp>
        <stp>0</stp>
        <stp>STK</stp>
        <stp>N033100</stp>
        <stp>고가</stp>
        <stp/>
        <stp/>
        <tr r="P403" s="1"/>
      </tp>
      <tp>
        <v>26750</v>
        <stp/>
        <stp>P</stp>
        <stp>0</stp>
        <stp>STK</stp>
        <stp>N033500</stp>
        <stp>고가</stp>
        <stp/>
        <stp/>
        <tr r="P344" s="1"/>
      </tp>
      <tp>
        <v>15730</v>
        <stp/>
        <stp>P</stp>
        <stp>0</stp>
        <stp>STK</stp>
        <stp>N032500</stp>
        <stp>고가</stp>
        <stp/>
        <stp/>
        <tr r="P413" s="1"/>
      </tp>
      <tp>
        <v>20900</v>
        <stp/>
        <stp>P</stp>
        <stp>0</stp>
        <stp>STK</stp>
        <stp>N030000</stp>
        <stp>고가</stp>
        <stp/>
        <stp/>
        <tr r="P184" s="1"/>
        <tr r="P156" s="3"/>
      </tp>
      <tp>
        <v>55300</v>
        <stp/>
        <stp>P</stp>
        <stp>0</stp>
        <stp>STK</stp>
        <stp>N030200</stp>
        <stp>고가</stp>
        <stp/>
        <stp/>
        <tr r="P59" s="1"/>
        <tr r="P57" s="3"/>
      </tp>
      <tp>
        <v>41500</v>
        <stp/>
        <stp>P</stp>
        <stp>0</stp>
        <stp>STK</stp>
        <stp>N039200</stp>
        <stp>고가</stp>
        <stp/>
        <stp/>
        <tr r="P236" s="1"/>
      </tp>
      <tp>
        <v>33900</v>
        <stp/>
        <stp>P</stp>
        <stp>0</stp>
        <stp>STK</stp>
        <stp>N138610</stp>
        <stp>고가</stp>
        <stp/>
        <stp/>
        <tr r="P545" s="1"/>
      </tp>
      <tp>
        <v>36300</v>
        <stp/>
        <stp>P</stp>
        <stp>0</stp>
        <stp>STK</stp>
        <stp>N249420</stp>
        <stp>시가</stp>
        <stp/>
        <stp/>
        <tr r="O217" s="3"/>
        <tr r="O285" s="1"/>
      </tp>
      <tp>
        <v>31550</v>
        <stp/>
        <stp>P</stp>
        <stp>0</stp>
        <stp>STK</stp>
        <stp>N042000</stp>
        <stp>저가</stp>
        <stp/>
        <stp/>
        <tr r="Q367" s="1"/>
      </tp>
      <tp>
        <v>168100</v>
        <stp/>
        <stp>P</stp>
        <stp>0</stp>
        <stp>STK</stp>
        <stp>N042700</stp>
        <stp>저가</stp>
        <stp/>
        <stp/>
        <tr r="Q51" s="3"/>
        <tr r="Q51" s="1"/>
      </tp>
      <tp>
        <v>107100</v>
        <stp/>
        <stp>P</stp>
        <stp>0</stp>
        <stp>STK</stp>
        <stp>N140410</stp>
        <stp>저가</stp>
        <stp/>
        <stp/>
        <tr r="Q151" s="1"/>
      </tp>
      <tp>
        <v>24250</v>
        <stp/>
        <stp>P</stp>
        <stp>0</stp>
        <stp>STK</stp>
        <stp>N045100</stp>
        <stp>저가</stp>
        <stp/>
        <stp/>
        <tr r="Q500" s="1"/>
      </tp>
      <tp>
        <v>22100</v>
        <stp/>
        <stp>P</stp>
        <stp>0</stp>
        <stp>STK</stp>
        <stp>N144510</stp>
        <stp>저가</stp>
        <stp/>
        <stp/>
        <tr r="Q575" s="1"/>
      </tp>
      <tp>
        <v>108500</v>
        <stp/>
        <stp>P</stp>
        <stp>0</stp>
        <stp>STK</stp>
        <stp>N140410</stp>
        <stp>시가</stp>
        <stp/>
        <stp/>
        <tr r="O151" s="1"/>
      </tp>
      <tp>
        <v>36200</v>
        <stp/>
        <stp>P</stp>
        <stp>0</stp>
        <stp>STK</stp>
        <stp>N249420</stp>
        <stp>저가</stp>
        <stp/>
        <stp/>
        <tr r="Q285" s="1"/>
        <tr r="Q217" s="3"/>
      </tp>
      <tp>
        <v>170300</v>
        <stp/>
        <stp>P</stp>
        <stp>0</stp>
        <stp>STK</stp>
        <stp>N042700</stp>
        <stp>시가</stp>
        <stp/>
        <stp/>
        <tr r="O51" s="3"/>
        <tr r="O51" s="1"/>
      </tp>
      <tp>
        <v>31550</v>
        <stp/>
        <stp>P</stp>
        <stp>0</stp>
        <stp>STK</stp>
        <stp>N042000</stp>
        <stp>시가</stp>
        <stp/>
        <stp/>
        <tr r="O367" s="1"/>
      </tp>
      <tp>
        <v>24300</v>
        <stp/>
        <stp>P</stp>
        <stp>0</stp>
        <stp>STK</stp>
        <stp>N045100</stp>
        <stp>시가</stp>
        <stp/>
        <stp/>
        <tr r="O500" s="1"/>
      </tp>
      <tp>
        <v>22400</v>
        <stp/>
        <stp>P</stp>
        <stp>0</stp>
        <stp>STK</stp>
        <stp>N144510</stp>
        <stp>시가</stp>
        <stp/>
        <stp/>
        <tr r="O575" s="1"/>
      </tp>
      <tp>
        <v>24550</v>
        <stp/>
        <stp>P</stp>
        <stp>0</stp>
        <stp>STK</stp>
        <stp>N045100</stp>
        <stp>고가</stp>
        <stp/>
        <stp/>
        <tr r="P500" s="1"/>
      </tp>
      <tp>
        <v>22400</v>
        <stp/>
        <stp>P</stp>
        <stp>0</stp>
        <stp>STK</stp>
        <stp>N144510</stp>
        <stp>고가</stp>
        <stp/>
        <stp/>
        <tr r="P575" s="1"/>
      </tp>
      <tp>
        <v>32000</v>
        <stp/>
        <stp>P</stp>
        <stp>0</stp>
        <stp>STK</stp>
        <stp>N042000</stp>
        <stp>고가</stp>
        <stp/>
        <stp/>
        <tr r="P367" s="1"/>
      </tp>
      <tp>
        <v>171500</v>
        <stp/>
        <stp>P</stp>
        <stp>0</stp>
        <stp>STK</stp>
        <stp>N042700</stp>
        <stp>고가</stp>
        <stp/>
        <stp/>
        <tr r="P51" s="1"/>
        <tr r="P51" s="3"/>
      </tp>
      <tp>
        <v>112000</v>
        <stp/>
        <stp>P</stp>
        <stp>0</stp>
        <stp>STK</stp>
        <stp>N140410</stp>
        <stp>고가</stp>
        <stp/>
        <stp/>
        <tr r="P151" s="1"/>
      </tp>
      <tp>
        <v>36700</v>
        <stp/>
        <stp>P</stp>
        <stp>0</stp>
        <stp>STK</stp>
        <stp>N249420</stp>
        <stp>고가</stp>
        <stp/>
        <stp/>
        <tr r="P285" s="1"/>
        <tr r="P217" s="3"/>
      </tp>
      <tp>
        <v>59400</v>
        <stp/>
        <stp>P</stp>
        <stp>0</stp>
        <stp>STK</stp>
        <stp>N053800</stp>
        <stp>저가</stp>
        <stp/>
        <stp/>
        <tr r="Q401" s="1"/>
      </tp>
      <tp>
        <v>14950</v>
        <stp/>
        <stp>P</stp>
        <stp>0</stp>
        <stp>STK</stp>
        <stp>N453340</stp>
        <stp>저가</stp>
        <stp/>
        <stp/>
        <tr r="Q300" s="3"/>
        <tr r="Q480" s="1"/>
      </tp>
      <tp>
        <v>42250</v>
        <stp/>
        <stp>P</stp>
        <stp>0</stp>
        <stp>STK</stp>
        <stp>N052400</stp>
        <stp>저가</stp>
        <stp/>
        <stp/>
        <tr r="Q418" s="1"/>
      </tp>
      <tp>
        <v>271000</v>
        <stp/>
        <stp>P</stp>
        <stp>0</stp>
        <stp>STK</stp>
        <stp>N051900</stp>
        <stp>저가</stp>
        <stp/>
        <stp/>
        <tr r="Q124" s="1"/>
        <tr r="Q114" s="3"/>
      </tp>
      <tp>
        <v>26350</v>
        <stp/>
        <stp>P</stp>
        <stp>0</stp>
        <stp>STK</stp>
        <stp>N051500</stp>
        <stp>저가</stp>
        <stp/>
        <stp/>
        <tr r="Q605" s="1"/>
      </tp>
      <tp>
        <v>57400</v>
        <stp/>
        <stp>P</stp>
        <stp>0</stp>
        <stp>STK</stp>
        <stp>N051600</stp>
        <stp>저가</stp>
        <stp/>
        <stp/>
        <tr r="Q166" s="1"/>
        <tr r="Q142" s="3"/>
      </tp>
      <tp>
        <v>48250</v>
        <stp/>
        <stp>P</stp>
        <stp>0</stp>
        <stp>STK</stp>
        <stp>N257720</stp>
        <stp>저가</stp>
        <stp/>
        <stp/>
        <tr r="Q156" s="1"/>
      </tp>
      <tp>
        <v>71100</v>
        <stp/>
        <stp>P</stp>
        <stp>0</stp>
        <stp>STK</stp>
        <stp>N456040</stp>
        <stp>저가</stp>
        <stp/>
        <stp/>
        <tr r="Q409" s="1"/>
        <tr r="Q270" s="3"/>
      </tp>
      <tp>
        <v>26750</v>
        <stp/>
        <stp>P</stp>
        <stp>0</stp>
        <stp>STK</stp>
        <stp>N051500</stp>
        <stp>시가</stp>
        <stp/>
        <stp/>
        <tr r="O605" s="1"/>
      </tp>
      <tp>
        <v>58100</v>
        <stp/>
        <stp>P</stp>
        <stp>0</stp>
        <stp>STK</stp>
        <stp>N051600</stp>
        <stp>시가</stp>
        <stp/>
        <stp/>
        <tr r="O142" s="3"/>
        <tr r="O166" s="1"/>
      </tp>
      <tp>
        <v>274000</v>
        <stp/>
        <stp>P</stp>
        <stp>0</stp>
        <stp>STK</stp>
        <stp>N051900</stp>
        <stp>시가</stp>
        <stp/>
        <stp/>
        <tr r="O124" s="1"/>
        <tr r="O114" s="3"/>
      </tp>
      <tp>
        <v>15060</v>
        <stp/>
        <stp>P</stp>
        <stp>0</stp>
        <stp>STK</stp>
        <stp>N453340</stp>
        <stp>시가</stp>
        <stp/>
        <stp/>
        <tr r="O300" s="3"/>
        <tr r="O480" s="1"/>
      </tp>
      <tp>
        <v>59400</v>
        <stp/>
        <stp>P</stp>
        <stp>0</stp>
        <stp>STK</stp>
        <stp>N053800</stp>
        <stp>시가</stp>
        <stp/>
        <stp/>
        <tr r="O401" s="1"/>
      </tp>
      <tp>
        <v>42400</v>
        <stp/>
        <stp>P</stp>
        <stp>0</stp>
        <stp>STK</stp>
        <stp>N052400</stp>
        <stp>시가</stp>
        <stp/>
        <stp/>
        <tr r="O418" s="1"/>
      </tp>
      <tp>
        <v>49000</v>
        <stp/>
        <stp>P</stp>
        <stp>0</stp>
        <stp>STK</stp>
        <stp>N257720</stp>
        <stp>시가</stp>
        <stp/>
        <stp/>
        <tr r="O156" s="1"/>
      </tp>
      <tp>
        <v>71300</v>
        <stp/>
        <stp>P</stp>
        <stp>0</stp>
        <stp>STK</stp>
        <stp>N456040</stp>
        <stp>시가</stp>
        <stp/>
        <stp/>
        <tr r="O409" s="1"/>
        <tr r="O270" s="3"/>
      </tp>
      <tp>
        <v>49200</v>
        <stp/>
        <stp>P</stp>
        <stp>0</stp>
        <stp>STK</stp>
        <stp>N257720</stp>
        <stp>고가</stp>
        <stp/>
        <stp/>
        <tr r="P156" s="1"/>
      </tp>
      <tp>
        <v>72400</v>
        <stp/>
        <stp>P</stp>
        <stp>0</stp>
        <stp>STK</stp>
        <stp>N456040</stp>
        <stp>고가</stp>
        <stp/>
        <stp/>
        <tr r="P270" s="3"/>
        <tr r="P409" s="1"/>
      </tp>
      <tp>
        <v>59800</v>
        <stp/>
        <stp>P</stp>
        <stp>0</stp>
        <stp>STK</stp>
        <stp>N053800</stp>
        <stp>고가</stp>
        <stp/>
        <stp/>
        <tr r="P401" s="1"/>
      </tp>
      <tp>
        <v>15120</v>
        <stp/>
        <stp>P</stp>
        <stp>0</stp>
        <stp>STK</stp>
        <stp>N453340</stp>
        <stp>고가</stp>
        <stp/>
        <stp/>
        <tr r="P480" s="1"/>
        <tr r="P300" s="3"/>
      </tp>
      <tp>
        <v>42800</v>
        <stp/>
        <stp>P</stp>
        <stp>0</stp>
        <stp>STK</stp>
        <stp>N052400</stp>
        <stp>고가</stp>
        <stp/>
        <stp/>
        <tr r="P418" s="1"/>
      </tp>
      <tp>
        <v>275000</v>
        <stp/>
        <stp>P</stp>
        <stp>0</stp>
        <stp>STK</stp>
        <stp>N051900</stp>
        <stp>고가</stp>
        <stp/>
        <stp/>
        <tr r="P114" s="3"/>
        <tr r="P124" s="1"/>
      </tp>
      <tp>
        <v>26900</v>
        <stp/>
        <stp>P</stp>
        <stp>0</stp>
        <stp>STK</stp>
        <stp>N051500</stp>
        <stp>고가</stp>
        <stp/>
        <stp/>
        <tr r="P605" s="1"/>
      </tp>
      <tp>
        <v>58300</v>
        <stp/>
        <stp>P</stp>
        <stp>0</stp>
        <stp>STK</stp>
        <stp>N051600</stp>
        <stp>고가</stp>
        <stp/>
        <stp/>
        <tr r="P142" s="3"/>
        <tr r="P166" s="1"/>
      </tp>
      <tp>
        <v>19020</v>
        <stp/>
        <stp>P</stp>
        <stp>0</stp>
        <stp>STK</stp>
        <stp>N265520</stp>
        <stp>저가</stp>
        <stp/>
        <stp/>
        <tr r="Q639" s="1"/>
      </tp>
      <tp>
        <v>67600</v>
        <stp/>
        <stp>P</stp>
        <stp>0</stp>
        <stp>STK</stp>
        <stp>N064400</stp>
        <stp>저가</stp>
        <stp/>
        <stp/>
        <tr r="Q91" s="1"/>
        <tr r="Q89" s="3"/>
      </tp>
      <tp>
        <v>19030</v>
        <stp/>
        <stp>P</stp>
        <stp>0</stp>
        <stp>STK</stp>
        <stp>N265520</stp>
        <stp>시가</stp>
        <stp/>
        <stp/>
        <tr r="O639" s="1"/>
      </tp>
      <tp>
        <v>68300</v>
        <stp/>
        <stp>P</stp>
        <stp>0</stp>
        <stp>STK</stp>
        <stp>N064400</stp>
        <stp>시가</stp>
        <stp/>
        <stp/>
        <tr r="O91" s="1"/>
        <tr r="O89" s="3"/>
      </tp>
      <tp>
        <v>19350</v>
        <stp/>
        <stp>P</stp>
        <stp>0</stp>
        <stp>STK</stp>
        <stp>N265520</stp>
        <stp>고가</stp>
        <stp/>
        <stp/>
        <tr r="P639" s="1"/>
      </tp>
      <tp>
        <v>69800</v>
        <stp/>
        <stp>P</stp>
        <stp>0</stp>
        <stp>STK</stp>
        <stp>N064400</stp>
        <stp>고가</stp>
        <stp/>
        <stp/>
        <tr r="P91" s="1"/>
        <tr r="P89" s="3"/>
      </tp>
      <tp>
        <v>50500</v>
        <stp/>
        <stp>P</stp>
        <stp>0</stp>
        <stp>STK</stp>
        <stp>N079900</stp>
        <stp>시가</stp>
        <stp/>
        <stp/>
        <tr r="O382" s="1"/>
        <tr r="O259" s="3"/>
      </tp>
      <tp>
        <v>70400</v>
        <stp/>
        <stp>P</stp>
        <stp>0</stp>
        <stp>STK</stp>
        <stp>N078600</stp>
        <stp>시가</stp>
        <stp/>
        <stp/>
        <tr r="O317" s="1"/>
      </tp>
      <tp>
        <v>53100</v>
        <stp/>
        <stp>P</stp>
        <stp>0</stp>
        <stp>STK</stp>
        <stp>N478340</stp>
        <stp>시가</stp>
        <stp/>
        <stp/>
        <tr r="O422" s="1"/>
      </tp>
      <tp>
        <v>23550</v>
        <stp/>
        <stp>P</stp>
        <stp>0</stp>
        <stp>STK</stp>
        <stp>N074600</stp>
        <stp>저가</stp>
        <stp/>
        <stp/>
        <tr r="Q405" s="1"/>
      </tp>
      <tp>
        <v>50400</v>
        <stp/>
        <stp>P</stp>
        <stp>0</stp>
        <stp>STK</stp>
        <stp>N079900</stp>
        <stp>저가</stp>
        <stp/>
        <stp/>
        <tr r="Q382" s="1"/>
        <tr r="Q259" s="3"/>
      </tp>
      <tp>
        <v>52000</v>
        <stp/>
        <stp>P</stp>
        <stp>0</stp>
        <stp>STK</stp>
        <stp>N478340</stp>
        <stp>저가</stp>
        <stp/>
        <stp/>
        <tr r="Q422" s="1"/>
      </tp>
      <tp>
        <v>70100</v>
        <stp/>
        <stp>P</stp>
        <stp>0</stp>
        <stp>STK</stp>
        <stp>N078600</stp>
        <stp>저가</stp>
        <stp/>
        <stp/>
        <tr r="Q317" s="1"/>
      </tp>
      <tp>
        <v>23950</v>
        <stp/>
        <stp>P</stp>
        <stp>0</stp>
        <stp>STK</stp>
        <stp>N074600</stp>
        <stp>시가</stp>
        <stp/>
        <stp/>
        <tr r="O405" s="1"/>
      </tp>
      <tp>
        <v>24150</v>
        <stp/>
        <stp>P</stp>
        <stp>0</stp>
        <stp>STK</stp>
        <stp>N074600</stp>
        <stp>고가</stp>
        <stp/>
        <stp/>
        <tr r="P405" s="1"/>
      </tp>
      <tp>
        <v>54900</v>
        <stp/>
        <stp>P</stp>
        <stp>0</stp>
        <stp>STK</stp>
        <stp>N079900</stp>
        <stp>고가</stp>
        <stp/>
        <stp/>
        <tr r="P259" s="3"/>
        <tr r="P382" s="1"/>
      </tp>
      <tp>
        <v>55400</v>
        <stp/>
        <stp>P</stp>
        <stp>0</stp>
        <stp>STK</stp>
        <stp>N478340</stp>
        <stp>고가</stp>
        <stp/>
        <stp/>
        <tr r="P422" s="1"/>
      </tp>
      <tp>
        <v>77000</v>
        <stp/>
        <stp>P</stp>
        <stp>0</stp>
        <stp>STK</stp>
        <stp>N078600</stp>
        <stp>고가</stp>
        <stp/>
        <stp/>
        <tr r="P317" s="1"/>
      </tp>
      <tp>
        <v>9500</v>
        <stp/>
        <stp>P</stp>
        <stp>0</stp>
        <stp>STK</stp>
        <stp>009900</stp>
        <stp>현재가</stp>
        <stp/>
        <stp/>
        <tr r="T464" s="1"/>
      </tp>
      <tp>
        <v>196300</v>
        <stp/>
        <stp>P</stp>
        <stp>0</stp>
        <stp>STK</stp>
        <stp>009970</stp>
        <stp>현재가</stp>
        <stp/>
        <stp/>
        <tr r="T173" s="1"/>
        <tr r="T173" s="3"/>
      </tp>
      <tp>
        <v>29450</v>
        <stp/>
        <stp>P</stp>
        <stp>0</stp>
        <stp>STK</stp>
        <stp>009830</stp>
        <stp>현재가</stp>
        <stp/>
        <stp/>
        <tr r="T113" s="1"/>
        <tr r="T113" s="3"/>
      </tp>
      <tp>
        <v>44300</v>
        <stp/>
        <stp>P</stp>
        <stp>0</stp>
        <stp>STK</stp>
        <stp>009240</stp>
        <stp>현재가</stp>
        <stp/>
        <stp/>
        <tr r="T301" s="3"/>
        <tr r="T301" s="1"/>
      </tp>
      <tp>
        <v>284000</v>
        <stp/>
        <stp>P</stp>
        <stp>0</stp>
        <stp>STK</stp>
        <stp>009150</stp>
        <stp>현재가</stp>
        <stp/>
        <stp/>
        <tr r="T39" s="3"/>
        <tr r="T39" s="1"/>
      </tp>
      <tp>
        <v>32350</v>
        <stp/>
        <stp>P</stp>
        <stp>0</stp>
        <stp>STK</stp>
        <stp>309710</stp>
        <stp>현재가</stp>
        <stp/>
        <stp/>
        <tr r="T514" s="1"/>
      </tp>
      <tp>
        <v>10200</v>
        <stp/>
        <stp>P</stp>
        <stp>0</stp>
        <stp>STK</stp>
        <stp>009680</stp>
        <stp>현재가</stp>
        <stp/>
        <stp/>
        <tr r="T632" s="1"/>
      </tp>
      <tp>
        <v>18820</v>
        <stp/>
        <stp>P</stp>
        <stp>0</stp>
        <stp>STK</stp>
        <stp>009520</stp>
        <stp>현재가</stp>
        <stp/>
        <stp/>
        <tr r="T363" s="1"/>
        <tr r="T363" s="3"/>
      </tp>
      <tp>
        <v>430500</v>
        <stp/>
        <stp>P</stp>
        <stp>0</stp>
        <stp>STK</stp>
        <stp>009540</stp>
        <stp>현재가</stp>
        <stp/>
        <stp/>
        <tr r="T27" s="1"/>
        <tr r="T27" s="3"/>
      </tp>
      <tp>
        <v>48200</v>
        <stp/>
        <stp>P</stp>
        <stp>0</stp>
        <stp>STK</stp>
        <stp>009420</stp>
        <stp>현재가</stp>
        <stp/>
        <stp/>
        <tr r="T187" s="3"/>
        <tr r="T187" s="1"/>
      </tp>
      <tp>
        <v>56300</v>
        <stp/>
        <stp>P</stp>
        <stp>0</stp>
        <stp>STK</stp>
        <stp>009450</stp>
        <stp>현재가</stp>
        <stp/>
        <stp/>
        <tr r="T348" s="1"/>
        <tr r="T348" s="3"/>
      </tp>
      <tp>
        <v>39000</v>
        <stp/>
        <stp>P</stp>
        <stp>0</stp>
        <stp>STK</stp>
        <stp>008930</stp>
        <stp>현재가</stp>
        <stp/>
        <stp/>
        <tr r="T165" s="3"/>
        <tr r="T165" s="1"/>
      </tp>
      <tp>
        <v>11970</v>
        <stp/>
        <stp>P</stp>
        <stp>0</stp>
        <stp>STK</stp>
        <stp>108860</stp>
        <stp>현재가</stp>
        <stp/>
        <stp/>
        <tr r="T600" s="1"/>
      </tp>
      <tp>
        <v>26700</v>
        <stp/>
        <stp>P</stp>
        <stp>0</stp>
        <stp>STK</stp>
        <stp>108380</stp>
        <stp>현재가</stp>
        <stp/>
        <stp/>
        <tr r="T669" s="1"/>
      </tp>
      <tp>
        <v>51000</v>
        <stp/>
        <stp>P</stp>
        <stp>0</stp>
        <stp>STK</stp>
        <stp>108320</stp>
        <stp>현재가</stp>
        <stp/>
        <stp/>
        <tr r="T345" s="3"/>
        <tr r="T345" s="1"/>
      </tp>
      <tp>
        <v>9930</v>
        <stp/>
        <stp>P</stp>
        <stp>0</stp>
        <stp>STK</stp>
        <stp>008060</stp>
        <stp>현재가</stp>
        <stp/>
        <stp/>
        <tr r="T585" s="1"/>
      </tp>
      <tp>
        <v>28000</v>
        <stp/>
        <stp>P</stp>
        <stp>0</stp>
        <stp>STK</stp>
        <stp>008730</stp>
        <stp>현재가</stp>
        <stp/>
        <stp/>
        <tr r="T397" s="1"/>
      </tp>
      <tp>
        <v>45350</v>
        <stp/>
        <stp>P</stp>
        <stp>0</stp>
        <stp>STK</stp>
        <stp>008770</stp>
        <stp>현재가</stp>
        <stp/>
        <stp/>
        <tr r="T226" s="3"/>
        <tr r="T226" s="1"/>
      </tp>
      <tp>
        <v>28750</v>
        <stp/>
        <stp>P</stp>
        <stp>0</stp>
        <stp>STK</stp>
        <stp>108670</stp>
        <stp>현재가</stp>
        <stp/>
        <stp/>
        <tr r="T665" s="1"/>
      </tp>
      <tp>
        <v>20600</v>
        <stp/>
        <stp>P</stp>
        <stp>0</stp>
        <stp>STK</stp>
        <stp>008490</stp>
        <stp>현재가</stp>
        <stp/>
        <stp/>
        <tr r="T686" s="1"/>
      </tp>
      <tp>
        <v>245000</v>
        <stp/>
        <stp>P</stp>
        <stp>0</stp>
        <stp>STK</stp>
        <stp>108490</stp>
        <stp>현재가</stp>
        <stp/>
        <stp/>
        <tr r="T132" s="1"/>
        <tr r="T132" s="3"/>
      </tp>
      <tp>
        <v>22950</v>
        <stp/>
        <stp>P</stp>
        <stp>0</stp>
        <stp>STK</stp>
        <stp>308430</stp>
        <stp>현재가</stp>
        <stp/>
        <stp/>
        <tr r="T622" s="1"/>
      </tp>
      <tp>
        <v>153400</v>
        <stp/>
        <stp>P</stp>
        <stp>0</stp>
        <stp>STK</stp>
        <stp>005930</stp>
        <stp>현재가</stp>
        <stp/>
        <stp/>
        <tr r="T6" s="1"/>
        <tr r="T6" s="3"/>
      </tp>
      <tp>
        <v>23500</v>
        <stp/>
        <stp>P</stp>
        <stp>0</stp>
        <stp>STK</stp>
        <stp>005940</stp>
        <stp>현재가</stp>
        <stp/>
        <stp/>
        <tr r="T85" s="1"/>
        <tr r="T85" s="3"/>
      </tp>
      <tp>
        <v>128700</v>
        <stp/>
        <stp>P</stp>
        <stp>0</stp>
        <stp>STK</stp>
        <stp>005830</stp>
        <stp>현재가</stp>
        <stp/>
        <stp/>
        <tr r="T75" s="1"/>
        <tr r="T75" s="3"/>
      </tp>
      <tp>
        <v>38750</v>
        <stp/>
        <stp>P</stp>
        <stp>0</stp>
        <stp>STK</stp>
        <stp>005810</stp>
        <stp>현재가</stp>
        <stp/>
        <stp/>
        <tr r="T446" s="1"/>
      </tp>
      <tp>
        <v>59800</v>
        <stp/>
        <stp>P</stp>
        <stp>0</stp>
        <stp>STK</stp>
        <stp>005850</stp>
        <stp>현재가</stp>
        <stp/>
        <stp/>
        <tr r="T144" s="3"/>
        <tr r="T144" s="1"/>
      </tp>
      <tp>
        <v>24950</v>
        <stp/>
        <stp>P</stp>
        <stp>0</stp>
        <stp>STK</stp>
        <stp>105840</stp>
        <stp>현재가</stp>
        <stp/>
        <stp/>
        <tr r="T451" s="1"/>
      </tp>
      <tp>
        <v>533000</v>
        <stp/>
        <stp>P</stp>
        <stp>0</stp>
        <stp>STK</stp>
        <stp>005380</stp>
        <stp>현재가</stp>
        <stp/>
        <stp/>
        <tr r="T8" s="3"/>
        <tr r="T8" s="1"/>
      </tp>
      <tp>
        <v>131700</v>
        <stp/>
        <stp>P</stp>
        <stp>0</stp>
        <stp>STK</stp>
        <stp>005300</stp>
        <stp>현재가</stp>
        <stp/>
        <stp/>
        <tr r="T281" s="3"/>
        <tr r="T281" s="1"/>
      </tp>
      <tp>
        <v>40200</v>
        <stp/>
        <stp>P</stp>
        <stp>0</stp>
        <stp>STK</stp>
        <stp>005290</stp>
        <stp>현재가</stp>
        <stp/>
        <stp/>
        <tr r="T201" s="1"/>
        <tr r="T201" s="3"/>
      </tp>
      <tp>
        <v>14750</v>
        <stp/>
        <stp>P</stp>
        <stp>0</stp>
        <stp>STK</stp>
        <stp>005250</stp>
        <stp>현재가</stp>
        <stp/>
        <stp/>
        <tr r="T389" s="1"/>
      </tp>
      <tp>
        <v>76200</v>
        <stp/>
        <stp>P</stp>
        <stp>0</stp>
        <stp>STK</stp>
        <stp>005180</stp>
        <stp>현재가</stp>
        <stp/>
        <stp/>
        <tr r="T378" s="1"/>
        <tr r="T378" s="3"/>
      </tp>
      <tp>
        <v>21050</v>
        <stp/>
        <stp>P</stp>
        <stp>0</stp>
        <stp>STK</stp>
        <stp>005090</stp>
        <stp>현재가</stp>
        <stp/>
        <stp/>
        <tr r="T623" s="1"/>
      </tp>
      <tp>
        <v>50300</v>
        <stp/>
        <stp>P</stp>
        <stp>0</stp>
        <stp>STK</stp>
        <stp>005070</stp>
        <stp>현재가</stp>
        <stp/>
        <stp/>
        <tr r="T252" s="3"/>
        <tr r="T252" s="1"/>
      </tp>
      <tp>
        <v>13180</v>
        <stp/>
        <stp>P</stp>
        <stp>0</stp>
        <stp>STK</stp>
        <stp>005710</stp>
        <stp>현재가</stp>
        <stp/>
        <stp/>
        <tr r="T656" s="1"/>
      </tp>
      <tp>
        <v>13570</v>
        <stp/>
        <stp>P</stp>
        <stp>0</stp>
        <stp>STK</stp>
        <stp>005690</stp>
        <stp>현재가</stp>
        <stp/>
        <stp/>
        <tr r="T358" s="3"/>
        <tr r="T358" s="1"/>
      </tp>
      <tp>
        <v>14110</v>
        <stp/>
        <stp>P</stp>
        <stp>0</stp>
        <stp>STK</stp>
        <stp>105630</stp>
        <stp>현재가</stp>
        <stp/>
        <stp/>
        <tr r="T441" s="1"/>
      </tp>
      <tp>
        <v>50400</v>
        <stp/>
        <stp>P</stp>
        <stp>0</stp>
        <stp>STK</stp>
        <stp>005610</stp>
        <stp>현재가</stp>
        <stp/>
        <stp/>
        <tr r="T511" s="1"/>
      </tp>
      <tp>
        <v>19290</v>
        <stp/>
        <stp>P</stp>
        <stp>0</stp>
        <stp>STK</stp>
        <stp>005500</stp>
        <stp>현재가</stp>
        <stp/>
        <stp/>
        <tr r="T666" s="1"/>
      </tp>
      <tp>
        <v>134800</v>
        <stp/>
        <stp>P</stp>
        <stp>0</stp>
        <stp>STK</stp>
        <stp>105560</stp>
        <stp>현재가</stp>
        <stp/>
        <stp/>
        <tr r="T16" s="3"/>
        <tr r="T16" s="1"/>
      </tp>
      <tp>
        <v>383500</v>
        <stp/>
        <stp>P</stp>
        <stp>0</stp>
        <stp>STK</stp>
        <stp>005490</stp>
        <stp>현재가</stp>
        <stp/>
        <stp/>
        <tr r="T28" s="3"/>
        <tr r="T28" s="1"/>
      </tp>
      <tp>
        <v>16200</v>
        <stp/>
        <stp>P</stp>
        <stp>0</stp>
        <stp>STK</stp>
        <stp>005420</stp>
        <stp>현재가</stp>
        <stp/>
        <stp/>
        <tr r="T443" s="1"/>
      </tp>
      <tp>
        <v>8560</v>
        <stp/>
        <stp>P</stp>
        <stp>0</stp>
        <stp>STK</stp>
        <stp>005440</stp>
        <stp>현재가</stp>
        <stp/>
        <stp/>
        <tr r="T265" s="1"/>
        <tr r="T265" s="3"/>
      </tp>
      <tp>
        <v>29750</v>
        <stp/>
        <stp>P</stp>
        <stp>0</stp>
        <stp>STK</stp>
        <stp>004990</stp>
        <stp>현재가</stp>
        <stp/>
        <stp/>
        <tr r="T150" s="1"/>
        <tr r="T150" s="3"/>
      </tp>
      <tp>
        <v>9490</v>
        <stp/>
        <stp>P</stp>
        <stp>0</stp>
        <stp>STK</stp>
        <stp>004980</stp>
        <stp>현재가</stp>
        <stp/>
        <stp/>
        <tr r="T689" s="1"/>
      </tp>
      <tp>
        <v>35750</v>
        <stp/>
        <stp>P</stp>
        <stp>0</stp>
        <stp>STK</stp>
        <stp>104830</stp>
        <stp>현재가</stp>
        <stp/>
        <stp/>
        <tr r="T504" s="1"/>
      </tp>
      <tp>
        <v>153000</v>
        <stp/>
        <stp>P</stp>
        <stp>0</stp>
        <stp>STK</stp>
        <stp>004800</stp>
        <stp>현재가</stp>
        <stp/>
        <stp/>
        <tr r="T174" s="1"/>
        <tr r="T174" s="3"/>
      </tp>
      <tp>
        <v>65900</v>
        <stp/>
        <stp>P</stp>
        <stp>0</stp>
        <stp>STK</stp>
        <stp>204320</stp>
        <stp>현재가</stp>
        <stp/>
        <stp/>
        <tr r="T139" s="1"/>
        <tr r="T139" s="3"/>
      </tp>
      <tp>
        <v>409000</v>
        <stp/>
        <stp>P</stp>
        <stp>0</stp>
        <stp>STK</stp>
        <stp>004370</stp>
        <stp>현재가</stp>
        <stp/>
        <stp/>
        <tr r="T179" s="1"/>
        <tr r="T179" s="3"/>
      </tp>
      <tp>
        <v>13660</v>
        <stp/>
        <stp>P</stp>
        <stp>0</stp>
        <stp>STK</stp>
        <stp>004360</stp>
        <stp>현재가</stp>
        <stp/>
        <stp/>
        <tr r="T659" s="1"/>
      </tp>
      <tp>
        <v>29850</v>
        <stp/>
        <stp>P</stp>
        <stp>0</stp>
        <stp>STK</stp>
        <stp>304360</stp>
        <stp>현재가</stp>
        <stp/>
        <stp/>
        <tr r="T557" s="1"/>
      </tp>
      <tp>
        <v>20500</v>
        <stp/>
        <stp>P</stp>
        <stp>0</stp>
        <stp>STK</stp>
        <stp>204270</stp>
        <stp>현재가</stp>
        <stp/>
        <stp/>
        <tr r="T294" s="1"/>
        <tr r="T294" s="3"/>
      </tp>
      <tp>
        <v>26450</v>
        <stp/>
        <stp>P</stp>
        <stp>0</stp>
        <stp>STK</stp>
        <stp>304100</stp>
        <stp>현재가</stp>
        <stp/>
        <stp/>
        <tr r="T591" s="1"/>
      </tp>
      <tp>
        <v>286000</v>
        <stp/>
        <stp>P</stp>
        <stp>0</stp>
        <stp>STK</stp>
        <stp>004170</stp>
        <stp>현재가</stp>
        <stp/>
        <stp/>
        <tr r="T160" s="3"/>
        <tr r="T160" s="1"/>
      </tp>
      <tp>
        <v>34800</v>
        <stp/>
        <stp>P</stp>
        <stp>0</stp>
        <stp>STK</stp>
        <stp>004020</stp>
        <stp>현재가</stp>
        <stp/>
        <stp/>
        <tr r="T122" s="1"/>
        <tr r="T122" s="3"/>
      </tp>
      <tp>
        <v>45900</v>
        <stp/>
        <stp>P</stp>
        <stp>0</stp>
        <stp>STK</stp>
        <stp>004000</stp>
        <stp>현재가</stp>
        <stp/>
        <stp/>
        <tr r="T287" s="3"/>
        <tr r="T287" s="1"/>
      </tp>
      <tp>
        <v>9990</v>
        <stp/>
        <stp>P</stp>
        <stp>0</stp>
        <stp>STK</stp>
        <stp>104700</stp>
        <stp>현재가</stp>
        <stp/>
        <stp/>
        <tr r="T565" s="1"/>
      </tp>
      <tp>
        <v>73700</v>
        <stp/>
        <stp>P</stp>
        <stp>0</stp>
        <stp>STK</stp>
        <stp>004700</stp>
        <stp>현재가</stp>
        <stp/>
        <stp/>
        <tr r="T497" s="1"/>
      </tp>
      <tp>
        <v>129300</v>
        <stp/>
        <stp>P</stp>
        <stp>0</stp>
        <stp>STK</stp>
        <stp>004690</stp>
        <stp>현재가</stp>
        <stp/>
        <stp/>
        <tr r="T465" s="1"/>
      </tp>
      <tp>
        <v>64800</v>
        <stp/>
        <stp>P</stp>
        <stp>0</stp>
        <stp>STK</stp>
        <stp>004490</stp>
        <stp>현재가</stp>
        <stp/>
        <stp/>
        <tr r="T330" s="3"/>
        <tr r="T330" s="1"/>
      </tp>
      <tp>
        <v>1793000</v>
        <stp/>
        <stp>P</stp>
        <stp>0</stp>
        <stp>STK</stp>
        <stp>207940</stp>
        <stp>현재가</stp>
        <stp/>
        <stp/>
        <tr r="T10" s="1"/>
        <tr r="T10" s="3"/>
      </tp>
      <tp>
        <v>468000</v>
        <stp/>
        <stp>P</stp>
        <stp>0</stp>
        <stp>STK</stp>
        <stp>307950</stp>
        <stp>현재가</stp>
        <stp/>
        <stp/>
        <tr r="T58" s="3"/>
        <tr r="T58" s="1"/>
      </tp>
      <tp>
        <v>62100</v>
        <stp/>
        <stp>P</stp>
        <stp>0</stp>
        <stp>STK</stp>
        <stp>007810</stp>
        <stp>현재가</stp>
        <stp/>
        <stp/>
        <tr r="T250" s="1"/>
        <tr r="T250" s="3"/>
      </tp>
      <tp>
        <v>20050</v>
        <stp/>
        <stp>P</stp>
        <stp>0</stp>
        <stp>STK</stp>
        <stp>007390</stp>
        <stp>현재가</stp>
        <stp/>
        <stp/>
        <tr r="T272" s="1"/>
        <tr r="T272" s="3"/>
      </tp>
      <tp>
        <v>389000</v>
        <stp/>
        <stp>P</stp>
        <stp>0</stp>
        <stp>STK</stp>
        <stp>007310</stp>
        <stp>현재가</stp>
        <stp/>
        <stp/>
        <tr r="T244" s="3"/>
        <tr r="T244" s="1"/>
      </tp>
      <tp>
        <v>25500</v>
        <stp/>
        <stp>P</stp>
        <stp>0</stp>
        <stp>STK</stp>
        <stp>007340</stp>
        <stp>현재가</stp>
        <stp/>
        <stp/>
        <tr r="T251" s="3"/>
        <tr r="T251" s="1"/>
      </tp>
      <tp>
        <v>57000</v>
        <stp/>
        <stp>P</stp>
        <stp>0</stp>
        <stp>STK</stp>
        <stp>007160</stp>
        <stp>현재가</stp>
        <stp/>
        <stp/>
        <tr r="T649" s="1"/>
      </tp>
      <tp>
        <v>21200</v>
        <stp/>
        <stp>P</stp>
        <stp>0</stp>
        <stp>STK</stp>
        <stp>007070</stp>
        <stp>현재가</stp>
        <stp/>
        <stp/>
        <tr r="T232" s="1"/>
        <tr r="T232" s="3"/>
      </tp>
      <tp>
        <v>19700</v>
        <stp/>
        <stp>P</stp>
        <stp>0</stp>
        <stp>STK</stp>
        <stp>007700</stp>
        <stp>현재가</stp>
        <stp/>
        <stp/>
        <tr r="T362" s="3"/>
        <tr r="T362" s="1"/>
      </tp>
      <tp>
        <v>36600</v>
        <stp/>
        <stp>P</stp>
        <stp>0</stp>
        <stp>STK</stp>
        <stp>007690</stp>
        <stp>현재가</stp>
        <stp/>
        <stp/>
        <tr r="T586" s="1"/>
      </tp>
      <tp>
        <v>112000</v>
        <stp/>
        <stp>P</stp>
        <stp>0</stp>
        <stp>STK</stp>
        <stp>007660</stp>
        <stp>현재가</stp>
        <stp/>
        <stp/>
        <tr r="T86" s="1"/>
        <tr r="T86" s="3"/>
      </tp>
      <tp>
        <v>49750</v>
        <stp/>
        <stp>P</stp>
        <stp>0</stp>
        <stp>STK</stp>
        <stp>107640</stp>
        <stp>현재가</stp>
        <stp/>
        <stp/>
        <tr r="T524" s="1"/>
      </tp>
      <tp>
        <v>32050</v>
        <stp/>
        <stp>P</stp>
        <stp>0</stp>
        <stp>STK</stp>
        <stp>006800</stp>
        <stp>현재가</stp>
        <stp/>
        <stp/>
        <tr r="T48" s="1"/>
        <tr r="T48" s="3"/>
      </tp>
      <tp>
        <v>18840</v>
        <stp/>
        <stp>P</stp>
        <stp>0</stp>
        <stp>STK</stp>
        <stp>006360</stp>
        <stp>현재가</stp>
        <stp/>
        <stp/>
        <tr r="T240" s="1"/>
        <tr r="T240" s="3"/>
      </tp>
      <tp>
        <v>153700</v>
        <stp/>
        <stp>P</stp>
        <stp>0</stp>
        <stp>STK</stp>
        <stp>006280</stp>
        <stp>현재가</stp>
        <stp/>
        <stp/>
        <tr r="T229" s="3"/>
        <tr r="T229" s="1"/>
      </tp>
      <tp>
        <v>118900</v>
        <stp/>
        <stp>P</stp>
        <stp>0</stp>
        <stp>STK</stp>
        <stp>306200</stp>
        <stp>현재가</stp>
        <stp/>
        <stp/>
        <tr r="T589" s="1"/>
      </tp>
      <tp>
        <v>11490</v>
        <stp/>
        <stp>P</stp>
        <stp>0</stp>
        <stp>STK</stp>
        <stp>006220</stp>
        <stp>현재가</stp>
        <stp/>
        <stp/>
        <tr r="T512" s="1"/>
      </tp>
      <tp>
        <v>231500</v>
        <stp/>
        <stp>P</stp>
        <stp>0</stp>
        <stp>STK</stp>
        <stp>006260</stp>
        <stp>현재가</stp>
        <stp/>
        <stp/>
        <tr r="T89" s="1"/>
        <tr r="T89" s="3"/>
      </tp>
      <tp>
        <v>63000</v>
        <stp/>
        <stp>P</stp>
        <stp>0</stp>
        <stp>STK</stp>
        <stp>006120</stp>
        <stp>현재가</stp>
        <stp/>
        <stp/>
        <tr r="T291" s="1"/>
        <tr r="T291" s="3"/>
      </tp>
      <tp>
        <v>25700</v>
        <stp/>
        <stp>P</stp>
        <stp>0</stp>
        <stp>STK</stp>
        <stp>006110</stp>
        <stp>현재가</stp>
        <stp/>
        <stp/>
        <tr r="T568" s="1"/>
      </tp>
      <tp>
        <v>40900</v>
        <stp/>
        <stp>P</stp>
        <stp>0</stp>
        <stp>STK</stp>
        <stp>006040</stp>
        <stp>현재가</stp>
        <stp/>
        <stp/>
        <tr r="T227" s="1"/>
        <tr r="T227" s="3"/>
      </tp>
      <tp>
        <v>15310</v>
        <stp/>
        <stp>P</stp>
        <stp>0</stp>
        <stp>STK</stp>
        <stp>006730</stp>
        <stp>현재가</stp>
        <stp/>
        <stp/>
        <tr r="T323" s="3"/>
        <tr r="T323" s="1"/>
      </tp>
      <tp>
        <v>11140</v>
        <stp/>
        <stp>P</stp>
        <stp>0</stp>
        <stp>STK</stp>
        <stp>206650</stp>
        <stp>현재가</stp>
        <stp/>
        <stp/>
        <tr r="T531" s="1"/>
      </tp>
      <tp>
        <v>12460</v>
        <stp/>
        <stp>P</stp>
        <stp>0</stp>
        <stp>STK</stp>
        <stp>206640</stp>
        <stp>현재가</stp>
        <stp/>
        <stp/>
        <tr r="T629" s="1"/>
      </tp>
      <tp>
        <v>160200</v>
        <stp/>
        <stp>P</stp>
        <stp>0</stp>
        <stp>STK</stp>
        <stp>006650</stp>
        <stp>현재가</stp>
        <stp/>
        <stp/>
        <tr r="T306" s="1"/>
        <tr r="T306" s="3"/>
      </tp>
      <tp>
        <v>391500</v>
        <stp/>
        <stp>P</stp>
        <stp>0</stp>
        <stp>STK</stp>
        <stp>006400</stp>
        <stp>현재가</stp>
        <stp/>
        <stp/>
        <tr r="T31" s="1"/>
        <tr r="T31" s="3"/>
      </tp>
      <tp>
        <v>44700</v>
        <stp/>
        <stp>P</stp>
        <stp>0</stp>
        <stp>STK</stp>
        <stp>101930</stp>
        <stp>현재가</stp>
        <stp/>
        <stp/>
        <tr r="T522" s="1"/>
      </tp>
      <tp>
        <v>26500</v>
        <stp/>
        <stp>P</stp>
        <stp>0</stp>
        <stp>STK</stp>
        <stp>001940</stp>
        <stp>현재가</stp>
        <stp/>
        <stp/>
        <tr r="T551" s="1"/>
      </tp>
      <tp>
        <v>31250</v>
        <stp/>
        <stp>P</stp>
        <stp>0</stp>
        <stp>STK</stp>
        <stp>001820</stp>
        <stp>현재가</stp>
        <stp/>
        <stp/>
        <tr r="T595" s="1"/>
      </tp>
      <tp>
        <v>20650</v>
        <stp/>
        <stp>P</stp>
        <stp>0</stp>
        <stp>STK</stp>
        <stp>001800</stp>
        <stp>현재가</stp>
        <stp/>
        <stp/>
        <tr r="T267" s="3"/>
        <tr r="T267" s="1"/>
      </tp>
      <tp>
        <v>19570</v>
        <stp/>
        <stp>P</stp>
        <stp>0</stp>
        <stp>STK</stp>
        <stp>101360</stp>
        <stp>현재가</stp>
        <stp/>
        <stp/>
        <tr r="T597" s="1"/>
      </tp>
      <tp>
        <v>68000</v>
        <stp/>
        <stp>P</stp>
        <stp>0</stp>
        <stp>STK</stp>
        <stp>001270</stp>
        <stp>현재가</stp>
        <stp/>
        <stp/>
        <tr r="T412" s="1"/>
      </tp>
      <tp>
        <v>141800</v>
        <stp/>
        <stp>P</stp>
        <stp>0</stp>
        <stp>STK</stp>
        <stp>001130</stp>
        <stp>현재가</stp>
        <stp/>
        <stp/>
        <tr r="T680" s="1"/>
      </tp>
      <tp>
        <v>35750</v>
        <stp/>
        <stp>P</stp>
        <stp>0</stp>
        <stp>STK</stp>
        <stp>001120</stp>
        <stp>현재가</stp>
        <stp/>
        <stp/>
        <tr r="T257" s="3"/>
        <tr r="T257" s="1"/>
      </tp>
      <tp>
        <v>22550</v>
        <stp/>
        <stp>P</stp>
        <stp>0</stp>
        <stp>STK</stp>
        <stp>101160</stp>
        <stp>현재가</stp>
        <stp/>
        <stp/>
        <tr r="T558" s="1"/>
      </tp>
      <tp>
        <v>27700</v>
        <stp/>
        <stp>P</stp>
        <stp>0</stp>
        <stp>STK</stp>
        <stp>001060</stp>
        <stp>현재가</stp>
        <stp/>
        <stp/>
        <tr r="T407" s="1"/>
      </tp>
      <tp>
        <v>190600</v>
        <stp/>
        <stp>P</stp>
        <stp>0</stp>
        <stp>STK</stp>
        <stp>001040</stp>
        <stp>현재가</stp>
        <stp/>
        <stp/>
        <tr r="T102" s="3"/>
        <tr r="T102" s="1"/>
      </tp>
      <tp>
        <v>157300</v>
        <stp/>
        <stp>P</stp>
        <stp>0</stp>
        <stp>STK</stp>
        <stp>001720</stp>
        <stp>현재가</stp>
        <stp/>
        <stp/>
        <tr r="T181" s="3"/>
        <tr r="T181" s="1"/>
      </tp>
      <tp>
        <v>6040</v>
        <stp/>
        <stp>P</stp>
        <stp>0</stp>
        <stp>STK</stp>
        <stp>101730</stp>
        <stp>현재가</stp>
        <stp/>
        <stp/>
        <tr r="T472" s="1"/>
      </tp>
      <tp>
        <v>18650</v>
        <stp/>
        <stp>P</stp>
        <stp>0</stp>
        <stp>STK</stp>
        <stp>001750</stp>
        <stp>현재가</stp>
        <stp/>
        <stp/>
        <tr r="T682" s="1"/>
      </tp>
      <tp>
        <v>21950</v>
        <stp/>
        <stp>P</stp>
        <stp>0</stp>
        <stp>STK</stp>
        <stp>001680</stp>
        <stp>현재가</stp>
        <stp/>
        <stp/>
        <tr r="T371" s="1"/>
        <tr r="T371" s="3"/>
      </tp>
      <tp>
        <v>47400</v>
        <stp/>
        <stp>P</stp>
        <stp>0</stp>
        <stp>STK</stp>
        <stp>001630</stp>
        <stp>현재가</stp>
        <stp/>
        <stp/>
        <tr r="T681" s="1"/>
      </tp>
      <tp>
        <v>19900</v>
        <stp/>
        <stp>P</stp>
        <stp>0</stp>
        <stp>STK</stp>
        <stp>001530</stp>
        <stp>현재가</stp>
        <stp/>
        <stp/>
        <tr r="T546" s="1"/>
      </tp>
      <tp>
        <v>8710</v>
        <stp/>
        <stp>P</stp>
        <stp>0</stp>
        <stp>STK</stp>
        <stp>001500</stp>
        <stp>현재가</stp>
        <stp/>
        <stp/>
        <tr r="T459" s="1"/>
      </tp>
      <tp>
        <v>65000</v>
        <stp/>
        <stp>P</stp>
        <stp>0</stp>
        <stp>STK</stp>
        <stp>101490</stp>
        <stp>현재가</stp>
        <stp/>
        <stp/>
        <tr r="T254" s="3"/>
        <tr r="T254" s="1"/>
      </tp>
      <tp>
        <v>74300</v>
        <stp/>
        <stp>P</stp>
        <stp>0</stp>
        <stp>STK</stp>
        <stp>001430</stp>
        <stp>현재가</stp>
        <stp/>
        <stp/>
        <tr r="T163" s="3"/>
        <tr r="T163" s="1"/>
      </tp>
      <tp>
        <v>41250</v>
        <stp/>
        <stp>P</stp>
        <stp>0</stp>
        <stp>STK</stp>
        <stp>001460</stp>
        <stp>현재가</stp>
        <stp/>
        <stp/>
        <tr r="T657" s="1"/>
      </tp>
      <tp>
        <v>27750</v>
        <stp/>
        <stp>P</stp>
        <stp>0</stp>
        <stp>STK</stp>
        <stp>001450</stp>
        <stp>현재가</stp>
        <stp/>
        <stp/>
        <tr r="T180" s="1"/>
        <tr r="T180" s="3"/>
      </tp>
      <tp>
        <v>27550</v>
        <stp/>
        <stp>P</stp>
        <stp>0</stp>
        <stp>STK</stp>
        <stp>001440</stp>
        <stp>현재가</stp>
        <stp/>
        <stp/>
        <tr r="T107" s="1"/>
        <tr r="T107" s="3"/>
      </tp>
      <tp>
        <v>92300</v>
        <stp/>
        <stp>P</stp>
        <stp>0</stp>
        <stp>STK</stp>
        <stp>000990</stp>
        <stp>현재가</stp>
        <stp/>
        <stp/>
        <tr r="T125" s="3"/>
        <tr r="T125" s="1"/>
      </tp>
      <tp>
        <v>51000</v>
        <stp/>
        <stp>P</stp>
        <stp>0</stp>
        <stp>STK</stp>
        <stp>0009K0</stp>
        <stp>현재가</stp>
        <stp/>
        <stp/>
        <tr r="T143" s="3"/>
        <tr r="T143" s="1"/>
      </tp>
      <tp>
        <v>15370</v>
        <stp/>
        <stp>P</stp>
        <stp>0</stp>
        <stp>STK</stp>
        <stp>200880</stp>
        <stp>현재가</stp>
        <stp/>
        <stp/>
        <tr r="T503" s="1"/>
      </tp>
      <tp>
        <v>117900</v>
        <stp/>
        <stp>P</stp>
        <stp>0</stp>
        <stp>STK</stp>
        <stp>000880</stp>
        <stp>현재가</stp>
        <stp/>
        <stp/>
        <tr r="T76" s="1"/>
        <tr r="T76" s="3"/>
      </tp>
      <tp>
        <v>488000</v>
        <stp/>
        <stp>P</stp>
        <stp>0</stp>
        <stp>STK</stp>
        <stp>000810</stp>
        <stp>현재가</stp>
        <stp/>
        <stp/>
        <tr r="T35" s="3"/>
        <tr r="T35" s="1"/>
      </tp>
      <tp>
        <v>38850</v>
        <stp/>
        <stp>P</stp>
        <stp>0</stp>
        <stp>STK</stp>
        <stp>100840</stp>
        <stp>현재가</stp>
        <stp/>
        <stp/>
        <tr r="T347" s="3"/>
        <tr r="T347" s="1"/>
      </tp>
      <tp>
        <v>33000</v>
        <stp/>
        <stp>P</stp>
        <stp>0</stp>
        <stp>STK</stp>
        <stp>0008Z0</stp>
        <stp>현재가</stp>
        <stp/>
        <stp/>
        <tr r="T610" s="1"/>
      </tp>
      <tp>
        <v>21150</v>
        <stp/>
        <stp>P</stp>
        <stp>0</stp>
        <stp>STK</stp>
        <stp>000320</stp>
        <stp>현재가</stp>
        <stp/>
        <stp/>
        <tr r="T654" s="1"/>
      </tp>
      <tp>
        <v>37450</v>
        <stp/>
        <stp>P</stp>
        <stp>0</stp>
        <stp>STK</stp>
        <stp>000210</stp>
        <stp>현재가</stp>
        <stp/>
        <stp/>
        <tr r="T365" s="1"/>
        <tr r="T365" s="3"/>
      </tp>
      <tp>
        <v>162200</v>
        <stp/>
        <stp>P</stp>
        <stp>0</stp>
        <stp>STK</stp>
        <stp>000270</stp>
        <stp>현재가</stp>
        <stp/>
        <stp/>
        <tr r="T11" s="3"/>
        <tr r="T11" s="1"/>
      </tp>
      <tp>
        <v>339500</v>
        <stp/>
        <stp>P</stp>
        <stp>0</stp>
        <stp>STK</stp>
        <stp>000250</stp>
        <stp>현재가</stp>
        <stp/>
        <stp/>
        <tr r="T97" s="3"/>
        <tr r="T97" s="1"/>
      </tp>
      <tp>
        <v>26950</v>
        <stp/>
        <stp>P</stp>
        <stp>0</stp>
        <stp>STK</stp>
        <stp>000240</stp>
        <stp>현재가</stp>
        <stp/>
        <stp/>
        <tr r="T171" s="3"/>
        <tr r="T171" s="1"/>
      </tp>
      <tp>
        <v>99900</v>
        <stp/>
        <stp>P</stp>
        <stp>0</stp>
        <stp>STK</stp>
        <stp>000120</stp>
        <stp>현재가</stp>
        <stp/>
        <stp/>
        <tr r="T194" s="1"/>
        <tr r="T194" s="3"/>
      </tp>
      <tp>
        <v>12440</v>
        <stp/>
        <stp>P</stp>
        <stp>0</stp>
        <stp>STK</stp>
        <stp>200130</stp>
        <stp>현재가</stp>
        <stp/>
        <stp/>
        <tr r="T562" s="1"/>
      </tp>
      <tp>
        <v>105700</v>
        <stp/>
        <stp>P</stp>
        <stp>0</stp>
        <stp>STK</stp>
        <stp>000100</stp>
        <stp>현재가</stp>
        <stp/>
        <stp/>
        <tr r="T84" s="1"/>
        <tr r="T84" s="3"/>
      </tp>
      <tp>
        <v>906000</v>
        <stp/>
        <stp>P</stp>
        <stp>0</stp>
        <stp>STK</stp>
        <stp>000150</stp>
        <stp>현재가</stp>
        <stp/>
        <stp/>
        <tr r="T61" s="1"/>
        <tr r="T61" s="3"/>
      </tp>
      <tp>
        <v>16050</v>
        <stp/>
        <stp>P</stp>
        <stp>0</stp>
        <stp>STK</stp>
        <stp>300080</stp>
        <stp>현재가</stp>
        <stp/>
        <stp/>
        <tr r="T662" s="1"/>
      </tp>
      <tp>
        <v>18020</v>
        <stp/>
        <stp>P</stp>
        <stp>0</stp>
        <stp>STK</stp>
        <stp>000080</stp>
        <stp>현재가</stp>
        <stp/>
        <stp/>
        <tr r="T274" s="3"/>
        <tr r="T274" s="1"/>
      </tp>
      <tp>
        <v>19480</v>
        <stp/>
        <stp>P</stp>
        <stp>0</stp>
        <stp>STK</stp>
        <stp>100090</stp>
        <stp>현재가</stp>
        <stp/>
        <stp/>
        <tr r="T282" s="1"/>
        <tr r="T282" s="3"/>
      </tp>
      <tp>
        <v>59200</v>
        <stp/>
        <stp>P</stp>
        <stp>0</stp>
        <stp>STK</stp>
        <stp>000070</stp>
        <stp>현재가</stp>
        <stp/>
        <stp/>
        <tr r="T502" s="1"/>
      </tp>
      <tp>
        <v>12840</v>
        <stp/>
        <stp>P</stp>
        <stp>0</stp>
        <stp>STK</stp>
        <stp>100790</stp>
        <stp>현재가</stp>
        <stp/>
        <stp/>
        <tr r="T390" s="1"/>
      </tp>
      <tp>
        <v>33650</v>
        <stp/>
        <stp>P</stp>
        <stp>0</stp>
        <stp>STK</stp>
        <stp>200710</stp>
        <stp>현재가</stp>
        <stp/>
        <stp/>
        <tr r="T491" s="1"/>
      </tp>
      <tp>
        <v>108200</v>
        <stp/>
        <stp>P</stp>
        <stp>0</stp>
        <stp>STK</stp>
        <stp>000720</stp>
        <stp>현재가</stp>
        <stp/>
        <stp/>
        <tr r="T65" s="3"/>
        <tr r="T65" s="1"/>
      </tp>
      <tp>
        <v>16540</v>
        <stp/>
        <stp>P</stp>
        <stp>0</stp>
        <stp>STK</stp>
        <stp>300720</stp>
        <stp>현재가</stp>
        <stp/>
        <stp/>
        <tr r="T279" s="1"/>
        <tr r="T279" s="3"/>
      </tp>
      <tp>
        <v>36100</v>
        <stp/>
        <stp>P</stp>
        <stp>0</stp>
        <stp>STK</stp>
        <stp>0007C0</stp>
        <stp>현재가</stp>
        <stp/>
        <stp/>
        <tr r="T685" s="1"/>
      </tp>
      <tp>
        <v>54600</v>
        <stp/>
        <stp>P</stp>
        <stp>0</stp>
        <stp>STK</stp>
        <stp>000670</stp>
        <stp>현재가</stp>
        <stp/>
        <stp/>
        <tr r="T321" s="1"/>
        <tr r="T321" s="3"/>
      </tp>
      <tp>
        <v>750000</v>
        <stp/>
        <stp>P</stp>
        <stp>0</stp>
        <stp>STK</stp>
        <stp>000660</stp>
        <stp>현재가</stp>
        <stp/>
        <stp/>
        <tr r="T7" s="3"/>
        <tr r="T7" s="1"/>
      </tp>
      <tp>
        <v>41450</v>
        <stp/>
        <stp>P</stp>
        <stp>0</stp>
        <stp>STK</stp>
        <stp>200670</stp>
        <stp>현재가</stp>
        <stp/>
        <stp/>
        <tr r="T507" s="1"/>
      </tp>
      <tp>
        <v>104200</v>
        <stp/>
        <stp>P</stp>
        <stp>0</stp>
        <stp>STK</stp>
        <stp>000640</stp>
        <stp>현재가</stp>
        <stp/>
        <stp/>
        <tr r="T394" s="1"/>
      </tp>
      <tp>
        <v>88000</v>
        <stp/>
        <stp>P</stp>
        <stp>0</stp>
        <stp>STK</stp>
        <stp>000500</stp>
        <stp>현재가</stp>
        <stp/>
        <stp/>
        <tr r="T249" s="1"/>
        <tr r="T249" s="3"/>
      </tp>
      <tp>
        <v>10200</v>
        <stp/>
        <stp>P</stp>
        <stp>0</stp>
        <stp>STK</stp>
        <stp>000490</stp>
        <stp>현재가</stp>
        <stp/>
        <stp/>
        <tr r="T628" s="1"/>
      </tp>
      <tp>
        <v>50300</v>
        <stp/>
        <stp>P</stp>
        <stp>0</stp>
        <stp>STK</stp>
        <stp>003920</stp>
        <stp>현재가</stp>
        <stp/>
        <stp/>
        <tr r="T617" s="1"/>
      </tp>
      <tp>
        <v>35600</v>
        <stp/>
        <stp>P</stp>
        <stp>0</stp>
        <stp>STK</stp>
        <stp>003960</stp>
        <stp>현재가</stp>
        <stp/>
        <stp/>
        <tr r="T598" s="1"/>
      </tp>
      <tp>
        <v>33250</v>
        <stp/>
        <stp>P</stp>
        <stp>0</stp>
        <stp>STK</stp>
        <stp>403870</stp>
        <stp>현재가</stp>
        <stp/>
        <stp/>
        <tr r="T157" s="3"/>
        <tr r="T157" s="1"/>
      </tp>
      <tp>
        <v>23800</v>
        <stp/>
        <stp>P</stp>
        <stp>0</stp>
        <stp>STK</stp>
        <stp>403850</stp>
        <stp>현재가</stp>
        <stp/>
        <stp/>
        <tr r="T578" s="1"/>
      </tp>
      <tp>
        <v>9050</v>
        <stp/>
        <stp>P</stp>
        <stp>0</stp>
        <stp>STK</stp>
        <stp>003850</stp>
        <stp>현재가</stp>
        <stp/>
        <stp/>
        <tr r="T366" s="3"/>
        <tr r="T366" s="1"/>
      </tp>
      <tp>
        <v>11340</v>
        <stp/>
        <stp>P</stp>
        <stp>0</stp>
        <stp>STK</stp>
        <stp>003380</stp>
        <stp>현재가</stp>
        <stp/>
        <stp/>
        <tr r="T276" s="1"/>
        <tr r="T276" s="3"/>
      </tp>
      <tp>
        <v>15530</v>
        <stp/>
        <stp>P</stp>
        <stp>0</stp>
        <stp>STK</stp>
        <stp>003300</stp>
        <stp>현재가</stp>
        <stp/>
        <stp/>
        <tr r="T489" s="1"/>
      </tp>
      <tp>
        <v>1257000</v>
        <stp/>
        <stp>P</stp>
        <stp>0</stp>
        <stp>STK</stp>
        <stp>003230</stp>
        <stp>현재가</stp>
        <stp/>
        <stp/>
        <tr r="T77" s="1"/>
        <tr r="T77" s="3"/>
      </tp>
      <tp>
        <v>11500</v>
        <stp/>
        <stp>P</stp>
        <stp>0</stp>
        <stp>STK</stp>
        <stp>003220</stp>
        <stp>현재가</stp>
        <stp/>
        <stp/>
        <tr r="T667" s="1"/>
      </tp>
      <tp>
        <v>12530</v>
        <stp/>
        <stp>P</stp>
        <stp>0</stp>
        <stp>STK</stp>
        <stp>003200</stp>
        <stp>현재가</stp>
        <stp/>
        <stp/>
        <tr r="T618" s="1"/>
      </tp>
      <tp>
        <v>795000</v>
        <stp/>
        <stp>P</stp>
        <stp>0</stp>
        <stp>STK</stp>
        <stp>003240</stp>
        <stp>현재가</stp>
        <stp/>
        <stp/>
        <tr r="T341" s="3"/>
        <tr r="T341" s="1"/>
      </tp>
      <tp>
        <v>20850</v>
        <stp/>
        <stp>P</stp>
        <stp>0</stp>
        <stp>STK</stp>
        <stp>003120</stp>
        <stp>현재가</stp>
        <stp/>
        <stp/>
        <tr r="T630" s="1"/>
      </tp>
      <tp>
        <v>28100</v>
        <stp/>
        <stp>P</stp>
        <stp>0</stp>
        <stp>STK</stp>
        <stp>003160</stp>
        <stp>현재가</stp>
        <stp/>
        <stp/>
        <tr r="T342" s="3"/>
        <tr r="T342" s="1"/>
      </tp>
      <tp>
        <v>119900</v>
        <stp/>
        <stp>P</stp>
        <stp>0</stp>
        <stp>STK</stp>
        <stp>103140</stp>
        <stp>현재가</stp>
        <stp/>
        <stp/>
        <tr r="T141" s="3"/>
        <tr r="T141" s="1"/>
      </tp>
      <tp>
        <v>22450</v>
        <stp/>
        <stp>P</stp>
        <stp>0</stp>
        <stp>STK</stp>
        <stp>003090</stp>
        <stp>현재가</stp>
        <stp/>
        <stp/>
        <tr r="T269" s="3"/>
        <tr r="T269" s="1"/>
      </tp>
      <tp>
        <v>130800</v>
        <stp/>
        <stp>P</stp>
        <stp>0</stp>
        <stp>STK</stp>
        <stp>003030</stp>
        <stp>현재가</stp>
        <stp/>
        <stp/>
        <tr r="T466" s="1"/>
      </tp>
      <tp>
        <v>11080</v>
        <stp/>
        <stp>P</stp>
        <stp>0</stp>
        <stp>STK</stp>
        <stp>003690</stp>
        <stp>현재가</stp>
        <stp/>
        <stp/>
        <tr r="T196" s="1"/>
        <tr r="T196" s="3"/>
      </tp>
      <tp>
        <v>215000</v>
        <stp/>
        <stp>P</stp>
        <stp>0</stp>
        <stp>STK</stp>
        <stp>003670</stp>
        <stp>현재가</stp>
        <stp/>
        <stp/>
        <tr r="T46" s="1"/>
        <tr r="T46" s="3"/>
      </tp>
      <tp>
        <v>60400</v>
        <stp/>
        <stp>P</stp>
        <stp>0</stp>
        <stp>STK</stp>
        <stp>103590</stp>
        <stp>현재가</stp>
        <stp/>
        <stp/>
        <tr r="T154" s="3"/>
        <tr r="T154" s="1"/>
      </tp>
      <tp>
        <v>12050</v>
        <stp/>
        <stp>P</stp>
        <stp>0</stp>
        <stp>STK</stp>
        <stp>403550</stp>
        <stp>현재가</stp>
        <stp/>
        <stp/>
        <tr r="T537" s="1"/>
      </tp>
      <tp>
        <v>50000</v>
        <stp/>
        <stp>P</stp>
        <stp>0</stp>
        <stp>STK</stp>
        <stp>003570</stp>
        <stp>현재가</stp>
        <stp/>
        <stp/>
        <tr r="T234" s="3"/>
        <tr r="T234" s="1"/>
      </tp>
      <tp>
        <v>89000</v>
        <stp/>
        <stp>P</stp>
        <stp>0</stp>
        <stp>STK</stp>
        <stp>003550</stp>
        <stp>현재가</stp>
        <stp/>
        <stp/>
        <tr r="T62" s="3"/>
        <tr r="T62" s="1"/>
      </tp>
      <tp>
        <v>28200</v>
        <stp/>
        <stp>P</stp>
        <stp>0</stp>
        <stp>STK</stp>
        <stp>003540</stp>
        <stp>현재가</stp>
        <stp/>
        <stp/>
        <tr r="T259" s="1"/>
        <tr r="T259" s="3"/>
      </tp>
      <tp>
        <v>24200</v>
        <stp/>
        <stp>P</stp>
        <stp>0</stp>
        <stp>STK</stp>
        <stp>003490</stp>
        <stp>현재가</stp>
        <stp/>
        <stp/>
        <tr r="T79" s="1"/>
        <tr r="T79" s="3"/>
      </tp>
      <tp>
        <v>433000</v>
        <stp/>
        <stp>P</stp>
        <stp>0</stp>
        <stp>STK</stp>
        <stp>002960</stp>
        <stp>현재가</stp>
        <stp/>
        <stp/>
        <tr r="T442" s="1"/>
      </tp>
      <tp>
        <v>49900</v>
        <stp/>
        <stp>P</stp>
        <stp>0</stp>
        <stp>STK</stp>
        <stp>102940</stp>
        <stp>현재가</stp>
        <stp/>
        <stp/>
        <tr r="T424" s="1"/>
      </tp>
      <tp>
        <v>16520</v>
        <stp/>
        <stp>P</stp>
        <stp>0</stp>
        <stp>STK</stp>
        <stp>002810</stp>
        <stp>현재가</stp>
        <stp/>
        <stp/>
        <tr r="T616" s="1"/>
      </tp>
      <tp>
        <v>142100</v>
        <stp/>
        <stp>P</stp>
        <stp>0</stp>
        <stp>STK</stp>
        <stp>002840</stp>
        <stp>현재가</stp>
        <stp/>
        <stp/>
        <tr r="T392" s="1"/>
      </tp>
      <tp>
        <v>457000</v>
        <stp/>
        <stp>P</stp>
        <stp>0</stp>
        <stp>STK</stp>
        <stp>002380</stp>
        <stp>현재가</stp>
        <stp/>
        <stp/>
        <tr r="T127" s="3"/>
        <tr r="T127" s="1"/>
      </tp>
      <tp>
        <v>19690</v>
        <stp/>
        <stp>P</stp>
        <stp>0</stp>
        <stp>STK</stp>
        <stp>002320</stp>
        <stp>현재가</stp>
        <stp/>
        <stp/>
        <tr r="T619" s="1"/>
      </tp>
      <tp>
        <v>441000</v>
        <stp/>
        <stp>P</stp>
        <stp>0</stp>
        <stp>STK</stp>
        <stp>402340</stp>
        <stp>현재가</stp>
        <stp/>
        <stp/>
        <tr r="T15" s="1"/>
        <tr r="T15" s="3"/>
      </tp>
      <tp>
        <v>21950</v>
        <stp/>
        <stp>P</stp>
        <stp>0</stp>
        <stp>STK</stp>
        <stp>002240</stp>
        <stp>현재가</stp>
        <stp/>
        <stp/>
        <tr r="T426" s="1"/>
      </tp>
      <tp>
        <v>288000</v>
        <stp/>
        <stp>P</stp>
        <stp>0</stp>
        <stp>STK</stp>
        <stp>002030</stp>
        <stp>현재가</stp>
        <stp/>
        <stp/>
        <tr r="T430" s="1"/>
      </tp>
      <tp>
        <v>45950</v>
        <stp/>
        <stp>P</stp>
        <stp>0</stp>
        <stp>STK</stp>
        <stp>002020</stp>
        <stp>현재가</stp>
        <stp/>
        <stp/>
        <tr r="T440" s="1"/>
      </tp>
      <tp>
        <v>22300</v>
        <stp/>
        <stp>P</stp>
        <stp>0</stp>
        <stp>STK</stp>
        <stp>402030</stp>
        <stp>현재가</stp>
        <stp/>
        <stp/>
        <tr r="T641" s="1"/>
      </tp>
      <tp>
        <v>26950</v>
        <stp/>
        <stp>P</stp>
        <stp>0</stp>
        <stp>STK</stp>
        <stp>002790</stp>
        <stp>현재가</stp>
        <stp/>
        <stp/>
        <tr r="T207" s="1"/>
        <tr r="T207" s="3"/>
      </tp>
      <tp>
        <v>15650</v>
        <stp/>
        <stp>P</stp>
        <stp>0</stp>
        <stp>STK</stp>
        <stp>002710</stp>
        <stp>현재가</stp>
        <stp/>
        <stp/>
        <tr r="T567" s="1"/>
      </tp>
      <tp>
        <v>48650</v>
        <stp/>
        <stp>P</stp>
        <stp>0</stp>
        <stp>STK</stp>
        <stp>102710</stp>
        <stp>현재가</stp>
        <stp/>
        <stp/>
        <tr r="T398" s="1"/>
      </tp>
      <tp>
        <v>49350</v>
        <stp/>
        <stp>P</stp>
        <stp>0</stp>
        <stp>STK</stp>
        <stp>302440</stp>
        <stp>현재가</stp>
        <stp/>
        <stp/>
        <tr r="T131" s="1"/>
        <tr r="T131" s="3"/>
      </tp>
      <tp>
        <v>37700</v>
        <stp/>
        <stp>P</stp>
        <stp>0</stp>
        <stp>STK</stp>
        <stp>N089030</stp>
        <stp>시가</stp>
        <stp/>
        <stp/>
        <tr r="O247" s="1"/>
      </tp>
      <tp>
        <v>8170</v>
        <stp/>
        <stp>P</stp>
        <stp>0</stp>
        <stp>STK</stp>
        <stp>N383800</stp>
        <stp>저가</stp>
        <stp/>
        <stp/>
        <tr r="Q417" s="1"/>
        <tr r="Q272" s="3"/>
      </tp>
      <tp>
        <v>30800</v>
        <stp/>
        <stp>P</stp>
        <stp>0</stp>
        <stp>STK</stp>
        <stp>N382900</stp>
        <stp>저가</stp>
        <stp/>
        <stp/>
        <tr r="Q651" s="1"/>
      </tp>
      <tp>
        <v>25000</v>
        <stp/>
        <stp>P</stp>
        <stp>0</stp>
        <stp>STK</stp>
        <stp>N481070</stp>
        <stp>저가</stp>
        <stp/>
        <stp/>
        <tr r="Q588" s="1"/>
      </tp>
      <tp>
        <v>144700</v>
        <stp/>
        <stp>P</stp>
        <stp>0</stp>
        <stp>STK</stp>
        <stp>N484870</stp>
        <stp>저가</stp>
        <stp/>
        <stp/>
        <tr r="Q203" s="3"/>
        <tr r="Q256" s="1"/>
      </tp>
      <tp>
        <v>25350</v>
        <stp/>
        <stp>P</stp>
        <stp>0</stp>
        <stp>STK</stp>
        <stp>N481070</stp>
        <stp>시가</stp>
        <stp/>
        <stp/>
        <tr r="O588" s="1"/>
      </tp>
      <tp>
        <v>8180</v>
        <stp/>
        <stp>P</stp>
        <stp>0</stp>
        <stp>STK</stp>
        <stp>N383800</stp>
        <stp>시가</stp>
        <stp/>
        <stp/>
        <tr r="O417" s="1"/>
        <tr r="O272" s="3"/>
      </tp>
      <tp>
        <v>37200</v>
        <stp/>
        <stp>P</stp>
        <stp>0</stp>
        <stp>STK</stp>
        <stp>N089030</stp>
        <stp>저가</stp>
        <stp/>
        <stp/>
        <tr r="Q247" s="1"/>
      </tp>
      <tp>
        <v>30900</v>
        <stp/>
        <stp>P</stp>
        <stp>0</stp>
        <stp>STK</stp>
        <stp>N382900</stp>
        <stp>시가</stp>
        <stp/>
        <stp/>
        <tr r="O651" s="1"/>
      </tp>
      <tp>
        <v>150000</v>
        <stp/>
        <stp>P</stp>
        <stp>0</stp>
        <stp>STK</stp>
        <stp>N484870</stp>
        <stp>시가</stp>
        <stp/>
        <stp/>
        <tr r="O203" s="3"/>
        <tr r="O256" s="1"/>
      </tp>
      <tp>
        <v>150000</v>
        <stp/>
        <stp>P</stp>
        <stp>0</stp>
        <stp>STK</stp>
        <stp>N484870</stp>
        <stp>고가</stp>
        <stp/>
        <stp/>
        <tr r="P256" s="1"/>
        <tr r="P203" s="3"/>
      </tp>
      <tp>
        <v>8240</v>
        <stp/>
        <stp>P</stp>
        <stp>0</stp>
        <stp>STK</stp>
        <stp>N383800</stp>
        <stp>고가</stp>
        <stp/>
        <stp/>
        <tr r="P272" s="3"/>
        <tr r="P417" s="1"/>
      </tp>
      <tp>
        <v>31300</v>
        <stp/>
        <stp>P</stp>
        <stp>0</stp>
        <stp>STK</stp>
        <stp>N382900</stp>
        <stp>고가</stp>
        <stp/>
        <stp/>
        <tr r="P651" s="1"/>
      </tp>
      <tp>
        <v>25400</v>
        <stp/>
        <stp>P</stp>
        <stp>0</stp>
        <stp>STK</stp>
        <stp>N481070</stp>
        <stp>고가</stp>
        <stp/>
        <stp/>
        <tr r="P588" s="1"/>
      </tp>
      <tp>
        <v>38000</v>
        <stp/>
        <stp>P</stp>
        <stp>0</stp>
        <stp>STK</stp>
        <stp>N089030</stp>
        <stp>고가</stp>
        <stp/>
        <stp/>
        <tr r="P247" s="1"/>
      </tp>
      <tp>
        <v>193400</v>
        <stp/>
        <stp>P</stp>
        <stp>0</stp>
        <stp>STK</stp>
        <stp>N192820</stp>
        <stp>저가</stp>
        <stp/>
        <stp/>
        <tr r="Q161" s="3"/>
        <tr r="Q205" s="1"/>
      </tp>
      <tp>
        <v>0</v>
        <stp/>
        <stp>P</stp>
        <stp>0</stp>
        <stp>STK</stp>
        <stp>N092230</stp>
        <stp>저가</stp>
        <stp/>
        <stp/>
        <tr r="Q615" s="1"/>
        <tr r="Q352" s="3"/>
      </tp>
      <tp>
        <v>18770</v>
        <stp/>
        <stp>P</stp>
        <stp>0</stp>
        <stp>STK</stp>
        <stp>N092730</stp>
        <stp>저가</stp>
        <stp/>
        <stp/>
        <tr r="Q645" s="1"/>
      </tp>
      <tp>
        <v>125900</v>
        <stp/>
        <stp>P</stp>
        <stp>0</stp>
        <stp>STK</stp>
        <stp>N090430</stp>
        <stp>저가</stp>
        <stp/>
        <stp/>
        <tr r="Q84" s="3"/>
        <tr r="Q90" s="1"/>
      </tp>
      <tp>
        <v>23500</v>
        <stp/>
        <stp>P</stp>
        <stp>0</stp>
        <stp>STK</stp>
        <stp>N097230</stp>
        <stp>저가</stp>
        <stp/>
        <stp/>
        <tr r="Q164" s="3"/>
        <tr r="Q195" s="1"/>
      </tp>
      <tp>
        <v>23950</v>
        <stp/>
        <stp>P</stp>
        <stp>0</stp>
        <stp>STK</stp>
        <stp>N096530</stp>
        <stp>저가</stp>
        <stp/>
        <stp/>
        <tr r="Q275" s="1"/>
      </tp>
      <tp>
        <v>83800</v>
        <stp/>
        <stp>P</stp>
        <stp>0</stp>
        <stp>STK</stp>
        <stp>N295310</stp>
        <stp>저가</stp>
        <stp/>
        <stp/>
        <tr r="Q305" s="1"/>
      </tp>
      <tp>
        <v>14280</v>
        <stp/>
        <stp>P</stp>
        <stp>0</stp>
        <stp>STK</stp>
        <stp>N394800</stp>
        <stp>저가</stp>
        <stp/>
        <stp/>
        <tr r="Q495" s="1"/>
      </tp>
      <tp>
        <v>126900</v>
        <stp/>
        <stp>P</stp>
        <stp>0</stp>
        <stp>STK</stp>
        <stp>N090430</stp>
        <stp>시가</stp>
        <stp/>
        <stp/>
        <tr r="O90" s="1"/>
        <tr r="O84" s="3"/>
      </tp>
      <tp>
        <v>19170</v>
        <stp/>
        <stp>P</stp>
        <stp>0</stp>
        <stp>STK</stp>
        <stp>N092730</stp>
        <stp>시가</stp>
        <stp/>
        <stp/>
        <tr r="O645" s="1"/>
      </tp>
      <tp>
        <v>0</v>
        <stp/>
        <stp>P</stp>
        <stp>0</stp>
        <stp>STK</stp>
        <stp>N092230</stp>
        <stp>시가</stp>
        <stp/>
        <stp/>
        <tr r="O352" s="3"/>
        <tr r="O615" s="1"/>
      </tp>
      <tp>
        <v>193400</v>
        <stp/>
        <stp>P</stp>
        <stp>0</stp>
        <stp>STK</stp>
        <stp>N192820</stp>
        <stp>시가</stp>
        <stp/>
        <stp/>
        <tr r="O161" s="3"/>
        <tr r="O205" s="1"/>
      </tp>
      <tp>
        <v>85000</v>
        <stp/>
        <stp>P</stp>
        <stp>0</stp>
        <stp>STK</stp>
        <stp>N295310</stp>
        <stp>시가</stp>
        <stp/>
        <stp/>
        <tr r="O305" s="1"/>
      </tp>
      <tp>
        <v>14500</v>
        <stp/>
        <stp>P</stp>
        <stp>0</stp>
        <stp>STK</stp>
        <stp>N394800</stp>
        <stp>시가</stp>
        <stp/>
        <stp/>
        <tr r="O495" s="1"/>
      </tp>
      <tp>
        <v>23950</v>
        <stp/>
        <stp>P</stp>
        <stp>0</stp>
        <stp>STK</stp>
        <stp>N097230</stp>
        <stp>시가</stp>
        <stp/>
        <stp/>
        <tr r="O195" s="1"/>
        <tr r="O164" s="3"/>
      </tp>
      <tp>
        <v>24150</v>
        <stp/>
        <stp>P</stp>
        <stp>0</stp>
        <stp>STK</stp>
        <stp>N096530</stp>
        <stp>시가</stp>
        <stp/>
        <stp/>
        <tr r="O275" s="1"/>
      </tp>
      <tp>
        <v>24050</v>
        <stp/>
        <stp>P</stp>
        <stp>0</stp>
        <stp>STK</stp>
        <stp>N097230</stp>
        <stp>고가</stp>
        <stp/>
        <stp/>
        <tr r="P164" s="3"/>
        <tr r="P195" s="1"/>
      </tp>
      <tp>
        <v>24200</v>
        <stp/>
        <stp>P</stp>
        <stp>0</stp>
        <stp>STK</stp>
        <stp>N096530</stp>
        <stp>고가</stp>
        <stp/>
        <stp/>
        <tr r="P275" s="1"/>
      </tp>
      <tp>
        <v>88000</v>
        <stp/>
        <stp>P</stp>
        <stp>0</stp>
        <stp>STK</stp>
        <stp>N295310</stp>
        <stp>고가</stp>
        <stp/>
        <stp/>
        <tr r="P305" s="1"/>
      </tp>
      <tp>
        <v>14500</v>
        <stp/>
        <stp>P</stp>
        <stp>0</stp>
        <stp>STK</stp>
        <stp>N394800</stp>
        <stp>고가</stp>
        <stp/>
        <stp/>
        <tr r="P495" s="1"/>
      </tp>
      <tp>
        <v>195900</v>
        <stp/>
        <stp>P</stp>
        <stp>0</stp>
        <stp>STK</stp>
        <stp>N192820</stp>
        <stp>고가</stp>
        <stp/>
        <stp/>
        <tr r="P205" s="1"/>
        <tr r="P161" s="3"/>
      </tp>
      <tp>
        <v>0</v>
        <stp/>
        <stp>P</stp>
        <stp>0</stp>
        <stp>STK</stp>
        <stp>N092230</stp>
        <stp>고가</stp>
        <stp/>
        <stp/>
        <tr r="P615" s="1"/>
        <tr r="P352" s="3"/>
      </tp>
      <tp>
        <v>19170</v>
        <stp/>
        <stp>P</stp>
        <stp>0</stp>
        <stp>STK</stp>
        <stp>N092730</stp>
        <stp>고가</stp>
        <stp/>
        <stp/>
        <tr r="P645" s="1"/>
      </tp>
      <tp>
        <v>127700</v>
        <stp/>
        <stp>P</stp>
        <stp>0</stp>
        <stp>STK</stp>
        <stp>N090430</stp>
        <stp>고가</stp>
        <stp/>
        <stp/>
        <tr r="P84" s="3"/>
        <tr r="P90" s="1"/>
      </tp>
      <tp>
        <v>28550</v>
        <stp/>
        <stp>P</stp>
        <stp>0</stp>
        <stp>STK</stp>
        <stp>N009830</stp>
        <stp>시가</stp>
        <stp/>
        <stp/>
        <tr r="O113" s="1"/>
        <tr r="O103" s="3"/>
      </tp>
      <tp>
        <v>33200</v>
        <stp/>
        <stp>P</stp>
        <stp>0</stp>
        <stp>STK</stp>
        <stp>N403870</stp>
        <stp>저가</stp>
        <stp/>
        <stp/>
        <tr r="Q157" s="1"/>
      </tp>
      <tp>
        <v>129000</v>
        <stp/>
        <stp>P</stp>
        <stp>0</stp>
        <stp>STK</stp>
        <stp>N003030</stp>
        <stp>저가</stp>
        <stp/>
        <stp/>
        <tr r="Q285" s="3"/>
        <tr r="Q466" s="1"/>
      </tp>
      <tp>
        <v>1235000</v>
        <stp/>
        <stp>P</stp>
        <stp>0</stp>
        <stp>STK</stp>
        <stp>N003230</stp>
        <stp>저가</stp>
        <stp/>
        <stp/>
        <tr r="Q71" s="3"/>
        <tr r="Q77" s="1"/>
      </tp>
      <tp>
        <v>27950</v>
        <stp/>
        <stp>P</stp>
        <stp>0</stp>
        <stp>STK</stp>
        <stp>N008730</stp>
        <stp>시가</stp>
        <stp/>
        <stp/>
        <tr r="O262" s="3"/>
        <tr r="O397" s="1"/>
      </tp>
      <tp>
        <v>50900</v>
        <stp/>
        <stp>P</stp>
        <stp>0</stp>
        <stp>STK</stp>
        <stp>N108320</stp>
        <stp>시가</stp>
        <stp/>
        <stp/>
        <tr r="O241" s="3"/>
        <tr r="O345" s="1"/>
      </tp>
      <tp>
        <v>39000</v>
        <stp/>
        <stp>P</stp>
        <stp>0</stp>
        <stp>STK</stp>
        <stp>N008930</stp>
        <stp>시가</stp>
        <stp/>
        <stp/>
        <tr r="O165" s="1"/>
        <tr r="O140" s="3"/>
      </tp>
      <tp>
        <v>288500</v>
        <stp/>
        <stp>P</stp>
        <stp>0</stp>
        <stp>STK</stp>
        <stp>N002030</stp>
        <stp>저가</stp>
        <stp/>
        <stp/>
        <tr r="Q278" s="3"/>
        <tr r="Q430" s="1"/>
      </tp>
      <tp>
        <v>143000</v>
        <stp/>
        <stp>P</stp>
        <stp>0</stp>
        <stp>STK</stp>
        <stp>N001130</stp>
        <stp>저가</stp>
        <stp/>
        <stp/>
        <tr r="Q680" s="1"/>
        <tr r="Q375" s="3"/>
      </tp>
      <tp>
        <v>19900</v>
        <stp/>
        <stp>P</stp>
        <stp>0</stp>
        <stp>STK</stp>
        <stp>N001530</stp>
        <stp>저가</stp>
        <stp/>
        <stp/>
        <tr r="Q546" s="1"/>
        <tr r="Q325" s="3"/>
      </tp>
      <tp>
        <v>73400</v>
        <stp/>
        <stp>P</stp>
        <stp>0</stp>
        <stp>STK</stp>
        <stp>N001430</stp>
        <stp>저가</stp>
        <stp/>
        <stp/>
        <tr r="Q163" s="1"/>
        <tr r="Q141" s="3"/>
      </tp>
      <tp>
        <v>47200</v>
        <stp/>
        <stp>P</stp>
        <stp>0</stp>
        <stp>STK</stp>
        <stp>N001630</stp>
        <stp>저가</stp>
        <stp/>
        <stp/>
        <tr r="Q681" s="1"/>
        <tr r="Q376" s="3"/>
      </tp>
      <tp>
        <v>33600</v>
        <stp/>
        <stp>P</stp>
        <stp>0</stp>
        <stp>STK</stp>
        <stp>N200710</stp>
        <stp>저가</stp>
        <stp/>
        <stp/>
        <tr r="Q491" s="1"/>
      </tp>
      <tp>
        <v>118900</v>
        <stp/>
        <stp>P</stp>
        <stp>0</stp>
        <stp>STK</stp>
        <stp>N306200</stp>
        <stp>저가</stp>
        <stp/>
        <stp/>
        <tr r="Q589" s="1"/>
        <tr r="Q341" s="3"/>
      </tp>
      <tp>
        <v>15100</v>
        <stp/>
        <stp>P</stp>
        <stp>0</stp>
        <stp>STK</stp>
        <stp>N006730</stp>
        <stp>저가</stp>
        <stp/>
        <stp/>
        <tr r="Q323" s="1"/>
      </tp>
      <tp>
        <v>152800</v>
        <stp/>
        <stp>P</stp>
        <stp>0</stp>
        <stp>STK</stp>
        <stp>N005930</stp>
        <stp>저가</stp>
        <stp/>
        <stp/>
        <tr r="Q6" s="1"/>
        <tr r="Q6" s="3"/>
      </tp>
      <tp>
        <v>128700</v>
        <stp/>
        <stp>P</stp>
        <stp>0</stp>
        <stp>STK</stp>
        <stp>N005830</stp>
        <stp>저가</stp>
        <stp/>
        <stp/>
        <tr r="Q70" s="3"/>
        <tr r="Q75" s="1"/>
      </tp>
      <tp>
        <v>25900</v>
        <stp/>
        <stp>P</stp>
        <stp>0</stp>
        <stp>STK</stp>
        <stp>N304100</stp>
        <stp>저가</stp>
        <stp/>
        <stp/>
        <tr r="Q591" s="1"/>
      </tp>
      <tp>
        <v>20450</v>
        <stp/>
        <stp>P</stp>
        <stp>0</stp>
        <stp>STK</stp>
        <stp>N001530</stp>
        <stp>시가</stp>
        <stp/>
        <stp/>
        <tr r="O325" s="3"/>
        <tr r="O546" s="1"/>
      </tp>
      <tp>
        <v>74100</v>
        <stp/>
        <stp>P</stp>
        <stp>0</stp>
        <stp>STK</stp>
        <stp>N001430</stp>
        <stp>시가</stp>
        <stp/>
        <stp/>
        <tr r="O141" s="3"/>
        <tr r="O163" s="1"/>
      </tp>
      <tp>
        <v>47200</v>
        <stp/>
        <stp>P</stp>
        <stp>0</stp>
        <stp>STK</stp>
        <stp>N001630</stp>
        <stp>시가</stp>
        <stp/>
        <stp/>
        <tr r="O376" s="3"/>
        <tr r="O681" s="1"/>
      </tp>
      <tp>
        <v>144000</v>
        <stp/>
        <stp>P</stp>
        <stp>0</stp>
        <stp>STK</stp>
        <stp>N001130</stp>
        <stp>시가</stp>
        <stp/>
        <stp/>
        <tr r="O375" s="3"/>
        <tr r="O680" s="1"/>
      </tp>
      <tp>
        <v>33900</v>
        <stp/>
        <stp>P</stp>
        <stp>0</stp>
        <stp>STK</stp>
        <stp>N200710</stp>
        <stp>시가</stp>
        <stp/>
        <stp/>
        <tr r="O491" s="1"/>
      </tp>
      <tp>
        <v>129200</v>
        <stp/>
        <stp>P</stp>
        <stp>0</stp>
        <stp>STK</stp>
        <stp>N003030</stp>
        <stp>시가</stp>
        <stp/>
        <stp/>
        <tr r="O285" s="3"/>
        <tr r="O466" s="1"/>
      </tp>
      <tp>
        <v>1242000</v>
        <stp/>
        <stp>P</stp>
        <stp>0</stp>
        <stp>STK</stp>
        <stp>N003230</stp>
        <stp>시가</stp>
        <stp/>
        <stp/>
        <tr r="O71" s="3"/>
        <tr r="O77" s="1"/>
      </tp>
      <tp>
        <v>33650</v>
        <stp/>
        <stp>P</stp>
        <stp>0</stp>
        <stp>STK</stp>
        <stp>N403870</stp>
        <stp>시가</stp>
        <stp/>
        <stp/>
        <tr r="O157" s="1"/>
      </tp>
      <tp>
        <v>28550</v>
        <stp/>
        <stp>P</stp>
        <stp>0</stp>
        <stp>STK</stp>
        <stp>N009830</stp>
        <stp>저가</stp>
        <stp/>
        <stp/>
        <tr r="Q113" s="1"/>
        <tr r="Q103" s="3"/>
      </tp>
      <tp>
        <v>289000</v>
        <stp/>
        <stp>P</stp>
        <stp>0</stp>
        <stp>STK</stp>
        <stp>N002030</stp>
        <stp>시가</stp>
        <stp/>
        <stp/>
        <tr r="O278" s="3"/>
        <tr r="O430" s="1"/>
      </tp>
      <tp>
        <v>38850</v>
        <stp/>
        <stp>P</stp>
        <stp>0</stp>
        <stp>STK</stp>
        <stp>N008930</stp>
        <stp>저가</stp>
        <stp/>
        <stp/>
        <tr r="Q165" s="1"/>
        <tr r="Q140" s="3"/>
      </tp>
      <tp>
        <v>50800</v>
        <stp/>
        <stp>P</stp>
        <stp>0</stp>
        <stp>STK</stp>
        <stp>N108320</stp>
        <stp>저가</stp>
        <stp/>
        <stp/>
        <tr r="Q241" s="3"/>
        <tr r="Q345" s="1"/>
      </tp>
      <tp>
        <v>27900</v>
        <stp/>
        <stp>P</stp>
        <stp>0</stp>
        <stp>STK</stp>
        <stp>N008730</stp>
        <stp>저가</stp>
        <stp/>
        <stp/>
        <tr r="Q397" s="1"/>
        <tr r="Q262" s="3"/>
      </tp>
      <tp>
        <v>153600</v>
        <stp/>
        <stp>P</stp>
        <stp>0</stp>
        <stp>STK</stp>
        <stp>N005930</stp>
        <stp>시가</stp>
        <stp/>
        <stp/>
        <tr r="O6" s="3"/>
        <tr r="O6" s="1"/>
      </tp>
      <tp>
        <v>129400</v>
        <stp/>
        <stp>P</stp>
        <stp>0</stp>
        <stp>STK</stp>
        <stp>N005830</stp>
        <stp>시가</stp>
        <stp/>
        <stp/>
        <tr r="O70" s="3"/>
        <tr r="O75" s="1"/>
      </tp>
      <tp>
        <v>25900</v>
        <stp/>
        <stp>P</stp>
        <stp>0</stp>
        <stp>STK</stp>
        <stp>N304100</stp>
        <stp>시가</stp>
        <stp/>
        <stp/>
        <tr r="O591" s="1"/>
      </tp>
      <tp>
        <v>15120</v>
        <stp/>
        <stp>P</stp>
        <stp>0</stp>
        <stp>STK</stp>
        <stp>N006730</stp>
        <stp>시가</stp>
        <stp/>
        <stp/>
        <tr r="O323" s="1"/>
      </tp>
      <tp>
        <v>119900</v>
        <stp/>
        <stp>P</stp>
        <stp>0</stp>
        <stp>STK</stp>
        <stp>N306200</stp>
        <stp>시가</stp>
        <stp/>
        <stp/>
        <tr r="O341" s="3"/>
        <tr r="O589" s="1"/>
      </tp>
      <tp>
        <v>119900</v>
        <stp/>
        <stp>P</stp>
        <stp>0</stp>
        <stp>STK</stp>
        <stp>N306200</stp>
        <stp>고가</stp>
        <stp/>
        <stp/>
        <tr r="P589" s="1"/>
        <tr r="P341" s="3"/>
      </tp>
      <tp>
        <v>15740</v>
        <stp/>
        <stp>P</stp>
        <stp>0</stp>
        <stp>STK</stp>
        <stp>N006730</stp>
        <stp>고가</stp>
        <stp/>
        <stp/>
        <tr r="P323" s="1"/>
      </tp>
      <tp>
        <v>154400</v>
        <stp/>
        <stp>P</stp>
        <stp>0</stp>
        <stp>STK</stp>
        <stp>N005930</stp>
        <stp>고가</stp>
        <stp/>
        <stp/>
        <tr r="P6" s="3"/>
        <tr r="P6" s="1"/>
      </tp>
      <tp>
        <v>129600</v>
        <stp/>
        <stp>P</stp>
        <stp>0</stp>
        <stp>STK</stp>
        <stp>N005830</stp>
        <stp>고가</stp>
        <stp/>
        <stp/>
        <tr r="P70" s="3"/>
        <tr r="P75" s="1"/>
      </tp>
      <tp>
        <v>26300</v>
        <stp/>
        <stp>P</stp>
        <stp>0</stp>
        <stp>STK</stp>
        <stp>N304100</stp>
        <stp>고가</stp>
        <stp/>
        <stp/>
        <tr r="P591" s="1"/>
      </tp>
      <tp>
        <v>33650</v>
        <stp/>
        <stp>P</stp>
        <stp>0</stp>
        <stp>STK</stp>
        <stp>N403870</stp>
        <stp>고가</stp>
        <stp/>
        <stp/>
        <tr r="P157" s="1"/>
      </tp>
      <tp>
        <v>131300</v>
        <stp/>
        <stp>P</stp>
        <stp>0</stp>
        <stp>STK</stp>
        <stp>N003030</stp>
        <stp>고가</stp>
        <stp/>
        <stp/>
        <tr r="P466" s="1"/>
        <tr r="P285" s="3"/>
      </tp>
      <tp>
        <v>1270000</v>
        <stp/>
        <stp>P</stp>
        <stp>0</stp>
        <stp>STK</stp>
        <stp>N003230</stp>
        <stp>고가</stp>
        <stp/>
        <stp/>
        <tr r="P71" s="3"/>
        <tr r="P77" s="1"/>
      </tp>
      <tp>
        <v>289000</v>
        <stp/>
        <stp>P</stp>
        <stp>0</stp>
        <stp>STK</stp>
        <stp>N002030</stp>
        <stp>고가</stp>
        <stp/>
        <stp/>
        <tr r="P430" s="1"/>
        <tr r="P278" s="3"/>
      </tp>
      <tp>
        <v>144000</v>
        <stp/>
        <stp>P</stp>
        <stp>0</stp>
        <stp>STK</stp>
        <stp>N001130</stp>
        <stp>고가</stp>
        <stp/>
        <stp/>
        <tr r="P680" s="1"/>
        <tr r="P375" s="3"/>
      </tp>
      <tp>
        <v>20450</v>
        <stp/>
        <stp>P</stp>
        <stp>0</stp>
        <stp>STK</stp>
        <stp>N001530</stp>
        <stp>고가</stp>
        <stp/>
        <stp/>
        <tr r="P325" s="3"/>
        <tr r="P546" s="1"/>
      </tp>
      <tp>
        <v>76000</v>
        <stp/>
        <stp>P</stp>
        <stp>0</stp>
        <stp>STK</stp>
        <stp>N001430</stp>
        <stp>고가</stp>
        <stp/>
        <stp/>
        <tr r="P141" s="3"/>
        <tr r="P163" s="1"/>
      </tp>
      <tp>
        <v>47450</v>
        <stp/>
        <stp>P</stp>
        <stp>0</stp>
        <stp>STK</stp>
        <stp>N001630</stp>
        <stp>고가</stp>
        <stp/>
        <stp/>
        <tr r="P681" s="1"/>
        <tr r="P376" s="3"/>
      </tp>
      <tp>
        <v>34650</v>
        <stp/>
        <stp>P</stp>
        <stp>0</stp>
        <stp>STK</stp>
        <stp>N200710</stp>
        <stp>고가</stp>
        <stp/>
        <stp/>
        <tr r="P491" s="1"/>
      </tp>
      <tp>
        <v>29600</v>
        <stp/>
        <stp>P</stp>
        <stp>0</stp>
        <stp>STK</stp>
        <stp>N009830</stp>
        <stp>고가</stp>
        <stp/>
        <stp/>
        <tr r="P113" s="1"/>
        <tr r="P103" s="3"/>
      </tp>
      <tp>
        <v>39150</v>
        <stp/>
        <stp>P</stp>
        <stp>0</stp>
        <stp>STK</stp>
        <stp>N008930</stp>
        <stp>고가</stp>
        <stp/>
        <stp/>
        <tr r="P140" s="3"/>
        <tr r="P165" s="1"/>
      </tp>
      <tp>
        <v>51300</v>
        <stp/>
        <stp>P</stp>
        <stp>0</stp>
        <stp>STK</stp>
        <stp>N108320</stp>
        <stp>고가</stp>
        <stp/>
        <stp/>
        <tr r="P345" s="1"/>
        <tr r="P241" s="3"/>
      </tp>
      <tp>
        <v>28550</v>
        <stp/>
        <stp>P</stp>
        <stp>0</stp>
        <stp>STK</stp>
        <stp>N008730</stp>
        <stp>고가</stp>
        <stp/>
        <stp/>
        <tr r="P262" s="3"/>
        <tr r="P397" s="1"/>
      </tp>
      <tp>
        <v>31450</v>
        <stp/>
        <stp>P</stp>
        <stp>0</stp>
        <stp>STK</stp>
        <stp>N013030</stp>
        <stp>저가</stp>
        <stp/>
        <stp/>
        <tr r="Q555" s="1"/>
      </tp>
      <tp>
        <v>34550</v>
        <stp/>
        <stp>P</stp>
        <stp>0</stp>
        <stp>STK</stp>
        <stp>N218410</stp>
        <stp>시가</stp>
        <stp/>
        <stp/>
        <tr r="O324" s="1"/>
      </tp>
      <tp>
        <v>444000</v>
        <stp/>
        <stp>P</stp>
        <stp>0</stp>
        <stp>STK</stp>
        <stp>N012330</stp>
        <stp>저가</stp>
        <stp/>
        <stp/>
        <tr r="Q21" s="3"/>
        <tr r="Q19" s="1"/>
      </tp>
      <tp>
        <v>16740</v>
        <stp/>
        <stp>P</stp>
        <stp>0</stp>
        <stp>STK</stp>
        <stp>N012630</stp>
        <stp>저가</stp>
        <stp/>
        <stp/>
        <tr r="Q228" s="3"/>
        <tr r="Q309" s="1"/>
      </tp>
      <tp>
        <v>1522000</v>
        <stp/>
        <stp>P</stp>
        <stp>0</stp>
        <stp>STK</stp>
        <stp>N010130</stp>
        <stp>저가</stp>
        <stp/>
        <stp/>
        <tr r="Q25" s="1"/>
        <tr r="Q25" s="3"/>
      </tp>
      <tp>
        <v>75700</v>
        <stp/>
        <stp>P</stp>
        <stp>0</stp>
        <stp>STK</stp>
        <stp>N014830</stp>
        <stp>저가</stp>
        <stp/>
        <stp/>
        <tr r="Q299" s="3"/>
        <tr r="Q484" s="1"/>
      </tp>
      <tp>
        <v>1562000</v>
        <stp/>
        <stp>P</stp>
        <stp>0</stp>
        <stp>STK</stp>
        <stp>N010130</stp>
        <stp>시가</stp>
        <stp/>
        <stp/>
        <tr r="O25" s="3"/>
        <tr r="O25" s="1"/>
      </tp>
      <tp>
        <v>31500</v>
        <stp/>
        <stp>P</stp>
        <stp>0</stp>
        <stp>STK</stp>
        <stp>N013030</stp>
        <stp>시가</stp>
        <stp/>
        <stp/>
        <tr r="O555" s="1"/>
      </tp>
      <tp>
        <v>16750</v>
        <stp/>
        <stp>P</stp>
        <stp>0</stp>
        <stp>STK</stp>
        <stp>N012630</stp>
        <stp>시가</stp>
        <stp/>
        <stp/>
        <tr r="O309" s="1"/>
        <tr r="O228" s="3"/>
      </tp>
      <tp>
        <v>460000</v>
        <stp/>
        <stp>P</stp>
        <stp>0</stp>
        <stp>STK</stp>
        <stp>N012330</stp>
        <stp>시가</stp>
        <stp/>
        <stp/>
        <tr r="O21" s="3"/>
        <tr r="O19" s="1"/>
      </tp>
      <tp>
        <v>34050</v>
        <stp/>
        <stp>P</stp>
        <stp>0</stp>
        <stp>STK</stp>
        <stp>N218410</stp>
        <stp>저가</stp>
        <stp/>
        <stp/>
        <tr r="Q324" s="1"/>
      </tp>
      <tp>
        <v>75800</v>
        <stp/>
        <stp>P</stp>
        <stp>0</stp>
        <stp>STK</stp>
        <stp>N014830</stp>
        <stp>시가</stp>
        <stp/>
        <stp/>
        <tr r="O299" s="3"/>
        <tr r="O484" s="1"/>
      </tp>
      <tp>
        <v>82500</v>
        <stp/>
        <stp>P</stp>
        <stp>0</stp>
        <stp>STK</stp>
        <stp>N014830</stp>
        <stp>고가</stp>
        <stp/>
        <stp/>
        <tr r="P484" s="1"/>
        <tr r="P299" s="3"/>
      </tp>
      <tp>
        <v>31750</v>
        <stp/>
        <stp>P</stp>
        <stp>0</stp>
        <stp>STK</stp>
        <stp>N013030</stp>
        <stp>고가</stp>
        <stp/>
        <stp/>
        <tr r="P555" s="1"/>
      </tp>
      <tp>
        <v>461500</v>
        <stp/>
        <stp>P</stp>
        <stp>0</stp>
        <stp>STK</stp>
        <stp>N012330</stp>
        <stp>고가</stp>
        <stp/>
        <stp/>
        <tr r="P21" s="3"/>
        <tr r="P19" s="1"/>
      </tp>
      <tp>
        <v>17010</v>
        <stp/>
        <stp>P</stp>
        <stp>0</stp>
        <stp>STK</stp>
        <stp>N012630</stp>
        <stp>고가</stp>
        <stp/>
        <stp/>
        <tr r="P228" s="3"/>
        <tr r="P309" s="1"/>
      </tp>
      <tp>
        <v>1588000</v>
        <stp/>
        <stp>P</stp>
        <stp>0</stp>
        <stp>STK</stp>
        <stp>N010130</stp>
        <stp>고가</stp>
        <stp/>
        <stp/>
        <tr r="P25" s="1"/>
        <tr r="P25" s="3"/>
      </tp>
      <tp>
        <v>34550</v>
        <stp/>
        <stp>P</stp>
        <stp>0</stp>
        <stp>STK</stp>
        <stp>N218410</stp>
        <stp>고가</stp>
        <stp/>
        <stp/>
        <tr r="P324" s="1"/>
      </tp>
      <tp>
        <v>46300</v>
        <stp/>
        <stp>P</stp>
        <stp>0</stp>
        <stp>STK</stp>
        <stp>N029530</stp>
        <stp>시가</stp>
        <stp/>
        <stp/>
        <tr r="O499" s="1"/>
        <tr r="O309" s="3"/>
      </tp>
      <tp>
        <v>77100</v>
        <stp/>
        <stp>P</stp>
        <stp>0</stp>
        <stp>STK</stp>
        <stp>N023530</stp>
        <stp>저가</stp>
        <stp/>
        <stp/>
        <tr r="Q200" s="1"/>
        <tr r="Q163" s="3"/>
      </tp>
      <tp>
        <v>55800</v>
        <stp/>
        <stp>P</stp>
        <stp>0</stp>
        <stp>STK</stp>
        <stp>N322000</stp>
        <stp>저가</stp>
        <stp/>
        <stp/>
        <tr r="Q273" s="3"/>
        <tr r="Q420" s="1"/>
      </tp>
      <tp>
        <v>51600</v>
        <stp/>
        <stp>P</stp>
        <stp>0</stp>
        <stp>STK</stp>
        <stp>N420770</stp>
        <stp>저가</stp>
        <stp/>
        <stp/>
        <tr r="Q384" s="1"/>
      </tp>
      <tp>
        <v>21950</v>
        <stp/>
        <stp>P</stp>
        <stp>0</stp>
        <stp>STK</stp>
        <stp>N127120</stp>
        <stp>저가</stp>
        <stp/>
        <stp/>
        <tr r="Q402" s="1"/>
      </tp>
      <tp>
        <v>26000</v>
        <stp/>
        <stp>P</stp>
        <stp>0</stp>
        <stp>STK</stp>
        <stp>N126720</stp>
        <stp>저가</stp>
        <stp/>
        <stp/>
        <tr r="Q544" s="1"/>
        <tr r="Q327" s="3"/>
      </tp>
      <tp>
        <v>10310</v>
        <stp/>
        <stp>P</stp>
        <stp>0</stp>
        <stp>STK</stp>
        <stp>N424870</stp>
        <stp>저가</stp>
        <stp/>
        <stp/>
        <tr r="Q353" s="1"/>
      </tp>
      <tp>
        <v>53700</v>
        <stp/>
        <stp>P</stp>
        <stp>0</stp>
        <stp>STK</stp>
        <stp>N420770</stp>
        <stp>시가</stp>
        <stp/>
        <stp/>
        <tr r="O384" s="1"/>
      </tp>
      <tp>
        <v>77200</v>
        <stp/>
        <stp>P</stp>
        <stp>0</stp>
        <stp>STK</stp>
        <stp>N023530</stp>
        <stp>시가</stp>
        <stp/>
        <stp/>
        <tr r="O200" s="1"/>
        <tr r="O163" s="3"/>
      </tp>
      <tp>
        <v>46250</v>
        <stp/>
        <stp>P</stp>
        <stp>0</stp>
        <stp>STK</stp>
        <stp>N029530</stp>
        <stp>저가</stp>
        <stp/>
        <stp/>
        <tr r="Q499" s="1"/>
        <tr r="Q309" s="3"/>
      </tp>
      <tp>
        <v>56000</v>
        <stp/>
        <stp>P</stp>
        <stp>0</stp>
        <stp>STK</stp>
        <stp>N322000</stp>
        <stp>시가</stp>
        <stp/>
        <stp/>
        <tr r="O420" s="1"/>
        <tr r="O273" s="3"/>
      </tp>
      <tp>
        <v>10560</v>
        <stp/>
        <stp>P</stp>
        <stp>0</stp>
        <stp>STK</stp>
        <stp>N424870</stp>
        <stp>시가</stp>
        <stp/>
        <stp/>
        <tr r="O353" s="1"/>
      </tp>
      <tp>
        <v>22500</v>
        <stp/>
        <stp>P</stp>
        <stp>0</stp>
        <stp>STK</stp>
        <stp>N127120</stp>
        <stp>시가</stp>
        <stp/>
        <stp/>
        <tr r="O402" s="1"/>
      </tp>
      <tp>
        <v>26450</v>
        <stp/>
        <stp>P</stp>
        <stp>0</stp>
        <stp>STK</stp>
        <stp>N126720</stp>
        <stp>시가</stp>
        <stp/>
        <stp/>
        <tr r="O544" s="1"/>
        <tr r="O327" s="3"/>
      </tp>
      <tp>
        <v>22850</v>
        <stp/>
        <stp>P</stp>
        <stp>0</stp>
        <stp>STK</stp>
        <stp>N127120</stp>
        <stp>고가</stp>
        <stp/>
        <stp/>
        <tr r="P402" s="1"/>
      </tp>
      <tp>
        <v>26450</v>
        <stp/>
        <stp>P</stp>
        <stp>0</stp>
        <stp>STK</stp>
        <stp>N126720</stp>
        <stp>고가</stp>
        <stp/>
        <stp/>
        <tr r="P327" s="3"/>
        <tr r="P544" s="1"/>
      </tp>
      <tp>
        <v>10600</v>
        <stp/>
        <stp>P</stp>
        <stp>0</stp>
        <stp>STK</stp>
        <stp>N424870</stp>
        <stp>고가</stp>
        <stp/>
        <stp/>
        <tr r="P353" s="1"/>
      </tp>
      <tp>
        <v>77900</v>
        <stp/>
        <stp>P</stp>
        <stp>0</stp>
        <stp>STK</stp>
        <stp>N023530</stp>
        <stp>고가</stp>
        <stp/>
        <stp/>
        <tr r="P163" s="3"/>
        <tr r="P200" s="1"/>
      </tp>
      <tp>
        <v>59500</v>
        <stp/>
        <stp>P</stp>
        <stp>0</stp>
        <stp>STK</stp>
        <stp>N322000</stp>
        <stp>고가</stp>
        <stp/>
        <stp/>
        <tr r="P273" s="3"/>
        <tr r="P420" s="1"/>
      </tp>
      <tp>
        <v>53900</v>
        <stp/>
        <stp>P</stp>
        <stp>0</stp>
        <stp>STK</stp>
        <stp>N420770</stp>
        <stp>고가</stp>
        <stp/>
        <stp/>
        <tr r="P384" s="1"/>
      </tp>
      <tp>
        <v>46300</v>
        <stp/>
        <stp>P</stp>
        <stp>0</stp>
        <stp>STK</stp>
        <stp>N029530</stp>
        <stp>고가</stp>
        <stp/>
        <stp/>
        <tr r="P499" s="1"/>
        <tr r="P309" s="3"/>
      </tp>
      <tp>
        <v>45300</v>
        <stp/>
        <stp>P</stp>
        <stp>0</stp>
        <stp>STK</stp>
        <stp>N039130</stp>
        <stp>시가</stp>
        <stp/>
        <stp/>
        <tr r="O385" s="1"/>
        <tr r="O260" s="3"/>
      </tp>
      <tp>
        <v>303500</v>
        <stp/>
        <stp>P</stp>
        <stp>0</stp>
        <stp>STK</stp>
        <stp>N039030</stp>
        <stp>시가</stp>
        <stp/>
        <stp/>
        <tr r="O136" s="1"/>
      </tp>
      <tp>
        <v>176900</v>
        <stp/>
        <stp>P</stp>
        <stp>0</stp>
        <stp>STK</stp>
        <stp>N032830</stp>
        <stp>저가</stp>
        <stp/>
        <stp/>
        <tr r="Q24" s="3"/>
        <tr r="Q24" s="1"/>
      </tp>
      <tp>
        <v>11100</v>
        <stp/>
        <stp>P</stp>
        <stp>0</stp>
        <stp>STK</stp>
        <stp>N031430</stp>
        <stp>저가</stp>
        <stp/>
        <stp/>
        <tr r="Q547" s="1"/>
        <tr r="Q323" s="3"/>
      </tp>
      <tp>
        <v>39500</v>
        <stp/>
        <stp>P</stp>
        <stp>0</stp>
        <stp>STK</stp>
        <stp>N030530</stp>
        <stp>저가</stp>
        <stp/>
        <stp/>
        <tr r="Q146" s="1"/>
      </tp>
      <tp>
        <v>31350</v>
        <stp/>
        <stp>P</stp>
        <stp>0</stp>
        <stp>STK</stp>
        <stp>N036930</stp>
        <stp>저가</stp>
        <stp/>
        <stp/>
        <tr r="Q248" s="1"/>
      </tp>
      <tp>
        <v>39800</v>
        <stp/>
        <stp>P</stp>
        <stp>0</stp>
        <stp>STK</stp>
        <stp>N036830</stp>
        <stp>저가</stp>
        <stp/>
        <stp/>
        <tr r="Q349" s="1"/>
      </tp>
      <tp>
        <v>56500</v>
        <stp/>
        <stp>P</stp>
        <stp>0</stp>
        <stp>STK</stp>
        <stp>N036530</stp>
        <stp>저가</stp>
        <stp/>
        <stp/>
        <tr r="Q234" s="3"/>
        <tr r="Q325" s="1"/>
      </tp>
      <tp>
        <v>17270</v>
        <stp/>
        <stp>P</stp>
        <stp>0</stp>
        <stp>STK</stp>
        <stp>N034230</stp>
        <stp>저가</stp>
        <stp/>
        <stp/>
        <tr r="Q242" s="1"/>
        <tr r="Q189" s="3"/>
      </tp>
      <tp>
        <v>290500</v>
        <stp/>
        <stp>P</stp>
        <stp>0</stp>
        <stp>STK</stp>
        <stp>N034730</stp>
        <stp>저가</stp>
        <stp/>
        <stp/>
        <tr r="Q38" s="1"/>
        <tr r="Q37" s="3"/>
      </tp>
      <tp>
        <v>11200</v>
        <stp/>
        <stp>P</stp>
        <stp>0</stp>
        <stp>STK</stp>
        <stp>N031430</stp>
        <stp>시가</stp>
        <stp/>
        <stp/>
        <tr r="O547" s="1"/>
        <tr r="O323" s="3"/>
      </tp>
      <tp>
        <v>40350</v>
        <stp/>
        <stp>P</stp>
        <stp>0</stp>
        <stp>STK</stp>
        <stp>N030530</stp>
        <stp>시가</stp>
        <stp/>
        <stp/>
        <tr r="O146" s="1"/>
      </tp>
      <tp>
        <v>44900</v>
        <stp/>
        <stp>P</stp>
        <stp>0</stp>
        <stp>STK</stp>
        <stp>N039130</stp>
        <stp>저가</stp>
        <stp/>
        <stp/>
        <tr r="Q260" s="3"/>
        <tr r="Q385" s="1"/>
      </tp>
      <tp>
        <v>297000</v>
        <stp/>
        <stp>P</stp>
        <stp>0</stp>
        <stp>STK</stp>
        <stp>N039030</stp>
        <stp>저가</stp>
        <stp/>
        <stp/>
        <tr r="Q136" s="1"/>
      </tp>
      <tp>
        <v>180000</v>
        <stp/>
        <stp>P</stp>
        <stp>0</stp>
        <stp>STK</stp>
        <stp>N032830</stp>
        <stp>시가</stp>
        <stp/>
        <stp/>
        <tr r="O24" s="3"/>
        <tr r="O24" s="1"/>
      </tp>
      <tp>
        <v>293500</v>
        <stp/>
        <stp>P</stp>
        <stp>0</stp>
        <stp>STK</stp>
        <stp>N034730</stp>
        <stp>시가</stp>
        <stp/>
        <stp/>
        <tr r="O38" s="1"/>
        <tr r="O37" s="3"/>
      </tp>
      <tp>
        <v>17350</v>
        <stp/>
        <stp>P</stp>
        <stp>0</stp>
        <stp>STK</stp>
        <stp>N034230</stp>
        <stp>시가</stp>
        <stp/>
        <stp/>
        <tr r="O242" s="1"/>
        <tr r="O189" s="3"/>
      </tp>
      <tp>
        <v>57200</v>
        <stp/>
        <stp>P</stp>
        <stp>0</stp>
        <stp>STK</stp>
        <stp>N036530</stp>
        <stp>시가</stp>
        <stp/>
        <stp/>
        <tr r="O325" s="1"/>
        <tr r="O234" s="3"/>
      </tp>
      <tp>
        <v>31800</v>
        <stp/>
        <stp>P</stp>
        <stp>0</stp>
        <stp>STK</stp>
        <stp>N036930</stp>
        <stp>시가</stp>
        <stp/>
        <stp/>
        <tr r="O248" s="1"/>
      </tp>
      <tp>
        <v>40050</v>
        <stp/>
        <stp>P</stp>
        <stp>0</stp>
        <stp>STK</stp>
        <stp>N036830</stp>
        <stp>시가</stp>
        <stp/>
        <stp/>
        <tr r="O349" s="1"/>
      </tp>
      <tp>
        <v>31850</v>
        <stp/>
        <stp>P</stp>
        <stp>0</stp>
        <stp>STK</stp>
        <stp>N036930</stp>
        <stp>고가</stp>
        <stp/>
        <stp/>
        <tr r="P248" s="1"/>
      </tp>
      <tp>
        <v>40650</v>
        <stp/>
        <stp>P</stp>
        <stp>0</stp>
        <stp>STK</stp>
        <stp>N036830</stp>
        <stp>고가</stp>
        <stp/>
        <stp/>
        <tr r="P349" s="1"/>
      </tp>
      <tp>
        <v>57200</v>
        <stp/>
        <stp>P</stp>
        <stp>0</stp>
        <stp>STK</stp>
        <stp>N036530</stp>
        <stp>고가</stp>
        <stp/>
        <stp/>
        <tr r="P325" s="1"/>
        <tr r="P234" s="3"/>
      </tp>
      <tp>
        <v>17380</v>
        <stp/>
        <stp>P</stp>
        <stp>0</stp>
        <stp>STK</stp>
        <stp>N034230</stp>
        <stp>고가</stp>
        <stp/>
        <stp/>
        <tr r="P242" s="1"/>
        <tr r="P189" s="3"/>
      </tp>
      <tp>
        <v>295000</v>
        <stp/>
        <stp>P</stp>
        <stp>0</stp>
        <stp>STK</stp>
        <stp>N034730</stp>
        <stp>고가</stp>
        <stp/>
        <stp/>
        <tr r="P37" s="3"/>
        <tr r="P38" s="1"/>
      </tp>
      <tp>
        <v>183800</v>
        <stp/>
        <stp>P</stp>
        <stp>0</stp>
        <stp>STK</stp>
        <stp>N032830</stp>
        <stp>고가</stp>
        <stp/>
        <stp/>
        <tr r="P24" s="3"/>
        <tr r="P24" s="1"/>
      </tp>
      <tp>
        <v>11290</v>
        <stp/>
        <stp>P</stp>
        <stp>0</stp>
        <stp>STK</stp>
        <stp>N031430</stp>
        <stp>고가</stp>
        <stp/>
        <stp/>
        <tr r="P547" s="1"/>
        <tr r="P323" s="3"/>
      </tp>
      <tp>
        <v>41500</v>
        <stp/>
        <stp>P</stp>
        <stp>0</stp>
        <stp>STK</stp>
        <stp>N030530</stp>
        <stp>고가</stp>
        <stp/>
        <stp/>
        <tr r="P146" s="1"/>
      </tp>
      <tp>
        <v>45500</v>
        <stp/>
        <stp>P</stp>
        <stp>0</stp>
        <stp>STK</stp>
        <stp>N039130</stp>
        <stp>고가</stp>
        <stp/>
        <stp/>
        <tr r="P260" s="3"/>
        <tr r="P385" s="1"/>
      </tp>
      <tp>
        <v>303500</v>
        <stp/>
        <stp>P</stp>
        <stp>0</stp>
        <stp>STK</stp>
        <stp>N039030</stp>
        <stp>고가</stp>
        <stp/>
        <stp/>
        <tr r="P136" s="1"/>
      </tp>
      <tp>
        <v>29500</v>
        <stp/>
        <stp>P</stp>
        <stp>0</stp>
        <stp>STK</stp>
        <stp>N041830</stp>
        <stp>저가</stp>
        <stp/>
        <stp/>
        <tr r="Q543" s="1"/>
      </tp>
      <tp>
        <v>9100</v>
        <stp/>
        <stp>P</stp>
        <stp>0</stp>
        <stp>STK</stp>
        <stp>N441270</stp>
        <stp>저가</stp>
        <stp/>
        <stp/>
        <tr r="Q569" s="1"/>
      </tp>
      <tp>
        <v>81400</v>
        <stp/>
        <stp>P</stp>
        <stp>0</stp>
        <stp>STK</stp>
        <stp>N241710</stp>
        <stp>저가</stp>
        <stp/>
        <stp/>
        <tr r="Q357" s="1"/>
      </tp>
      <tp>
        <v>76000</v>
        <stp/>
        <stp>P</stp>
        <stp>0</stp>
        <stp>STK</stp>
        <stp>N240810</stp>
        <stp>저가</stp>
        <stp/>
        <stp/>
        <tr r="Q130" s="1"/>
      </tp>
      <tp>
        <v>258000</v>
        <stp/>
        <stp>P</stp>
        <stp>0</stp>
        <stp>STK</stp>
        <stp>N145020</stp>
        <stp>저가</stp>
        <stp/>
        <stp/>
        <tr r="Q158" s="1"/>
      </tp>
      <tp>
        <v>46550</v>
        <stp/>
        <stp>P</stp>
        <stp>0</stp>
        <stp>STK</stp>
        <stp>N145720</stp>
        <stp>저가</stp>
        <stp/>
        <stp/>
        <tr r="Q290" s="3"/>
        <tr r="Q467" s="1"/>
      </tp>
      <tp>
        <v>81900</v>
        <stp/>
        <stp>P</stp>
        <stp>0</stp>
        <stp>STK</stp>
        <stp>N241710</stp>
        <stp>시가</stp>
        <stp/>
        <stp/>
        <tr r="O357" s="1"/>
      </tp>
      <tp>
        <v>9140</v>
        <stp/>
        <stp>P</stp>
        <stp>0</stp>
        <stp>STK</stp>
        <stp>N441270</stp>
        <stp>시가</stp>
        <stp/>
        <stp/>
        <tr r="O569" s="1"/>
      </tp>
      <tp>
        <v>32500</v>
        <stp/>
        <stp>P</stp>
        <stp>0</stp>
        <stp>STK</stp>
        <stp>N041830</stp>
        <stp>시가</stp>
        <stp/>
        <stp/>
        <tr r="O543" s="1"/>
      </tp>
      <tp>
        <v>76300</v>
        <stp/>
        <stp>P</stp>
        <stp>0</stp>
        <stp>STK</stp>
        <stp>N240810</stp>
        <stp>시가</stp>
        <stp/>
        <stp/>
        <tr r="O130" s="1"/>
      </tp>
      <tp>
        <v>47400</v>
        <stp/>
        <stp>P</stp>
        <stp>0</stp>
        <stp>STK</stp>
        <stp>N145720</stp>
        <stp>시가</stp>
        <stp/>
        <stp/>
        <tr r="O467" s="1"/>
        <tr r="O290" s="3"/>
      </tp>
      <tp>
        <v>258500</v>
        <stp/>
        <stp>P</stp>
        <stp>0</stp>
        <stp>STK</stp>
        <stp>N145020</stp>
        <stp>시가</stp>
        <stp/>
        <stp/>
        <tr r="O158" s="1"/>
      </tp>
      <tp>
        <v>262000</v>
        <stp/>
        <stp>P</stp>
        <stp>0</stp>
        <stp>STK</stp>
        <stp>N145020</stp>
        <stp>고가</stp>
        <stp/>
        <stp/>
        <tr r="P158" s="1"/>
      </tp>
      <tp>
        <v>47400</v>
        <stp/>
        <stp>P</stp>
        <stp>0</stp>
        <stp>STK</stp>
        <stp>N145720</stp>
        <stp>고가</stp>
        <stp/>
        <stp/>
        <tr r="P467" s="1"/>
        <tr r="P290" s="3"/>
      </tp>
      <tp>
        <v>32500</v>
        <stp/>
        <stp>P</stp>
        <stp>0</stp>
        <stp>STK</stp>
        <stp>N041830</stp>
        <stp>고가</stp>
        <stp/>
        <stp/>
        <tr r="P543" s="1"/>
      </tp>
      <tp>
        <v>9230</v>
        <stp/>
        <stp>P</stp>
        <stp>0</stp>
        <stp>STK</stp>
        <stp>N441270</stp>
        <stp>고가</stp>
        <stp/>
        <stp/>
        <tr r="P569" s="1"/>
      </tp>
      <tp>
        <v>83100</v>
        <stp/>
        <stp>P</stp>
        <stp>0</stp>
        <stp>STK</stp>
        <stp>N241710</stp>
        <stp>고가</stp>
        <stp/>
        <stp/>
        <tr r="P357" s="1"/>
      </tp>
      <tp>
        <v>76700</v>
        <stp/>
        <stp>P</stp>
        <stp>0</stp>
        <stp>STK</stp>
        <stp>N240810</stp>
        <stp>고가</stp>
        <stp/>
        <stp/>
        <tr r="P130" s="1"/>
      </tp>
      <tp>
        <v>13430</v>
        <stp/>
        <stp>P</stp>
        <stp>0</stp>
        <stp>STK</stp>
        <stp>N053030</stp>
        <stp>저가</stp>
        <stp/>
        <stp/>
        <tr r="Q506" s="1"/>
      </tp>
      <tp>
        <v>49700</v>
        <stp/>
        <stp>P</stp>
        <stp>0</stp>
        <stp>STK</stp>
        <stp>N353200</stp>
        <stp>저가</stp>
        <stp/>
        <stp/>
        <tr r="Q153" s="3"/>
        <tr r="Q176" s="1"/>
      </tp>
      <tp>
        <v>160900</v>
        <stp/>
        <stp>P</stp>
        <stp>0</stp>
        <stp>STK</stp>
        <stp>N458870</stp>
        <stp>시가</stp>
        <stp/>
        <stp/>
        <tr r="O221" s="1"/>
      </tp>
      <tp>
        <v>13540</v>
        <stp/>
        <stp>P</stp>
        <stp>0</stp>
        <stp>STK</stp>
        <stp>N053030</stp>
        <stp>시가</stp>
        <stp/>
        <stp/>
        <tr r="O506" s="1"/>
      </tp>
      <tp>
        <v>50000</v>
        <stp/>
        <stp>P</stp>
        <stp>0</stp>
        <stp>STK</stp>
        <stp>N353200</stp>
        <stp>시가</stp>
        <stp/>
        <stp/>
        <tr r="O153" s="3"/>
        <tr r="O176" s="1"/>
      </tp>
      <tp>
        <v>156300</v>
        <stp/>
        <stp>P</stp>
        <stp>0</stp>
        <stp>STK</stp>
        <stp>N458870</stp>
        <stp>저가</stp>
        <stp/>
        <stp/>
        <tr r="Q221" s="1"/>
      </tp>
      <tp>
        <v>13540</v>
        <stp/>
        <stp>P</stp>
        <stp>0</stp>
        <stp>STK</stp>
        <stp>N053030</stp>
        <stp>고가</stp>
        <stp/>
        <stp/>
        <tr r="P506" s="1"/>
      </tp>
      <tp>
        <v>50600</v>
        <stp/>
        <stp>P</stp>
        <stp>0</stp>
        <stp>STK</stp>
        <stp>N353200</stp>
        <stp>고가</stp>
        <stp/>
        <stp/>
        <tr r="P153" s="3"/>
        <tr r="P176" s="1"/>
      </tp>
      <tp>
        <v>163200</v>
        <stp/>
        <stp>P</stp>
        <stp>0</stp>
        <stp>STK</stp>
        <stp>N458870</stp>
        <stp>고가</stp>
        <stp/>
        <stp/>
        <tr r="P221" s="1"/>
      </tp>
      <tp>
        <v>34100</v>
        <stp/>
        <stp>P</stp>
        <stp>0</stp>
        <stp>STK</stp>
        <stp>N462870</stp>
        <stp>저가</stp>
        <stp/>
        <stp/>
        <tr r="Q214" s="1"/>
        <tr r="Q172" s="3"/>
      </tp>
      <tp>
        <v>34250</v>
        <stp/>
        <stp>P</stp>
        <stp>0</stp>
        <stp>STK</stp>
        <stp>N462870</stp>
        <stp>시가</stp>
        <stp/>
        <stp/>
        <tr r="O172" s="3"/>
        <tr r="O214" s="1"/>
      </tp>
      <tp>
        <v>34350</v>
        <stp/>
        <stp>P</stp>
        <stp>0</stp>
        <stp>STK</stp>
        <stp>N462870</stp>
        <stp>고가</stp>
        <stp/>
        <stp/>
        <tr r="P172" s="3"/>
        <tr r="P214" s="1"/>
      </tp>
      <tp>
        <v>31900</v>
        <stp/>
        <stp>P</stp>
        <stp>0</stp>
        <stp>STK</stp>
        <stp>N178320</stp>
        <stp>시가</stp>
        <stp/>
        <stp/>
        <tr r="O228" s="1"/>
      </tp>
      <tp>
        <v>61500</v>
        <stp/>
        <stp>P</stp>
        <stp>0</stp>
        <stp>STK</stp>
        <stp>N078930</stp>
        <stp>시가</stp>
        <stp/>
        <stp/>
        <tr r="O101" s="1"/>
        <tr r="O94" s="3"/>
      </tp>
      <tp>
        <v>16200</v>
        <stp/>
        <stp>P</stp>
        <stp>0</stp>
        <stp>STK</stp>
        <stp>N178920</stp>
        <stp>시가</stp>
        <stp/>
        <stp/>
        <tr r="O501" s="1"/>
        <tr r="O307" s="3"/>
      </tp>
      <tp>
        <v>88300</v>
        <stp/>
        <stp>P</stp>
        <stp>0</stp>
        <stp>STK</stp>
        <stp>N272210</stp>
        <stp>저가</stp>
        <stp/>
        <stp/>
        <tr r="Q50" s="1"/>
        <tr r="Q49" s="3"/>
      </tp>
      <tp>
        <v>499000</v>
        <stp/>
        <stp>P</stp>
        <stp>0</stp>
        <stp>STK</stp>
        <stp>N277810</stp>
        <stp>저가</stp>
        <stp/>
        <stp/>
        <tr r="Q71" s="1"/>
      </tp>
      <tp>
        <v>52300</v>
        <stp/>
        <stp>P</stp>
        <stp>0</stp>
        <stp>STK</stp>
        <stp>N377300</stp>
        <stp>저가</stp>
        <stp/>
        <stp/>
        <tr r="Q86" s="3"/>
        <tr r="Q92" s="1"/>
      </tp>
      <tp>
        <v>63100</v>
        <stp/>
        <stp>P</stp>
        <stp>0</stp>
        <stp>STK</stp>
        <stp>N376900</stp>
        <stp>저가</stp>
        <stp/>
        <stp/>
        <tr r="Q310" s="1"/>
      </tp>
      <tp>
        <v>32600</v>
        <stp/>
        <stp>P</stp>
        <stp>0</stp>
        <stp>STK</stp>
        <stp>N376300</stp>
        <stp>저가</stp>
        <stp/>
        <stp/>
        <tr r="Q364" s="1"/>
      </tp>
      <tp>
        <v>43100</v>
        <stp/>
        <stp>P</stp>
        <stp>0</stp>
        <stp>STK</stp>
        <stp>N375500</stp>
        <stp>저가</stp>
        <stp/>
        <stp/>
        <tr r="Q235" s="1"/>
        <tr r="Q187" s="3"/>
      </tp>
      <tp>
        <v>89200</v>
        <stp/>
        <stp>P</stp>
        <stp>0</stp>
        <stp>STK</stp>
        <stp>N272210</stp>
        <stp>시가</stp>
        <stp/>
        <stp/>
        <tr r="O49" s="3"/>
        <tr r="O50" s="1"/>
      </tp>
      <tp>
        <v>60900</v>
        <stp/>
        <stp>P</stp>
        <stp>0</stp>
        <stp>STK</stp>
        <stp>N078930</stp>
        <stp>저가</stp>
        <stp/>
        <stp/>
        <tr r="Q101" s="1"/>
        <tr r="Q94" s="3"/>
      </tp>
      <tp>
        <v>16080</v>
        <stp/>
        <stp>P</stp>
        <stp>0</stp>
        <stp>STK</stp>
        <stp>N178920</stp>
        <stp>저가</stp>
        <stp/>
        <stp/>
        <tr r="Q307" s="3"/>
        <tr r="Q501" s="1"/>
      </tp>
      <tp>
        <v>31350</v>
        <stp/>
        <stp>P</stp>
        <stp>0</stp>
        <stp>STK</stp>
        <stp>N178320</stp>
        <stp>저가</stp>
        <stp/>
        <stp/>
        <tr r="Q228" s="1"/>
      </tp>
      <tp>
        <v>43450</v>
        <stp/>
        <stp>P</stp>
        <stp>0</stp>
        <stp>STK</stp>
        <stp>N375500</stp>
        <stp>시가</stp>
        <stp/>
        <stp/>
        <tr r="O187" s="3"/>
        <tr r="O235" s="1"/>
      </tp>
      <tp>
        <v>52400</v>
        <stp/>
        <stp>P</stp>
        <stp>0</stp>
        <stp>STK</stp>
        <stp>N377300</stp>
        <stp>시가</stp>
        <stp/>
        <stp/>
        <tr r="O86" s="3"/>
        <tr r="O92" s="1"/>
      </tp>
      <tp>
        <v>513000</v>
        <stp/>
        <stp>P</stp>
        <stp>0</stp>
        <stp>STK</stp>
        <stp>N277810</stp>
        <stp>시가</stp>
        <stp/>
        <stp/>
        <tr r="O71" s="1"/>
      </tp>
      <tp>
        <v>32600</v>
        <stp/>
        <stp>P</stp>
        <stp>0</stp>
        <stp>STK</stp>
        <stp>N376300</stp>
        <stp>시가</stp>
        <stp/>
        <stp/>
        <tr r="O364" s="1"/>
      </tp>
      <tp>
        <v>65000</v>
        <stp/>
        <stp>P</stp>
        <stp>0</stp>
        <stp>STK</stp>
        <stp>N376900</stp>
        <stp>시가</stp>
        <stp/>
        <stp/>
        <tr r="O310" s="1"/>
      </tp>
      <tp>
        <v>513000</v>
        <stp/>
        <stp>P</stp>
        <stp>0</stp>
        <stp>STK</stp>
        <stp>N277810</stp>
        <stp>고가</stp>
        <stp/>
        <stp/>
        <tr r="P71" s="1"/>
      </tp>
      <tp>
        <v>54000</v>
        <stp/>
        <stp>P</stp>
        <stp>0</stp>
        <stp>STK</stp>
        <stp>N377300</stp>
        <stp>고가</stp>
        <stp/>
        <stp/>
        <tr r="P92" s="1"/>
        <tr r="P86" s="3"/>
      </tp>
      <tp>
        <v>65000</v>
        <stp/>
        <stp>P</stp>
        <stp>0</stp>
        <stp>STK</stp>
        <stp>N376900</stp>
        <stp>고가</stp>
        <stp/>
        <stp/>
        <tr r="P310" s="1"/>
      </tp>
      <tp>
        <v>33300</v>
        <stp/>
        <stp>P</stp>
        <stp>0</stp>
        <stp>STK</stp>
        <stp>N376300</stp>
        <stp>고가</stp>
        <stp/>
        <stp/>
        <tr r="P364" s="1"/>
      </tp>
      <tp>
        <v>45000</v>
        <stp/>
        <stp>P</stp>
        <stp>0</stp>
        <stp>STK</stp>
        <stp>N375500</stp>
        <stp>고가</stp>
        <stp/>
        <stp/>
        <tr r="P187" s="3"/>
        <tr r="P235" s="1"/>
      </tp>
      <tp>
        <v>91700</v>
        <stp/>
        <stp>P</stp>
        <stp>0</stp>
        <stp>STK</stp>
        <stp>N272210</stp>
        <stp>고가</stp>
        <stp/>
        <stp/>
        <tr r="P49" s="3"/>
        <tr r="P50" s="1"/>
      </tp>
      <tp>
        <v>61600</v>
        <stp/>
        <stp>P</stp>
        <stp>0</stp>
        <stp>STK</stp>
        <stp>N078930</stp>
        <stp>고가</stp>
        <stp/>
        <stp/>
        <tr r="P94" s="3"/>
        <tr r="P101" s="1"/>
      </tp>
      <tp>
        <v>16820</v>
        <stp/>
        <stp>P</stp>
        <stp>0</stp>
        <stp>STK</stp>
        <stp>N178920</stp>
        <stp>고가</stp>
        <stp/>
        <stp/>
        <tr r="P307" s="3"/>
        <tr r="P501" s="1"/>
      </tp>
      <tp>
        <v>32500</v>
        <stp/>
        <stp>P</stp>
        <stp>0</stp>
        <stp>STK</stp>
        <stp>N178320</stp>
        <stp>고가</stp>
        <stp/>
        <stp/>
        <tr r="P228" s="1"/>
      </tp>
      <tp>
        <v>15800</v>
        <stp/>
        <stp>P</stp>
        <stp>0</stp>
        <stp>STK</stp>
        <stp>039840</stp>
        <stp>현재가</stp>
        <stp/>
        <stp/>
        <tr r="T693" s="1"/>
      </tp>
      <tp>
        <v>70700</v>
        <stp/>
        <stp>P</stp>
        <stp>0</stp>
        <stp>STK</stp>
        <stp>439260</stp>
        <stp>현재가</stp>
        <stp/>
        <stp/>
        <tr r="T169" s="1"/>
        <tr r="T169" s="3"/>
      </tp>
      <tp>
        <v>41400</v>
        <stp/>
        <stp>P</stp>
        <stp>0</stp>
        <stp>STK</stp>
        <stp>039200</stp>
        <stp>현재가</stp>
        <stp/>
        <stp/>
        <tr r="T236" s="1"/>
        <tr r="T236" s="3"/>
      </tp>
      <tp>
        <v>45000</v>
        <stp/>
        <stp>P</stp>
        <stp>0</stp>
        <stp>STK</stp>
        <stp>039130</stp>
        <stp>현재가</stp>
        <stp/>
        <stp/>
        <tr r="T385" s="1"/>
      </tp>
      <tp>
        <v>14380</v>
        <stp/>
        <stp>P</stp>
        <stp>0</stp>
        <stp>STK</stp>
        <stp>139130</stp>
        <stp>현재가</stp>
        <stp/>
        <stp/>
        <tr r="T193" s="3"/>
        <tr r="T193" s="1"/>
      </tp>
      <tp>
        <v>14130</v>
        <stp/>
        <stp>P</stp>
        <stp>0</stp>
        <stp>STK</stp>
        <stp>439090</stp>
        <stp>현재가</stp>
        <stp/>
        <stp/>
        <tr r="T692" s="1"/>
      </tp>
      <tp>
        <v>297500</v>
        <stp/>
        <stp>P</stp>
        <stp>0</stp>
        <stp>STK</stp>
        <stp>039030</stp>
        <stp>현재가</stp>
        <stp/>
        <stp/>
        <tr r="T136" s="3"/>
        <tr r="T136" s="1"/>
      </tp>
      <tp>
        <v>334500</v>
        <stp/>
        <stp>P</stp>
        <stp>0</stp>
        <stp>STK</stp>
        <stp>039490</stp>
        <stp>현재가</stp>
        <stp/>
        <stp/>
        <tr r="T82" s="3"/>
        <tr r="T82" s="1"/>
      </tp>
      <tp>
        <v>86100</v>
        <stp/>
        <stp>P</stp>
        <stp>0</stp>
        <stp>STK</stp>
        <stp>139480</stp>
        <stp>현재가</stp>
        <stp/>
        <stp/>
        <tr r="T191" s="3"/>
        <tr r="T191" s="1"/>
      </tp>
      <tp>
        <v>29450</v>
        <stp/>
        <stp>P</stp>
        <stp>0</stp>
        <stp>STK</stp>
        <stp>039440</stp>
        <stp>현재가</stp>
        <stp/>
        <stp/>
        <tr r="T494" s="1"/>
      </tp>
      <tp>
        <v>15730</v>
        <stp/>
        <stp>P</stp>
        <stp>0</stp>
        <stp>STK</stp>
        <stp>138930</stp>
        <stp>현재가</stp>
        <stp/>
        <stp/>
        <tr r="T112" s="3"/>
        <tr r="T112" s="1"/>
      </tp>
      <tp>
        <v>22000</v>
        <stp/>
        <stp>P</stp>
        <stp>0</stp>
        <stp>STK</stp>
        <stp>338840</stp>
        <stp>현재가</stp>
        <stp/>
        <stp/>
        <tr r="T580" s="1"/>
      </tp>
      <tp>
        <v>20150</v>
        <stp/>
        <stp>P</stp>
        <stp>0</stp>
        <stp>STK</stp>
        <stp>338220</stp>
        <stp>현재가</stp>
        <stp/>
        <stp/>
        <tr r="T643" s="1"/>
      </tp>
      <tp>
        <v>108600</v>
        <stp/>
        <stp>P</stp>
        <stp>0</stp>
        <stp>STK</stp>
        <stp>138040</stp>
        <stp>현재가</stp>
        <stp/>
        <stp/>
        <tr r="T44" s="3"/>
        <tr r="T44" s="1"/>
      </tp>
      <tp>
        <v>33750</v>
        <stp/>
        <stp>P</stp>
        <stp>0</stp>
        <stp>STK</stp>
        <stp>138610</stp>
        <stp>현재가</stp>
        <stp/>
        <stp/>
        <tr r="T545" s="1"/>
      </tp>
      <tp>
        <v>8760</v>
        <stp/>
        <stp>P</stp>
        <stp>0</stp>
        <stp>STK</stp>
        <stp>138490</stp>
        <stp>현재가</stp>
        <stp/>
        <stp/>
        <tr r="T608" s="1"/>
      </tp>
      <tp>
        <v>68500</v>
        <stp/>
        <stp>P</stp>
        <stp>0</stp>
        <stp>STK</stp>
        <stp>035900</stp>
        <stp>현재가</stp>
        <stp/>
        <stp/>
        <tr r="T185" s="3"/>
        <tr r="T185" s="1"/>
      </tp>
      <tp>
        <v>17880</v>
        <stp/>
        <stp>P</stp>
        <stp>0</stp>
        <stp>STK</stp>
        <stp>035250</stp>
        <stp>현재가</stp>
        <stp/>
        <stp/>
        <tr r="T128" s="1"/>
        <tr r="T128" s="3"/>
      </tp>
      <tp>
        <v>12280</v>
        <stp/>
        <stp>P</stp>
        <stp>0</stp>
        <stp>STK</stp>
        <stp>035150</stp>
        <stp>현재가</stp>
        <stp/>
        <stp/>
        <tr r="T663" s="1"/>
      </tp>
      <tp>
        <v>58500</v>
        <stp/>
        <stp>P</stp>
        <stp>0</stp>
        <stp>STK</stp>
        <stp>035720</stp>
        <stp>현재가</stp>
        <stp/>
        <stp/>
        <tr r="T32" s="1"/>
        <tr r="T32" s="3"/>
      </tp>
      <tp>
        <v>64100</v>
        <stp/>
        <stp>P</stp>
        <stp>0</stp>
        <stp>STK</stp>
        <stp>035760</stp>
        <stp>현재가</stp>
        <stp/>
        <stp/>
        <tr r="T260" s="3"/>
        <tr r="T260" s="1"/>
      </tp>
      <tp>
        <v>9760</v>
        <stp/>
        <stp>P</stp>
        <stp>0</stp>
        <stp>STK</stp>
        <stp>035600</stp>
        <stp>현재가</stp>
        <stp/>
        <stp/>
        <tr r="T652" s="1"/>
      </tp>
      <tp>
        <v>247000</v>
        <stp/>
        <stp>P</stp>
        <stp>0</stp>
        <stp>STK</stp>
        <stp>035420</stp>
        <stp>현재가</stp>
        <stp/>
        <stp/>
        <tr r="T23" s="1"/>
        <tr r="T23" s="3"/>
      </tp>
      <tp>
        <v>97000</v>
        <stp/>
        <stp>P</stp>
        <stp>0</stp>
        <stp>STK</stp>
        <stp>034950</stp>
        <stp>현재가</stp>
        <stp/>
        <stp/>
        <tr r="T508" s="1"/>
      </tp>
      <tp>
        <v>13080</v>
        <stp/>
        <stp>P</stp>
        <stp>0</stp>
        <stp>STK</stp>
        <stp>034310</stp>
        <stp>현재가</stp>
        <stp/>
        <stp/>
        <tr r="T488" s="1"/>
      </tp>
      <tp>
        <v>17290</v>
        <stp/>
        <stp>P</stp>
        <stp>0</stp>
        <stp>STK</stp>
        <stp>034230</stp>
        <stp>현재가</stp>
        <stp/>
        <stp/>
        <tr r="T242" s="1"/>
        <tr r="T242" s="3"/>
      </tp>
      <tp>
        <v>12680</v>
        <stp/>
        <stp>P</stp>
        <stp>0</stp>
        <stp>STK</stp>
        <stp>034220</stp>
        <stp>현재가</stp>
        <stp/>
        <stp/>
        <tr r="T99" s="3"/>
        <tr r="T99" s="1"/>
      </tp>
      <tp>
        <v>18580</v>
        <stp/>
        <stp>P</stp>
        <stp>0</stp>
        <stp>STK</stp>
        <stp>034120</stp>
        <stp>현재가</stp>
        <stp/>
        <stp/>
        <tr r="T581" s="1"/>
      </tp>
      <tp>
        <v>90100</v>
        <stp/>
        <stp>P</stp>
        <stp>0</stp>
        <stp>STK</stp>
        <stp>034020</stp>
        <stp>현재가</stp>
        <stp/>
        <stp/>
        <tr r="T14" s="1"/>
        <tr r="T14" s="3"/>
      </tp>
      <tp>
        <v>290500</v>
        <stp/>
        <stp>P</stp>
        <stp>0</stp>
        <stp>STK</stp>
        <stp>034730</stp>
        <stp>현재가</stp>
        <stp/>
        <stp/>
        <tr r="T38" s="1"/>
        <tr r="T38" s="3"/>
      </tp>
      <tp>
        <v>12860</v>
        <stp/>
        <stp>P</stp>
        <stp>0</stp>
        <stp>STK</stp>
        <stp>237880</stp>
        <stp>현재가</stp>
        <stp/>
        <stp/>
        <tr r="T690" s="1"/>
      </tp>
      <tp>
        <v>8250</v>
        <stp/>
        <stp>P</stp>
        <stp>0</stp>
        <stp>STK</stp>
        <stp>137310</stp>
        <stp>현재가</stp>
        <stp/>
        <stp/>
        <tr r="T312" s="1"/>
        <tr r="T312" s="3"/>
      </tp>
      <tp>
        <v>30900</v>
        <stp/>
        <stp>P</stp>
        <stp>0</stp>
        <stp>STK</stp>
        <stp>037710</stp>
        <stp>현재가</stp>
        <stp/>
        <stp/>
        <tr r="T673" s="1"/>
      </tp>
      <tp>
        <v>66200</v>
        <stp/>
        <stp>P</stp>
        <stp>0</stp>
        <stp>STK</stp>
        <stp>437730</stp>
        <stp>현재가</stp>
        <stp/>
        <stp/>
        <tr r="T192" s="1"/>
        <tr r="T192" s="3"/>
      </tp>
      <tp>
        <v>120100</v>
        <stp/>
        <stp>P</stp>
        <stp>0</stp>
        <stp>STK</stp>
        <stp>237690</stp>
        <stp>현재가</stp>
        <stp/>
        <stp/>
        <tr r="T182" s="1"/>
        <tr r="T182" s="3"/>
      </tp>
      <tp>
        <v>45350</v>
        <stp/>
        <stp>P</stp>
        <stp>0</stp>
        <stp>STK</stp>
        <stp>137400</stp>
        <stp>현재가</stp>
        <stp/>
        <stp/>
        <tr r="T322" s="3"/>
        <tr r="T322" s="1"/>
      </tp>
      <tp>
        <v>31350</v>
        <stp/>
        <stp>P</stp>
        <stp>0</stp>
        <stp>STK</stp>
        <stp>036930</stp>
        <stp>현재가</stp>
        <stp/>
        <stp/>
        <tr r="T248" s="3"/>
        <tr r="T248" s="1"/>
      </tp>
      <tp>
        <v>13970</v>
        <stp/>
        <stp>P</stp>
        <stp>0</stp>
        <stp>STK</stp>
        <stp>036890</stp>
        <stp>현재가</stp>
        <stp/>
        <stp/>
        <tr r="T621" s="1"/>
      </tp>
      <tp>
        <v>39750</v>
        <stp/>
        <stp>P</stp>
        <stp>0</stp>
        <stp>STK</stp>
        <stp>036830</stp>
        <stp>현재가</stp>
        <stp/>
        <stp/>
        <tr r="T349" s="1"/>
        <tr r="T349" s="3"/>
      </tp>
      <tp>
        <v>37050</v>
        <stp/>
        <stp>P</stp>
        <stp>0</stp>
        <stp>STK</stp>
        <stp>036810</stp>
        <stp>현재가</stp>
        <stp/>
        <stp/>
        <tr r="T379" s="3"/>
        <tr r="T379" s="1"/>
      </tp>
      <tp>
        <v>22500</v>
        <stp/>
        <stp>P</stp>
        <stp>0</stp>
        <stp>STK</stp>
        <stp>036800</stp>
        <stp>현재가</stp>
        <stp/>
        <stp/>
        <tr r="T688" s="1"/>
      </tp>
      <tp>
        <v>7930</v>
        <stp/>
        <stp>P</stp>
        <stp>0</stp>
        <stp>STK</stp>
        <stp>336370</stp>
        <stp>현재가</stp>
        <stp/>
        <stp/>
        <tr r="T457" s="1"/>
      </tp>
      <tp>
        <v>46050</v>
        <stp/>
        <stp>P</stp>
        <stp>0</stp>
        <stp>STK</stp>
        <stp>236200</stp>
        <stp>현재가</stp>
        <stp/>
        <stp/>
        <tr r="T664" s="1"/>
      </tp>
      <tp>
        <v>9380</v>
        <stp/>
        <stp>P</stp>
        <stp>0</stp>
        <stp>STK</stp>
        <stp>036200</stp>
        <stp>현재가</stp>
        <stp/>
        <stp/>
        <tr r="T626" s="1"/>
      </tp>
      <tp>
        <v>37100</v>
        <stp/>
        <stp>P</stp>
        <stp>0</stp>
        <stp>STK</stp>
        <stp>336260</stp>
        <stp>현재가</stp>
        <stp/>
        <stp/>
        <tr r="T183" s="3"/>
        <tr r="T183" s="1"/>
      </tp>
      <tp>
        <v>5520</v>
        <stp/>
        <stp>P</stp>
        <stp>0</stp>
        <stp>STK</stp>
        <stp>036620</stp>
        <stp>현재가</stp>
        <stp/>
        <stp/>
        <tr r="T478" s="1"/>
      </tp>
      <tp>
        <v>56800</v>
        <stp/>
        <stp>P</stp>
        <stp>0</stp>
        <stp>STK</stp>
        <stp>036530</stp>
        <stp>현재가</stp>
        <stp/>
        <stp/>
        <tr r="T325" s="1"/>
        <tr r="T325" s="3"/>
      </tp>
      <tp>
        <v>229500</v>
        <stp/>
        <stp>P</stp>
        <stp>0</stp>
        <stp>STK</stp>
        <stp>036570</stp>
        <stp>현재가</stp>
        <stp/>
        <stp/>
        <tr r="T111" s="3"/>
        <tr r="T111" s="1"/>
      </tp>
      <tp>
        <v>5250</v>
        <stp/>
        <stp>P</stp>
        <stp>0</stp>
        <stp>STK</stp>
        <stp>036540</stp>
        <stp>현재가</stp>
        <stp/>
        <stp/>
        <tr r="T331" s="1"/>
        <tr r="T331" s="3"/>
      </tp>
      <tp>
        <v>8490</v>
        <stp/>
        <stp>P</stp>
        <stp>0</stp>
        <stp>STK</stp>
        <stp>336570</stp>
        <stp>현재가</stp>
        <stp/>
        <stp/>
        <tr r="T372" s="1"/>
        <tr r="T372" s="3"/>
      </tp>
      <tp>
        <v>40750</v>
        <stp/>
        <stp>P</stp>
        <stp>0</stp>
        <stp>STK</stp>
        <stp>036460</stp>
        <stp>현재가</stp>
        <stp/>
        <stp/>
        <tr r="T134" s="3"/>
        <tr r="T134" s="1"/>
      </tp>
      <tp>
        <v>60800</v>
        <stp/>
        <stp>P</stp>
        <stp>0</stp>
        <stp>STK</stp>
        <stp>031980</stp>
        <stp>현재가</stp>
        <stp/>
        <stp/>
        <tr r="T258" s="3"/>
        <tr r="T258" s="1"/>
      </tp>
      <tp>
        <v>53000</v>
        <stp/>
        <stp>P</stp>
        <stp>0</stp>
        <stp>STK</stp>
        <stp>131970</stp>
        <stp>현재가</stp>
        <stp/>
        <stp/>
        <tr r="T308" s="3"/>
        <tr r="T308" s="1"/>
      </tp>
      <tp>
        <v>73700</v>
        <stp/>
        <stp>P</stp>
        <stp>0</stp>
        <stp>STK</stp>
        <stp>131290</stp>
        <stp>현재가</stp>
        <stp/>
        <stp/>
        <tr r="T343" s="1"/>
        <tr r="T343" s="3"/>
      </tp>
      <tp>
        <v>49250</v>
        <stp/>
        <stp>P</stp>
        <stp>0</stp>
        <stp>STK</stp>
        <stp>031210</stp>
        <stp>현재가</stp>
        <stp/>
        <stp/>
        <tr r="T140" s="3"/>
        <tr r="T140" s="1"/>
      </tp>
      <tp>
        <v>11190</v>
        <stp/>
        <stp>P</stp>
        <stp>0</stp>
        <stp>STK</stp>
        <stp>031430</stp>
        <stp>현재가</stp>
        <stp/>
        <stp/>
        <tr r="T547" s="1"/>
      </tp>
      <tp>
        <v>15900</v>
        <stp/>
        <stp>P</stp>
        <stp>0</stp>
        <stp>STK</stp>
        <stp>230360</stp>
        <stp>현재가</stp>
        <stp/>
        <stp/>
        <tr r="T482" s="1"/>
      </tp>
      <tp>
        <v>55000</v>
        <stp/>
        <stp>P</stp>
        <stp>0</stp>
        <stp>STK</stp>
        <stp>030200</stp>
        <stp>현재가</stp>
        <stp/>
        <stp/>
        <tr r="T59" s="3"/>
        <tr r="T59" s="1"/>
      </tp>
      <tp>
        <v>17030</v>
        <stp/>
        <stp>P</stp>
        <stp>0</stp>
        <stp>STK</stp>
        <stp>030190</stp>
        <stp>현재가</stp>
        <stp/>
        <stp/>
        <tr r="T314" s="3"/>
        <tr r="T314" s="1"/>
      </tp>
      <tp>
        <v>20900</v>
        <stp/>
        <stp>P</stp>
        <stp>0</stp>
        <stp>STK</stp>
        <stp>030000</stp>
        <stp>현재가</stp>
        <stp/>
        <stp/>
        <tr r="T184" s="3"/>
        <tr r="T184" s="1"/>
      </tp>
      <tp>
        <v>10670</v>
        <stp/>
        <stp>P</stp>
        <stp>0</stp>
        <stp>STK</stp>
        <stp>030610</stp>
        <stp>현재가</stp>
        <stp/>
        <stp/>
        <tr r="T286" s="1"/>
        <tr r="T286" s="3"/>
      </tp>
      <tp>
        <v>12110</v>
        <stp/>
        <stp>P</stp>
        <stp>0</stp>
        <stp>STK</stp>
        <stp>130660</stp>
        <stp>현재가</stp>
        <stp/>
        <stp/>
        <tr r="T518" s="1"/>
      </tp>
      <tp>
        <v>39650</v>
        <stp/>
        <stp>P</stp>
        <stp>0</stp>
        <stp>STK</stp>
        <stp>030530</stp>
        <stp>현재가</stp>
        <stp/>
        <stp/>
        <tr r="T146" s="3"/>
        <tr r="T146" s="1"/>
      </tp>
      <tp>
        <v>22950</v>
        <stp/>
        <stp>P</stp>
        <stp>0</stp>
        <stp>STK</stp>
        <stp>030520</stp>
        <stp>현재가</stp>
        <stp/>
        <stp/>
        <tr r="T454" s="1"/>
      </tp>
      <tp>
        <v>18500</v>
        <stp/>
        <stp>P</stp>
        <stp>0</stp>
        <stp>STK</stp>
        <stp>033270</stp>
        <stp>현재가</stp>
        <stp/>
        <stp/>
        <tr r="T625" s="1"/>
      </tp>
      <tp>
        <v>22550</v>
        <stp/>
        <stp>P</stp>
        <stp>0</stp>
        <stp>STK</stp>
        <stp>033240</stp>
        <stp>현재가</stp>
        <stp/>
        <stp/>
        <tr r="T461" s="1"/>
      </tp>
      <tp>
        <v>39050</v>
        <stp/>
        <stp>P</stp>
        <stp>0</stp>
        <stp>STK</stp>
        <stp>033100</stp>
        <stp>현재가</stp>
        <stp/>
        <stp/>
        <tr r="T403" s="1"/>
      </tp>
      <tp>
        <v>144100</v>
        <stp/>
        <stp>P</stp>
        <stp>0</stp>
        <stp>STK</stp>
        <stp>033780</stp>
        <stp>현재가</stp>
        <stp/>
        <stp/>
        <tr r="T49" s="3"/>
        <tr r="T49" s="1"/>
      </tp>
      <tp>
        <v>15650</v>
        <stp/>
        <stp>P</stp>
        <stp>0</stp>
        <stp>STK</stp>
        <stp>033640</stp>
        <stp>현재가</stp>
        <stp/>
        <stp/>
        <tr r="T561" s="1"/>
      </tp>
      <tp>
        <v>26650</v>
        <stp/>
        <stp>P</stp>
        <stp>0</stp>
        <stp>STK</stp>
        <stp>033500</stp>
        <stp>현재가</stp>
        <stp/>
        <stp/>
        <tr r="T344" s="1"/>
        <tr r="T344" s="3"/>
      </tp>
      <tp>
        <v>178800</v>
        <stp/>
        <stp>P</stp>
        <stp>0</stp>
        <stp>STK</stp>
        <stp>032830</stp>
        <stp>현재가</stp>
        <stp/>
        <stp/>
        <tr r="T24" s="3"/>
        <tr r="T24" s="1"/>
      </tp>
      <tp>
        <v>23600</v>
        <stp/>
        <stp>P</stp>
        <stp>0</stp>
        <stp>STK</stp>
        <stp>032350</stp>
        <stp>현재가</stp>
        <stp/>
        <stp/>
        <tr r="T223" s="3"/>
        <tr r="T223" s="1"/>
      </tp>
      <tp>
        <v>18120</v>
        <stp/>
        <stp>P</stp>
        <stp>0</stp>
        <stp>STK</stp>
        <stp>032190</stp>
        <stp>현재가</stp>
        <stp/>
        <stp/>
        <tr r="T387" s="1"/>
      </tp>
      <tp>
        <v>14440</v>
        <stp/>
        <stp>P</stp>
        <stp>0</stp>
        <stp>STK</stp>
        <stp>232140</stp>
        <stp>현재가</stp>
        <stp/>
        <stp/>
        <tr r="T280" s="1"/>
        <tr r="T280" s="3"/>
      </tp>
      <tp>
        <v>15300</v>
        <stp/>
        <stp>P</stp>
        <stp>0</stp>
        <stp>STK</stp>
        <stp>032640</stp>
        <stp>현재가</stp>
        <stp/>
        <stp/>
        <tr r="T96" s="3"/>
        <tr r="T96" s="1"/>
      </tp>
      <tp>
        <v>15480</v>
        <stp/>
        <stp>P</stp>
        <stp>0</stp>
        <stp>STK</stp>
        <stp>032500</stp>
        <stp>현재가</stp>
        <stp/>
        <stp/>
        <tr r="T413" s="1"/>
      </tp>
      <tp>
        <v>24400</v>
        <stp/>
        <stp>P</stp>
        <stp>0</stp>
        <stp>STK</stp>
        <stp>N383310</stp>
        <stp>저가</stp>
        <stp/>
        <stp/>
        <tr r="Q476" s="1"/>
      </tp>
      <tp>
        <v>105900</v>
        <stp/>
        <stp>P</stp>
        <stp>0</stp>
        <stp>STK</stp>
        <stp>N388210</stp>
        <stp>시가</stp>
        <stp/>
        <stp/>
        <tr r="O302" s="1"/>
      </tp>
      <tp>
        <v>20800</v>
        <stp/>
        <stp>P</stp>
        <stp>0</stp>
        <stp>STK</stp>
        <stp>N082920</stp>
        <stp>저가</stp>
        <stp/>
        <stp/>
        <tr r="Q328" s="1"/>
      </tp>
      <tp>
        <v>29550</v>
        <stp/>
        <stp>P</stp>
        <stp>0</stp>
        <stp>STK</stp>
        <stp>N080220</stp>
        <stp>저가</stp>
        <stp/>
        <stp/>
        <tr r="Q304" s="1"/>
      </tp>
      <tp>
        <v>106000</v>
        <stp/>
        <stp>P</stp>
        <stp>0</stp>
        <stp>STK</stp>
        <stp>N086520</stp>
        <stp>저가</stp>
        <stp/>
        <stp/>
        <tr r="Q64" s="1"/>
      </tp>
      <tp>
        <v>8990</v>
        <stp/>
        <stp>P</stp>
        <stp>0</stp>
        <stp>STK</stp>
        <stp>N085620</stp>
        <stp>저가</stp>
        <stp/>
        <stp/>
        <tr r="Q241" s="1"/>
        <tr r="Q190" s="3"/>
      </tp>
      <tp>
        <v>29650</v>
        <stp/>
        <stp>P</stp>
        <stp>0</stp>
        <stp>STK</stp>
        <stp>N080220</stp>
        <stp>시가</stp>
        <stp/>
        <stp/>
        <tr r="O304" s="1"/>
      </tp>
      <tp>
        <v>24600</v>
        <stp/>
        <stp>P</stp>
        <stp>0</stp>
        <stp>STK</stp>
        <stp>N383310</stp>
        <stp>시가</stp>
        <stp/>
        <stp/>
        <tr r="O476" s="1"/>
      </tp>
      <tp>
        <v>21400</v>
        <stp/>
        <stp>P</stp>
        <stp>0</stp>
        <stp>STK</stp>
        <stp>N082920</stp>
        <stp>시가</stp>
        <stp/>
        <stp/>
        <tr r="O328" s="1"/>
      </tp>
      <tp>
        <v>104400</v>
        <stp/>
        <stp>P</stp>
        <stp>0</stp>
        <stp>STK</stp>
        <stp>N388210</stp>
        <stp>저가</stp>
        <stp/>
        <stp/>
        <tr r="Q302" s="1"/>
      </tp>
      <tp>
        <v>9090</v>
        <stp/>
        <stp>P</stp>
        <stp>0</stp>
        <stp>STK</stp>
        <stp>N085620</stp>
        <stp>시가</stp>
        <stp/>
        <stp/>
        <tr r="O190" s="3"/>
        <tr r="O241" s="1"/>
      </tp>
      <tp>
        <v>106700</v>
        <stp/>
        <stp>P</stp>
        <stp>0</stp>
        <stp>STK</stp>
        <stp>N086520</stp>
        <stp>시가</stp>
        <stp/>
        <stp/>
        <tr r="O64" s="1"/>
      </tp>
      <tp>
        <v>110400</v>
        <stp/>
        <stp>P</stp>
        <stp>0</stp>
        <stp>STK</stp>
        <stp>N086520</stp>
        <stp>고가</stp>
        <stp/>
        <stp/>
        <tr r="P64" s="1"/>
      </tp>
      <tp>
        <v>9090</v>
        <stp/>
        <stp>P</stp>
        <stp>0</stp>
        <stp>STK</stp>
        <stp>N085620</stp>
        <stp>고가</stp>
        <stp/>
        <stp/>
        <tr r="P190" s="3"/>
        <tr r="P241" s="1"/>
      </tp>
      <tp>
        <v>24900</v>
        <stp/>
        <stp>P</stp>
        <stp>0</stp>
        <stp>STK</stp>
        <stp>N383310</stp>
        <stp>고가</stp>
        <stp/>
        <stp/>
        <tr r="P476" s="1"/>
      </tp>
      <tp>
        <v>22200</v>
        <stp/>
        <stp>P</stp>
        <stp>0</stp>
        <stp>STK</stp>
        <stp>N082920</stp>
        <stp>고가</stp>
        <stp/>
        <stp/>
        <tr r="P328" s="1"/>
      </tp>
      <tp>
        <v>30350</v>
        <stp/>
        <stp>P</stp>
        <stp>0</stp>
        <stp>STK</stp>
        <stp>N080220</stp>
        <stp>고가</stp>
        <stp/>
        <stp/>
        <tr r="P304" s="1"/>
      </tp>
      <tp>
        <v>108500</v>
        <stp/>
        <stp>P</stp>
        <stp>0</stp>
        <stp>STK</stp>
        <stp>N388210</stp>
        <stp>고가</stp>
        <stp/>
        <stp/>
        <tr r="P302" s="1"/>
      </tp>
      <tp>
        <v>38000</v>
        <stp/>
        <stp>P</stp>
        <stp>0</stp>
        <stp>STK</stp>
        <stp>N199430</stp>
        <stp>시가</stp>
        <stp/>
        <stp/>
        <tr r="O485" s="1"/>
      </tp>
      <tp>
        <v>119300</v>
        <stp/>
        <stp>P</stp>
        <stp>0</stp>
        <stp>STK</stp>
        <stp>N093320</stp>
        <stp>저가</stp>
        <stp/>
        <stp/>
        <tr r="Q429" s="1"/>
      </tp>
      <tp>
        <v>21300</v>
        <stp/>
        <stp>P</stp>
        <stp>0</stp>
        <stp>STK</stp>
        <stp>N093520</stp>
        <stp>저가</stp>
        <stp/>
        <stp/>
        <tr r="Q627" s="1"/>
      </tp>
      <tp>
        <v>30300</v>
        <stp/>
        <stp>P</stp>
        <stp>0</stp>
        <stp>STK</stp>
        <stp>N097520</stp>
        <stp>저가</stp>
        <stp/>
        <stp/>
        <tr r="Q447" s="1"/>
        <tr r="Q287" s="3"/>
      </tp>
      <tp>
        <v>21500</v>
        <stp/>
        <stp>P</stp>
        <stp>0</stp>
        <stp>STK</stp>
        <stp>N093520</stp>
        <stp>시가</stp>
        <stp/>
        <stp/>
        <tr r="O627" s="1"/>
      </tp>
      <tp>
        <v>119700</v>
        <stp/>
        <stp>P</stp>
        <stp>0</stp>
        <stp>STK</stp>
        <stp>N093320</stp>
        <stp>시가</stp>
        <stp/>
        <stp/>
        <tr r="O429" s="1"/>
      </tp>
      <tp>
        <v>38000</v>
        <stp/>
        <stp>P</stp>
        <stp>0</stp>
        <stp>STK</stp>
        <stp>N199430</stp>
        <stp>저가</stp>
        <stp/>
        <stp/>
        <tr r="Q485" s="1"/>
      </tp>
      <tp>
        <v>30600</v>
        <stp/>
        <stp>P</stp>
        <stp>0</stp>
        <stp>STK</stp>
        <stp>N097520</stp>
        <stp>시가</stp>
        <stp/>
        <stp/>
        <tr r="O447" s="1"/>
        <tr r="O287" s="3"/>
      </tp>
      <tp>
        <v>30800</v>
        <stp/>
        <stp>P</stp>
        <stp>0</stp>
        <stp>STK</stp>
        <stp>N097520</stp>
        <stp>고가</stp>
        <stp/>
        <stp/>
        <tr r="P447" s="1"/>
        <tr r="P287" s="3"/>
      </tp>
      <tp>
        <v>119800</v>
        <stp/>
        <stp>P</stp>
        <stp>0</stp>
        <stp>STK</stp>
        <stp>N093320</stp>
        <stp>고가</stp>
        <stp/>
        <stp/>
        <tr r="P429" s="1"/>
      </tp>
      <tp>
        <v>21600</v>
        <stp/>
        <stp>P</stp>
        <stp>0</stp>
        <stp>STK</stp>
        <stp>N093520</stp>
        <stp>고가</stp>
        <stp/>
        <stp/>
        <tr r="P627" s="1"/>
      </tp>
      <tp>
        <v>42050</v>
        <stp/>
        <stp>P</stp>
        <stp>0</stp>
        <stp>STK</stp>
        <stp>N199430</stp>
        <stp>고가</stp>
        <stp/>
        <stp/>
        <tr r="P485" s="1"/>
      </tp>
      <tp>
        <v>19190</v>
        <stp/>
        <stp>P</stp>
        <stp>0</stp>
        <stp>STK</stp>
        <stp>N009520</stp>
        <stp>시가</stp>
        <stp/>
        <stp/>
        <tr r="O363" s="1"/>
      </tp>
      <tp>
        <v>47600</v>
        <stp/>
        <stp>P</stp>
        <stp>0</stp>
        <stp>STK</stp>
        <stp>N009420</stp>
        <stp>시가</stp>
        <stp/>
        <stp/>
        <tr r="O187" s="1"/>
        <tr r="O152" s="3"/>
      </tp>
      <tp>
        <v>33100</v>
        <stp/>
        <stp>P</stp>
        <stp>0</stp>
        <stp>STK</stp>
        <stp>N309710</stp>
        <stp>시가</stp>
        <stp/>
        <stp/>
        <tr r="O514" s="1"/>
      </tp>
      <tp>
        <v>49900</v>
        <stp/>
        <stp>P</stp>
        <stp>0</stp>
        <stp>STK</stp>
        <stp>N003920</stp>
        <stp>저가</stp>
        <stp/>
        <stp/>
        <tr r="Q617" s="1"/>
        <tr r="Q355" s="3"/>
      </tp>
      <tp>
        <v>20600</v>
        <stp/>
        <stp>P</stp>
        <stp>0</stp>
        <stp>STK</stp>
        <stp>N003120</stp>
        <stp>저가</stp>
        <stp/>
        <stp/>
        <tr r="Q363" s="3"/>
        <tr r="Q630" s="1"/>
      </tp>
      <tp>
        <v>11410</v>
        <stp/>
        <stp>P</stp>
        <stp>0</stp>
        <stp>STK</stp>
        <stp>N003220</stp>
        <stp>저가</stp>
        <stp/>
        <stp/>
        <tr r="Q370" s="3"/>
        <tr r="Q667" s="1"/>
      </tp>
      <tp>
        <v>44950</v>
        <stp/>
        <stp>P</stp>
        <stp>0</stp>
        <stp>STK</stp>
        <stp>N002020</stp>
        <stp>저가</stp>
        <stp/>
        <stp/>
        <tr r="Q440" s="1"/>
        <tr r="Q279" s="3"/>
      </tp>
      <tp>
        <v>19510</v>
        <stp/>
        <stp>P</stp>
        <stp>0</stp>
        <stp>STK</stp>
        <stp>N002320</stp>
        <stp>저가</stp>
        <stp/>
        <stp/>
        <tr r="Q357" s="3"/>
        <tr r="Q619" s="1"/>
      </tp>
      <tp>
        <v>44700</v>
        <stp/>
        <stp>P</stp>
        <stp>0</stp>
        <stp>STK</stp>
        <stp>N101930</stp>
        <stp>저가</stp>
        <stp/>
        <stp/>
        <tr r="Q522" s="1"/>
      </tp>
      <tp>
        <v>31300</v>
        <stp/>
        <stp>P</stp>
        <stp>0</stp>
        <stp>STK</stp>
        <stp>N001820</stp>
        <stp>저가</stp>
        <stp/>
        <stp/>
        <tr r="Q595" s="1"/>
        <tr r="Q344" s="3"/>
      </tp>
      <tp>
        <v>35850</v>
        <stp/>
        <stp>P</stp>
        <stp>0</stp>
        <stp>STK</stp>
        <stp>N001120</stp>
        <stp>저가</stp>
        <stp/>
        <stp/>
        <tr r="Q201" s="3"/>
        <tr r="Q257" s="1"/>
      </tp>
      <tp>
        <v>150300</v>
        <stp/>
        <stp>P</stp>
        <stp>0</stp>
        <stp>STK</stp>
        <stp>N001720</stp>
        <stp>저가</stp>
        <stp/>
        <stp/>
        <tr r="Q155" s="3"/>
        <tr r="Q181" s="1"/>
      </tp>
      <tp>
        <v>6020</v>
        <stp/>
        <stp>P</stp>
        <stp>0</stp>
        <stp>STK</stp>
        <stp>N101730</stp>
        <stp>저가</stp>
        <stp/>
        <stp/>
        <tr r="Q472" s="1"/>
      </tp>
      <tp>
        <v>99700</v>
        <stp/>
        <stp>P</stp>
        <stp>0</stp>
        <stp>STK</stp>
        <stp>N000120</stp>
        <stp>저가</stp>
        <stp/>
        <stp/>
        <tr r="Q194" s="1"/>
        <tr r="Q159" s="3"/>
      </tp>
      <tp>
        <v>20450</v>
        <stp/>
        <stp>P</stp>
        <stp>0</stp>
        <stp>STK</stp>
        <stp>N000320</stp>
        <stp>저가</stp>
        <stp/>
        <stp/>
        <tr r="Q365" s="3"/>
        <tr r="Q654" s="1"/>
      </tp>
      <tp>
        <v>104500</v>
        <stp/>
        <stp>P</stp>
        <stp>0</stp>
        <stp>STK</stp>
        <stp>N000720</stp>
        <stp>저가</stp>
        <stp/>
        <stp/>
        <tr r="Q63" s="3"/>
        <tr r="Q65" s="1"/>
      </tp>
      <tp>
        <v>62100</v>
        <stp/>
        <stp>P</stp>
        <stp>0</stp>
        <stp>STK</stp>
        <stp>N006120</stp>
        <stp>저가</stp>
        <stp/>
        <stp/>
        <tr r="Q219" s="3"/>
        <tr r="Q291" s="1"/>
      </tp>
      <tp>
        <v>11450</v>
        <stp/>
        <stp>P</stp>
        <stp>0</stp>
        <stp>STK</stp>
        <stp>N006220</stp>
        <stp>저가</stp>
        <stp/>
        <stp/>
        <tr r="Q315" s="3"/>
        <tr r="Q512" s="1"/>
      </tp>
      <tp>
        <v>15810</v>
        <stp/>
        <stp>P</stp>
        <stp>0</stp>
        <stp>STK</stp>
        <stp>N005420</stp>
        <stp>저가</stp>
        <stp/>
        <stp/>
        <tr r="Q276" s="3"/>
        <tr r="Q443" s="1"/>
      </tp>
      <tp>
        <v>14130</v>
        <stp/>
        <stp>P</stp>
        <stp>0</stp>
        <stp>STK</stp>
        <stp>N105630</stp>
        <stp>저가</stp>
        <stp/>
        <stp/>
        <tr r="Q280" s="3"/>
        <tr r="Q441" s="1"/>
      </tp>
      <tp>
        <v>36250</v>
        <stp/>
        <stp>P</stp>
        <stp>0</stp>
        <stp>STK</stp>
        <stp>N104830</stp>
        <stp>저가</stp>
        <stp/>
        <stp/>
        <tr r="Q504" s="1"/>
      </tp>
      <tp>
        <v>33550</v>
        <stp/>
        <stp>P</stp>
        <stp>0</stp>
        <stp>STK</stp>
        <stp>N004020</stp>
        <stp>저가</stp>
        <stp/>
        <stp/>
        <tr r="Q122" s="1"/>
        <tr r="Q105" s="3"/>
      </tp>
      <tp>
        <v>151500</v>
        <stp/>
        <stp>P</stp>
        <stp>0</stp>
        <stp>STK</stp>
        <stp>N001720</stp>
        <stp>시가</stp>
        <stp/>
        <stp/>
        <tr r="O155" s="3"/>
        <tr r="O181" s="1"/>
      </tp>
      <tp>
        <v>6040</v>
        <stp/>
        <stp>P</stp>
        <stp>0</stp>
        <stp>STK</stp>
        <stp>N101730</stp>
        <stp>시가</stp>
        <stp/>
        <stp/>
        <tr r="O472" s="1"/>
      </tp>
      <tp>
        <v>37000</v>
        <stp/>
        <stp>P</stp>
        <stp>0</stp>
        <stp>STK</stp>
        <stp>N001120</stp>
        <stp>시가</stp>
        <stp/>
        <stp/>
        <tr r="O257" s="1"/>
        <tr r="O201" s="3"/>
      </tp>
      <tp>
        <v>45100</v>
        <stp/>
        <stp>P</stp>
        <stp>0</stp>
        <stp>STK</stp>
        <stp>N101930</stp>
        <stp>시가</stp>
        <stp/>
        <stp/>
        <tr r="O522" s="1"/>
      </tp>
      <tp>
        <v>31900</v>
        <stp/>
        <stp>P</stp>
        <stp>0</stp>
        <stp>STK</stp>
        <stp>N001820</stp>
        <stp>시가</stp>
        <stp/>
        <stp/>
        <tr r="O344" s="3"/>
        <tr r="O595" s="1"/>
      </tp>
      <tp>
        <v>104500</v>
        <stp/>
        <stp>P</stp>
        <stp>0</stp>
        <stp>STK</stp>
        <stp>N000720</stp>
        <stp>시가</stp>
        <stp/>
        <stp/>
        <tr r="O65" s="1"/>
        <tr r="O63" s="3"/>
      </tp>
      <tp>
        <v>102700</v>
        <stp/>
        <stp>P</stp>
        <stp>0</stp>
        <stp>STK</stp>
        <stp>N000120</stp>
        <stp>시가</stp>
        <stp/>
        <stp/>
        <tr r="O159" s="3"/>
        <tr r="O194" s="1"/>
      </tp>
      <tp>
        <v>20700</v>
        <stp/>
        <stp>P</stp>
        <stp>0</stp>
        <stp>STK</stp>
        <stp>N000320</stp>
        <stp>시가</stp>
        <stp/>
        <stp/>
        <tr r="O365" s="3"/>
        <tr r="O654" s="1"/>
      </tp>
      <tp>
        <v>20650</v>
        <stp/>
        <stp>P</stp>
        <stp>0</stp>
        <stp>STK</stp>
        <stp>N003120</stp>
        <stp>시가</stp>
        <stp/>
        <stp/>
        <tr r="O630" s="1"/>
        <tr r="O363" s="3"/>
      </tp>
      <tp>
        <v>11500</v>
        <stp/>
        <stp>P</stp>
        <stp>0</stp>
        <stp>STK</stp>
        <stp>N003220</stp>
        <stp>시가</stp>
        <stp/>
        <stp/>
        <tr r="O370" s="3"/>
        <tr r="O667" s="1"/>
      </tp>
      <tp>
        <v>49900</v>
        <stp/>
        <stp>P</stp>
        <stp>0</stp>
        <stp>STK</stp>
        <stp>N003920</stp>
        <stp>시가</stp>
        <stp/>
        <stp/>
        <tr r="O617" s="1"/>
        <tr r="O355" s="3"/>
      </tp>
      <tp>
        <v>18840</v>
        <stp/>
        <stp>P</stp>
        <stp>0</stp>
        <stp>STK</stp>
        <stp>N009520</stp>
        <stp>저가</stp>
        <stp/>
        <stp/>
        <tr r="Q363" s="1"/>
      </tp>
      <tp>
        <v>47450</v>
        <stp/>
        <stp>P</stp>
        <stp>0</stp>
        <stp>STK</stp>
        <stp>N009420</stp>
        <stp>저가</stp>
        <stp/>
        <stp/>
        <tr r="Q187" s="1"/>
        <tr r="Q152" s="3"/>
      </tp>
      <tp>
        <v>32250</v>
        <stp/>
        <stp>P</stp>
        <stp>0</stp>
        <stp>STK</stp>
        <stp>N309710</stp>
        <stp>저가</stp>
        <stp/>
        <stp/>
        <tr r="Q514" s="1"/>
      </tp>
      <tp>
        <v>45000</v>
        <stp/>
        <stp>P</stp>
        <stp>0</stp>
        <stp>STK</stp>
        <stp>N002020</stp>
        <stp>시가</stp>
        <stp/>
        <stp/>
        <tr r="O279" s="3"/>
        <tr r="O440" s="1"/>
      </tp>
      <tp>
        <v>19680</v>
        <stp/>
        <stp>P</stp>
        <stp>0</stp>
        <stp>STK</stp>
        <stp>N002320</stp>
        <stp>시가</stp>
        <stp/>
        <stp/>
        <tr r="O357" s="3"/>
        <tr r="O619" s="1"/>
      </tp>
      <tp>
        <v>16110</v>
        <stp/>
        <stp>P</stp>
        <stp>0</stp>
        <stp>STK</stp>
        <stp>N005420</stp>
        <stp>시가</stp>
        <stp/>
        <stp/>
        <tr r="O443" s="1"/>
        <tr r="O276" s="3"/>
      </tp>
      <tp>
        <v>14130</v>
        <stp/>
        <stp>P</stp>
        <stp>0</stp>
        <stp>STK</stp>
        <stp>N105630</stp>
        <stp>시가</stp>
        <stp/>
        <stp/>
        <tr r="O441" s="1"/>
        <tr r="O280" s="3"/>
      </tp>
      <tp>
        <v>33900</v>
        <stp/>
        <stp>P</stp>
        <stp>0</stp>
        <stp>STK</stp>
        <stp>N004020</stp>
        <stp>시가</stp>
        <stp/>
        <stp/>
        <tr r="O105" s="3"/>
        <tr r="O122" s="1"/>
      </tp>
      <tp>
        <v>37050</v>
        <stp/>
        <stp>P</stp>
        <stp>0</stp>
        <stp>STK</stp>
        <stp>N104830</stp>
        <stp>시가</stp>
        <stp/>
        <stp/>
        <tr r="O504" s="1"/>
      </tp>
      <tp>
        <v>62400</v>
        <stp/>
        <stp>P</stp>
        <stp>0</stp>
        <stp>STK</stp>
        <stp>N006120</stp>
        <stp>시가</stp>
        <stp/>
        <stp/>
        <tr r="O219" s="3"/>
        <tr r="O291" s="1"/>
      </tp>
      <tp>
        <v>11480</v>
        <stp/>
        <stp>P</stp>
        <stp>0</stp>
        <stp>STK</stp>
        <stp>N006220</stp>
        <stp>시가</stp>
        <stp/>
        <stp/>
        <tr r="O512" s="1"/>
        <tr r="O315" s="3"/>
      </tp>
      <tp>
        <v>62900</v>
        <stp/>
        <stp>P</stp>
        <stp>0</stp>
        <stp>STK</stp>
        <stp>N006120</stp>
        <stp>고가</stp>
        <stp/>
        <stp/>
        <tr r="P219" s="3"/>
        <tr r="P291" s="1"/>
      </tp>
      <tp>
        <v>11590</v>
        <stp/>
        <stp>P</stp>
        <stp>0</stp>
        <stp>STK</stp>
        <stp>N006220</stp>
        <stp>고가</stp>
        <stp/>
        <stp/>
        <tr r="P512" s="1"/>
        <tr r="P315" s="3"/>
      </tp>
      <tp>
        <v>16970</v>
        <stp/>
        <stp>P</stp>
        <stp>0</stp>
        <stp>STK</stp>
        <stp>N005420</stp>
        <stp>고가</stp>
        <stp/>
        <stp/>
        <tr r="P276" s="3"/>
        <tr r="P443" s="1"/>
      </tp>
      <tp>
        <v>14200</v>
        <stp/>
        <stp>P</stp>
        <stp>0</stp>
        <stp>STK</stp>
        <stp>N105630</stp>
        <stp>고가</stp>
        <stp/>
        <stp/>
        <tr r="P280" s="3"/>
        <tr r="P441" s="1"/>
      </tp>
      <tp>
        <v>37500</v>
        <stp/>
        <stp>P</stp>
        <stp>0</stp>
        <stp>STK</stp>
        <stp>N104830</stp>
        <stp>고가</stp>
        <stp/>
        <stp/>
        <tr r="P504" s="1"/>
      </tp>
      <tp>
        <v>35200</v>
        <stp/>
        <stp>P</stp>
        <stp>0</stp>
        <stp>STK</stp>
        <stp>N004020</stp>
        <stp>고가</stp>
        <stp/>
        <stp/>
        <tr r="P105" s="3"/>
        <tr r="P122" s="1"/>
      </tp>
      <tp>
        <v>50200</v>
        <stp/>
        <stp>P</stp>
        <stp>0</stp>
        <stp>STK</stp>
        <stp>N003920</stp>
        <stp>고가</stp>
        <stp/>
        <stp/>
        <tr r="P617" s="1"/>
        <tr r="P355" s="3"/>
      </tp>
      <tp>
        <v>21100</v>
        <stp/>
        <stp>P</stp>
        <stp>0</stp>
        <stp>STK</stp>
        <stp>N003120</stp>
        <stp>고가</stp>
        <stp/>
        <stp/>
        <tr r="P630" s="1"/>
        <tr r="P363" s="3"/>
      </tp>
      <tp>
        <v>11500</v>
        <stp/>
        <stp>P</stp>
        <stp>0</stp>
        <stp>STK</stp>
        <stp>N003220</stp>
        <stp>고가</stp>
        <stp/>
        <stp/>
        <tr r="P667" s="1"/>
        <tr r="P370" s="3"/>
      </tp>
      <tp>
        <v>46400</v>
        <stp/>
        <stp>P</stp>
        <stp>0</stp>
        <stp>STK</stp>
        <stp>N002020</stp>
        <stp>고가</stp>
        <stp/>
        <stp/>
        <tr r="P279" s="3"/>
        <tr r="P440" s="1"/>
      </tp>
      <tp>
        <v>19680</v>
        <stp/>
        <stp>P</stp>
        <stp>0</stp>
        <stp>STK</stp>
        <stp>N002320</stp>
        <stp>고가</stp>
        <stp/>
        <stp/>
        <tr r="P357" s="3"/>
        <tr r="P619" s="1"/>
      </tp>
      <tp>
        <v>45100</v>
        <stp/>
        <stp>P</stp>
        <stp>0</stp>
        <stp>STK</stp>
        <stp>N101930</stp>
        <stp>고가</stp>
        <stp/>
        <stp/>
        <tr r="P522" s="1"/>
      </tp>
      <tp>
        <v>31900</v>
        <stp/>
        <stp>P</stp>
        <stp>0</stp>
        <stp>STK</stp>
        <stp>N001820</stp>
        <stp>고가</stp>
        <stp/>
        <stp/>
        <tr r="P344" s="3"/>
        <tr r="P595" s="1"/>
      </tp>
      <tp>
        <v>37000</v>
        <stp/>
        <stp>P</stp>
        <stp>0</stp>
        <stp>STK</stp>
        <stp>N001120</stp>
        <stp>고가</stp>
        <stp/>
        <stp/>
        <tr r="P201" s="3"/>
        <tr r="P257" s="1"/>
      </tp>
      <tp>
        <v>157900</v>
        <stp/>
        <stp>P</stp>
        <stp>0</stp>
        <stp>STK</stp>
        <stp>N001720</stp>
        <stp>고가</stp>
        <stp/>
        <stp/>
        <tr r="P155" s="3"/>
        <tr r="P181" s="1"/>
      </tp>
      <tp>
        <v>6080</v>
        <stp/>
        <stp>P</stp>
        <stp>0</stp>
        <stp>STK</stp>
        <stp>N101730</stp>
        <stp>고가</stp>
        <stp/>
        <stp/>
        <tr r="P472" s="1"/>
      </tp>
      <tp>
        <v>102700</v>
        <stp/>
        <stp>P</stp>
        <stp>0</stp>
        <stp>STK</stp>
        <stp>N000120</stp>
        <stp>고가</stp>
        <stp/>
        <stp/>
        <tr r="P194" s="1"/>
        <tr r="P159" s="3"/>
      </tp>
      <tp>
        <v>21150</v>
        <stp/>
        <stp>P</stp>
        <stp>0</stp>
        <stp>STK</stp>
        <stp>N000320</stp>
        <stp>고가</stp>
        <stp/>
        <stp/>
        <tr r="P654" s="1"/>
        <tr r="P365" s="3"/>
      </tp>
      <tp>
        <v>109200</v>
        <stp/>
        <stp>P</stp>
        <stp>0</stp>
        <stp>STK</stp>
        <stp>N000720</stp>
        <stp>고가</stp>
        <stp/>
        <stp/>
        <tr r="P65" s="1"/>
        <tr r="P63" s="3"/>
      </tp>
      <tp>
        <v>19430</v>
        <stp/>
        <stp>P</stp>
        <stp>0</stp>
        <stp>STK</stp>
        <stp>N009520</stp>
        <stp>고가</stp>
        <stp/>
        <stp/>
        <tr r="P363" s="1"/>
      </tp>
      <tp>
        <v>48300</v>
        <stp/>
        <stp>P</stp>
        <stp>0</stp>
        <stp>STK</stp>
        <stp>N009420</stp>
        <stp>고가</stp>
        <stp/>
        <stp/>
        <tr r="P152" s="3"/>
        <tr r="P187" s="1"/>
      </tp>
      <tp>
        <v>33500</v>
        <stp/>
        <stp>P</stp>
        <stp>0</stp>
        <stp>STK</stp>
        <stp>N309710</stp>
        <stp>고가</stp>
        <stp/>
        <stp/>
        <tr r="P514" s="1"/>
      </tp>
      <tp>
        <v>505000</v>
        <stp/>
        <stp>P</stp>
        <stp>0</stp>
        <stp>STK</stp>
        <stp>N010120</stp>
        <stp>저가</stp>
        <stp/>
        <stp/>
        <tr r="Q55" s="1"/>
        <tr r="Q55" s="3"/>
      </tp>
      <tp>
        <v>176600</v>
        <stp/>
        <stp>P</stp>
        <stp>0</stp>
        <stp>STK</stp>
        <stp>N310210</stp>
        <stp>저가</stp>
        <stp/>
        <stp/>
        <tr r="Q145" s="1"/>
      </tp>
      <tp>
        <v>25150</v>
        <stp/>
        <stp>P</stp>
        <stp>0</stp>
        <stp>STK</stp>
        <stp>N117730</stp>
        <stp>저가</stp>
        <stp/>
        <stp/>
        <tr r="Q411" s="1"/>
      </tp>
      <tp>
        <v>52700</v>
        <stp/>
        <stp>P</stp>
        <stp>0</stp>
        <stp>STK</stp>
        <stp>N215000</stp>
        <stp>저가</stp>
        <stp/>
        <stp/>
        <tr r="Q592" s="1"/>
      </tp>
      <tp>
        <v>39150</v>
        <stp/>
        <stp>P</stp>
        <stp>0</stp>
        <stp>STK</stp>
        <stp>N215200</stp>
        <stp>저가</stp>
        <stp/>
        <stp/>
        <tr r="Q535" s="1"/>
      </tp>
      <tp>
        <v>26900</v>
        <stp/>
        <stp>P</stp>
        <stp>0</stp>
        <stp>STK</stp>
        <stp>N014820</stp>
        <stp>저가</stp>
        <stp/>
        <stp/>
        <tr r="Q252" s="3"/>
        <tr r="Q381" s="1"/>
      </tp>
      <tp>
        <v>28300</v>
        <stp/>
        <stp>P</stp>
        <stp>0</stp>
        <stp>STK</stp>
        <stp>N014620</stp>
        <stp>저가</stp>
        <stp/>
        <stp/>
        <tr r="Q361" s="1"/>
      </tp>
      <tp>
        <v>521000</v>
        <stp/>
        <stp>P</stp>
        <stp>0</stp>
        <stp>STK</stp>
        <stp>N010120</stp>
        <stp>시가</stp>
        <stp/>
        <stp/>
        <tr r="O55" s="1"/>
        <tr r="O55" s="3"/>
      </tp>
      <tp>
        <v>178100</v>
        <stp/>
        <stp>P</stp>
        <stp>0</stp>
        <stp>STK</stp>
        <stp>N310210</stp>
        <stp>시가</stp>
        <stp/>
        <stp/>
        <tr r="O145" s="1"/>
      </tp>
      <tp>
        <v>57500</v>
        <stp/>
        <stp>P</stp>
        <stp>0</stp>
        <stp>STK</stp>
        <stp>N215000</stp>
        <stp>시가</stp>
        <stp/>
        <stp/>
        <tr r="O592" s="1"/>
      </tp>
      <tp>
        <v>39150</v>
        <stp/>
        <stp>P</stp>
        <stp>0</stp>
        <stp>STK</stp>
        <stp>N215200</stp>
        <stp>시가</stp>
        <stp/>
        <stp/>
        <tr r="O535" s="1"/>
      </tp>
      <tp>
        <v>28600</v>
        <stp/>
        <stp>P</stp>
        <stp>0</stp>
        <stp>STK</stp>
        <stp>N014620</stp>
        <stp>시가</stp>
        <stp/>
        <stp/>
        <tr r="O361" s="1"/>
      </tp>
      <tp>
        <v>26900</v>
        <stp/>
        <stp>P</stp>
        <stp>0</stp>
        <stp>STK</stp>
        <stp>N014820</stp>
        <stp>시가</stp>
        <stp/>
        <stp/>
        <tr r="O252" s="3"/>
        <tr r="O381" s="1"/>
      </tp>
      <tp>
        <v>27150</v>
        <stp/>
        <stp>P</stp>
        <stp>0</stp>
        <stp>STK</stp>
        <stp>N117730</stp>
        <stp>시가</stp>
        <stp/>
        <stp/>
        <tr r="O411" s="1"/>
      </tp>
      <tp>
        <v>27550</v>
        <stp/>
        <stp>P</stp>
        <stp>0</stp>
        <stp>STK</stp>
        <stp>N117730</stp>
        <stp>고가</stp>
        <stp/>
        <stp/>
        <tr r="P411" s="1"/>
      </tp>
      <tp>
        <v>57500</v>
        <stp/>
        <stp>P</stp>
        <stp>0</stp>
        <stp>STK</stp>
        <stp>N215000</stp>
        <stp>고가</stp>
        <stp/>
        <stp/>
        <tr r="P592" s="1"/>
      </tp>
      <tp>
        <v>39500</v>
        <stp/>
        <stp>P</stp>
        <stp>0</stp>
        <stp>STK</stp>
        <stp>N215200</stp>
        <stp>고가</stp>
        <stp/>
        <stp/>
        <tr r="P535" s="1"/>
      </tp>
      <tp>
        <v>27700</v>
        <stp/>
        <stp>P</stp>
        <stp>0</stp>
        <stp>STK</stp>
        <stp>N014820</stp>
        <stp>고가</stp>
        <stp/>
        <stp/>
        <tr r="P381" s="1"/>
        <tr r="P252" s="3"/>
      </tp>
      <tp>
        <v>28800</v>
        <stp/>
        <stp>P</stp>
        <stp>0</stp>
        <stp>STK</stp>
        <stp>N014620</stp>
        <stp>고가</stp>
        <stp/>
        <stp/>
        <tr r="P361" s="1"/>
      </tp>
      <tp>
        <v>525000</v>
        <stp/>
        <stp>P</stp>
        <stp>0</stp>
        <stp>STK</stp>
        <stp>N010120</stp>
        <stp>고가</stp>
        <stp/>
        <stp/>
        <tr r="P55" s="1"/>
        <tr r="P55" s="3"/>
      </tp>
      <tp>
        <v>181000</v>
        <stp/>
        <stp>P</stp>
        <stp>0</stp>
        <stp>STK</stp>
        <stp>N310210</stp>
        <stp>고가</stp>
        <stp/>
        <stp/>
        <tr r="P145" s="1"/>
      </tp>
      <tp>
        <v>21400</v>
        <stp/>
        <stp>P</stp>
        <stp>0</stp>
        <stp>STK</stp>
        <stp>N323410</stp>
        <stp>저가</stp>
        <stp/>
        <stp/>
        <tr r="Q72" s="1"/>
        <tr r="Q69" s="3"/>
      </tp>
      <tp>
        <v>48100</v>
        <stp/>
        <stp>P</stp>
        <stp>0</stp>
        <stp>STK</stp>
        <stp>N222800</stp>
        <stp>저가</stp>
        <stp/>
        <stp/>
        <tr r="Q220" s="1"/>
      </tp>
      <tp>
        <v>23000</v>
        <stp/>
        <stp>P</stp>
        <stp>0</stp>
        <stp>STK</stp>
        <stp>N220100</stp>
        <stp>저가</stp>
        <stp/>
        <stp/>
        <tr r="Q458" s="1"/>
      </tp>
      <tp>
        <v>5690</v>
        <stp/>
        <stp>P</stp>
        <stp>0</stp>
        <stp>STK</stp>
        <stp>N025320</stp>
        <stp>저가</stp>
        <stp/>
        <stp/>
        <tr r="Q473" s="1"/>
      </tp>
      <tp>
        <v>9400</v>
        <stp/>
        <stp>P</stp>
        <stp>0</stp>
        <stp>STK</stp>
        <stp>N024720</stp>
        <stp>저가</stp>
        <stp/>
        <stp/>
        <tr r="Q602" s="1"/>
        <tr r="Q348" s="3"/>
      </tp>
      <tp>
        <v>23500</v>
        <stp/>
        <stp>P</stp>
        <stp>0</stp>
        <stp>STK</stp>
        <stp>N220100</stp>
        <stp>시가</stp>
        <stp/>
        <stp/>
        <tr r="O458" s="1"/>
      </tp>
      <tp>
        <v>21450</v>
        <stp/>
        <stp>P</stp>
        <stp>0</stp>
        <stp>STK</stp>
        <stp>N323410</stp>
        <stp>시가</stp>
        <stp/>
        <stp/>
        <tr r="O72" s="1"/>
        <tr r="O69" s="3"/>
      </tp>
      <tp>
        <v>49150</v>
        <stp/>
        <stp>P</stp>
        <stp>0</stp>
        <stp>STK</stp>
        <stp>N222800</stp>
        <stp>시가</stp>
        <stp/>
        <stp/>
        <tr r="O220" s="1"/>
      </tp>
      <tp>
        <v>5700</v>
        <stp/>
        <stp>P</stp>
        <stp>0</stp>
        <stp>STK</stp>
        <stp>N025320</stp>
        <stp>시가</stp>
        <stp/>
        <stp/>
        <tr r="O473" s="1"/>
      </tp>
      <tp>
        <v>9820</v>
        <stp/>
        <stp>P</stp>
        <stp>0</stp>
        <stp>STK</stp>
        <stp>N024720</stp>
        <stp>시가</stp>
        <stp/>
        <stp/>
        <tr r="O602" s="1"/>
        <tr r="O348" s="3"/>
      </tp>
      <tp>
        <v>5740</v>
        <stp/>
        <stp>P</stp>
        <stp>0</stp>
        <stp>STK</stp>
        <stp>N025320</stp>
        <stp>고가</stp>
        <stp/>
        <stp/>
        <tr r="P473" s="1"/>
      </tp>
      <tp>
        <v>9820</v>
        <stp/>
        <stp>P</stp>
        <stp>0</stp>
        <stp>STK</stp>
        <stp>N024720</stp>
        <stp>고가</stp>
        <stp/>
        <stp/>
        <tr r="P602" s="1"/>
        <tr r="P348" s="3"/>
      </tp>
      <tp>
        <v>21650</v>
        <stp/>
        <stp>P</stp>
        <stp>0</stp>
        <stp>STK</stp>
        <stp>N323410</stp>
        <stp>고가</stp>
        <stp/>
        <stp/>
        <tr r="P69" s="3"/>
        <tr r="P72" s="1"/>
      </tp>
      <tp>
        <v>49200</v>
        <stp/>
        <stp>P</stp>
        <stp>0</stp>
        <stp>STK</stp>
        <stp>N222800</stp>
        <stp>고가</stp>
        <stp/>
        <stp/>
        <tr r="P220" s="1"/>
      </tp>
      <tp>
        <v>23500</v>
        <stp/>
        <stp>P</stp>
        <stp>0</stp>
        <stp>STK</stp>
        <stp>N220100</stp>
        <stp>고가</stp>
        <stp/>
        <stp/>
        <tr r="P458" s="1"/>
      </tp>
      <tp>
        <v>14300</v>
        <stp/>
        <stp>P</stp>
        <stp>0</stp>
        <stp>STK</stp>
        <stp>N139130</stp>
        <stp>시가</stp>
        <stp/>
        <stp/>
        <tr r="O193" s="1"/>
        <tr r="O160" s="3"/>
      </tp>
      <tp>
        <v>71500</v>
        <stp/>
        <stp>P</stp>
        <stp>0</stp>
        <stp>STK</stp>
        <stp>N439260</stp>
        <stp>시가</stp>
        <stp/>
        <stp/>
        <tr r="O169" s="1"/>
        <tr r="O143" s="3"/>
      </tp>
      <tp>
        <v>15670</v>
        <stp/>
        <stp>P</stp>
        <stp>0</stp>
        <stp>STK</stp>
        <stp>N138930</stp>
        <stp>시가</stp>
        <stp/>
        <stp/>
        <tr r="O112" s="1"/>
        <tr r="O104" s="3"/>
      </tp>
      <tp>
        <v>22850</v>
        <stp/>
        <stp>P</stp>
        <stp>0</stp>
        <stp>STK</stp>
        <stp>N030520</stp>
        <stp>저가</stp>
        <stp/>
        <stp/>
        <tr r="Q454" s="1"/>
      </tp>
      <tp>
        <v>38200</v>
        <stp/>
        <stp>P</stp>
        <stp>0</stp>
        <stp>STK</stp>
        <stp>N236200</stp>
        <stp>저가</stp>
        <stp/>
        <stp/>
        <tr r="Q664" s="1"/>
      </tp>
      <tp>
        <v>5520</v>
        <stp/>
        <stp>P</stp>
        <stp>0</stp>
        <stp>STK</stp>
        <stp>N036620</stp>
        <stp>저가</stp>
        <stp/>
        <stp/>
        <tr r="Q478" s="1"/>
      </tp>
      <tp>
        <v>246000</v>
        <stp/>
        <stp>P</stp>
        <stp>0</stp>
        <stp>STK</stp>
        <stp>N035420</stp>
        <stp>저가</stp>
        <stp/>
        <stp/>
        <tr r="Q23" s="1"/>
        <tr r="Q23" s="3"/>
      </tp>
      <tp>
        <v>58400</v>
        <stp/>
        <stp>P</stp>
        <stp>0</stp>
        <stp>STK</stp>
        <stp>N035720</stp>
        <stp>저가</stp>
        <stp/>
        <stp/>
        <tr r="Q32" s="3"/>
        <tr r="Q32" s="1"/>
      </tp>
      <tp>
        <v>18570</v>
        <stp/>
        <stp>P</stp>
        <stp>0</stp>
        <stp>STK</stp>
        <stp>N034120</stp>
        <stp>저가</stp>
        <stp/>
        <stp/>
        <tr r="Q336" s="3"/>
        <tr r="Q581" s="1"/>
      </tp>
      <tp>
        <v>90200</v>
        <stp/>
        <stp>P</stp>
        <stp>0</stp>
        <stp>STK</stp>
        <stp>N034020</stp>
        <stp>저가</stp>
        <stp/>
        <stp/>
        <tr r="Q14" s="3"/>
        <tr r="Q14" s="1"/>
      </tp>
      <tp>
        <v>12650</v>
        <stp/>
        <stp>P</stp>
        <stp>0</stp>
        <stp>STK</stp>
        <stp>N034220</stp>
        <stp>저가</stp>
        <stp/>
        <stp/>
        <tr r="Q99" s="1"/>
        <tr r="Q91" s="3"/>
      </tp>
      <tp>
        <v>22950</v>
        <stp/>
        <stp>P</stp>
        <stp>0</stp>
        <stp>STK</stp>
        <stp>N030520</stp>
        <stp>시가</stp>
        <stp/>
        <stp/>
        <tr r="O454" s="1"/>
      </tp>
      <tp>
        <v>14300</v>
        <stp/>
        <stp>P</stp>
        <stp>0</stp>
        <stp>STK</stp>
        <stp>N139130</stp>
        <stp>저가</stp>
        <stp/>
        <stp/>
        <tr r="Q193" s="1"/>
        <tr r="Q160" s="3"/>
      </tp>
      <tp>
        <v>70600</v>
        <stp/>
        <stp>P</stp>
        <stp>0</stp>
        <stp>STK</stp>
        <stp>N439260</stp>
        <stp>저가</stp>
        <stp/>
        <stp/>
        <tr r="Q169" s="1"/>
        <tr r="Q143" s="3"/>
      </tp>
      <tp>
        <v>15580</v>
        <stp/>
        <stp>P</stp>
        <stp>0</stp>
        <stp>STK</stp>
        <stp>N138930</stp>
        <stp>저가</stp>
        <stp/>
        <stp/>
        <tr r="Q112" s="1"/>
        <tr r="Q104" s="3"/>
      </tp>
      <tp>
        <v>246000</v>
        <stp/>
        <stp>P</stp>
        <stp>0</stp>
        <stp>STK</stp>
        <stp>N035420</stp>
        <stp>시가</stp>
        <stp/>
        <stp/>
        <tr r="O23" s="3"/>
        <tr r="O23" s="1"/>
      </tp>
      <tp>
        <v>58700</v>
        <stp/>
        <stp>P</stp>
        <stp>0</stp>
        <stp>STK</stp>
        <stp>N035720</stp>
        <stp>시가</stp>
        <stp/>
        <stp/>
        <tr r="O32" s="3"/>
        <tr r="O32" s="1"/>
      </tp>
      <tp>
        <v>18570</v>
        <stp/>
        <stp>P</stp>
        <stp>0</stp>
        <stp>STK</stp>
        <stp>N034120</stp>
        <stp>시가</stp>
        <stp/>
        <stp/>
        <tr r="O581" s="1"/>
        <tr r="O336" s="3"/>
      </tp>
      <tp>
        <v>91000</v>
        <stp/>
        <stp>P</stp>
        <stp>0</stp>
        <stp>STK</stp>
        <stp>N034020</stp>
        <stp>시가</stp>
        <stp/>
        <stp/>
        <tr r="O14" s="3"/>
        <tr r="O14" s="1"/>
      </tp>
      <tp>
        <v>12690</v>
        <stp/>
        <stp>P</stp>
        <stp>0</stp>
        <stp>STK</stp>
        <stp>N034220</stp>
        <stp>시가</stp>
        <stp/>
        <stp/>
        <tr r="O91" s="3"/>
        <tr r="O99" s="1"/>
      </tp>
      <tp>
        <v>5600</v>
        <stp/>
        <stp>P</stp>
        <stp>0</stp>
        <stp>STK</stp>
        <stp>N036620</stp>
        <stp>시가</stp>
        <stp/>
        <stp/>
        <tr r="O478" s="1"/>
      </tp>
      <tp>
        <v>38200</v>
        <stp/>
        <stp>P</stp>
        <stp>0</stp>
        <stp>STK</stp>
        <stp>N236200</stp>
        <stp>시가</stp>
        <stp/>
        <stp/>
        <tr r="O664" s="1"/>
      </tp>
      <tp>
        <v>46050</v>
        <stp/>
        <stp>P</stp>
        <stp>0</stp>
        <stp>STK</stp>
        <stp>N236200</stp>
        <stp>고가</stp>
        <stp/>
        <stp/>
        <tr r="P664" s="1"/>
      </tp>
      <tp>
        <v>5650</v>
        <stp/>
        <stp>P</stp>
        <stp>0</stp>
        <stp>STK</stp>
        <stp>N036620</stp>
        <stp>고가</stp>
        <stp/>
        <stp/>
        <tr r="P478" s="1"/>
      </tp>
      <tp>
        <v>248500</v>
        <stp/>
        <stp>P</stp>
        <stp>0</stp>
        <stp>STK</stp>
        <stp>N035420</stp>
        <stp>고가</stp>
        <stp/>
        <stp/>
        <tr r="P23" s="3"/>
        <tr r="P23" s="1"/>
      </tp>
      <tp>
        <v>58900</v>
        <stp/>
        <stp>P</stp>
        <stp>0</stp>
        <stp>STK</stp>
        <stp>N035720</stp>
        <stp>고가</stp>
        <stp/>
        <stp/>
        <tr r="P32" s="3"/>
        <tr r="P32" s="1"/>
      </tp>
      <tp>
        <v>18620</v>
        <stp/>
        <stp>P</stp>
        <stp>0</stp>
        <stp>STK</stp>
        <stp>N034120</stp>
        <stp>고가</stp>
        <stp/>
        <stp/>
        <tr r="P581" s="1"/>
        <tr r="P336" s="3"/>
      </tp>
      <tp>
        <v>91900</v>
        <stp/>
        <stp>P</stp>
        <stp>0</stp>
        <stp>STK</stp>
        <stp>N034020</stp>
        <stp>고가</stp>
        <stp/>
        <stp/>
        <tr r="P14" s="3"/>
        <tr r="P14" s="1"/>
      </tp>
      <tp>
        <v>12800</v>
        <stp/>
        <stp>P</stp>
        <stp>0</stp>
        <stp>STK</stp>
        <stp>N034220</stp>
        <stp>고가</stp>
        <stp/>
        <stp/>
        <tr r="P91" s="3"/>
        <tr r="P99" s="1"/>
      </tp>
      <tp>
        <v>23100</v>
        <stp/>
        <stp>P</stp>
        <stp>0</stp>
        <stp>STK</stp>
        <stp>N030520</stp>
        <stp>고가</stp>
        <stp/>
        <stp/>
        <tr r="P454" s="1"/>
      </tp>
      <tp>
        <v>14420</v>
        <stp/>
        <stp>P</stp>
        <stp>0</stp>
        <stp>STK</stp>
        <stp>N139130</stp>
        <stp>고가</stp>
        <stp/>
        <stp/>
        <tr r="P160" s="3"/>
        <tr r="P193" s="1"/>
      </tp>
      <tp>
        <v>72000</v>
        <stp/>
        <stp>P</stp>
        <stp>0</stp>
        <stp>STK</stp>
        <stp>N439260</stp>
        <stp>고가</stp>
        <stp/>
        <stp/>
        <tr r="P143" s="3"/>
        <tr r="P169" s="1"/>
      </tp>
      <tp>
        <v>15740</v>
        <stp/>
        <stp>P</stp>
        <stp>0</stp>
        <stp>STK</stp>
        <stp>N138930</stp>
        <stp>고가</stp>
        <stp/>
        <stp/>
        <tr r="P112" s="1"/>
        <tr r="P104" s="3"/>
      </tp>
      <tp>
        <v>186000</v>
        <stp/>
        <stp>P</stp>
        <stp>0</stp>
        <stp>STK</stp>
        <stp>N443060</stp>
        <stp>저가</stp>
        <stp/>
        <stp/>
        <tr r="Q83" s="1"/>
        <tr r="Q79" s="3"/>
      </tp>
      <tp>
        <v>72600</v>
        <stp/>
        <stp>P</stp>
        <stp>0</stp>
        <stp>STK</stp>
        <stp>N348210</stp>
        <stp>시가</stp>
        <stp/>
        <stp/>
        <tr r="O360" s="1"/>
      </tp>
      <tp>
        <v>23700</v>
        <stp/>
        <stp>P</stp>
        <stp>0</stp>
        <stp>STK</stp>
        <stp>N042520</stp>
        <stp>저가</stp>
        <stp/>
        <stp/>
        <tr r="Q604" s="1"/>
      </tp>
      <tp>
        <v>17450</v>
        <stp/>
        <stp>P</stp>
        <stp>0</stp>
        <stp>STK</stp>
        <stp>N047920</stp>
        <stp>저가</stp>
        <stp/>
        <stp/>
        <tr r="Q448" s="1"/>
      </tp>
      <tp>
        <v>186000</v>
        <stp/>
        <stp>P</stp>
        <stp>0</stp>
        <stp>STK</stp>
        <stp>N443060</stp>
        <stp>시가</stp>
        <stp/>
        <stp/>
        <tr r="O83" s="1"/>
        <tr r="O79" s="3"/>
      </tp>
      <tp>
        <v>24650</v>
        <stp/>
        <stp>P</stp>
        <stp>0</stp>
        <stp>STK</stp>
        <stp>N042520</stp>
        <stp>시가</stp>
        <stp/>
        <stp/>
        <tr r="O604" s="1"/>
      </tp>
      <tp>
        <v>71000</v>
        <stp/>
        <stp>P</stp>
        <stp>0</stp>
        <stp>STK</stp>
        <stp>N348210</stp>
        <stp>저가</stp>
        <stp/>
        <stp/>
        <tr r="Q360" s="1"/>
      </tp>
      <tp>
        <v>17750</v>
        <stp/>
        <stp>P</stp>
        <stp>0</stp>
        <stp>STK</stp>
        <stp>N047920</stp>
        <stp>시가</stp>
        <stp/>
        <stp/>
        <tr r="O448" s="1"/>
      </tp>
      <tp>
        <v>17750</v>
        <stp/>
        <stp>P</stp>
        <stp>0</stp>
        <stp>STK</stp>
        <stp>N047920</stp>
        <stp>고가</stp>
        <stp/>
        <stp/>
        <tr r="P448" s="1"/>
      </tp>
      <tp>
        <v>189200</v>
        <stp/>
        <stp>P</stp>
        <stp>0</stp>
        <stp>STK</stp>
        <stp>N443060</stp>
        <stp>고가</stp>
        <stp/>
        <stp/>
        <tr r="P79" s="3"/>
        <tr r="P83" s="1"/>
      </tp>
      <tp>
        <v>24700</v>
        <stp/>
        <stp>P</stp>
        <stp>0</stp>
        <stp>STK</stp>
        <stp>N042520</stp>
        <stp>고가</stp>
        <stp/>
        <stp/>
        <tr r="P604" s="1"/>
      </tp>
      <tp>
        <v>72600</v>
        <stp/>
        <stp>P</stp>
        <stp>0</stp>
        <stp>STK</stp>
        <stp>N348210</stp>
        <stp>고가</stp>
        <stp/>
        <stp/>
        <tr r="P360" s="1"/>
      </tp>
      <tp>
        <v>76000</v>
        <stp/>
        <stp>P</stp>
        <stp>0</stp>
        <stp>STK</stp>
        <stp>N456160</stp>
        <stp>저가</stp>
        <stp/>
        <stp/>
        <tr r="Q278" s="1"/>
      </tp>
      <tp>
        <v>78600</v>
        <stp/>
        <stp>P</stp>
        <stp>0</stp>
        <stp>STK</stp>
        <stp>N456160</stp>
        <stp>시가</stp>
        <stp/>
        <stp/>
        <tr r="O278" s="1"/>
      </tp>
      <tp>
        <v>78600</v>
        <stp/>
        <stp>P</stp>
        <stp>0</stp>
        <stp>STK</stp>
        <stp>N456160</stp>
        <stp>고가</stp>
        <stp/>
        <stp/>
        <tr r="P278" s="1"/>
      </tp>
      <tp>
        <v>164600</v>
        <stp/>
        <stp>P</stp>
        <stp>0</stp>
        <stp>STK</stp>
        <stp>N069620</stp>
        <stp>시가</stp>
        <stp/>
        <stp/>
        <tr r="O217" s="1"/>
        <tr r="O175" s="3"/>
      </tp>
      <tp>
        <v>26450</v>
        <stp/>
        <stp>P</stp>
        <stp>0</stp>
        <stp>STK</stp>
        <stp>N361610</stp>
        <stp>저가</stp>
        <stp/>
        <stp/>
        <tr r="Q211" s="1"/>
        <tr r="Q168" s="3"/>
      </tp>
      <tp>
        <v>8190</v>
        <stp/>
        <stp>P</stp>
        <stp>0</stp>
        <stp>STK</stp>
        <stp>N460860</stp>
        <stp>저가</stp>
        <stp/>
        <stp/>
        <tr r="Q319" s="3"/>
        <tr r="Q533" s="1"/>
      </tp>
      <tp>
        <v>13860</v>
        <stp/>
        <stp>P</stp>
        <stp>0</stp>
        <stp>STK</stp>
        <stp>N060720</stp>
        <stp>저가</stp>
        <stp/>
        <stp/>
        <tr r="Q570" s="1"/>
      </tp>
      <tp>
        <v>11970</v>
        <stp/>
        <stp>P</stp>
        <stp>0</stp>
        <stp>STK</stp>
        <stp>N064820</stp>
        <stp>저가</stp>
        <stp/>
        <stp/>
        <tr r="Q548" s="1"/>
      </tp>
      <tp>
        <v>26800</v>
        <stp/>
        <stp>P</stp>
        <stp>0</stp>
        <stp>STK</stp>
        <stp>N361610</stp>
        <stp>시가</stp>
        <stp/>
        <stp/>
        <tr r="O211" s="1"/>
        <tr r="O168" s="3"/>
      </tp>
      <tp>
        <v>14150</v>
        <stp/>
        <stp>P</stp>
        <stp>0</stp>
        <stp>STK</stp>
        <stp>N060720</stp>
        <stp>시가</stp>
        <stp/>
        <stp/>
        <tr r="O570" s="1"/>
      </tp>
      <tp>
        <v>8190</v>
        <stp/>
        <stp>P</stp>
        <stp>0</stp>
        <stp>STK</stp>
        <stp>N460860</stp>
        <stp>시가</stp>
        <stp/>
        <stp/>
        <tr r="O533" s="1"/>
        <tr r="O319" s="3"/>
      </tp>
      <tp>
        <v>164100</v>
        <stp/>
        <stp>P</stp>
        <stp>0</stp>
        <stp>STK</stp>
        <stp>N069620</stp>
        <stp>저가</stp>
        <stp/>
        <stp/>
        <tr r="Q175" s="3"/>
        <tr r="Q217" s="1"/>
      </tp>
      <tp>
        <v>12010</v>
        <stp/>
        <stp>P</stp>
        <stp>0</stp>
        <stp>STK</stp>
        <stp>N064820</stp>
        <stp>시가</stp>
        <stp/>
        <stp/>
        <tr r="O548" s="1"/>
      </tp>
      <tp>
        <v>12150</v>
        <stp/>
        <stp>P</stp>
        <stp>0</stp>
        <stp>STK</stp>
        <stp>N064820</stp>
        <stp>고가</stp>
        <stp/>
        <stp/>
        <tr r="P548" s="1"/>
      </tp>
      <tp>
        <v>27200</v>
        <stp/>
        <stp>P</stp>
        <stp>0</stp>
        <stp>STK</stp>
        <stp>N361610</stp>
        <stp>고가</stp>
        <stp/>
        <stp/>
        <tr r="P168" s="3"/>
        <tr r="P211" s="1"/>
      </tp>
      <tp>
        <v>8300</v>
        <stp/>
        <stp>P</stp>
        <stp>0</stp>
        <stp>STK</stp>
        <stp>N460860</stp>
        <stp>고가</stp>
        <stp/>
        <stp/>
        <tr r="P319" s="3"/>
        <tr r="P533" s="1"/>
      </tp>
      <tp>
        <v>14150</v>
        <stp/>
        <stp>P</stp>
        <stp>0</stp>
        <stp>STK</stp>
        <stp>N060720</stp>
        <stp>고가</stp>
        <stp/>
        <stp/>
        <tr r="P570" s="1"/>
      </tp>
      <tp>
        <v>165000</v>
        <stp/>
        <stp>P</stp>
        <stp>0</stp>
        <stp>STK</stp>
        <stp>N069620</stp>
        <stp>고가</stp>
        <stp/>
        <stp/>
        <tr r="P217" s="1"/>
        <tr r="P175" s="3"/>
      </tp>
      <tp>
        <v>10110</v>
        <stp/>
        <stp>P</stp>
        <stp>0</stp>
        <stp>STK</stp>
        <stp>N078520</stp>
        <stp>시가</stp>
        <stp/>
        <stp/>
        <tr r="O670" s="1"/>
        <tr r="O368" s="3"/>
      </tp>
      <tp>
        <v>107900</v>
        <stp/>
        <stp>P</stp>
        <stp>0</stp>
        <stp>STK</stp>
        <stp>N071320</stp>
        <stp>저가</stp>
        <stp/>
        <stp/>
        <tr r="Q271" s="1"/>
        <tr r="Q209" s="3"/>
      </tp>
      <tp>
        <v>17670</v>
        <stp/>
        <stp>P</stp>
        <stp>0</stp>
        <stp>STK</stp>
        <stp>N476060</stp>
        <stp>저가</stp>
        <stp/>
        <stp/>
        <tr r="Q340" s="1"/>
      </tp>
      <tp>
        <v>44300</v>
        <stp/>
        <stp>P</stp>
        <stp>0</stp>
        <stp>STK</stp>
        <stp>N475960</stp>
        <stp>저가</stp>
        <stp/>
        <stp/>
        <tr r="Q428" s="1"/>
      </tp>
      <tp>
        <v>23950</v>
        <stp/>
        <stp>P</stp>
        <stp>0</stp>
        <stp>STK</stp>
        <stp>N175330</stp>
        <stp>저가</stp>
        <stp/>
        <stp/>
        <tr r="Q118" s="1"/>
        <tr r="Q107" s="3"/>
      </tp>
      <tp>
        <v>23900</v>
        <stp/>
        <stp>P</stp>
        <stp>0</stp>
        <stp>STK</stp>
        <stp>N475560</stp>
        <stp>저가</stp>
        <stp/>
        <stp/>
        <tr r="Q571" s="1"/>
        <tr r="Q334" s="3"/>
      </tp>
      <tp>
        <v>109700</v>
        <stp/>
        <stp>P</stp>
        <stp>0</stp>
        <stp>STK</stp>
        <stp>N071320</stp>
        <stp>시가</stp>
        <stp/>
        <stp/>
        <tr r="O209" s="3"/>
        <tr r="O271" s="1"/>
      </tp>
      <tp>
        <v>9940</v>
        <stp/>
        <stp>P</stp>
        <stp>0</stp>
        <stp>STK</stp>
        <stp>N078520</stp>
        <stp>저가</stp>
        <stp/>
        <stp/>
        <tr r="Q368" s="3"/>
        <tr r="Q670" s="1"/>
      </tp>
      <tp>
        <v>23900</v>
        <stp/>
        <stp>P</stp>
        <stp>0</stp>
        <stp>STK</stp>
        <stp>N475560</stp>
        <stp>시가</stp>
        <stp/>
        <stp/>
        <tr r="O571" s="1"/>
        <tr r="O334" s="3"/>
      </tp>
      <tp>
        <v>24000</v>
        <stp/>
        <stp>P</stp>
        <stp>0</stp>
        <stp>STK</stp>
        <stp>N175330</stp>
        <stp>시가</stp>
        <stp/>
        <stp/>
        <tr r="O118" s="1"/>
        <tr r="O107" s="3"/>
      </tp>
      <tp>
        <v>44450</v>
        <stp/>
        <stp>P</stp>
        <stp>0</stp>
        <stp>STK</stp>
        <stp>N475960</stp>
        <stp>시가</stp>
        <stp/>
        <stp/>
        <tr r="O428" s="1"/>
      </tp>
      <tp>
        <v>17820</v>
        <stp/>
        <stp>P</stp>
        <stp>0</stp>
        <stp>STK</stp>
        <stp>N476060</stp>
        <stp>시가</stp>
        <stp/>
        <stp/>
        <tr r="O340" s="1"/>
      </tp>
      <tp>
        <v>17940</v>
        <stp/>
        <stp>P</stp>
        <stp>0</stp>
        <stp>STK</stp>
        <stp>N476060</stp>
        <stp>고가</stp>
        <stp/>
        <stp/>
        <tr r="P340" s="1"/>
      </tp>
      <tp>
        <v>45100</v>
        <stp/>
        <stp>P</stp>
        <stp>0</stp>
        <stp>STK</stp>
        <stp>N475960</stp>
        <stp>고가</stp>
        <stp/>
        <stp/>
        <tr r="P428" s="1"/>
      </tp>
      <tp>
        <v>24200</v>
        <stp/>
        <stp>P</stp>
        <stp>0</stp>
        <stp>STK</stp>
        <stp>N175330</stp>
        <stp>고가</stp>
        <stp/>
        <stp/>
        <tr r="P118" s="1"/>
        <tr r="P107" s="3"/>
      </tp>
      <tp>
        <v>24050</v>
        <stp/>
        <stp>P</stp>
        <stp>0</stp>
        <stp>STK</stp>
        <stp>N475560</stp>
        <stp>고가</stp>
        <stp/>
        <stp/>
        <tr r="P571" s="1"/>
        <tr r="P334" s="3"/>
      </tp>
      <tp>
        <v>109700</v>
        <stp/>
        <stp>P</stp>
        <stp>0</stp>
        <stp>STK</stp>
        <stp>N071320</stp>
        <stp>고가</stp>
        <stp/>
        <stp/>
        <tr r="P271" s="1"/>
        <tr r="P209" s="3"/>
      </tp>
      <tp>
        <v>10180</v>
        <stp/>
        <stp>P</stp>
        <stp>0</stp>
        <stp>STK</stp>
        <stp>N078520</stp>
        <stp>고가</stp>
        <stp/>
        <stp/>
        <tr r="P368" s="3"/>
        <tr r="P670" s="1"/>
      </tp>
      <tp>
        <v>625000</v>
        <stp/>
        <stp>P</stp>
        <stp>0</stp>
        <stp>STK</stp>
        <stp>329180</stp>
        <stp>현재가</stp>
        <stp/>
        <stp/>
        <tr r="T13" s="1"/>
        <tr r="T13" s="3"/>
      </tp>
      <tp>
        <v>54100</v>
        <stp/>
        <stp>P</stp>
        <stp>0</stp>
        <stp>STK</stp>
        <stp>029780</stp>
        <stp>현재가</stp>
        <stp/>
        <stp/>
        <tr r="T98" s="3"/>
        <tr r="T98" s="1"/>
      </tp>
      <tp>
        <v>39200</v>
        <stp/>
        <stp>P</stp>
        <stp>0</stp>
        <stp>STK</stp>
        <stp>229640</stp>
        <stp>현재가</stp>
        <stp/>
        <stp/>
        <tr r="T289" s="1"/>
        <tr r="T289" s="3"/>
      </tp>
      <tp>
        <v>46050</v>
        <stp/>
        <stp>P</stp>
        <stp>0</stp>
        <stp>STK</stp>
        <stp>029530</stp>
        <stp>현재가</stp>
        <stp/>
        <stp/>
        <tr r="T499" s="1"/>
      </tp>
      <tp>
        <v>28500</v>
        <stp/>
        <stp>P</stp>
        <stp>0</stp>
        <stp>STK</stp>
        <stp>029460</stp>
        <stp>현재가</stp>
        <stp/>
        <stp/>
        <tr r="T554" s="1"/>
      </tp>
      <tp>
        <v>428000</v>
        <stp/>
        <stp>P</stp>
        <stp>0</stp>
        <stp>STK</stp>
        <stp>128940</stp>
        <stp>현재가</stp>
        <stp/>
        <stp/>
        <tr r="T106" s="3"/>
        <tr r="T106" s="1"/>
      </tp>
      <tp>
        <v>53400</v>
        <stp/>
        <stp>P</stp>
        <stp>0</stp>
        <stp>STK</stp>
        <stp>028300</stp>
        <stp>현재가</stp>
        <stp/>
        <stp/>
        <tr r="T93" s="3"/>
        <tr r="T93" s="1"/>
      </tp>
      <tp>
        <v>298500</v>
        <stp/>
        <stp>P</stp>
        <stp>0</stp>
        <stp>STK</stp>
        <stp>028260</stp>
        <stp>현재가</stp>
        <stp/>
        <stp/>
        <tr r="T17" s="1"/>
        <tr r="T17" s="3"/>
      </tp>
      <tp>
        <v>37850</v>
        <stp/>
        <stp>P</stp>
        <stp>0</stp>
        <stp>STK</stp>
        <stp>328130</stp>
        <stp>현재가</stp>
        <stp/>
        <stp/>
        <tr r="T295" s="1"/>
        <tr r="T295" s="3"/>
      </tp>
      <tp>
        <v>25100</v>
        <stp/>
        <stp>P</stp>
        <stp>0</stp>
        <stp>STK</stp>
        <stp>028050</stp>
        <stp>현재가</stp>
        <stp/>
        <stp/>
        <tr r="T110" s="1"/>
        <tr r="T110" s="3"/>
      </tp>
      <tp>
        <v>23150</v>
        <stp/>
        <stp>P</stp>
        <stp>0</stp>
        <stp>STK</stp>
        <stp>228760</stp>
        <stp>현재가</stp>
        <stp/>
        <stp/>
        <tr r="T449" s="1"/>
      </tp>
      <tp>
        <v>4395</v>
        <stp/>
        <stp>P</stp>
        <stp>0</stp>
        <stp>STK</stp>
        <stp>028670</stp>
        <stp>현재가</stp>
        <stp/>
        <stp/>
        <tr r="T188" s="1"/>
        <tr r="T188" s="3"/>
      </tp>
      <tp>
        <v>7810</v>
        <stp/>
        <stp>P</stp>
        <stp>0</stp>
        <stp>STK</stp>
        <stp>025980</stp>
        <stp>현재가</stp>
        <stp/>
        <stp/>
        <tr r="T373" s="1"/>
        <tr r="T373" s="3"/>
      </tp>
      <tp>
        <v>9030</v>
        <stp/>
        <stp>P</stp>
        <stp>0</stp>
        <stp>STK</stp>
        <stp>025900</stp>
        <stp>현재가</stp>
        <stp/>
        <stp/>
        <tr r="T527" s="1"/>
      </tp>
      <tp>
        <v>5730</v>
        <stp/>
        <stp>P</stp>
        <stp>0</stp>
        <stp>STK</stp>
        <stp>025320</stp>
        <stp>현재가</stp>
        <stp/>
        <stp/>
        <tr r="T473" s="1"/>
      </tp>
      <tp>
        <v>7640</v>
        <stp/>
        <stp>P</stp>
        <stp>0</stp>
        <stp>STK</stp>
        <stp>025770</stp>
        <stp>현재가</stp>
        <stp/>
        <stp/>
        <tr r="T633" s="1"/>
      </tp>
      <tp>
        <v>12170</v>
        <stp/>
        <stp>P</stp>
        <stp>0</stp>
        <stp>STK</stp>
        <stp>225570</stp>
        <stp>현재가</stp>
        <stp/>
        <stp/>
        <tr r="T354" s="3"/>
        <tr r="T354" s="1"/>
      </tp>
      <tp>
        <v>75400</v>
        <stp/>
        <stp>P</stp>
        <stp>0</stp>
        <stp>STK</stp>
        <stp>025540</stp>
        <stp>현재가</stp>
        <stp/>
        <stp/>
        <tr r="T352" s="1"/>
        <tr r="T352" s="3"/>
      </tp>
      <tp>
        <v>19180</v>
        <stp/>
        <stp>P</stp>
        <stp>0</stp>
        <stp>STK</stp>
        <stp>125490</stp>
        <stp>현재가</stp>
        <stp/>
        <stp/>
        <tr r="T374" s="1"/>
        <tr r="T374" s="3"/>
      </tp>
      <tp>
        <v>34250</v>
        <stp/>
        <stp>P</stp>
        <stp>0</stp>
        <stp>STK</stp>
        <stp>425420</stp>
        <stp>현재가</stp>
        <stp/>
        <stp/>
        <tr r="T532" s="1"/>
      </tp>
      <tp>
        <v>10410</v>
        <stp/>
        <stp>P</stp>
        <stp>0</stp>
        <stp>STK</stp>
        <stp>424870</stp>
        <stp>현재가</stp>
        <stp/>
        <stp/>
        <tr r="T353" s="3"/>
        <tr r="T353" s="1"/>
      </tp>
      <tp>
        <v>20950</v>
        <stp/>
        <stp>P</stp>
        <stp>0</stp>
        <stp>STK</stp>
        <stp>024110</stp>
        <stp>현재가</stp>
        <stp/>
        <stp/>
        <tr r="T52" s="3"/>
        <tr r="T52" s="1"/>
      </tp>
      <tp>
        <v>9500</v>
        <stp/>
        <stp>P</stp>
        <stp>0</stp>
        <stp>STK</stp>
        <stp>024720</stp>
        <stp>현재가</stp>
        <stp/>
        <stp/>
        <tr r="T602" s="1"/>
      </tp>
      <tp>
        <v>22300</v>
        <stp/>
        <stp>P</stp>
        <stp>0</stp>
        <stp>STK</stp>
        <stp>127120</stp>
        <stp>현재가</stp>
        <stp/>
        <stp/>
        <tr r="T402" s="1"/>
      </tp>
      <tp>
        <v>118500</v>
        <stp/>
        <stp>P</stp>
        <stp>0</stp>
        <stp>STK</stp>
        <stp>226950</stp>
        <stp>현재가</stp>
        <stp/>
        <stp/>
        <tr r="T186" s="3"/>
        <tr r="T186" s="1"/>
      </tp>
      <tp>
        <v>26250</v>
        <stp/>
        <stp>P</stp>
        <stp>0</stp>
        <stp>STK</stp>
        <stp>026960</stp>
        <stp>현재가</stp>
        <stp/>
        <stp/>
        <tr r="T172" s="1"/>
        <tr r="T172" s="3"/>
      </tp>
      <tp>
        <v>10190</v>
        <stp/>
        <stp>P</stp>
        <stp>0</stp>
        <stp>STK</stp>
        <stp>026890</stp>
        <stp>현재가</stp>
        <stp/>
        <stp/>
        <tr r="T530" s="1"/>
      </tp>
      <tp>
        <v>11120</v>
        <stp/>
        <stp>P</stp>
        <stp>0</stp>
        <stp>STK</stp>
        <stp>226320</stp>
        <stp>현재가</stp>
        <stp/>
        <stp/>
        <tr r="T676" s="1"/>
      </tp>
      <tp>
        <v>87200</v>
        <stp/>
        <stp>P</stp>
        <stp>0</stp>
        <stp>STK</stp>
        <stp>126340</stp>
        <stp>현재가</stp>
        <stp/>
        <stp/>
        <tr r="T431" s="1"/>
      </tp>
      <tp>
        <v>117400</v>
        <stp/>
        <stp>P</stp>
        <stp>0</stp>
        <stp>STK</stp>
        <stp>326030</stp>
        <stp>현재가</stp>
        <stp/>
        <stp/>
        <tr r="T78" s="3"/>
        <tr r="T78" s="1"/>
      </tp>
      <tp>
        <v>26150</v>
        <stp/>
        <stp>P</stp>
        <stp>0</stp>
        <stp>STK</stp>
        <stp>126720</stp>
        <stp>현재가</stp>
        <stp/>
        <stp/>
        <tr r="T544" s="1"/>
      </tp>
      <tp>
        <v>76000</v>
        <stp/>
        <stp>P</stp>
        <stp>0</stp>
        <stp>STK</stp>
        <stp>021240</stp>
        <stp>현재가</stp>
        <stp/>
        <stp/>
        <tr r="T103" s="3"/>
        <tr r="T103" s="1"/>
      </tp>
      <tp>
        <v>57900</v>
        <stp/>
        <stp>P</stp>
        <stp>0</stp>
        <stp>STK</stp>
        <stp>121600</stp>
        <stp>현재가</stp>
        <stp/>
        <stp/>
        <tr r="T416" s="1"/>
      </tp>
      <tp>
        <v>23200</v>
        <stp/>
        <stp>P</stp>
        <stp>0</stp>
        <stp>STK</stp>
        <stp>220100</stp>
        <stp>현재가</stp>
        <stp/>
        <stp/>
        <tr r="T458" s="1"/>
      </tp>
      <tp>
        <v>47400</v>
        <stp/>
        <stp>P</stp>
        <stp>0</stp>
        <stp>STK</stp>
        <stp>120110</stp>
        <stp>현재가</stp>
        <stp/>
        <stp/>
        <tr r="T277" s="3"/>
        <tr r="T277" s="1"/>
      </tp>
      <tp>
        <v>41100</v>
        <stp/>
        <stp>P</stp>
        <stp>0</stp>
        <stp>STK</stp>
        <stp>020150</stp>
        <stp>현재가</stp>
        <stp/>
        <stp/>
        <tr r="T225" s="1"/>
        <tr r="T225" s="3"/>
      </tp>
      <tp>
        <v>15170</v>
        <stp/>
        <stp>P</stp>
        <stp>0</stp>
        <stp>STK</stp>
        <stp>020000</stp>
        <stp>현재가</stp>
        <stp/>
        <stp/>
        <tr r="T584" s="1"/>
      </tp>
      <tp>
        <v>51600</v>
        <stp/>
        <stp>P</stp>
        <stp>0</stp>
        <stp>STK</stp>
        <stp>420770</stp>
        <stp>현재가</stp>
        <stp/>
        <stp/>
        <tr r="T384" s="1"/>
      </tp>
      <tp>
        <v>7710</v>
        <stp/>
        <stp>P</stp>
        <stp>0</stp>
        <stp>STK</stp>
        <stp>020560</stp>
        <stp>현재가</stp>
        <stp/>
        <stp/>
        <tr r="T243" s="3"/>
        <tr r="T243" s="1"/>
      </tp>
      <tp>
        <v>48150</v>
        <stp/>
        <stp>P</stp>
        <stp>0</stp>
        <stp>STK</stp>
        <stp>323280</stp>
        <stp>현재가</stp>
        <stp/>
        <stp/>
        <tr r="T255" s="3"/>
        <tr r="T255" s="1"/>
      </tp>
      <tp>
        <v>25700</v>
        <stp/>
        <stp>P</stp>
        <stp>0</stp>
        <stp>STK</stp>
        <stp>023160</stp>
        <stp>현재가</stp>
        <stp/>
        <stp/>
        <tr r="T386" s="1"/>
      </tp>
      <tp>
        <v>40150</v>
        <stp/>
        <stp>P</stp>
        <stp>0</stp>
        <stp>STK</stp>
        <stp>023590</stp>
        <stp>현재가</stp>
        <stp/>
        <stp/>
        <tr r="T222" s="1"/>
        <tr r="T222" s="3"/>
      </tp>
      <tp>
        <v>78000</v>
        <stp/>
        <stp>P</stp>
        <stp>0</stp>
        <stp>STK</stp>
        <stp>023530</stp>
        <stp>현재가</stp>
        <stp/>
        <stp/>
        <tr r="T200" s="3"/>
        <tr r="T200" s="1"/>
      </tp>
      <tp>
        <v>21650</v>
        <stp/>
        <stp>P</stp>
        <stp>0</stp>
        <stp>STK</stp>
        <stp>323410</stp>
        <stp>현재가</stp>
        <stp/>
        <stp/>
        <tr r="T72" s="3"/>
        <tr r="T72" s="1"/>
      </tp>
      <tp>
        <v>48100</v>
        <stp/>
        <stp>P</stp>
        <stp>0</stp>
        <stp>STK</stp>
        <stp>222800</stp>
        <stp>현재가</stp>
        <stp/>
        <stp/>
        <tr r="T220" s="3"/>
        <tr r="T220" s="1"/>
      </tp>
      <tp>
        <v>71000</v>
        <stp/>
        <stp>P</stp>
        <stp>0</stp>
        <stp>STK</stp>
        <stp>122870</stp>
        <stp>현재가</stp>
        <stp/>
        <stp/>
        <tr r="T270" s="1"/>
        <tr r="T270" s="3"/>
      </tp>
      <tp>
        <v>40650</v>
        <stp/>
        <stp>P</stp>
        <stp>0</stp>
        <stp>STK</stp>
        <stp>022100</stp>
        <stp>현재가</stp>
        <stp/>
        <stp/>
        <tr r="T95" s="3"/>
        <tr r="T95" s="1"/>
      </tp>
      <tp>
        <v>10070</v>
        <stp/>
        <stp>P</stp>
        <stp>0</stp>
        <stp>STK</stp>
        <stp>222080</stp>
        <stp>현재가</stp>
        <stp/>
        <stp/>
        <tr r="T438" s="1"/>
      </tp>
      <tp>
        <v>59300</v>
        <stp/>
        <stp>P</stp>
        <stp>0</stp>
        <stp>STK</stp>
        <stp>322000</stp>
        <stp>현재가</stp>
        <stp/>
        <stp/>
        <tr r="T420" s="1"/>
      </tp>
      <tp>
        <v>18660</v>
        <stp/>
        <stp>P</stp>
        <stp>0</stp>
        <stp>STK</stp>
        <stp>122640</stp>
        <stp>현재가</stp>
        <stp/>
        <stp/>
        <tr r="T541" s="1"/>
      </tp>
      <tp>
        <v>486</v>
        <stp/>
        <stp>P</stp>
        <stp>0</stp>
        <stp>STK</stp>
        <stp>286940</stp>
        <stp>누적거래량</stp>
        <stp/>
        <stp/>
        <tr r="U593" s="1"/>
      </tp>
      <tp>
        <v>1452</v>
        <stp/>
        <stp>P</stp>
        <stp>0</stp>
        <stp>STK</stp>
        <stp>026960</stp>
        <stp>누적거래량</stp>
        <stp/>
        <stp/>
        <tr r="U172" s="1"/>
        <tr r="U172" s="3"/>
      </tp>
      <tp>
        <v>16701</v>
        <stp/>
        <stp>P</stp>
        <stp>0</stp>
        <stp>STK</stp>
        <stp>131970</stp>
        <stp>누적거래량</stp>
        <stp/>
        <stp/>
        <tr r="U308" s="3"/>
        <tr r="U308" s="1"/>
      </tp>
      <tp>
        <v>23</v>
        <stp/>
        <stp>P</stp>
        <stp>0</stp>
        <stp>STK</stp>
        <stp>002960</stp>
        <stp>누적거래량</stp>
        <stp/>
        <stp/>
        <tr r="U442" s="1"/>
      </tp>
      <tp>
        <v>875</v>
        <stp/>
        <stp>P</stp>
        <stp>0</stp>
        <stp>STK</stp>
        <stp>003960</stp>
        <stp>누적거래량</stp>
        <stp/>
        <stp/>
        <tr r="U598" s="1"/>
      </tp>
      <tp>
        <v>1673</v>
        <stp/>
        <stp>P</stp>
        <stp>0</stp>
        <stp>STK</stp>
        <stp>207940</stp>
        <stp>누적거래량</stp>
        <stp/>
        <stp/>
        <tr r="U10" s="1"/>
        <tr r="U10" s="3"/>
      </tp>
      <tp>
        <v>6688</v>
        <stp/>
        <stp>P</stp>
        <stp>0</stp>
        <stp>STK</stp>
        <stp>307950</stp>
        <stp>누적거래량</stp>
        <stp/>
        <stp/>
        <tr r="U58" s="3"/>
        <tr r="U58" s="1"/>
      </tp>
      <tp>
        <v>8435</v>
        <stp/>
        <stp>P</stp>
        <stp>0</stp>
        <stp>STK</stp>
        <stp>017960</stp>
        <stp>누적거래량</stp>
        <stp/>
        <stp/>
        <tr r="U218" s="1"/>
        <tr r="U218" s="3"/>
      </tp>
      <tp>
        <v>10485</v>
        <stp/>
        <stp>P</stp>
        <stp>0</stp>
        <stp>STK</stp>
        <stp>064960</stp>
        <stp>누적거래량</stp>
        <stp/>
        <stp/>
        <tr r="U299" s="3"/>
        <tr r="U299" s="1"/>
      </tp>
      <tp>
        <v>612</v>
        <stp/>
        <stp>P</stp>
        <stp>0</stp>
        <stp>STK</stp>
        <stp>069960</stp>
        <stp>누적거래량</stp>
        <stp/>
        <stp/>
        <tr r="U203" s="3"/>
        <tr r="U203" s="1"/>
      </tp>
      <tp>
        <v>444</v>
        <stp/>
        <stp>P</stp>
        <stp>0</stp>
        <stp>STK</stp>
        <stp>271940</stp>
        <stp>누적거래량</stp>
        <stp/>
        <stp/>
        <tr r="U481" s="1"/>
      </tp>
      <tp>
        <v>9649</v>
        <stp/>
        <stp>P</stp>
        <stp>0</stp>
        <stp>STK</stp>
        <stp>089970</stp>
        <stp>누적거래량</stp>
        <stp/>
        <stp/>
        <tr r="U406" s="1"/>
      </tp>
      <tp>
        <v>8461</v>
        <stp/>
        <stp>P</stp>
        <stp>0</stp>
        <stp>STK</stp>
        <stp>226950</stp>
        <stp>누적거래량</stp>
        <stp/>
        <stp/>
        <tr r="U186" s="1"/>
        <tr r="U186" s="3"/>
      </tp>
      <tp>
        <v>70</v>
        <stp/>
        <stp>P</stp>
        <stp>0</stp>
        <stp>STK</stp>
        <stp>009970</stp>
        <stp>누적거래량</stp>
        <stp/>
        <stp/>
        <tr r="U173" s="1"/>
        <tr r="U173" s="3"/>
      </tp>
      <tp>
        <v>1095</v>
        <stp/>
        <stp>P</stp>
        <stp>0</stp>
        <stp>STK</stp>
        <stp>460930</stp>
        <stp>누적거래량</stp>
        <stp/>
        <stp/>
        <tr r="U396" s="1"/>
      </tp>
      <tp>
        <v>51107</v>
        <stp/>
        <stp>P</stp>
        <stp>0</stp>
        <stp>STK</stp>
        <stp>066970</stp>
        <stp>누적거래량</stp>
        <stp/>
        <stp/>
        <tr r="U115" s="3"/>
        <tr r="U115" s="1"/>
      </tp>
      <tp>
        <v>8990</v>
        <stp/>
        <stp>P</stp>
        <stp>0</stp>
        <stp>STK</stp>
        <stp>071970</stp>
        <stp>누적거래량</stp>
        <stp/>
        <stp/>
        <tr r="U148" s="3"/>
        <tr r="U148" s="1"/>
      </tp>
      <tp>
        <v>10231</v>
        <stp/>
        <stp>P</stp>
        <stp>0</stp>
        <stp>STK</stp>
        <stp>077970</stp>
        <stp>누적거래량</stp>
        <stp/>
        <stp/>
        <tr r="U246" s="3"/>
        <tr r="U246" s="1"/>
      </tp>
      <tp>
        <v>1423</v>
        <stp/>
        <stp>P</stp>
        <stp>0</stp>
        <stp>STK</stp>
        <stp>058970</stp>
        <stp>누적거래량</stp>
        <stp/>
        <stp/>
        <tr r="U509" s="1"/>
      </tp>
      <tp>
        <v>382</v>
        <stp/>
        <stp>P</stp>
        <stp>0</stp>
        <stp>STK</stp>
        <stp>381970</stp>
        <stp>누적거래량</stp>
        <stp/>
        <stp/>
        <tr r="U376" s="1"/>
        <tr r="U376" s="3"/>
      </tp>
      <tp>
        <v>3</v>
        <stp/>
        <stp>P</stp>
        <stp>0</stp>
        <stp>STK</stp>
        <stp>001940</stp>
        <stp>누적거래량</stp>
        <stp/>
        <stp/>
        <tr r="U551" s="1"/>
      </tp>
      <tp>
        <v>56204</v>
        <stp/>
        <stp>P</stp>
        <stp>0</stp>
        <stp>STK</stp>
        <stp>005940</stp>
        <stp>누적거래량</stp>
        <stp/>
        <stp/>
        <tr r="U85" s="1"/>
        <tr r="U85" s="3"/>
      </tp>
      <tp>
        <v>1582</v>
        <stp/>
        <stp>P</stp>
        <stp>0</stp>
        <stp>STK</stp>
        <stp>014940</stp>
        <stp>누적거래량</stp>
        <stp/>
        <stp/>
        <tr r="U550" s="1"/>
      </tp>
      <tp>
        <v>76</v>
        <stp/>
        <stp>P</stp>
        <stp>0</stp>
        <stp>STK</stp>
        <stp>017940</stp>
        <stp>누적거래량</stp>
        <stp/>
        <stp/>
        <tr r="U444" s="1"/>
      </tp>
      <tp>
        <v>17</v>
        <stp/>
        <stp>P</stp>
        <stp>0</stp>
        <stp>STK</stp>
        <stp>079940</stp>
        <stp>누적거래량</stp>
        <stp/>
        <stp/>
        <tr r="U517" s="1"/>
      </tp>
      <tp>
        <v>2738</v>
        <stp/>
        <stp>P</stp>
        <stp>0</stp>
        <stp>STK</stp>
        <stp>448900</stp>
        <stp>누적거래량</stp>
        <stp/>
        <stp/>
        <tr r="U486" s="1"/>
      </tp>
      <tp>
        <v>26247</v>
        <stp/>
        <stp>P</stp>
        <stp>0</stp>
        <stp>STK</stp>
        <stp>455900</stp>
        <stp>누적거래량</stp>
        <stp/>
        <stp/>
        <tr r="U415" s="1"/>
      </tp>
      <tp>
        <v>1137</v>
        <stp/>
        <stp>P</stp>
        <stp>0</stp>
        <stp>STK</stp>
        <stp>259960</stp>
        <stp>누적거래량</stp>
        <stp/>
        <stp/>
        <tr r="U67" s="3"/>
        <tr r="U67" s="1"/>
      </tp>
      <tp>
        <v>4604</v>
        <stp/>
        <stp>P</stp>
        <stp>0</stp>
        <stp>STK</stp>
        <stp>195940</stp>
        <stp>누적거래량</stp>
        <stp/>
        <stp/>
        <tr r="U262" s="1"/>
        <tr r="U262" s="3"/>
      </tp>
      <tp>
        <v>583</v>
        <stp/>
        <stp>P</stp>
        <stp>0</stp>
        <stp>STK</stp>
        <stp>097950</stp>
        <stp>누적거래량</stp>
        <stp/>
        <stp/>
        <tr r="U147" s="3"/>
        <tr r="U147" s="1"/>
      </tp>
      <tp>
        <v>1656</v>
        <stp/>
        <stp>P</stp>
        <stp>0</stp>
        <stp>STK</stp>
        <stp>128940</stp>
        <stp>누적거래량</stp>
        <stp/>
        <stp/>
        <tr r="U106" s="3"/>
        <tr r="U106" s="1"/>
      </tp>
      <tp>
        <v>223</v>
        <stp/>
        <stp>P</stp>
        <stp>0</stp>
        <stp>STK</stp>
        <stp>034950</stp>
        <stp>누적거래량</stp>
        <stp/>
        <stp/>
        <tr r="U508" s="1"/>
      </tp>
      <tp>
        <v>1540</v>
        <stp/>
        <stp>P</stp>
        <stp>0</stp>
        <stp>STK</stp>
        <stp>102940</stp>
        <stp>누적거래량</stp>
        <stp/>
        <stp/>
        <tr r="U424" s="1"/>
      </tp>
      <tp>
        <v>6346</v>
        <stp/>
        <stp>P</stp>
        <stp>0</stp>
        <stp>STK</stp>
        <stp>010950</stp>
        <stp>누적거래량</stp>
        <stp/>
        <stp/>
        <tr r="U69" s="3"/>
        <tr r="U69" s="1"/>
      </tp>
      <tp>
        <v>4074</v>
        <stp/>
        <stp>P</stp>
        <stp>0</stp>
        <stp>STK</stp>
        <stp>251970</stp>
        <stp>누적거래량</stp>
        <stp/>
        <stp/>
        <tr r="U393" s="1"/>
      </tp>
      <tp>
        <v>21</v>
        <stp/>
        <stp>P</stp>
        <stp>0</stp>
        <stp>STK</stp>
        <stp>054950</stp>
        <stp>누적거래량</stp>
        <stp/>
        <stp/>
        <tr r="U614" s="1"/>
      </tp>
      <tp>
        <v>34506</v>
        <stp/>
        <stp>P</stp>
        <stp>0</stp>
        <stp>STK</stp>
        <stp>454910</stp>
        <stp>누적거래량</stp>
        <stp/>
        <stp/>
        <tr r="U87" s="3"/>
        <tr r="U87" s="1"/>
      </tp>
      <tp>
        <v>26788</v>
        <stp/>
        <stp>P</stp>
        <stp>0</stp>
        <stp>STK</stp>
        <stp>082920</stp>
        <stp>누적거래량</stp>
        <stp/>
        <stp/>
        <tr r="U328" s="1"/>
        <tr r="U328" s="3"/>
      </tp>
      <tp>
        <v>12984</v>
        <stp/>
        <stp>P</stp>
        <stp>0</stp>
        <stp>STK</stp>
        <stp>138930</stp>
        <stp>누적거래량</stp>
        <stp/>
        <stp/>
        <tr r="U112" s="1"/>
        <tr r="U112" s="3"/>
      </tp>
      <tp>
        <v>121</v>
        <stp/>
        <stp>P</stp>
        <stp>0</stp>
        <stp>STK</stp>
        <stp>101930</stp>
        <stp>누적거래량</stp>
        <stp/>
        <stp/>
        <tr r="U522" s="1"/>
      </tp>
      <tp>
        <v>76</v>
        <stp/>
        <stp>P</stp>
        <stp>0</stp>
        <stp>STK</stp>
        <stp>003920</stp>
        <stp>누적거래량</stp>
        <stp/>
        <stp/>
        <tr r="U617" s="1"/>
      </tp>
      <tp>
        <v>1114</v>
        <stp/>
        <stp>P</stp>
        <stp>0</stp>
        <stp>STK</stp>
        <stp>475960</stp>
        <stp>누적거래량</stp>
        <stp/>
        <stp/>
        <tr r="U428" s="1"/>
      </tp>
      <tp>
        <v>3045</v>
        <stp/>
        <stp>P</stp>
        <stp>0</stp>
        <stp>STK</stp>
        <stp>047920</stp>
        <stp>누적거래량</stp>
        <stp/>
        <stp/>
        <tr r="U448" s="1"/>
      </tp>
      <tp>
        <v>1679</v>
        <stp/>
        <stp>P</stp>
        <stp>0</stp>
        <stp>STK</stp>
        <stp>382900</stp>
        <stp>누적거래량</stp>
        <stp/>
        <stp/>
        <tr r="U651" s="1"/>
      </tp>
      <tp>
        <v>10889</v>
        <stp/>
        <stp>P</stp>
        <stp>0</stp>
        <stp>STK</stp>
        <stp>036930</stp>
        <stp>누적거래량</stp>
        <stp/>
        <stp/>
        <tr r="U248" s="1"/>
        <tr r="U248" s="3"/>
      </tp>
      <tp>
        <v>1464330</v>
        <stp/>
        <stp>P</stp>
        <stp>0</stp>
        <stp>STK</stp>
        <stp>005930</stp>
        <stp>누적거래량</stp>
        <stp/>
        <stp/>
        <tr r="U6" s="1"/>
        <tr r="U6" s="3"/>
      </tp>
      <tp>
        <v>3757</v>
        <stp/>
        <stp>P</stp>
        <stp>0</stp>
        <stp>STK</stp>
        <stp>008930</stp>
        <stp>누적거래량</stp>
        <stp/>
        <stp/>
        <tr r="U165" s="3"/>
        <tr r="U165" s="1"/>
      </tp>
      <tp>
        <v>9341</v>
        <stp/>
        <stp>P</stp>
        <stp>0</stp>
        <stp>STK</stp>
        <stp>376900</stp>
        <stp>누적거래량</stp>
        <stp/>
        <stp/>
        <tr r="U310" s="1"/>
        <tr r="U310" s="3"/>
      </tp>
      <tp>
        <v>5355</v>
        <stp/>
        <stp>P</stp>
        <stp>0</stp>
        <stp>STK</stp>
        <stp>078930</stp>
        <stp>누적거래량</stp>
        <stp/>
        <stp/>
        <tr r="U101" s="3"/>
        <tr r="U101" s="1"/>
      </tp>
      <tp>
        <v>3205</v>
        <stp/>
        <stp>P</stp>
        <stp>0</stp>
        <stp>STK</stp>
        <stp>178920</stp>
        <stp>누적거래량</stp>
        <stp/>
        <stp/>
        <tr r="U501" s="1"/>
      </tp>
      <tp>
        <v>510</v>
        <stp/>
        <stp>P</stp>
        <stp>0</stp>
        <stp>STK</stp>
        <stp>086900</stp>
        <stp>누적거래량</stp>
        <stp/>
        <stp/>
        <tr r="U338" s="3"/>
        <tr r="U338" s="1"/>
      </tp>
      <tp>
        <v>24588</v>
        <stp/>
        <stp>P</stp>
        <stp>0</stp>
        <stp>STK</stp>
        <stp>025900</stp>
        <stp>누적거래량</stp>
        <stp/>
        <stp/>
        <tr r="U527" s="1"/>
      </tp>
      <tp>
        <v>15161</v>
        <stp/>
        <stp>P</stp>
        <stp>0</stp>
        <stp>STK</stp>
        <stp>035900</stp>
        <stp>누적거래량</stp>
        <stp/>
        <stp/>
        <tr r="U185" s="3"/>
        <tr r="U185" s="1"/>
      </tp>
      <tp>
        <v>5267</v>
        <stp/>
        <stp>P</stp>
        <stp>0</stp>
        <stp>STK</stp>
        <stp>009900</stp>
        <stp>누적거래량</stp>
        <stp/>
        <stp/>
        <tr r="U464" s="1"/>
      </tp>
      <tp>
        <v>36</v>
        <stp/>
        <stp>P</stp>
        <stp>0</stp>
        <stp>STK</stp>
        <stp>314930</stp>
        <stp>누적거래량</stp>
        <stp/>
        <stp/>
        <tr r="U573" s="1"/>
      </tp>
      <tp>
        <v>78347</v>
        <stp/>
        <stp>P</stp>
        <stp>0</stp>
        <stp>STK</stp>
        <stp>079900</stp>
        <stp>누적거래량</stp>
        <stp/>
        <stp/>
        <tr r="U382" s="1"/>
      </tp>
      <tp>
        <v>1364</v>
        <stp/>
        <stp>P</stp>
        <stp>0</stp>
        <stp>STK</stp>
        <stp>051900</stp>
        <stp>누적거래량</stp>
        <stp/>
        <stp/>
        <tr r="U124" s="1"/>
        <tr r="U124" s="3"/>
      </tp>
      <tp>
        <v>168</v>
        <stp/>
        <stp>P</stp>
        <stp>0</stp>
        <stp>STK</stp>
        <stp>170900</stp>
        <stp>누적거래량</stp>
        <stp/>
        <stp/>
        <tr r="U496" s="1"/>
      </tp>
      <tp>
        <v>1367</v>
        <stp/>
        <stp>P</stp>
        <stp>0</stp>
        <stp>STK</stp>
        <stp>179900</stp>
        <stp>누적거래량</stp>
        <stp/>
        <stp/>
        <tr r="U525" s="1"/>
      </tp>
      <tp>
        <v>3261</v>
        <stp/>
        <stp>P</stp>
        <stp>0</stp>
        <stp>STK</stp>
        <stp>450950</stp>
        <stp>누적거래량</stp>
        <stp/>
        <stp/>
        <tr r="U498" s="1"/>
      </tp>
      <tp>
        <v>33011</v>
        <stp/>
        <stp>P</stp>
        <stp>0</stp>
        <stp>STK</stp>
        <stp>051910</stp>
        <stp>누적거래량</stp>
        <stp/>
        <stp/>
        <tr r="U33" s="3"/>
        <tr r="U33" s="1"/>
      </tp>
      <tp>
        <v>6764</v>
        <stp/>
        <stp>P</stp>
        <stp>0</stp>
        <stp>STK</stp>
        <stp>473980</stp>
        <stp>누적거래량</stp>
        <stp/>
        <stp/>
        <tr r="U646" s="1"/>
      </tp>
      <tp>
        <v>12169</v>
        <stp/>
        <stp>P</stp>
        <stp>0</stp>
        <stp>STK</stp>
        <stp>486990</stp>
        <stp>누적거래량</stp>
        <stp/>
        <stp/>
        <tr r="U315" s="3"/>
        <tr r="U315" s="1"/>
      </tp>
      <tp>
        <v>10</v>
        <stp/>
        <stp>P</stp>
        <stp>0</stp>
        <stp>STK</stp>
        <stp>267980</stp>
        <stp>누적거래량</stp>
        <stp/>
        <stp/>
        <tr r="U655" s="1"/>
      </tp>
      <tp>
        <v>3659</v>
        <stp/>
        <stp>P</stp>
        <stp>0</stp>
        <stp>STK</stp>
        <stp>089980</stp>
        <stp>누적거래량</stp>
        <stp/>
        <stp/>
        <tr r="U678" s="1"/>
      </tp>
      <tp>
        <v>3141</v>
        <stp/>
        <stp>P</stp>
        <stp>0</stp>
        <stp>STK</stp>
        <stp>025980</stp>
        <stp>누적거래량</stp>
        <stp/>
        <stp/>
        <tr r="U373" s="1"/>
        <tr r="U373" s="3"/>
      </tp>
      <tp>
        <v>10400</v>
        <stp/>
        <stp>P</stp>
        <stp>0</stp>
        <stp>STK</stp>
        <stp>031980</stp>
        <stp>누적거래량</stp>
        <stp/>
        <stp/>
        <tr r="U258" s="3"/>
        <tr r="U258" s="1"/>
      </tp>
      <tp>
        <v>69</v>
        <stp/>
        <stp>P</stp>
        <stp>0</stp>
        <stp>STK</stp>
        <stp>004980</stp>
        <stp>누적거래량</stp>
        <stp/>
        <stp/>
        <tr r="U689" s="1"/>
      </tp>
      <tp>
        <v>1897</v>
        <stp/>
        <stp>P</stp>
        <stp>0</stp>
        <stp>STK</stp>
        <stp>110990</stp>
        <stp>누적거래량</stp>
        <stp/>
        <stp/>
        <tr r="U583" s="1"/>
      </tp>
      <tp>
        <v>49</v>
        <stp/>
        <stp>P</stp>
        <stp>0</stp>
        <stp>STK</stp>
        <stp>060980</stp>
        <stp>누적거래량</stp>
        <stp/>
        <stp/>
        <tr r="U505" s="1"/>
      </tp>
      <tp>
        <v>316</v>
        <stp/>
        <stp>P</stp>
        <stp>0</stp>
        <stp>STK</stp>
        <stp>145990</stp>
        <stp>누적거래량</stp>
        <stp/>
        <stp/>
        <tr r="U492" s="1"/>
      </tp>
      <tp>
        <v>7286</v>
        <stp/>
        <stp>P</stp>
        <stp>0</stp>
        <stp>STK</stp>
        <stp>000990</stp>
        <stp>누적거래량</stp>
        <stp/>
        <stp/>
        <tr r="U125" s="3"/>
        <tr r="U125" s="1"/>
      </tp>
      <tp>
        <v>19781</v>
        <stp/>
        <stp>P</stp>
        <stp>0</stp>
        <stp>STK</stp>
        <stp>004990</stp>
        <stp>누적거래량</stp>
        <stp/>
        <stp/>
        <tr r="U150" s="3"/>
        <tr r="U150" s="1"/>
      </tp>
      <tp>
        <v>2969</v>
        <stp/>
        <stp>P</stp>
        <stp>0</stp>
        <stp>STK</stp>
        <stp>0009K0</stp>
        <stp>누적거래량</stp>
        <stp/>
        <stp/>
        <tr r="U143" s="3"/>
        <tr r="U143" s="1"/>
      </tp>
      <tp>
        <v>1275</v>
        <stp/>
        <stp>P</stp>
        <stp>0</stp>
        <stp>STK</stp>
        <stp>287840</stp>
        <stp>누적거래량</stp>
        <stp/>
        <stp/>
        <tr r="U380" s="3"/>
        <tr r="U380" s="1"/>
      </tp>
      <tp>
        <v>156</v>
        <stp/>
        <stp>P</stp>
        <stp>0</stp>
        <stp>STK</stp>
        <stp>089860</stp>
        <stp>누적거래량</stp>
        <stp/>
        <stp/>
        <tr r="U297" s="3"/>
        <tr r="U297" s="1"/>
      </tp>
      <tp>
        <v>5885</v>
        <stp/>
        <stp>P</stp>
        <stp>0</stp>
        <stp>STK</stp>
        <stp>195870</stp>
        <stp>누적거래량</stp>
        <stp/>
        <stp/>
        <tr r="U332" s="1"/>
        <tr r="U332" s="3"/>
      </tp>
      <tp>
        <v>6992</v>
        <stp/>
        <stp>P</stp>
        <stp>0</stp>
        <stp>STK</stp>
        <stp>122870</stp>
        <stp>누적거래량</stp>
        <stp/>
        <stp/>
        <tr r="U270" s="3"/>
        <tr r="U270" s="1"/>
      </tp>
      <tp>
        <v>5040</v>
        <stp/>
        <stp>P</stp>
        <stp>0</stp>
        <stp>STK</stp>
        <stp>017860</stp>
        <stp>누적거래량</stp>
        <stp/>
        <stp/>
        <tr r="U594" s="1"/>
      </tp>
      <tp>
        <v>11694</v>
        <stp/>
        <stp>P</stp>
        <stp>0</stp>
        <stp>STK</stp>
        <stp>347850</stp>
        <stp>누적거래량</stp>
        <stp/>
        <stp/>
        <tr r="U138" s="3"/>
        <tr r="U138" s="1"/>
      </tp>
      <tp>
        <v>995</v>
        <stp/>
        <stp>P</stp>
        <stp>0</stp>
        <stp>STK</stp>
        <stp>338840</stp>
        <stp>누적거래량</stp>
        <stp/>
        <stp/>
        <tr r="U580" s="1"/>
      </tp>
      <tp>
        <v>2889</v>
        <stp/>
        <stp>P</stp>
        <stp>0</stp>
        <stp>STK</stp>
        <stp>108860</stp>
        <stp>누적거래량</stp>
        <stp/>
        <stp/>
        <tr r="U600" s="1"/>
      </tp>
      <tp>
        <v>6685</v>
        <stp/>
        <stp>P</stp>
        <stp>0</stp>
        <stp>STK</stp>
        <stp>475830</stp>
        <stp>누적거래량</stp>
        <stp/>
        <stp/>
        <tr r="U197" s="3"/>
        <tr r="U197" s="1"/>
      </tp>
      <tp>
        <v>6860</v>
        <stp/>
        <stp>P</stp>
        <stp>0</stp>
        <stp>STK</stp>
        <stp>476830</stp>
        <stp>누적거래량</stp>
        <stp/>
        <stp/>
        <tr r="U209" s="3"/>
        <tr r="U209" s="1"/>
      </tp>
      <tp>
        <v>409</v>
        <stp/>
        <stp>P</stp>
        <stp>0</stp>
        <stp>STK</stp>
        <stp>140860</stp>
        <stp>누적거래량</stp>
        <stp/>
        <stp/>
        <tr r="U238" s="3"/>
        <tr r="U238" s="1"/>
      </tp>
      <tp>
        <v>81</v>
        <stp/>
        <stp>P</stp>
        <stp>0</stp>
        <stp>STK</stp>
        <stp>039840</stp>
        <stp>누적거래량</stp>
        <stp/>
        <stp/>
        <tr r="U693" s="1"/>
      </tp>
      <tp>
        <v>9</v>
        <stp/>
        <stp>P</stp>
        <stp>0</stp>
        <stp>STK</stp>
        <stp>002840</stp>
        <stp>누적거래량</stp>
        <stp/>
        <stp/>
        <tr r="U392" s="1"/>
      </tp>
      <tp>
        <v>5422</v>
        <stp/>
        <stp>P</stp>
        <stp>0</stp>
        <stp>STK</stp>
        <stp>119850</stp>
        <stp>누적거래량</stp>
        <stp/>
        <stp/>
        <tr r="U432" s="1"/>
      </tp>
      <tp>
        <v>331</v>
        <stp/>
        <stp>P</stp>
        <stp>0</stp>
        <stp>STK</stp>
        <stp>084850</stp>
        <stp>누적거래량</stp>
        <stp/>
        <stp/>
        <tr r="U695" s="1"/>
      </tp>
      <tp>
        <v>89486</v>
        <stp/>
        <stp>P</stp>
        <stp>0</stp>
        <stp>STK</stp>
        <stp>484810</stp>
        <stp>누적거래량</stp>
        <stp/>
        <stp/>
        <tr r="U559" s="1"/>
      </tp>
      <tp>
        <v>10910</v>
        <stp/>
        <stp>P</stp>
        <stp>0</stp>
        <stp>STK</stp>
        <stp>294870</stp>
        <stp>누적거래량</stp>
        <stp/>
        <stp/>
        <tr r="U264" s="1"/>
        <tr r="U264" s="3"/>
      </tp>
      <tp>
        <v>4950</v>
        <stp/>
        <stp>P</stp>
        <stp>0</stp>
        <stp>STK</stp>
        <stp>100840</stp>
        <stp>누적거래량</stp>
        <stp/>
        <stp/>
        <tr r="U347" s="1"/>
        <tr r="U347" s="3"/>
      </tp>
      <tp>
        <v>7852</v>
        <stp/>
        <stp>P</stp>
        <stp>0</stp>
        <stp>STK</stp>
        <stp>003850</stp>
        <stp>누적거래량</stp>
        <stp/>
        <stp/>
        <tr r="U366" s="1"/>
        <tr r="U366" s="3"/>
      </tp>
      <tp>
        <v>18323</v>
        <stp/>
        <stp>P</stp>
        <stp>0</stp>
        <stp>STK</stp>
        <stp>005850</stp>
        <stp>누적거래량</stp>
        <stp/>
        <stp/>
        <tr r="U144" s="3"/>
        <tr r="U144" s="1"/>
      </tp>
      <tp>
        <v>25468</v>
        <stp/>
        <stp>P</stp>
        <stp>0</stp>
        <stp>STK</stp>
        <stp>105840</stp>
        <stp>누적거래량</stp>
        <stp/>
        <stp/>
        <tr r="U451" s="1"/>
      </tp>
      <tp>
        <v>506</v>
        <stp/>
        <stp>P</stp>
        <stp>0</stp>
        <stp>STK</stp>
        <stp>114840</stp>
        <stp>누적거래량</stp>
        <stp/>
        <stp/>
        <tr r="U661" s="1"/>
      </tp>
      <tp>
        <v>1951</v>
        <stp/>
        <stp>P</stp>
        <stp>0</stp>
        <stp>STK</stp>
        <stp>356860</stp>
        <stp>누적거래량</stp>
        <stp/>
        <stp/>
        <tr r="U453" s="1"/>
      </tp>
      <tp>
        <v>9703</v>
        <stp/>
        <stp>P</stp>
        <stp>0</stp>
        <stp>STK</stp>
        <stp>222800</stp>
        <stp>누적거래량</stp>
        <stp/>
        <stp/>
        <tr r="U220" s="3"/>
        <tr r="U220" s="1"/>
      </tp>
      <tp>
        <v>7813</v>
        <stp/>
        <stp>P</stp>
        <stp>0</stp>
        <stp>STK</stp>
        <stp>001820</stp>
        <stp>누적거래량</stp>
        <stp/>
        <stp/>
        <tr r="U595" s="1"/>
      </tp>
      <tp>
        <v>2640</v>
        <stp/>
        <stp>P</stp>
        <stp>0</stp>
        <stp>STK</stp>
        <stp>104830</stp>
        <stp>누적거래량</stp>
        <stp/>
        <stp/>
        <tr r="U504" s="1"/>
      </tp>
      <tp>
        <v>3180</v>
        <stp/>
        <stp>P</stp>
        <stp>0</stp>
        <stp>STK</stp>
        <stp>014820</stp>
        <stp>누적거래량</stp>
        <stp/>
        <stp/>
        <tr r="U381" s="1"/>
      </tp>
      <tp>
        <v>8278</v>
        <stp/>
        <stp>P</stp>
        <stp>0</stp>
        <stp>STK</stp>
        <stp>460860</stp>
        <stp>누적거래량</stp>
        <stp/>
        <stp/>
        <tr r="U533" s="1"/>
      </tp>
      <tp>
        <v>6877</v>
        <stp/>
        <stp>P</stp>
        <stp>0</stp>
        <stp>STK</stp>
        <stp>064820</stp>
        <stp>누적거래량</stp>
        <stp/>
        <stp/>
        <tr r="U548" s="1"/>
      </tp>
      <tp>
        <v>6405</v>
        <stp/>
        <stp>P</stp>
        <stp>0</stp>
        <stp>STK</stp>
        <stp>383800</stp>
        <stp>누적거래량</stp>
        <stp/>
        <stp/>
        <tr r="U417" s="1"/>
      </tp>
      <tp>
        <v>1225</v>
        <stp/>
        <stp>P</stp>
        <stp>0</stp>
        <stp>STK</stp>
        <stp>484870</stp>
        <stp>누적거래량</stp>
        <stp/>
        <stp/>
        <tr r="U256" s="1"/>
        <tr r="U256" s="3"/>
      </tp>
      <tp>
        <v>2440</v>
        <stp/>
        <stp>P</stp>
        <stp>0</stp>
        <stp>STK</stp>
        <stp>192820</stp>
        <stp>누적거래량</stp>
        <stp/>
        <stp/>
        <tr r="U205" s="3"/>
        <tr r="U205" s="1"/>
      </tp>
      <tp>
        <v>1270</v>
        <stp/>
        <stp>P</stp>
        <stp>0</stp>
        <stp>STK</stp>
        <stp>394800</stp>
        <stp>누적거래량</stp>
        <stp/>
        <stp/>
        <tr r="U495" s="1"/>
      </tp>
      <tp>
        <v>9288</v>
        <stp/>
        <stp>P</stp>
        <stp>0</stp>
        <stp>STK</stp>
        <stp>424870</stp>
        <stp>누적거래량</stp>
        <stp/>
        <stp/>
        <tr r="U353" s="1"/>
        <tr r="U353" s="3"/>
      </tp>
      <tp>
        <v>19282</v>
        <stp/>
        <stp>P</stp>
        <stp>0</stp>
        <stp>STK</stp>
        <stp>032830</stp>
        <stp>누적거래량</stp>
        <stp/>
        <stp/>
        <tr r="U24" s="1"/>
        <tr r="U24" s="3"/>
      </tp>
      <tp>
        <v>2469</v>
        <stp/>
        <stp>P</stp>
        <stp>0</stp>
        <stp>STK</stp>
        <stp>036830</stp>
        <stp>누적거래량</stp>
        <stp/>
        <stp/>
        <tr r="U349" s="1"/>
        <tr r="U349" s="3"/>
      </tp>
      <tp>
        <v>16010</v>
        <stp/>
        <stp>P</stp>
        <stp>0</stp>
        <stp>STK</stp>
        <stp>403870</stp>
        <stp>누적거래량</stp>
        <stp/>
        <stp/>
        <tr r="U157" s="3"/>
        <tr r="U157" s="1"/>
      </tp>
      <tp>
        <v>3516</v>
        <stp/>
        <stp>P</stp>
        <stp>0</stp>
        <stp>STK</stp>
        <stp>005830</stp>
        <stp>누적거래량</stp>
        <stp/>
        <stp/>
        <tr r="U75" s="1"/>
        <tr r="U75" s="3"/>
      </tp>
      <tp>
        <v>272762</v>
        <stp/>
        <stp>P</stp>
        <stp>0</stp>
        <stp>STK</stp>
        <stp>009830</stp>
        <stp>누적거래량</stp>
        <stp/>
        <stp/>
        <tr r="U113" s="1"/>
        <tr r="U113" s="3"/>
      </tp>
      <tp>
        <v>26629</v>
        <stp/>
        <stp>P</stp>
        <stp>0</stp>
        <stp>STK</stp>
        <stp>014830</stp>
        <stp>누적거래량</stp>
        <stp/>
        <stp/>
        <tr r="U484" s="1"/>
      </tp>
      <tp>
        <v>207</v>
        <stp/>
        <stp>P</stp>
        <stp>0</stp>
        <stp>STK</stp>
        <stp>462870</stp>
        <stp>누적거래량</stp>
        <stp/>
        <stp/>
        <tr r="U214" s="3"/>
        <tr r="U214" s="1"/>
      </tp>
      <tp>
        <v>4261</v>
        <stp/>
        <stp>P</stp>
        <stp>0</stp>
        <stp>STK</stp>
        <stp>277810</stp>
        <stp>누적거래량</stp>
        <stp/>
        <stp/>
        <tr r="U71" s="1"/>
        <tr r="U71" s="3"/>
      </tp>
      <tp>
        <v>3609</v>
        <stp/>
        <stp>P</stp>
        <stp>0</stp>
        <stp>STK</stp>
        <stp>240810</stp>
        <stp>누적거래량</stp>
        <stp/>
        <stp/>
        <tr r="U130" s="3"/>
        <tr r="U130" s="1"/>
      </tp>
      <tp>
        <v>55</v>
        <stp/>
        <stp>P</stp>
        <stp>0</stp>
        <stp>STK</stp>
        <stp>041830</stp>
        <stp>누적거래량</stp>
        <stp/>
        <stp/>
        <tr r="U543" s="1"/>
      </tp>
      <tp>
        <v>3821</v>
        <stp/>
        <stp>P</stp>
        <stp>0</stp>
        <stp>STK</stp>
        <stp>458870</stp>
        <stp>누적거래량</stp>
        <stp/>
        <stp/>
        <tr r="U221" s="3"/>
        <tr r="U221" s="1"/>
      </tp>
      <tp>
        <v>2357</v>
        <stp/>
        <stp>P</stp>
        <stp>0</stp>
        <stp>STK</stp>
        <stp>281820</stp>
        <stp>누적거래량</stp>
        <stp/>
        <stp/>
        <tr r="U350" s="1"/>
        <tr r="U350" s="3"/>
      </tp>
      <tp>
        <v>487</v>
        <stp/>
        <stp>P</stp>
        <stp>0</stp>
        <stp>STK</stp>
        <stp>036800</stp>
        <stp>누적거래량</stp>
        <stp/>
        <stp/>
        <tr r="U688" s="1"/>
      </tp>
      <tp>
        <v>428</v>
        <stp/>
        <stp>P</stp>
        <stp>0</stp>
        <stp>STK</stp>
        <stp>001800</stp>
        <stp>누적거래량</stp>
        <stp/>
        <stp/>
        <tr r="U267" s="1"/>
        <tr r="U267" s="3"/>
      </tp>
      <tp>
        <v>539</v>
        <stp/>
        <stp>P</stp>
        <stp>0</stp>
        <stp>STK</stp>
        <stp>004800</stp>
        <stp>누적거래량</stp>
        <stp/>
        <stp/>
        <tr r="U174" s="1"/>
        <tr r="U174" s="3"/>
      </tp>
      <tp>
        <v>872339</v>
        <stp/>
        <stp>P</stp>
        <stp>0</stp>
        <stp>STK</stp>
        <stp>006800</stp>
        <stp>누적거래량</stp>
        <stp/>
        <stp/>
        <tr r="U48" s="3"/>
        <tr r="U48" s="1"/>
      </tp>
      <tp>
        <v>4712</v>
        <stp/>
        <stp>P</stp>
        <stp>0</stp>
        <stp>STK</stp>
        <stp>114810</stp>
        <stp>누적거래량</stp>
        <stp/>
        <stp/>
        <tr r="U603" s="1"/>
      </tp>
      <tp>
        <v>3</v>
        <stp/>
        <stp>P</stp>
        <stp>0</stp>
        <stp>STK</stp>
        <stp>016800</stp>
        <stp>누적거래량</stp>
        <stp/>
        <stp/>
        <tr r="U475" s="1"/>
      </tp>
      <tp>
        <v>2757</v>
        <stp/>
        <stp>P</stp>
        <stp>0</stp>
        <stp>STK</stp>
        <stp>017800</stp>
        <stp>누적거래량</stp>
        <stp/>
        <stp/>
        <tr r="U137" s="3"/>
        <tr r="U137" s="1"/>
      </tp>
      <tp>
        <v>130</v>
        <stp/>
        <stp>P</stp>
        <stp>0</stp>
        <stp>STK</stp>
        <stp>053800</stp>
        <stp>누적거래량</stp>
        <stp/>
        <stp/>
        <tr r="U401" s="1"/>
      </tp>
      <tp>
        <v>2370</v>
        <stp/>
        <stp>P</stp>
        <stp>0</stp>
        <stp>STK</stp>
        <stp>199800</stp>
        <stp>누적거래량</stp>
        <stp/>
        <stp/>
        <tr r="U471" s="1"/>
      </tp>
      <tp>
        <v>75641</v>
        <stp/>
        <stp>P</stp>
        <stp>0</stp>
        <stp>STK</stp>
        <stp>036810</stp>
        <stp>누적거래량</stp>
        <stp/>
        <stp/>
        <tr r="U379" s="3"/>
        <tr r="U379" s="1"/>
      </tp>
      <tp>
        <v>3246</v>
        <stp/>
        <stp>P</stp>
        <stp>0</stp>
        <stp>STK</stp>
        <stp>000810</stp>
        <stp>누적거래량</stp>
        <stp/>
        <stp/>
        <tr r="U35" s="1"/>
        <tr r="U35" s="3"/>
      </tp>
      <tp>
        <v>1000</v>
        <stp/>
        <stp>P</stp>
        <stp>0</stp>
        <stp>STK</stp>
        <stp>002810</stp>
        <stp>누적거래량</stp>
        <stp/>
        <stp/>
        <tr r="U616" s="1"/>
      </tp>
      <tp>
        <v>448</v>
        <stp/>
        <stp>P</stp>
        <stp>0</stp>
        <stp>STK</stp>
        <stp>403850</stp>
        <stp>누적거래량</stp>
        <stp/>
        <stp/>
        <tr r="U578" s="1"/>
      </tp>
      <tp>
        <v>393</v>
        <stp/>
        <stp>P</stp>
        <stp>0</stp>
        <stp>STK</stp>
        <stp>005810</stp>
        <stp>누적거래량</stp>
        <stp/>
        <stp/>
        <tr r="U446" s="1"/>
      </tp>
      <tp>
        <v>10450</v>
        <stp/>
        <stp>P</stp>
        <stp>0</stp>
        <stp>STK</stp>
        <stp>007810</stp>
        <stp>누적거래량</stp>
        <stp/>
        <stp/>
        <tr r="U250" s="1"/>
        <tr r="U250" s="3"/>
      </tp>
      <tp>
        <v>2155</v>
        <stp/>
        <stp>P</stp>
        <stp>0</stp>
        <stp>STK</stp>
        <stp>017810</stp>
        <stp>누적거래량</stp>
        <stp/>
        <stp/>
        <tr r="U479" s="1"/>
      </tp>
      <tp>
        <v>2769</v>
        <stp/>
        <stp>P</stp>
        <stp>0</stp>
        <stp>STK</stp>
        <stp>472850</stp>
        <stp>누적거래량</stp>
        <stp/>
        <stp/>
        <tr r="U637" s="1"/>
      </tp>
      <tp>
        <v>121</v>
        <stp/>
        <stp>P</stp>
        <stp>0</stp>
        <stp>STK</stp>
        <stp>344820</stp>
        <stp>누적거래량</stp>
        <stp/>
        <stp/>
        <tr r="U516" s="1"/>
      </tp>
      <tp>
        <v>22662</v>
        <stp/>
        <stp>P</stp>
        <stp>0</stp>
        <stp>STK</stp>
        <stp>047810</stp>
        <stp>누적거래량</stp>
        <stp/>
        <stp/>
        <tr r="U53" s="1"/>
        <tr r="U53" s="3"/>
      </tp>
      <tp>
        <v>67109</v>
        <stp/>
        <stp>P</stp>
        <stp>0</stp>
        <stp>STK</stp>
        <stp>352820</stp>
        <stp>누적거래량</stp>
        <stp/>
        <stp/>
        <tr r="U56" s="1"/>
        <tr r="U56" s="3"/>
      </tp>
      <tp>
        <v>359</v>
        <stp/>
        <stp>P</stp>
        <stp>0</stp>
        <stp>STK</stp>
        <stp>237880</stp>
        <stp>누적거래량</stp>
        <stp/>
        <stp/>
        <tr r="U690" s="1"/>
      </tp>
      <tp>
        <v>14964</v>
        <stp/>
        <stp>P</stp>
        <stp>0</stp>
        <stp>STK</stp>
        <stp>200880</stp>
        <stp>누적거래량</stp>
        <stp/>
        <stp/>
        <tr r="U503" s="1"/>
      </tp>
      <tp>
        <v>21366</v>
        <stp/>
        <stp>P</stp>
        <stp>0</stp>
        <stp>STK</stp>
        <stp>000880</stp>
        <stp>누적거래량</stp>
        <stp/>
        <stp/>
        <tr r="U76" s="1"/>
        <tr r="U76" s="3"/>
      </tp>
      <tp>
        <v>1039102</v>
        <stp/>
        <stp>P</stp>
        <stp>0</stp>
        <stp>STK</stp>
        <stp>018880</stp>
        <stp>누적거래량</stp>
        <stp/>
        <stp/>
        <tr r="U142" s="3"/>
        <tr r="U142" s="1"/>
      </tp>
      <tp>
        <v>11454</v>
        <stp/>
        <stp>P</stp>
        <stp>0</stp>
        <stp>STK</stp>
        <stp>161890</stp>
        <stp>누적거래량</stp>
        <stp/>
        <stp/>
        <tr r="U245" s="3"/>
        <tr r="U245" s="1"/>
      </tp>
      <tp>
        <v>4611</v>
        <stp/>
        <stp>P</stp>
        <stp>0</stp>
        <stp>STK</stp>
        <stp>089890</stp>
        <stp>누적거래량</stp>
        <stp/>
        <stp/>
        <tr r="U520" s="1"/>
      </tp>
      <tp>
        <v>724</v>
        <stp/>
        <stp>P</stp>
        <stp>0</stp>
        <stp>STK</stp>
        <stp>026890</stp>
        <stp>누적거래량</stp>
        <stp/>
        <stp/>
        <tr r="U530" s="1"/>
      </tp>
      <tp>
        <v>1673</v>
        <stp/>
        <stp>P</stp>
        <stp>0</stp>
        <stp>STK</stp>
        <stp>036890</stp>
        <stp>누적거래량</stp>
        <stp/>
        <stp/>
        <tr r="U621" s="1"/>
      </tp>
      <tp>
        <v>102</v>
        <stp/>
        <stp>P</stp>
        <stp>0</stp>
        <stp>STK</stp>
        <stp>013890</stp>
        <stp>누적거래량</stp>
        <stp/>
        <stp/>
        <tr r="U653" s="1"/>
      </tp>
      <tp>
        <v>1374</v>
        <stp/>
        <stp>P</stp>
        <stp>0</stp>
        <stp>STK</stp>
        <stp>046890</stp>
        <stp>누적거래량</stp>
        <stp/>
        <stp/>
        <tr r="U576" s="1"/>
      </tp>
      <tp>
        <v>10795</v>
        <stp/>
        <stp>P</stp>
        <stp>0</stp>
        <stp>STK</stp>
        <stp>050890</stp>
        <stp>누적거래량</stp>
        <stp/>
        <stp/>
        <tr r="U493" s="1"/>
      </tp>
      <tp>
        <v>467</v>
        <stp/>
        <stp>P</stp>
        <stp>0</stp>
        <stp>STK</stp>
        <stp>0008Z0</stp>
        <stp>누적거래량</stp>
        <stp/>
        <stp/>
        <tr r="U610" s="1"/>
      </tp>
      <tp>
        <v>2294</v>
        <stp/>
        <stp>P</stp>
        <stp>0</stp>
        <stp>STK</stp>
        <stp>380550</stp>
        <stp>누적거래량</stp>
        <stp/>
        <stp/>
        <tr r="U660" s="1"/>
      </tp>
      <tp>
        <v>322</v>
        <stp/>
        <stp>P</stp>
        <stp>0</stp>
        <stp>STK</stp>
        <stp>020560</stp>
        <stp>누적거래량</stp>
        <stp/>
        <stp/>
        <tr r="U243" s="1"/>
        <tr r="U243" s="3"/>
      </tp>
      <tp>
        <v>58201</v>
        <stp/>
        <stp>P</stp>
        <stp>0</stp>
        <stp>STK</stp>
        <stp>247540</stp>
        <stp>누적거래량</stp>
        <stp/>
        <stp/>
        <tr r="U54" s="1"/>
        <tr r="U54" s="3"/>
      </tp>
      <tp>
        <v>1079</v>
        <stp/>
        <stp>P</stp>
        <stp>0</stp>
        <stp>STK</stp>
        <stp>357550</stp>
        <stp>누적거래량</stp>
        <stp/>
        <stp/>
        <tr r="U609" s="1"/>
      </tp>
      <tp>
        <v>3367</v>
        <stp/>
        <stp>P</stp>
        <stp>0</stp>
        <stp>STK</stp>
        <stp>036570</stp>
        <stp>누적거래량</stp>
        <stp/>
        <stp/>
        <tr r="U111" s="1"/>
        <tr r="U111" s="3"/>
      </tp>
      <tp>
        <v>870</v>
        <stp/>
        <stp>P</stp>
        <stp>0</stp>
        <stp>STK</stp>
        <stp>003570</stp>
        <stp>누적거래량</stp>
        <stp/>
        <stp/>
        <tr r="U234" s="3"/>
        <tr r="U234" s="1"/>
      </tp>
      <tp>
        <v>57499</v>
        <stp/>
        <stp>P</stp>
        <stp>0</stp>
        <stp>STK</stp>
        <stp>105560</stp>
        <stp>누적거래량</stp>
        <stp/>
        <stp/>
        <tr r="U16" s="1"/>
        <tr r="U16" s="3"/>
      </tp>
      <tp>
        <v>3729</v>
        <stp/>
        <stp>P</stp>
        <stp>0</stp>
        <stp>STK</stp>
        <stp>419530</stp>
        <stp>누적거래량</stp>
        <stp/>
        <stp/>
        <tr r="U577" s="1"/>
      </tp>
      <tp>
        <v>28370</v>
        <stp/>
        <stp>P</stp>
        <stp>0</stp>
        <stp>STK</stp>
        <stp>066570</stp>
        <stp>누적거래량</stp>
        <stp/>
        <stp/>
        <tr r="U45" s="1"/>
        <tr r="U45" s="3"/>
      </tp>
      <tp>
        <v>2760</v>
        <stp/>
        <stp>P</stp>
        <stp>0</stp>
        <stp>STK</stp>
        <stp>468530</stp>
        <stp>누적거래량</stp>
        <stp/>
        <stp/>
        <tr r="U337" s="1"/>
        <tr r="U337" s="3"/>
      </tp>
      <tp>
        <v>1181</v>
        <stp/>
        <stp>P</stp>
        <stp>0</stp>
        <stp>STK</stp>
        <stp>025540</stp>
        <stp>누적거래량</stp>
        <stp/>
        <stp/>
        <tr r="U352" s="3"/>
        <tr r="U352" s="1"/>
      </tp>
      <tp>
        <v>41544</v>
        <stp/>
        <stp>P</stp>
        <stp>0</stp>
        <stp>STK</stp>
        <stp>036540</stp>
        <stp>누적거래량</stp>
        <stp/>
        <stp/>
        <tr r="U331" s="3"/>
        <tr r="U331" s="1"/>
      </tp>
      <tp>
        <v>59696</v>
        <stp/>
        <stp>P</stp>
        <stp>0</stp>
        <stp>STK</stp>
        <stp>336570</stp>
        <stp>누적거래량</stp>
        <stp/>
        <stp/>
        <tr r="U372" s="3"/>
        <tr r="U372" s="1"/>
      </tp>
      <tp>
        <v>6708</v>
        <stp/>
        <stp>P</stp>
        <stp>0</stp>
        <stp>STK</stp>
        <stp>003540</stp>
        <stp>누적거래량</stp>
        <stp/>
        <stp/>
        <tr r="U259" s="3"/>
        <tr r="U259" s="1"/>
      </tp>
      <tp>
        <v>6607</v>
        <stp/>
        <stp>P</stp>
        <stp>0</stp>
        <stp>STK</stp>
        <stp>009540</stp>
        <stp>누적거래량</stp>
        <stp/>
        <stp/>
        <tr r="U27" s="3"/>
        <tr r="U27" s="1"/>
      </tp>
      <tp>
        <v>585</v>
        <stp/>
        <stp>P</stp>
        <stp>0</stp>
        <stp>STK</stp>
        <stp>271560</stp>
        <stp>누적거래량</stp>
        <stp/>
        <stp/>
        <tr r="U114" s="1"/>
        <tr r="U114" s="3"/>
      </tp>
      <tp>
        <v>1379</v>
        <stp/>
        <stp>P</stp>
        <stp>0</stp>
        <stp>STK</stp>
        <stp>340570</stp>
        <stp>누적거래량</stp>
        <stp/>
        <stp/>
        <tr r="U572" s="1"/>
      </tp>
      <tp>
        <v>10644</v>
        <stp/>
        <stp>P</stp>
        <stp>0</stp>
        <stp>STK</stp>
        <stp>241560</stp>
        <stp>누적거래량</stp>
        <stp/>
        <stp/>
        <tr r="U100" s="3"/>
        <tr r="U100" s="1"/>
      </tp>
      <tp>
        <v>7725</v>
        <stp/>
        <stp>P</stp>
        <stp>0</stp>
        <stp>STK</stp>
        <stp>358570</stp>
        <stp>누적거래량</stp>
        <stp/>
        <stp/>
        <tr r="U336" s="3"/>
        <tr r="U336" s="1"/>
      </tp>
      <tp>
        <v>145</v>
        <stp/>
        <stp>P</stp>
        <stp>0</stp>
        <stp>STK</stp>
        <stp>294570</stp>
        <stp>누적거래량</stp>
        <stp/>
        <stp/>
        <tr r="U647" s="1"/>
      </tp>
      <tp>
        <v>346</v>
        <stp/>
        <stp>P</stp>
        <stp>0</stp>
        <stp>STK</stp>
        <stp>225570</stp>
        <stp>누적거래량</stp>
        <stp/>
        <stp/>
        <tr r="U354" s="1"/>
        <tr r="U354" s="3"/>
      </tp>
      <tp>
        <v>6707</v>
        <stp/>
        <stp>P</stp>
        <stp>0</stp>
        <stp>STK</stp>
        <stp>003550</stp>
        <stp>누적거래량</stp>
        <stp/>
        <stp/>
        <tr r="U62" s="3"/>
        <tr r="U62" s="1"/>
      </tp>
      <tp>
        <v>2656</v>
        <stp/>
        <stp>P</stp>
        <stp>0</stp>
        <stp>STK</stp>
        <stp>064550</stp>
        <stp>누적거래량</stp>
        <stp/>
        <stp/>
        <tr r="U613" s="1"/>
      </tp>
      <tp>
        <v>2508</v>
        <stp/>
        <stp>P</stp>
        <stp>0</stp>
        <stp>STK</stp>
        <stp>079550</stp>
        <stp>누적거래량</stp>
        <stp/>
        <stp/>
        <tr r="U66" s="3"/>
        <tr r="U66" s="1"/>
      </tp>
      <tp>
        <v>94404</v>
        <stp/>
        <stp>P</stp>
        <stp>0</stp>
        <stp>STK</stp>
        <stp>055550</stp>
        <stp>누적거래량</stp>
        <stp/>
        <stp/>
        <tr r="U22" s="3"/>
        <tr r="U22" s="1"/>
      </tp>
      <tp>
        <v>28752</v>
        <stp/>
        <stp>P</stp>
        <stp>0</stp>
        <stp>STK</stp>
        <stp>459510</stp>
        <stp>누적거래량</stp>
        <stp/>
        <stp/>
        <tr r="U490" s="1"/>
      </tp>
      <tp>
        <v>269775</v>
        <stp/>
        <stp>P</stp>
        <stp>0</stp>
        <stp>STK</stp>
        <stp>086520</stp>
        <stp>누적거래량</stp>
        <stp/>
        <stp/>
        <tr r="U64" s="1"/>
        <tr r="U64" s="3"/>
      </tp>
      <tp>
        <v>445</v>
        <stp/>
        <stp>P</stp>
        <stp>0</stp>
        <stp>STK</stp>
        <stp>093520</stp>
        <stp>누적거래량</stp>
        <stp/>
        <stp/>
        <tr r="U627" s="1"/>
      </tp>
      <tp>
        <v>1754</v>
        <stp/>
        <stp>P</stp>
        <stp>0</stp>
        <stp>STK</stp>
        <stp>097520</stp>
        <stp>누적거래량</stp>
        <stp/>
        <stp/>
        <tr r="U447" s="1"/>
      </tp>
      <tp>
        <v>670</v>
        <stp/>
        <stp>P</stp>
        <stp>0</stp>
        <stp>STK</stp>
        <stp>030520</stp>
        <stp>누적거래량</stp>
        <stp/>
        <stp/>
        <tr r="U454" s="1"/>
      </tp>
      <tp>
        <v>68805</v>
        <stp/>
        <stp>P</stp>
        <stp>0</stp>
        <stp>STK</stp>
        <stp>009520</stp>
        <stp>누적거래량</stp>
        <stp/>
        <stp/>
        <tr r="U363" s="1"/>
        <tr r="U363" s="3"/>
      </tp>
      <tp>
        <v>237</v>
        <stp/>
        <stp>P</stp>
        <stp>0</stp>
        <stp>STK</stp>
        <stp>475560</stp>
        <stp>누적거래량</stp>
        <stp/>
        <stp/>
        <tr r="U571" s="1"/>
      </tp>
      <tp>
        <v>4337</v>
        <stp/>
        <stp>P</stp>
        <stp>0</stp>
        <stp>STK</stp>
        <stp>078520</stp>
        <stp>누적거래량</stp>
        <stp/>
        <stp/>
        <tr r="U670" s="1"/>
      </tp>
      <tp>
        <v>3027</v>
        <stp/>
        <stp>P</stp>
        <stp>0</stp>
        <stp>STK</stp>
        <stp>042520</stp>
        <stp>누적거래량</stp>
        <stp/>
        <stp/>
        <tr r="U604" s="1"/>
      </tp>
      <tp>
        <v>1961</v>
        <stp/>
        <stp>P</stp>
        <stp>0</stp>
        <stp>STK</stp>
        <stp>096530</stp>
        <stp>누적거래량</stp>
        <stp/>
        <stp/>
        <tr r="U275" s="3"/>
        <tr r="U275" s="1"/>
      </tp>
      <tp>
        <v>1525</v>
        <stp/>
        <stp>P</stp>
        <stp>0</stp>
        <stp>STK</stp>
        <stp>023530</stp>
        <stp>누적거래량</stp>
        <stp/>
        <stp/>
        <tr r="U200" s="1"/>
        <tr r="U200" s="3"/>
      </tp>
      <tp>
        <v>10</v>
        <stp/>
        <stp>P</stp>
        <stp>0</stp>
        <stp>STK</stp>
        <stp>029530</stp>
        <stp>누적거래량</stp>
        <stp/>
        <stp/>
        <tr r="U499" s="1"/>
      </tp>
      <tp>
        <v>49971</v>
        <stp/>
        <stp>P</stp>
        <stp>0</stp>
        <stp>STK</stp>
        <stp>030530</stp>
        <stp>누적거래량</stp>
        <stp/>
        <stp/>
        <tr r="U146" s="3"/>
        <tr r="U146" s="1"/>
      </tp>
      <tp>
        <v>49</v>
        <stp/>
        <stp>P</stp>
        <stp>0</stp>
        <stp>STK</stp>
        <stp>036530</stp>
        <stp>누적거래량</stp>
        <stp/>
        <stp/>
        <tr r="U325" s="1"/>
        <tr r="U325" s="3"/>
      </tp>
      <tp>
        <v>1046</v>
        <stp/>
        <stp>P</stp>
        <stp>0</stp>
        <stp>STK</stp>
        <stp>001530</stp>
        <stp>누적거래량</stp>
        <stp/>
        <stp/>
        <tr r="U546" s="1"/>
      </tp>
      <tp>
        <v>12901</v>
        <stp/>
        <stp>P</stp>
        <stp>0</stp>
        <stp>STK</stp>
        <stp>375500</stp>
        <stp>누적거래량</stp>
        <stp/>
        <stp/>
        <tr r="U235" s="3"/>
        <tr r="U235" s="1"/>
      </tp>
      <tp>
        <v>17385</v>
        <stp/>
        <stp>P</stp>
        <stp>0</stp>
        <stp>STK</stp>
        <stp>190510</stp>
        <stp>누적거래량</stp>
        <stp/>
        <stp/>
        <tr r="U579" s="1"/>
      </tp>
      <tp>
        <v>110306</v>
        <stp/>
        <stp>P</stp>
        <stp>0</stp>
        <stp>STK</stp>
        <stp>095500</stp>
        <stp>누적거래량</stp>
        <stp/>
        <stp/>
        <tr r="U596" s="1"/>
      </tp>
      <tp>
        <v>14297</v>
        <stp/>
        <stp>P</stp>
        <stp>0</stp>
        <stp>STK</stp>
        <stp>032500</stp>
        <stp>누적거래량</stp>
        <stp/>
        <stp/>
        <tr r="U413" s="1"/>
      </tp>
      <tp>
        <v>1993</v>
        <stp/>
        <stp>P</stp>
        <stp>0</stp>
        <stp>STK</stp>
        <stp>033500</stp>
        <stp>누적거래량</stp>
        <stp/>
        <stp/>
        <tr r="U344" s="3"/>
        <tr r="U344" s="1"/>
      </tp>
      <tp>
        <v>1233</v>
        <stp/>
        <stp>P</stp>
        <stp>0</stp>
        <stp>STK</stp>
        <stp>000500</stp>
        <stp>누적거래량</stp>
        <stp/>
        <stp/>
        <tr r="U249" s="1"/>
        <tr r="U249" s="3"/>
      </tp>
      <tp>
        <v>3886</v>
        <stp/>
        <stp>P</stp>
        <stp>0</stp>
        <stp>STK</stp>
        <stp>001500</stp>
        <stp>누적거래량</stp>
        <stp/>
        <stp/>
        <tr r="U459" s="1"/>
      </tp>
      <tp>
        <v>55</v>
        <stp/>
        <stp>P</stp>
        <stp>0</stp>
        <stp>STK</stp>
        <stp>005500</stp>
        <stp>누적거래량</stp>
        <stp/>
        <stp/>
        <tr r="U666" s="1"/>
      </tp>
      <tp>
        <v>114396</v>
        <stp/>
        <stp>P</stp>
        <stp>0</stp>
        <stp>STK</stp>
        <stp>011500</stp>
        <stp>누적거래량</stp>
        <stp/>
        <stp/>
        <tr r="U631" s="1"/>
      </tp>
      <tp>
        <v>2160</v>
        <stp/>
        <stp>P</stp>
        <stp>0</stp>
        <stp>STK</stp>
        <stp>265520</stp>
        <stp>누적거래량</stp>
        <stp/>
        <stp/>
        <tr r="U639" s="1"/>
      </tp>
      <tp>
        <v>78</v>
        <stp/>
        <stp>P</stp>
        <stp>0</stp>
        <stp>STK</stp>
        <stp>144510</stp>
        <stp>누적거래량</stp>
        <stp/>
        <stp/>
        <tr r="U575" s="1"/>
      </tp>
      <tp>
        <v>29</v>
        <stp/>
        <stp>P</stp>
        <stp>0</stp>
        <stp>STK</stp>
        <stp>051500</stp>
        <stp>누적거래량</stp>
        <stp/>
        <stp/>
        <tr r="U605" s="1"/>
      </tp>
      <tp>
        <v>374</v>
        <stp/>
        <stp>P</stp>
        <stp>0</stp>
        <stp>STK</stp>
        <stp>403550</stp>
        <stp>누적거래량</stp>
        <stp/>
        <stp/>
        <tr r="U537" s="1"/>
      </tp>
      <tp>
        <v>106</v>
        <stp/>
        <stp>P</stp>
        <stp>0</stp>
        <stp>STK</stp>
        <stp>012510</stp>
        <stp>누적거래량</stp>
        <stp/>
        <stp/>
        <tr r="U155" s="1"/>
        <tr r="U155" s="3"/>
      </tp>
      <tp>
        <v>6515</v>
        <stp/>
        <stp>P</stp>
        <stp>0</stp>
        <stp>STK</stp>
        <stp>041510</stp>
        <stp>누적거래량</stp>
        <stp/>
        <stp/>
        <tr r="U177" s="3"/>
        <tr r="U177" s="1"/>
      </tp>
      <tp>
        <v>5996</v>
        <stp/>
        <stp>P</stp>
        <stp>0</stp>
        <stp>STK</stp>
        <stp>484590</stp>
        <stp>누적거래량</stp>
        <stp/>
        <stp/>
        <tr r="U450" s="1"/>
      </tp>
      <tp>
        <v>6915</v>
        <stp/>
        <stp>P</stp>
        <stp>0</stp>
        <stp>STK</stp>
        <stp>217590</stp>
        <stp>누적거래량</stp>
        <stp/>
        <stp/>
        <tr r="U542" s="1"/>
      </tp>
      <tp>
        <v>17724</v>
        <stp/>
        <stp>P</stp>
        <stp>0</stp>
        <stp>STK</stp>
        <stp>253590</stp>
        <stp>누적거래량</stp>
        <stp/>
        <stp/>
        <tr r="U474" s="1"/>
      </tp>
      <tp>
        <v>11769</v>
        <stp/>
        <stp>P</stp>
        <stp>0</stp>
        <stp>STK</stp>
        <stp>103590</stp>
        <stp>누적거래량</stp>
        <stp/>
        <stp/>
        <tr r="U154" s="1"/>
        <tr r="U154" s="3"/>
      </tp>
      <tp>
        <v>15341</v>
        <stp/>
        <stp>P</stp>
        <stp>0</stp>
        <stp>STK</stp>
        <stp>075580</stp>
        <stp>누적거래량</stp>
        <stp/>
        <stp/>
        <tr r="U296" s="1"/>
        <tr r="U296" s="3"/>
      </tp>
      <tp>
        <v>112</v>
        <stp/>
        <stp>P</stp>
        <stp>0</stp>
        <stp>STK</stp>
        <stp>023590</stp>
        <stp>누적거래량</stp>
        <stp/>
        <stp/>
        <tr r="U222" s="1"/>
        <tr r="U222" s="3"/>
      </tp>
      <tp>
        <v>51</v>
        <stp/>
        <stp>P</stp>
        <stp>0</stp>
        <stp>STK</stp>
        <stp>016590</stp>
        <stp>누적거래량</stp>
        <stp/>
        <stp/>
        <tr r="U462" s="1"/>
      </tp>
      <tp>
        <v>45294</v>
        <stp/>
        <stp>P</stp>
        <stp>0</stp>
        <stp>STK</stp>
        <stp>161580</stp>
        <stp>누적거래량</stp>
        <stp/>
        <stp/>
        <tr r="U311" s="3"/>
        <tr r="U311" s="1"/>
      </tp>
      <tp>
        <v>4464</v>
        <stp/>
        <stp>P</stp>
        <stp>0</stp>
        <stp>STK</stp>
        <stp>090460</stp>
        <stp>누적거래량</stp>
        <stp/>
        <stp/>
        <tr r="U455" s="1"/>
      </tp>
      <tp>
        <v>3212</v>
        <stp/>
        <stp>P</stp>
        <stp>0</stp>
        <stp>STK</stp>
        <stp>092460</stp>
        <stp>누적거래량</stp>
        <stp/>
        <stp/>
        <tr r="U640" s="1"/>
      </tp>
      <tp>
        <v>77650</v>
        <stp/>
        <stp>P</stp>
        <stp>0</stp>
        <stp>STK</stp>
        <stp>098460</stp>
        <stp>누적거래량</stp>
        <stp/>
        <stp/>
        <tr r="U202" s="3"/>
        <tr r="U202" s="1"/>
      </tp>
      <tp>
        <v>3543</v>
        <stp/>
        <stp>P</stp>
        <stp>0</stp>
        <stp>STK</stp>
        <stp>425420</stp>
        <stp>누적거래량</stp>
        <stp/>
        <stp/>
        <tr r="U532" s="1"/>
      </tp>
      <tp>
        <v>55</v>
        <stp/>
        <stp>P</stp>
        <stp>0</stp>
        <stp>STK</stp>
        <stp>029460</stp>
        <stp>누적거래량</stp>
        <stp/>
        <stp/>
        <tr r="U554" s="1"/>
      </tp>
      <tp>
        <v>22396</v>
        <stp/>
        <stp>P</stp>
        <stp>0</stp>
        <stp>STK</stp>
        <stp>036460</stp>
        <stp>누적거래량</stp>
        <stp/>
        <stp/>
        <tr r="U134" s="3"/>
        <tr r="U134" s="1"/>
      </tp>
      <tp>
        <v>7</v>
        <stp/>
        <stp>P</stp>
        <stp>0</stp>
        <stp>STK</stp>
        <stp>001460</stp>
        <stp>누적거래량</stp>
        <stp/>
        <stp/>
        <tr r="U657" s="1"/>
      </tp>
      <tp>
        <v>263</v>
        <stp/>
        <stp>P</stp>
        <stp>0</stp>
        <stp>STK</stp>
        <stp>317450</stp>
        <stp>누적거래량</stp>
        <stp/>
        <stp/>
        <tr r="U339" s="1"/>
        <tr r="U339" s="3"/>
      </tp>
      <tp>
        <v>3078</v>
        <stp/>
        <stp>P</stp>
        <stp>0</stp>
        <stp>STK</stp>
        <stp>302440</stp>
        <stp>누적거래량</stp>
        <stp/>
        <stp/>
        <tr r="U131" s="1"/>
        <tr r="U131" s="3"/>
      </tp>
      <tp>
        <v>9256</v>
        <stp/>
        <stp>P</stp>
        <stp>0</stp>
        <stp>STK</stp>
        <stp>214450</stp>
        <stp>누적거래량</stp>
        <stp/>
        <stp/>
        <tr r="U117" s="1"/>
        <tr r="U117" s="3"/>
      </tp>
      <tp>
        <v>1748</v>
        <stp/>
        <stp>P</stp>
        <stp>0</stp>
        <stp>STK</stp>
        <stp>452430</stp>
        <stp>누적거래량</stp>
        <stp/>
        <stp/>
        <tr r="U658" s="1"/>
      </tp>
      <tp>
        <v>1115</v>
        <stp/>
        <stp>P</stp>
        <stp>0</stp>
        <stp>STK</stp>
        <stp>253450</stp>
        <stp>누적거래량</stp>
        <stp/>
        <stp/>
        <tr r="U261" s="1"/>
        <tr r="U261" s="3"/>
      </tp>
      <tp>
        <v>15404</v>
        <stp/>
        <stp>P</stp>
        <stp>0</stp>
        <stp>STK</stp>
        <stp>058470</stp>
        <stp>누적거래량</stp>
        <stp/>
        <stp/>
        <tr r="U109" s="1"/>
        <tr r="U109" s="3"/>
      </tp>
      <tp>
        <v>2194</v>
        <stp/>
        <stp>P</stp>
        <stp>0</stp>
        <stp>STK</stp>
        <stp>389470</stp>
        <stp>누적거래량</stp>
        <stp/>
        <stp/>
        <tr r="U326" s="3"/>
        <tr r="U326" s="1"/>
      </tp>
      <tp>
        <v>4462</v>
        <stp/>
        <stp>P</stp>
        <stp>0</stp>
        <stp>STK</stp>
        <stp>039440</stp>
        <stp>누적거래량</stp>
        <stp/>
        <stp/>
        <tr r="U494" s="1"/>
      </tp>
      <tp>
        <v>283403</v>
        <stp/>
        <stp>P</stp>
        <stp>0</stp>
        <stp>STK</stp>
        <stp>001440</stp>
        <stp>누적거래량</stp>
        <stp/>
        <stp/>
        <tr r="U107" s="1"/>
        <tr r="U107" s="3"/>
      </tp>
      <tp>
        <v>4610</v>
        <stp/>
        <stp>P</stp>
        <stp>0</stp>
        <stp>STK</stp>
        <stp>005440</stp>
        <stp>누적거래량</stp>
        <stp/>
        <stp/>
        <tr r="U265" s="1"/>
        <tr r="U265" s="3"/>
      </tp>
      <tp>
        <v>9233</v>
        <stp/>
        <stp>P</stp>
        <stp>0</stp>
        <stp>STK</stp>
        <stp>475400</stp>
        <stp>누적거래량</stp>
        <stp/>
        <stp/>
        <tr r="U460" s="1"/>
      </tp>
      <tp>
        <v>18183</v>
        <stp/>
        <stp>P</stp>
        <stp>0</stp>
        <stp>STK</stp>
        <stp>083450</stp>
        <stp>누적거래량</stp>
        <stp/>
        <stp/>
        <tr r="U477" s="1"/>
      </tp>
      <tp>
        <v>2422</v>
        <stp/>
        <stp>P</stp>
        <stp>0</stp>
        <stp>STK</stp>
        <stp>086450</stp>
        <stp>누적거래량</stp>
        <stp/>
        <stp/>
        <tr r="U368" s="3"/>
        <tr r="U368" s="1"/>
      </tp>
      <tp>
        <v>14331</v>
        <stp/>
        <stp>P</stp>
        <stp>0</stp>
        <stp>STK</stp>
        <stp>001450</stp>
        <stp>누적거래량</stp>
        <stp/>
        <stp/>
        <tr r="U180" s="1"/>
        <tr r="U180" s="3"/>
      </tp>
      <tp>
        <v>215</v>
        <stp/>
        <stp>P</stp>
        <stp>0</stp>
        <stp>STK</stp>
        <stp>009450</stp>
        <stp>누적거래량</stp>
        <stp/>
        <stp/>
        <tr r="U348" s="1"/>
        <tr r="U348" s="3"/>
      </tp>
      <tp>
        <v>8048</v>
        <stp/>
        <stp>P</stp>
        <stp>0</stp>
        <stp>STK</stp>
        <stp>012450</stp>
        <stp>누적거래량</stp>
        <stp/>
        <stp/>
        <tr r="U12" s="3"/>
        <tr r="U12" s="1"/>
      </tp>
      <tp>
        <v>19449</v>
        <stp/>
        <stp>P</stp>
        <stp>0</stp>
        <stp>STK</stp>
        <stp>278470</stp>
        <stp>누적거래량</stp>
        <stp/>
        <stp/>
        <tr r="U74" s="1"/>
        <tr r="U74" s="3"/>
      </tp>
      <tp>
        <v>12581</v>
        <stp/>
        <stp>P</stp>
        <stp>0</stp>
        <stp>STK</stp>
        <stp>199430</stp>
        <stp>누적거래량</stp>
        <stp/>
        <stp/>
        <tr r="U485" s="1"/>
      </tp>
      <tp>
        <v>33301</v>
        <stp/>
        <stp>P</stp>
        <stp>0</stp>
        <stp>STK</stp>
        <stp>323410</stp>
        <stp>누적거래량</stp>
        <stp/>
        <stp/>
        <tr r="U72" s="3"/>
        <tr r="U72" s="1"/>
      </tp>
      <tp>
        <v>34155</v>
        <stp/>
        <stp>P</stp>
        <stp>0</stp>
        <stp>STK</stp>
        <stp>035420</stp>
        <stp>누적거래량</stp>
        <stp/>
        <stp/>
        <tr r="U23" s="1"/>
        <tr r="U23" s="3"/>
      </tp>
      <tp>
        <v>49643</v>
        <stp/>
        <stp>P</stp>
        <stp>0</stp>
        <stp>STK</stp>
        <stp>005420</stp>
        <stp>누적거래량</stp>
        <stp/>
        <stp/>
        <tr r="U443" s="1"/>
      </tp>
      <tp>
        <v>10604</v>
        <stp/>
        <stp>P</stp>
        <stp>0</stp>
        <stp>STK</stp>
        <stp>009420</stp>
        <stp>누적거래량</stp>
        <stp/>
        <stp/>
        <tr r="U187" s="1"/>
        <tr r="U187" s="3"/>
      </tp>
      <tp>
        <v>6447</v>
        <stp/>
        <stp>P</stp>
        <stp>0</stp>
        <stp>STK</stp>
        <stp>090430</stp>
        <stp>누적거래량</stp>
        <stp/>
        <stp/>
        <tr r="U90" s="1"/>
        <tr r="U90" s="3"/>
      </tp>
      <tp>
        <v>543</v>
        <stp/>
        <stp>P</stp>
        <stp>0</stp>
        <stp>STK</stp>
        <stp>031430</stp>
        <stp>누적거래량</stp>
        <stp/>
        <stp/>
        <tr r="U547" s="1"/>
      </tp>
      <tp>
        <v>8189</v>
        <stp/>
        <stp>P</stp>
        <stp>0</stp>
        <stp>STK</stp>
        <stp>001430</stp>
        <stp>누적거래량</stp>
        <stp/>
        <stp/>
        <tr r="U163" s="1"/>
        <tr r="U163" s="3"/>
      </tp>
      <tp>
        <v>1841</v>
        <stp/>
        <stp>P</stp>
        <stp>0</stp>
        <stp>STK</stp>
        <stp>218410</stp>
        <stp>누적거래량</stp>
        <stp/>
        <stp/>
        <tr r="U324" s="1"/>
        <tr r="U324" s="3"/>
      </tp>
      <tp>
        <v>305501</v>
        <stp/>
        <stp>P</stp>
        <stp>0</stp>
        <stp>STK</stp>
        <stp>006400</stp>
        <stp>누적거래량</stp>
        <stp/>
        <stp/>
        <tr r="U31" s="3"/>
        <tr r="U31" s="1"/>
      </tp>
      <tp>
        <v>280</v>
        <stp/>
        <stp>P</stp>
        <stp>0</stp>
        <stp>STK</stp>
        <stp>308430</stp>
        <stp>누적거래량</stp>
        <stp/>
        <stp/>
        <tr r="U622" s="1"/>
      </tp>
      <tp>
        <v>10934</v>
        <stp/>
        <stp>P</stp>
        <stp>0</stp>
        <stp>STK</stp>
        <stp>213420</stp>
        <stp>누적거래량</stp>
        <stp/>
        <stp/>
        <tr r="U335" s="3"/>
        <tr r="U335" s="1"/>
      </tp>
      <tp>
        <v>47085</v>
        <stp/>
        <stp>P</stp>
        <stp>0</stp>
        <stp>STK</stp>
        <stp>064400</stp>
        <stp>누적거래량</stp>
        <stp/>
        <stp/>
        <tr r="U91" s="1"/>
        <tr r="U91" s="3"/>
      </tp>
      <tp>
        <v>2750</v>
        <stp/>
        <stp>P</stp>
        <stp>0</stp>
        <stp>STK</stp>
        <stp>140410</stp>
        <stp>누적거래량</stp>
        <stp/>
        <stp/>
        <tr r="U151" s="1"/>
        <tr r="U151" s="3"/>
      </tp>
      <tp>
        <v>14379</v>
        <stp/>
        <stp>P</stp>
        <stp>0</stp>
        <stp>STK</stp>
        <stp>249420</stp>
        <stp>누적거래량</stp>
        <stp/>
        <stp/>
        <tr r="U285" s="1"/>
        <tr r="U285" s="3"/>
      </tp>
      <tp>
        <v>3616</v>
        <stp/>
        <stp>P</stp>
        <stp>0</stp>
        <stp>STK</stp>
        <stp>052400</stp>
        <stp>누적거래량</stp>
        <stp/>
        <stp/>
        <tr r="U418" s="1"/>
      </tp>
      <tp>
        <v>44</v>
        <stp/>
        <stp>P</stp>
        <stp>0</stp>
        <stp>STK</stp>
        <stp>192400</stp>
        <stp>누적거래량</stp>
        <stp/>
        <stp/>
        <tr r="U320" s="1"/>
        <tr r="U320" s="3"/>
      </tp>
      <tp>
        <v>65283</v>
        <stp/>
        <stp>P</stp>
        <stp>0</stp>
        <stp>STK</stp>
        <stp>137400</stp>
        <stp>누적거래량</stp>
        <stp/>
        <stp/>
        <tr r="U322" s="1"/>
        <tr r="U322" s="3"/>
      </tp>
      <tp>
        <v>681</v>
        <stp/>
        <stp>P</stp>
        <stp>0</stp>
        <stp>STK</stp>
        <stp>214430</stp>
        <stp>누적거래량</stp>
        <stp/>
        <stp/>
        <tr r="U414" s="1"/>
      </tp>
      <tp>
        <v>26156</v>
        <stp/>
        <stp>P</stp>
        <stp>0</stp>
        <stp>STK</stp>
        <stp>048410</stp>
        <stp>누적거래량</stp>
        <stp/>
        <stp/>
        <tr r="U452" s="1"/>
      </tp>
      <tp>
        <v>1761</v>
        <stp/>
        <stp>P</stp>
        <stp>0</stp>
        <stp>STK</stp>
        <stp>293490</stp>
        <stp>누적거래량</stp>
        <stp/>
        <stp/>
        <tr r="U273" s="3"/>
        <tr r="U273" s="1"/>
      </tp>
      <tp>
        <v>306</v>
        <stp/>
        <stp>P</stp>
        <stp>0</stp>
        <stp>STK</stp>
        <stp>352480</stp>
        <stp>누적거래량</stp>
        <stp/>
        <stp/>
        <tr r="U528" s="1"/>
      </tp>
      <tp>
        <v>24936</v>
        <stp/>
        <stp>P</stp>
        <stp>0</stp>
        <stp>STK</stp>
        <stp>094480</stp>
        <stp>누적거래량</stp>
        <stp/>
        <stp/>
        <tr r="U564" s="1"/>
      </tp>
      <tp>
        <v>21588</v>
        <stp/>
        <stp>P</stp>
        <stp>0</stp>
        <stp>STK</stp>
        <stp>125490</stp>
        <stp>누적거래량</stp>
        <stp/>
        <stp/>
        <tr r="U374" s="3"/>
        <tr r="U374" s="1"/>
      </tp>
      <tp>
        <v>2586</v>
        <stp/>
        <stp>P</stp>
        <stp>0</stp>
        <stp>STK</stp>
        <stp>138490</stp>
        <stp>누적거래량</stp>
        <stp/>
        <stp/>
        <tr r="U608" s="1"/>
      </tp>
      <tp>
        <v>6293</v>
        <stp/>
        <stp>P</stp>
        <stp>0</stp>
        <stp>STK</stp>
        <stp>101490</stp>
        <stp>누적거래량</stp>
        <stp/>
        <stp/>
        <tr r="U254" s="3"/>
        <tr r="U254" s="1"/>
      </tp>
      <tp>
        <v>6569</v>
        <stp/>
        <stp>P</stp>
        <stp>0</stp>
        <stp>STK</stp>
        <stp>108490</stp>
        <stp>누적거래량</stp>
        <stp/>
        <stp/>
        <tr r="U132" s="1"/>
        <tr r="U132" s="3"/>
      </tp>
      <tp>
        <v>2045</v>
        <stp/>
        <stp>P</stp>
        <stp>0</stp>
        <stp>STK</stp>
        <stp>194480</stp>
        <stp>누적거래량</stp>
        <stp/>
        <stp/>
        <tr r="U534" s="1"/>
      </tp>
      <tp>
        <v>7541</v>
        <stp/>
        <stp>P</stp>
        <stp>0</stp>
        <stp>STK</stp>
        <stp>039490</stp>
        <stp>누적거래량</stp>
        <stp/>
        <stp/>
        <tr r="U82" s="3"/>
        <tr r="U82" s="1"/>
      </tp>
      <tp>
        <v>1978</v>
        <stp/>
        <stp>P</stp>
        <stp>0</stp>
        <stp>STK</stp>
        <stp>139480</stp>
        <stp>누적거래량</stp>
        <stp/>
        <stp/>
        <tr r="U191" s="3"/>
        <tr r="U191" s="1"/>
      </tp>
      <tp>
        <v>10481</v>
        <stp/>
        <stp>P</stp>
        <stp>0</stp>
        <stp>STK</stp>
        <stp>000490</stp>
        <stp>누적거래량</stp>
        <stp/>
        <stp/>
        <tr r="U628" s="1"/>
      </tp>
      <tp>
        <v>34747</v>
        <stp/>
        <stp>P</stp>
        <stp>0</stp>
        <stp>STK</stp>
        <stp>003490</stp>
        <stp>누적거래량</stp>
        <stp/>
        <stp/>
        <tr r="U79" s="3"/>
        <tr r="U79" s="1"/>
      </tp>
      <tp>
        <v>2966</v>
        <stp/>
        <stp>P</stp>
        <stp>0</stp>
        <stp>STK</stp>
        <stp>004490</stp>
        <stp>누적거래량</stp>
        <stp/>
        <stp/>
        <tr r="U330" s="1"/>
        <tr r="U330" s="3"/>
      </tp>
      <tp>
        <v>129570</v>
        <stp/>
        <stp>P</stp>
        <stp>0</stp>
        <stp>STK</stp>
        <stp>005490</stp>
        <stp>누적거래량</stp>
        <stp/>
        <stp/>
        <tr r="U28" s="3"/>
        <tr r="U28" s="1"/>
      </tp>
      <tp>
        <v>76</v>
        <stp/>
        <stp>P</stp>
        <stp>0</stp>
        <stp>STK</stp>
        <stp>008490</stp>
        <stp>누적거래량</stp>
        <stp/>
        <stp/>
        <tr r="U686" s="1"/>
      </tp>
      <tp>
        <v>1969</v>
        <stp/>
        <stp>P</stp>
        <stp>0</stp>
        <stp>STK</stp>
        <stp>044490</stp>
        <stp>누적거래량</stp>
        <stp/>
        <stp/>
        <tr r="U391" s="1"/>
      </tp>
      <tp>
        <v>586466</v>
        <stp/>
        <stp>P</stp>
        <stp>0</stp>
        <stp>STK</stp>
        <stp>281740</stp>
        <stp>누적거래량</stp>
        <stp/>
        <stp/>
        <tr r="U288" s="3"/>
        <tr r="U288" s="1"/>
      </tp>
      <tp>
        <v>71</v>
        <stp/>
        <stp>P</stp>
        <stp>0</stp>
        <stp>STK</stp>
        <stp>284740</stp>
        <stp>누적거래량</stp>
        <stp/>
        <stp/>
        <tr r="U470" s="1"/>
      </tp>
      <tp>
        <v>638</v>
        <stp/>
        <stp>P</stp>
        <stp>0</stp>
        <stp>STK</stp>
        <stp>035760</stp>
        <stp>누적거래량</stp>
        <stp/>
        <stp/>
        <tr r="U260" s="3"/>
        <tr r="U260" s="1"/>
      </tp>
      <tp>
        <v>605</v>
        <stp/>
        <stp>P</stp>
        <stp>0</stp>
        <stp>STK</stp>
        <stp>011760</stp>
        <stp>누적거래량</stp>
        <stp/>
        <stp/>
        <tr r="U636" s="1"/>
      </tp>
      <tp>
        <v>370</v>
        <stp/>
        <stp>P</stp>
        <stp>0</stp>
        <stp>STK</stp>
        <stp>111770</stp>
        <stp>누적거래량</stp>
        <stp/>
        <stp/>
        <tr r="U135" s="3"/>
        <tr r="U135" s="1"/>
      </tp>
      <tp>
        <v>275999</v>
        <stp/>
        <stp>P</stp>
        <stp>0</stp>
        <stp>STK</stp>
        <stp>015760</stp>
        <stp>누적거래량</stp>
        <stp/>
        <stp/>
        <tr r="U21" s="3"/>
        <tr r="U21" s="1"/>
      </tp>
      <tp>
        <v>966</v>
        <stp/>
        <stp>P</stp>
        <stp>0</stp>
        <stp>STK</stp>
        <stp>064760</stp>
        <stp>누적거래량</stp>
        <stp/>
        <stp/>
        <tr r="U215" s="3"/>
        <tr r="U215" s="1"/>
      </tp>
      <tp>
        <v>1424</v>
        <stp/>
        <stp>P</stp>
        <stp>0</stp>
        <stp>STK</stp>
        <stp>068760</stp>
        <stp>누적거래량</stp>
        <stp/>
        <stp/>
        <tr r="U168" s="1"/>
        <tr r="U168" s="3"/>
      </tp>
      <tp>
        <v>36717</v>
        <stp/>
        <stp>P</stp>
        <stp>0</stp>
        <stp>STK</stp>
        <stp>096770</stp>
        <stp>누적거래량</stp>
        <stp/>
        <stp/>
        <tr r="U47" s="3"/>
        <tr r="U47" s="1"/>
      </tp>
      <tp>
        <v>40</v>
        <stp/>
        <stp>P</stp>
        <stp>0</stp>
        <stp>STK</stp>
        <stp>025770</stp>
        <stp>누적거래량</stp>
        <stp/>
        <stp/>
        <tr r="U633" s="1"/>
      </tp>
      <tp>
        <v>16961</v>
        <stp/>
        <stp>P</stp>
        <stp>0</stp>
        <stp>STK</stp>
        <stp>437730</stp>
        <stp>누적거래량</stp>
        <stp/>
        <stp/>
        <tr r="U192" s="3"/>
        <tr r="U192" s="1"/>
      </tp>
      <tp>
        <v>2824</v>
        <stp/>
        <stp>P</stp>
        <stp>0</stp>
        <stp>STK</stp>
        <stp>008770</stp>
        <stp>누적거래량</stp>
        <stp/>
        <stp/>
        <tr r="U226" s="3"/>
        <tr r="U226" s="1"/>
      </tp>
      <tp>
        <v>5825</v>
        <stp/>
        <stp>P</stp>
        <stp>0</stp>
        <stp>STK</stp>
        <stp>263750</stp>
        <stp>누적거래량</stp>
        <stp/>
        <stp/>
        <tr r="U162" s="1"/>
        <tr r="U162" s="3"/>
      </tp>
      <tp>
        <v>12224</v>
        <stp/>
        <stp>P</stp>
        <stp>0</stp>
        <stp>STK</stp>
        <stp>082740</stp>
        <stp>누적거래량</stp>
        <stp/>
        <stp/>
        <tr r="U116" s="1"/>
        <tr r="U116" s="3"/>
      </tp>
      <tp>
        <v>128</v>
        <stp/>
        <stp>P</stp>
        <stp>0</stp>
        <stp>STK</stp>
        <stp>185750</stp>
        <stp>누적거래량</stp>
        <stp/>
        <stp/>
        <tr r="U290" s="3"/>
        <tr r="U290" s="1"/>
      </tp>
      <tp>
        <v>524</v>
        <stp/>
        <stp>P</stp>
        <stp>0</stp>
        <stp>STK</stp>
        <stp>228760</stp>
        <stp>누적거래량</stp>
        <stp/>
        <stp/>
        <tr r="U449" s="1"/>
      </tp>
      <tp>
        <v>369</v>
        <stp/>
        <stp>P</stp>
        <stp>0</stp>
        <stp>STK</stp>
        <stp>176750</stp>
        <stp>누적거래량</stp>
        <stp/>
        <stp/>
        <tr r="U675" s="1"/>
      </tp>
      <tp>
        <v>31</v>
        <stp/>
        <stp>P</stp>
        <stp>0</stp>
        <stp>STK</stp>
        <stp>001750</stp>
        <stp>누적거래량</stp>
        <stp/>
        <stp/>
        <tr r="U682" s="1"/>
      </tp>
      <tp>
        <v>810</v>
        <stp/>
        <stp>P</stp>
        <stp>0</stp>
        <stp>STK</stp>
        <stp>012750</stp>
        <stp>누적거래량</stp>
        <stp/>
        <stp/>
        <tr r="U153" s="3"/>
        <tr r="U153" s="1"/>
      </tp>
      <tp>
        <v>29737</v>
        <stp/>
        <stp>P</stp>
        <stp>0</stp>
        <stp>STK</stp>
        <stp>015750</stp>
        <stp>누적거래량</stp>
        <stp/>
        <stp/>
        <tr r="U404" s="1"/>
      </tp>
      <tp>
        <v>93</v>
        <stp/>
        <stp>P</stp>
        <stp>0</stp>
        <stp>STK</stp>
        <stp>241770</stp>
        <stp>누적거래량</stp>
        <stp/>
        <stp/>
        <tr r="U683" s="1"/>
      </tp>
      <tp>
        <v>44</v>
        <stp/>
        <stp>P</stp>
        <stp>0</stp>
        <stp>STK</stp>
        <stp>024720</stp>
        <stp>누적거래량</stp>
        <stp/>
        <stp/>
        <tr r="U602" s="1"/>
      </tp>
      <tp>
        <v>64259</v>
        <stp/>
        <stp>P</stp>
        <stp>0</stp>
        <stp>STK</stp>
        <stp>035720</stp>
        <stp>누적거래량</stp>
        <stp/>
        <stp/>
        <tr r="U32" s="1"/>
        <tr r="U32" s="3"/>
      </tp>
      <tp>
        <v>90176</v>
        <stp/>
        <stp>P</stp>
        <stp>0</stp>
        <stp>STK</stp>
        <stp>000720</stp>
        <stp>누적거래량</stp>
        <stp/>
        <stp/>
        <tr r="U65" s="3"/>
        <tr r="U65" s="1"/>
      </tp>
      <tp>
        <v>1435</v>
        <stp/>
        <stp>P</stp>
        <stp>0</stp>
        <stp>STK</stp>
        <stp>001720</stp>
        <stp>누적거래량</stp>
        <stp/>
        <stp/>
        <tr r="U181" s="3"/>
        <tr r="U181" s="1"/>
      </tp>
      <tp>
        <v>253</v>
        <stp/>
        <stp>P</stp>
        <stp>0</stp>
        <stp>STK</stp>
        <stp>101730</stp>
        <stp>누적거래량</stp>
        <stp/>
        <stp/>
        <tr r="U472" s="1"/>
      </tp>
      <tp>
        <v>3334</v>
        <stp/>
        <stp>P</stp>
        <stp>0</stp>
        <stp>STK</stp>
        <stp>309710</stp>
        <stp>누적거래량</stp>
        <stp/>
        <stp/>
        <tr r="U514" s="1"/>
      </tp>
      <tp>
        <v>79514</v>
        <stp/>
        <stp>P</stp>
        <stp>0</stp>
        <stp>STK</stp>
        <stp>117730</stp>
        <stp>누적거래량</stp>
        <stp/>
        <stp/>
        <tr r="U411" s="1"/>
      </tp>
      <tp>
        <v>25142</v>
        <stp/>
        <stp>P</stp>
        <stp>0</stp>
        <stp>STK</stp>
        <stp>060720</stp>
        <stp>누적거래량</stp>
        <stp/>
        <stp/>
        <tr r="U570" s="1"/>
      </tp>
      <tp>
        <v>1772</v>
        <stp/>
        <stp>P</stp>
        <stp>0</stp>
        <stp>STK</stp>
        <stp>092730</stp>
        <stp>누적거래량</stp>
        <stp/>
        <stp/>
        <tr r="U645" s="1"/>
      </tp>
      <tp>
        <v>2037</v>
        <stp/>
        <stp>P</stp>
        <stp>0</stp>
        <stp>STK</stp>
        <stp>420770</stp>
        <stp>누적거래량</stp>
        <stp/>
        <stp/>
        <tr r="U384" s="1"/>
      </tp>
      <tp>
        <v>1574</v>
        <stp/>
        <stp>P</stp>
        <stp>0</stp>
        <stp>STK</stp>
        <stp>126720</stp>
        <stp>누적거래량</stp>
        <stp/>
        <stp/>
        <tr r="U544" s="1"/>
      </tp>
      <tp>
        <v>4844</v>
        <stp/>
        <stp>P</stp>
        <stp>0</stp>
        <stp>STK</stp>
        <stp>034730</stp>
        <stp>누적거래량</stp>
        <stp/>
        <stp/>
        <tr r="U38" s="3"/>
        <tr r="U38" s="1"/>
      </tp>
      <tp>
        <v>8306</v>
        <stp/>
        <stp>P</stp>
        <stp>0</stp>
        <stp>STK</stp>
        <stp>200710</stp>
        <stp>누적거래량</stp>
        <stp/>
        <stp/>
        <tr r="U491" s="1"/>
      </tp>
      <tp>
        <v>77013</v>
        <stp/>
        <stp>P</stp>
        <stp>0</stp>
        <stp>STK</stp>
        <stp>006730</stp>
        <stp>누적거래량</stp>
        <stp/>
        <stp/>
        <tr r="U323" s="1"/>
        <tr r="U323" s="3"/>
      </tp>
      <tp>
        <v>5630</v>
        <stp/>
        <stp>P</stp>
        <stp>0</stp>
        <stp>STK</stp>
        <stp>008730</stp>
        <stp>누적거래량</stp>
        <stp/>
        <stp/>
        <tr r="U397" s="1"/>
      </tp>
      <tp>
        <v>3555</v>
        <stp/>
        <stp>P</stp>
        <stp>0</stp>
        <stp>STK</stp>
        <stp>241710</stp>
        <stp>누적거래량</stp>
        <stp/>
        <stp/>
        <tr r="U357" s="3"/>
        <tr r="U357" s="1"/>
      </tp>
      <tp>
        <v>226</v>
        <stp/>
        <stp>P</stp>
        <stp>0</stp>
        <stp>STK</stp>
        <stp>145720</stp>
        <stp>누적거래량</stp>
        <stp/>
        <stp/>
        <tr r="U467" s="1"/>
      </tp>
      <tp>
        <v>802</v>
        <stp/>
        <stp>P</stp>
        <stp>0</stp>
        <stp>STK</stp>
        <stp>181710</stp>
        <stp>누적거래량</stp>
        <stp/>
        <stp/>
        <tr r="U316" s="1"/>
        <tr r="U316" s="3"/>
      </tp>
      <tp>
        <v>6925</v>
        <stp/>
        <stp>P</stp>
        <stp>0</stp>
        <stp>STK</stp>
        <stp>102710</stp>
        <stp>누적거래량</stp>
        <stp/>
        <stp/>
        <tr r="U398" s="1"/>
      </tp>
      <tp>
        <v>99</v>
        <stp/>
        <stp>P</stp>
        <stp>0</stp>
        <stp>STK</stp>
        <stp>004700</stp>
        <stp>누적거래량</stp>
        <stp/>
        <stp/>
        <tr r="U497" s="1"/>
      </tp>
      <tp>
        <v>89</v>
        <stp/>
        <stp>P</stp>
        <stp>0</stp>
        <stp>STK</stp>
        <stp>007700</stp>
        <stp>누적거래량</stp>
        <stp/>
        <stp/>
        <tr r="U362" s="3"/>
        <tr r="U362" s="1"/>
      </tp>
      <tp>
        <v>16426</v>
        <stp/>
        <stp>P</stp>
        <stp>0</stp>
        <stp>STK</stp>
        <stp>042700</stp>
        <stp>누적거래량</stp>
        <stp/>
        <stp/>
        <tr r="U51" s="1"/>
        <tr r="U51" s="3"/>
      </tp>
      <tp>
        <v>15865</v>
        <stp/>
        <stp>P</stp>
        <stp>0</stp>
        <stp>STK</stp>
        <stp>257720</stp>
        <stp>누적거래량</stp>
        <stp/>
        <stp/>
        <tr r="U156" s="1"/>
        <tr r="U156" s="3"/>
      </tp>
      <tp>
        <v>6309</v>
        <stp/>
        <stp>P</stp>
        <stp>0</stp>
        <stp>STK</stp>
        <stp>388720</stp>
        <stp>누적거래량</stp>
        <stp/>
        <stp/>
        <tr r="U283" s="1"/>
        <tr r="U283" s="3"/>
      </tp>
      <tp>
        <v>184</v>
        <stp/>
        <stp>P</stp>
        <stp>0</stp>
        <stp>STK</stp>
        <stp>194700</stp>
        <stp>누적거래량</stp>
        <stp/>
        <stp/>
        <tr r="U668" s="1"/>
      </tp>
      <tp>
        <v>8393</v>
        <stp/>
        <stp>P</stp>
        <stp>0</stp>
        <stp>STK</stp>
        <stp>399720</stp>
        <stp>누적거래량</stp>
        <stp/>
        <stp/>
        <tr r="U383" s="1"/>
      </tp>
      <tp>
        <v>115</v>
        <stp/>
        <stp>P</stp>
        <stp>0</stp>
        <stp>STK</stp>
        <stp>037710</stp>
        <stp>누적거래량</stp>
        <stp/>
        <stp/>
        <tr r="U673" s="1"/>
      </tp>
      <tp>
        <v>1405</v>
        <stp/>
        <stp>P</stp>
        <stp>0</stp>
        <stp>STK</stp>
        <stp>300720</stp>
        <stp>누적거래량</stp>
        <stp/>
        <stp/>
        <tr r="U279" s="1"/>
        <tr r="U279" s="3"/>
      </tp>
      <tp>
        <v>70065</v>
        <stp/>
        <stp>P</stp>
        <stp>0</stp>
        <stp>STK</stp>
        <stp>002710</stp>
        <stp>누적거래량</stp>
        <stp/>
        <stp/>
        <tr r="U567" s="1"/>
      </tp>
      <tp>
        <v>129</v>
        <stp/>
        <stp>P</stp>
        <stp>0</stp>
        <stp>STK</stp>
        <stp>104700</stp>
        <stp>누적거래량</stp>
        <stp/>
        <stp/>
        <tr r="U565" s="1"/>
      </tp>
      <tp>
        <v>1208</v>
        <stp/>
        <stp>P</stp>
        <stp>0</stp>
        <stp>STK</stp>
        <stp>005710</stp>
        <stp>누적거래량</stp>
        <stp/>
        <stp/>
        <tr r="U656" s="1"/>
      </tp>
      <tp>
        <v>157</v>
        <stp/>
        <stp>P</stp>
        <stp>0</stp>
        <stp>STK</stp>
        <stp>072710</stp>
        <stp>누적거래량</stp>
        <stp/>
        <stp/>
        <tr r="U536" s="1"/>
      </tp>
      <tp>
        <v>33728</v>
        <stp/>
        <stp>P</stp>
        <stp>0</stp>
        <stp>STK</stp>
        <stp>489790</stp>
        <stp>누적거래량</stp>
        <stp/>
        <stp/>
        <tr r="U170" s="1"/>
        <tr r="U170" s="3"/>
      </tp>
      <tp>
        <v>2283</v>
        <stp/>
        <stp>P</stp>
        <stp>0</stp>
        <stp>STK</stp>
        <stp>499790</stp>
        <stp>누적거래량</stp>
        <stp/>
        <stp/>
        <tr r="U359" s="1"/>
        <tr r="U359" s="3"/>
      </tp>
      <tp>
        <v>931</v>
        <stp/>
        <stp>P</stp>
        <stp>0</stp>
        <stp>STK</stp>
        <stp>357780</stp>
        <stp>누적거래량</stp>
        <stp/>
        <stp/>
        <tr r="U167" s="3"/>
        <tr r="U167" s="1"/>
      </tp>
      <tp>
        <v>705</v>
        <stp/>
        <stp>P</stp>
        <stp>0</stp>
        <stp>STK</stp>
        <stp>029780</stp>
        <stp>누적거래량</stp>
        <stp/>
        <stp/>
        <tr r="U98" s="3"/>
        <tr r="U98" s="1"/>
      </tp>
      <tp>
        <v>3794</v>
        <stp/>
        <stp>P</stp>
        <stp>0</stp>
        <stp>STK</stp>
        <stp>033780</stp>
        <stp>누적거래량</stp>
        <stp/>
        <stp/>
        <tr r="U49" s="1"/>
        <tr r="U49" s="3"/>
      </tp>
      <tp>
        <v>71626</v>
        <stp/>
        <stp>P</stp>
        <stp>0</stp>
        <stp>STK</stp>
        <stp>100790</stp>
        <stp>누적거래량</stp>
        <stp/>
        <stp/>
        <tr r="U390" s="1"/>
      </tp>
      <tp>
        <v>401</v>
        <stp/>
        <stp>P</stp>
        <stp>0</stp>
        <stp>STK</stp>
        <stp>010780</stp>
        <stp>누적거래량</stp>
        <stp/>
        <stp/>
        <tr r="U395" s="1"/>
      </tp>
      <tp>
        <v>15811</v>
        <stp/>
        <stp>P</stp>
        <stp>0</stp>
        <stp>STK</stp>
        <stp>011780</stp>
        <stp>누적거래량</stp>
        <stp/>
        <stp/>
        <tr r="U133" s="3"/>
        <tr r="U133" s="1"/>
      </tp>
      <tp>
        <v>24572</v>
        <stp/>
        <stp>P</stp>
        <stp>0</stp>
        <stp>STK</stp>
        <stp>086790</stp>
        <stp>누적거래량</stp>
        <stp/>
        <stp/>
        <tr r="U29" s="1"/>
        <tr r="U29" s="3"/>
      </tp>
      <tp>
        <v>26956</v>
        <stp/>
        <stp>P</stp>
        <stp>0</stp>
        <stp>STK</stp>
        <stp>092790</stp>
        <stp>누적거래량</stp>
        <stp/>
        <stp/>
        <tr r="U607" s="1"/>
      </tp>
      <tp>
        <v>1487</v>
        <stp/>
        <stp>P</stp>
        <stp>0</stp>
        <stp>STK</stp>
        <stp>002790</stp>
        <stp>누적거래량</stp>
        <stp/>
        <stp/>
        <tr r="U207" s="1"/>
        <tr r="U207" s="3"/>
      </tp>
      <tp>
        <v>24664</v>
        <stp/>
        <stp>P</stp>
        <stp>0</stp>
        <stp>STK</stp>
        <stp>011790</stp>
        <stp>누적거래량</stp>
        <stp/>
        <stp/>
        <tr r="U123" s="1"/>
        <tr r="U123" s="3"/>
      </tp>
      <tp>
        <v>3589</v>
        <stp/>
        <stp>P</stp>
        <stp>0</stp>
        <stp>STK</stp>
        <stp>0007C0</stp>
        <stp>누적거래량</stp>
        <stp/>
        <stp/>
        <tr r="U685" s="1"/>
      </tp>
      <tp>
        <v>787</v>
        <stp/>
        <stp>P</stp>
        <stp>0</stp>
        <stp>STK</stp>
        <stp>081660</stp>
        <stp>누적거래량</stp>
        <stp/>
        <stp/>
        <tr r="U189" s="3"/>
        <tr r="U189" s="1"/>
      </tp>
      <tp>
        <v>20378</v>
        <stp/>
        <stp>P</stp>
        <stp>0</stp>
        <stp>STK</stp>
        <stp>085660</stp>
        <stp>누적거래량</stp>
        <stp/>
        <stp/>
        <tr r="U268" s="3"/>
        <tr r="U268" s="1"/>
      </tp>
      <tp>
        <v>1913</v>
        <stp/>
        <stp>P</stp>
        <stp>0</stp>
        <stp>STK</stp>
        <stp>389650</stp>
        <stp>누적거래량</stp>
        <stp/>
        <stp/>
        <tr r="U427" s="1"/>
      </tp>
      <tp>
        <v>636</v>
        <stp/>
        <stp>P</stp>
        <stp>0</stp>
        <stp>STK</stp>
        <stp>095660</stp>
        <stp>누적거래량</stp>
        <stp/>
        <stp/>
        <tr r="U445" s="1"/>
      </tp>
      <tp>
        <v>13581</v>
        <stp/>
        <stp>P</stp>
        <stp>0</stp>
        <stp>STK</stp>
        <stp>229640</stp>
        <stp>누적거래량</stp>
        <stp/>
        <stp/>
        <tr r="U289" s="1"/>
        <tr r="U289" s="3"/>
      </tp>
      <tp>
        <v>164296</v>
        <stp/>
        <stp>P</stp>
        <stp>0</stp>
        <stp>STK</stp>
        <stp>000660</stp>
        <stp>누적거래량</stp>
        <stp/>
        <stp/>
        <tr r="U7" s="3"/>
        <tr r="U7" s="1"/>
      </tp>
      <tp>
        <v>1564</v>
        <stp/>
        <stp>P</stp>
        <stp>0</stp>
        <stp>STK</stp>
        <stp>206640</stp>
        <stp>누적거래량</stp>
        <stp/>
        <stp/>
        <tr r="U629" s="1"/>
      </tp>
      <tp>
        <v>24093</v>
        <stp/>
        <stp>P</stp>
        <stp>0</stp>
        <stp>STK</stp>
        <stp>007660</stp>
        <stp>누적거래량</stp>
        <stp/>
        <stp/>
        <tr r="U86" s="3"/>
        <tr r="U86" s="1"/>
      </tp>
      <tp>
        <v>41</v>
        <stp/>
        <stp>P</stp>
        <stp>0</stp>
        <stp>STK</stp>
        <stp>108670</stp>
        <stp>누적거래량</stp>
        <stp/>
        <stp/>
        <tr r="U665" s="1"/>
      </tp>
      <tp>
        <v>184</v>
        <stp/>
        <stp>P</stp>
        <stp>0</stp>
        <stp>STK</stp>
        <stp>065660</stp>
        <stp>누적거래량</stp>
        <stp/>
        <stp/>
        <tr r="U553" s="1"/>
      </tp>
      <tp>
        <v>115430</v>
        <stp/>
        <stp>P</stp>
        <stp>0</stp>
        <stp>STK</stp>
        <stp>042660</stp>
        <stp>누적거래량</stp>
        <stp/>
        <stp/>
        <tr r="U20" s="3"/>
        <tr r="U20" s="1"/>
      </tp>
      <tp>
        <v>5559</v>
        <stp/>
        <stp>P</stp>
        <stp>0</stp>
        <stp>STK</stp>
        <stp>290650</stp>
        <stp>누적거래량</stp>
        <stp/>
        <stp/>
        <tr r="U266" s="3"/>
        <tr r="U266" s="1"/>
      </tp>
      <tp>
        <v>135060</v>
        <stp/>
        <stp>P</stp>
        <stp>0</stp>
        <stp>STK</stp>
        <stp>028670</stp>
        <stp>누적거래량</stp>
        <stp/>
        <stp/>
        <tr r="U188" s="3"/>
        <tr r="U188" s="1"/>
      </tp>
      <tp>
        <v>6931</v>
        <stp/>
        <stp>P</stp>
        <stp>0</stp>
        <stp>STK</stp>
        <stp>130660</stp>
        <stp>누적거래량</stp>
        <stp/>
        <stp/>
        <tr r="U518" s="1"/>
      </tp>
      <tp>
        <v>516</v>
        <stp/>
        <stp>P</stp>
        <stp>0</stp>
        <stp>STK</stp>
        <stp>000670</stp>
        <stp>누적거래량</stp>
        <stp/>
        <stp/>
        <tr r="U321" s="3"/>
        <tr r="U321" s="1"/>
      </tp>
      <tp>
        <v>91414</v>
        <stp/>
        <stp>P</stp>
        <stp>0</stp>
        <stp>STK</stp>
        <stp>003670</stp>
        <stp>누적거래량</stp>
        <stp/>
        <stp/>
        <tr r="U46" s="3"/>
        <tr r="U46" s="1"/>
      </tp>
      <tp>
        <v>3021</v>
        <stp/>
        <stp>P</stp>
        <stp>0</stp>
        <stp>STK</stp>
        <stp>206650</stp>
        <stp>누적거래량</stp>
        <stp/>
        <stp/>
        <tr r="U531" s="1"/>
      </tp>
      <tp>
        <v>122897</v>
        <stp/>
        <stp>P</stp>
        <stp>0</stp>
        <stp>STK</stp>
        <stp>017670</stp>
        <stp>누적거래량</stp>
        <stp/>
        <stp/>
        <tr r="U63" s="1"/>
        <tr r="U63" s="3"/>
      </tp>
      <tp>
        <v>66</v>
        <stp/>
        <stp>P</stp>
        <stp>0</stp>
        <stp>STK</stp>
        <stp>018670</stp>
        <stp>누적거래량</stp>
        <stp/>
        <stp/>
        <tr r="U206" s="3"/>
        <tr r="U206" s="1"/>
      </tp>
      <tp>
        <v>12753</v>
        <stp/>
        <stp>P</stp>
        <stp>0</stp>
        <stp>STK</stp>
        <stp>032640</stp>
        <stp>누적거래량</stp>
        <stp/>
        <stp/>
        <tr r="U96" s="1"/>
        <tr r="U96" s="3"/>
      </tp>
      <tp>
        <v>6056</v>
        <stp/>
        <stp>P</stp>
        <stp>0</stp>
        <stp>STK</stp>
        <stp>033640</stp>
        <stp>누적거래량</stp>
        <stp/>
        <stp/>
        <tr r="U561" s="1"/>
      </tp>
      <tp>
        <v>140</v>
        <stp/>
        <stp>P</stp>
        <stp>0</stp>
        <stp>STK</stp>
        <stp>000640</stp>
        <stp>누적거래량</stp>
        <stp/>
        <stp/>
        <tr r="U394" s="1"/>
      </tp>
      <tp>
        <v>68618</v>
        <stp/>
        <stp>P</stp>
        <stp>0</stp>
        <stp>STK</stp>
        <stp>270660</stp>
        <stp>누적거래량</stp>
        <stp/>
        <stp/>
        <tr r="U539" s="1"/>
      </tp>
      <tp>
        <v>604</v>
        <stp/>
        <stp>P</stp>
        <stp>0</stp>
        <stp>STK</stp>
        <stp>180640</stp>
        <stp>누적거래량</stp>
        <stp/>
        <stp/>
        <tr r="U80" s="1"/>
        <tr r="U80" s="3"/>
      </tp>
      <tp>
        <v>26477</v>
        <stp/>
        <stp>P</stp>
        <stp>0</stp>
        <stp>STK</stp>
        <stp>083650</stp>
        <stp>누적거래량</stp>
        <stp/>
        <stp/>
        <tr r="U212" s="1"/>
        <tr r="U212" s="3"/>
      </tp>
      <tp>
        <v>2739</v>
        <stp/>
        <stp>P</stp>
        <stp>0</stp>
        <stp>STK</stp>
        <stp>122640</stp>
        <stp>누적거래량</stp>
        <stp/>
        <stp/>
        <tr r="U541" s="1"/>
      </tp>
      <tp>
        <v>1227</v>
        <stp/>
        <stp>P</stp>
        <stp>0</stp>
        <stp>STK</stp>
        <stp>200670</stp>
        <stp>누적거래량</stp>
        <stp/>
        <stp/>
        <tr r="U507" s="1"/>
      </tp>
      <tp>
        <v>1746</v>
        <stp/>
        <stp>P</stp>
        <stp>0</stp>
        <stp>STK</stp>
        <stp>006650</stp>
        <stp>누적거래량</stp>
        <stp/>
        <stp/>
        <tr r="U306" s="1"/>
        <tr r="U306" s="3"/>
      </tp>
      <tp>
        <v>15006</v>
        <stp/>
        <stp>P</stp>
        <stp>0</stp>
        <stp>STK</stp>
        <stp>107640</stp>
        <stp>누적거래량</stp>
        <stp/>
        <stp/>
        <tr r="U524" s="1"/>
      </tp>
      <tp>
        <v>5071</v>
        <stp/>
        <stp>P</stp>
        <stp>0</stp>
        <stp>STK</stp>
        <stp>319660</stp>
        <stp>누적거래량</stp>
        <stp/>
        <stp/>
        <tr r="U284" s="3"/>
        <tr r="U284" s="1"/>
      </tp>
      <tp>
        <v>3367</v>
        <stp/>
        <stp>P</stp>
        <stp>0</stp>
        <stp>STK</stp>
        <stp>469610</stp>
        <stp>누적거래량</stp>
        <stp/>
        <stp/>
        <tr r="U696" s="1"/>
      </tp>
      <tp>
        <v>2503</v>
        <stp/>
        <stp>P</stp>
        <stp>0</stp>
        <stp>STK</stp>
        <stp>085620</stp>
        <stp>누적거래량</stp>
        <stp/>
        <stp/>
        <tr r="U241" s="1"/>
        <tr r="U241" s="3"/>
      </tp>
      <tp>
        <v>12455</v>
        <stp/>
        <stp>P</stp>
        <stp>0</stp>
        <stp>STK</stp>
        <stp>036620</stp>
        <stp>누적거래량</stp>
        <stp/>
        <stp/>
        <tr r="U478" s="1"/>
      </tp>
      <tp>
        <v>197</v>
        <stp/>
        <stp>P</stp>
        <stp>0</stp>
        <stp>STK</stp>
        <stp>105630</stp>
        <stp>누적거래량</stp>
        <stp/>
        <stp/>
        <tr r="U441" s="1"/>
      </tp>
      <tp>
        <v>2189</v>
        <stp/>
        <stp>P</stp>
        <stp>0</stp>
        <stp>STK</stp>
        <stp>014620</stp>
        <stp>누적거래량</stp>
        <stp/>
        <stp/>
        <tr r="U361" s="3"/>
        <tr r="U361" s="1"/>
      </tp>
      <tp>
        <v>16624</v>
        <stp/>
        <stp>P</stp>
        <stp>0</stp>
        <stp>STK</stp>
        <stp>361610</stp>
        <stp>누적거래량</stp>
        <stp/>
        <stp/>
        <tr r="U211" s="1"/>
        <tr r="U211" s="3"/>
      </tp>
      <tp>
        <v>294</v>
        <stp/>
        <stp>P</stp>
        <stp>0</stp>
        <stp>STK</stp>
        <stp>069620</stp>
        <stp>누적거래량</stp>
        <stp/>
        <stp/>
        <tr r="U217" s="1"/>
        <tr r="U217" s="3"/>
      </tp>
      <tp>
        <v>229</v>
        <stp/>
        <stp>P</stp>
        <stp>0</stp>
        <stp>STK</stp>
        <stp>001630</stp>
        <stp>누적거래량</stp>
        <stp/>
        <stp/>
        <tr r="U681" s="1"/>
      </tp>
      <tp>
        <v>7650</v>
        <stp/>
        <stp>P</stp>
        <stp>0</stp>
        <stp>STK</stp>
        <stp>012630</stp>
        <stp>누적거래량</stp>
        <stp/>
        <stp/>
        <tr r="U309" s="1"/>
        <tr r="U309" s="3"/>
      </tp>
      <tp>
        <v>192</v>
        <stp/>
        <stp>P</stp>
        <stp>0</stp>
        <stp>STK</stp>
        <stp>035600</stp>
        <stp>누적거래량</stp>
        <stp/>
        <stp/>
        <tr r="U652" s="1"/>
      </tp>
      <tp>
        <v>1756</v>
        <stp/>
        <stp>P</stp>
        <stp>0</stp>
        <stp>STK</stp>
        <stp>138610</stp>
        <stp>누적거래량</stp>
        <stp/>
        <stp/>
        <tr r="U545" s="1"/>
      </tp>
      <tp>
        <v>14531</v>
        <stp/>
        <stp>P</stp>
        <stp>0</stp>
        <stp>STK</stp>
        <stp>112610</stp>
        <stp>누적거래량</stp>
        <stp/>
        <stp/>
        <tr r="U237" s="1"/>
        <tr r="U237" s="3"/>
      </tp>
      <tp>
        <v>11683</v>
        <stp/>
        <stp>P</stp>
        <stp>0</stp>
        <stp>STK</stp>
        <stp>074600</stp>
        <stp>누적거래량</stp>
        <stp/>
        <stp/>
        <tr r="U405" s="1"/>
      </tp>
      <tp>
        <v>18257</v>
        <stp/>
        <stp>P</stp>
        <stp>0</stp>
        <stp>STK</stp>
        <stp>078600</stp>
        <stp>누적거래량</stp>
        <stp/>
        <stp/>
        <tr r="U317" s="3"/>
        <tr r="U317" s="1"/>
      </tp>
      <tp>
        <v>4331</v>
        <stp/>
        <stp>P</stp>
        <stp>0</stp>
        <stp>STK</stp>
        <stp>051600</stp>
        <stp>누적거래량</stp>
        <stp/>
        <stp/>
        <tr r="U166" s="3"/>
        <tr r="U166" s="1"/>
      </tp>
      <tp>
        <v>2817</v>
        <stp/>
        <stp>P</stp>
        <stp>0</stp>
        <stp>STK</stp>
        <stp>483650</stp>
        <stp>누적거래량</stp>
        <stp/>
        <stp/>
        <tr r="U233" s="3"/>
        <tr r="U233" s="1"/>
      </tp>
      <tp>
        <v>18962</v>
        <stp/>
        <stp>P</stp>
        <stp>0</stp>
        <stp>STK</stp>
        <stp>095610</stp>
        <stp>누적거래량</stp>
        <stp/>
        <stp/>
        <tr r="U319" s="1"/>
        <tr r="U319" s="3"/>
      </tp>
      <tp>
        <v>27431</v>
        <stp/>
        <stp>P</stp>
        <stp>0</stp>
        <stp>STK</stp>
        <stp>121600</stp>
        <stp>누적거래량</stp>
        <stp/>
        <stp/>
        <tr r="U416" s="1"/>
      </tp>
      <tp>
        <v>2815</v>
        <stp/>
        <stp>P</stp>
        <stp>0</stp>
        <stp>STK</stp>
        <stp>030610</stp>
        <stp>누적거래량</stp>
        <stp/>
        <stp/>
        <tr r="U286" s="3"/>
        <tr r="U286" s="1"/>
      </tp>
      <tp>
        <v>13</v>
        <stp/>
        <stp>P</stp>
        <stp>0</stp>
        <stp>STK</stp>
        <stp>005610</stp>
        <stp>누적거래량</stp>
        <stp/>
        <stp/>
        <tr r="U511" s="1"/>
      </tp>
      <tp>
        <v>8255</v>
        <stp/>
        <stp>P</stp>
        <stp>0</stp>
        <stp>STK</stp>
        <stp>016610</stp>
        <stp>누적거래량</stp>
        <stp/>
        <stp/>
        <tr r="U483" s="1"/>
      </tp>
      <tp>
        <v>2112</v>
        <stp/>
        <stp>P</stp>
        <stp>0</stp>
        <stp>STK</stp>
        <stp>053610</stp>
        <stp>누적거래량</stp>
        <stp/>
        <stp/>
        <tr r="U538" s="1"/>
      </tp>
      <tp>
        <v>16662</v>
        <stp/>
        <stp>P</stp>
        <stp>0</stp>
        <stp>STK</stp>
        <stp>058610</stp>
        <stp>누적거래량</stp>
        <stp/>
        <stp/>
        <tr r="U178" s="3"/>
        <tr r="U178" s="1"/>
      </tp>
      <tp>
        <v>3503</v>
        <stp/>
        <stp>P</stp>
        <stp>0</stp>
        <stp>STK</stp>
        <stp>445680</stp>
        <stp>누적거래량</stp>
        <stp/>
        <stp/>
        <tr r="U204" s="1"/>
        <tr r="U204" s="3"/>
      </tp>
      <tp>
        <v>735</v>
        <stp/>
        <stp>P</stp>
        <stp>0</stp>
        <stp>STK</stp>
        <stp>237690</stp>
        <stp>누적거래량</stp>
        <stp/>
        <stp/>
        <tr r="U182" s="3"/>
        <tr r="U182" s="1"/>
      </tp>
      <tp>
        <v>3151</v>
        <stp/>
        <stp>P</stp>
        <stp>0</stp>
        <stp>STK</stp>
        <stp>356680</stp>
        <stp>누적거래량</stp>
        <stp/>
        <stp/>
        <tr r="U694" s="1"/>
      </tp>
      <tp>
        <v>2311</v>
        <stp/>
        <stp>P</stp>
        <stp>0</stp>
        <stp>STK</stp>
        <stp>001680</stp>
        <stp>누적거래량</stp>
        <stp/>
        <stp/>
        <tr r="U371" s="1"/>
        <tr r="U371" s="3"/>
      </tp>
      <tp>
        <v>500</v>
        <stp/>
        <stp>P</stp>
        <stp>0</stp>
        <stp>STK</stp>
        <stp>009680</stp>
        <stp>누적거래량</stp>
        <stp/>
        <stp/>
        <tr r="U632" s="1"/>
      </tp>
      <tp>
        <v>6857</v>
        <stp/>
        <stp>P</stp>
        <stp>0</stp>
        <stp>STK</stp>
        <stp>014680</stp>
        <stp>누적거래량</stp>
        <stp/>
        <stp/>
        <tr r="U152" s="3"/>
        <tr r="U152" s="1"/>
      </tp>
      <tp>
        <v>417</v>
        <stp/>
        <stp>P</stp>
        <stp>0</stp>
        <stp>STK</stp>
        <stp>065680</stp>
        <stp>누적거래량</stp>
        <stp/>
        <stp/>
        <tr r="U635" s="1"/>
      </tp>
      <tp>
        <v>4040</v>
        <stp/>
        <stp>P</stp>
        <stp>0</stp>
        <stp>STK</stp>
        <stp>084690</stp>
        <stp>누적거래량</stp>
        <stp/>
        <stp/>
        <tr r="U587" s="1"/>
      </tp>
      <tp>
        <v>3550</v>
        <stp/>
        <stp>P</stp>
        <stp>0</stp>
        <stp>STK</stp>
        <stp>003690</stp>
        <stp>누적거래량</stp>
        <stp/>
        <stp/>
        <tr r="U196" s="1"/>
        <tr r="U196" s="3"/>
      </tp>
      <tp>
        <v>411</v>
        <stp/>
        <stp>P</stp>
        <stp>0</stp>
        <stp>STK</stp>
        <stp>004690</stp>
        <stp>누적거래량</stp>
        <stp/>
        <stp/>
        <tr r="U465" s="1"/>
      </tp>
      <tp>
        <v>50980</v>
        <stp/>
        <stp>P</stp>
        <stp>0</stp>
        <stp>STK</stp>
        <stp>005690</stp>
        <stp>누적거래량</stp>
        <stp/>
        <stp/>
        <tr r="U358" s="3"/>
        <tr r="U358" s="1"/>
      </tp>
      <tp>
        <v>19</v>
        <stp/>
        <stp>P</stp>
        <stp>0</stp>
        <stp>STK</stp>
        <stp>007690</stp>
        <stp>누적거래량</stp>
        <stp/>
        <stp/>
        <tr r="U586" s="1"/>
      </tp>
      <tp>
        <v>17065</v>
        <stp/>
        <stp>P</stp>
        <stp>0</stp>
        <stp>STK</stp>
        <stp>010690</stp>
        <stp>누적거래량</stp>
        <stp/>
        <stp/>
        <tr r="U560" s="1"/>
      </tp>
      <tp>
        <v>11259</v>
        <stp/>
        <stp>P</stp>
        <stp>0</stp>
        <stp>STK</stp>
        <stp>052690</stp>
        <stp>누적거래량</stp>
        <stp/>
        <stp/>
        <tr r="U104" s="1"/>
        <tr r="U104" s="3"/>
      </tp>
      <tp>
        <v>7409</v>
        <stp/>
        <stp>P</stp>
        <stp>0</stp>
        <stp>STK</stp>
        <stp>0126Z0</stp>
        <stp>누적거래량</stp>
        <stp/>
        <stp/>
        <tr r="U57" s="3"/>
        <tr r="U57" s="1"/>
      </tp>
      <tp>
        <v>2164</v>
        <stp/>
        <stp>P</stp>
        <stp>0</stp>
        <stp>STK</stp>
        <stp>484120</stp>
        <stp>누적거래량</stp>
        <stp/>
        <stp/>
        <tr r="U671" s="1"/>
      </tp>
      <tp>
        <v>2925</v>
        <stp/>
        <stp>P</stp>
        <stp>0</stp>
        <stp>STK</stp>
        <stp>494120</stp>
        <stp>누적거래량</stp>
        <stp/>
        <stp/>
        <tr r="U526" s="1"/>
      </tp>
      <tp>
        <v>27611</v>
        <stp/>
        <stp>P</stp>
        <stp>0</stp>
        <stp>STK</stp>
        <stp>196170</stp>
        <stp>누적거래량</stp>
        <stp/>
        <stp/>
        <tr r="U42" s="3"/>
        <tr r="U42" s="1"/>
      </tp>
      <tp>
        <v>2346</v>
        <stp/>
        <stp>P</stp>
        <stp>0</stp>
        <stp>STK</stp>
        <stp>023160</stp>
        <stp>누적거래량</stp>
        <stp/>
        <stp/>
        <tr r="U386" s="1"/>
      </tp>
      <tp>
        <v>16472</v>
        <stp/>
        <stp>P</stp>
        <stp>0</stp>
        <stp>STK</stp>
        <stp>232140</stp>
        <stp>누적거래량</stp>
        <stp/>
        <stp/>
        <tr r="U280" s="3"/>
        <tr r="U280" s="1"/>
      </tp>
      <tp>
        <v>11212</v>
        <stp/>
        <stp>P</stp>
        <stp>0</stp>
        <stp>STK</stp>
        <stp>003160</stp>
        <stp>누적거래량</stp>
        <stp/>
        <stp/>
        <tr r="U342" s="1"/>
        <tr r="U342" s="3"/>
      </tp>
      <tp>
        <v>9</v>
        <stp/>
        <stp>P</stp>
        <stp>0</stp>
        <stp>STK</stp>
        <stp>007160</stp>
        <stp>누적거래량</stp>
        <stp/>
        <stp/>
        <tr r="U649" s="1"/>
      </tp>
      <tp>
        <v>248</v>
        <stp/>
        <stp>P</stp>
        <stp>0</stp>
        <stp>STK</stp>
        <stp>067160</stp>
        <stp>누적거래량</stp>
        <stp/>
        <stp/>
        <tr r="U370" s="1"/>
        <tr r="U370" s="3"/>
      </tp>
      <tp>
        <v>2389</v>
        <stp/>
        <stp>P</stp>
        <stp>0</stp>
        <stp>STK</stp>
        <stp>078160</stp>
        <stp>누적거래량</stp>
        <stp/>
        <stp/>
        <tr r="U435" s="1"/>
      </tp>
      <tp>
        <v>2173</v>
        <stp/>
        <stp>P</stp>
        <stp>0</stp>
        <stp>STK</stp>
        <stp>094170</stp>
        <stp>누적거래량</stp>
        <stp/>
        <stp/>
        <tr r="U436" s="1"/>
      </tp>
      <tp>
        <v>2413</v>
        <stp/>
        <stp>P</stp>
        <stp>0</stp>
        <stp>STK</stp>
        <stp>101160</stp>
        <stp>누적거래량</stp>
        <stp/>
        <stp/>
        <tr r="U558" s="1"/>
      </tp>
      <tp>
        <v>594</v>
        <stp/>
        <stp>P</stp>
        <stp>0</stp>
        <stp>STK</stp>
        <stp>004170</stp>
        <stp>누적거래량</stp>
        <stp/>
        <stp/>
        <tr r="U160" s="3"/>
        <tr r="U160" s="1"/>
      </tp>
      <tp>
        <v>21789</v>
        <stp/>
        <stp>P</stp>
        <stp>0</stp>
        <stp>STK</stp>
        <stp>011170</stp>
        <stp>누적거래량</stp>
        <stp/>
        <stp/>
        <tr r="U149" s="3"/>
        <tr r="U149" s="1"/>
      </tp>
      <tp>
        <v>6134</v>
        <stp/>
        <stp>P</stp>
        <stp>0</stp>
        <stp>STK</stp>
        <stp>214150</stp>
        <stp>누적거래량</stp>
        <stp/>
        <stp/>
        <tr r="U129" s="3"/>
        <tr r="U129" s="1"/>
      </tp>
      <tp>
        <v>52014</v>
        <stp/>
        <stp>P</stp>
        <stp>0</stp>
        <stp>STK</stp>
        <stp>316140</stp>
        <stp>누적거래량</stp>
        <stp/>
        <stp/>
        <tr r="U40" s="1"/>
        <tr r="U40" s="3"/>
      </tp>
      <tp>
        <v>3896</v>
        <stp/>
        <stp>P</stp>
        <stp>0</stp>
        <stp>STK</stp>
        <stp>019170</stp>
        <stp>누적거래량</stp>
        <stp/>
        <stp/>
        <tr r="U408" s="1"/>
      </tp>
      <tp>
        <v>269174</v>
        <stp/>
        <stp>P</stp>
        <stp>0</stp>
        <stp>STK</stp>
        <stp>010140</stp>
        <stp>누적거래량</stp>
        <stp/>
        <stp/>
        <tr r="U30" s="3"/>
        <tr r="U30" s="1"/>
      </tp>
      <tp>
        <v>34002</v>
        <stp/>
        <stp>P</stp>
        <stp>0</stp>
        <stp>STK</stp>
        <stp>466100</stp>
        <stp>누적거래량</stp>
        <stp/>
        <stp/>
        <tr r="U216" s="3"/>
        <tr r="U216" s="1"/>
      </tp>
      <tp>
        <v>3008</v>
        <stp/>
        <stp>P</stp>
        <stp>0</stp>
        <stp>STK</stp>
        <stp>372170</stp>
        <stp>누적거래량</stp>
        <stp/>
        <stp/>
        <tr r="U677" s="1"/>
      </tp>
      <tp>
        <v>55545</v>
        <stp/>
        <stp>P</stp>
        <stp>0</stp>
        <stp>STK</stp>
        <stp>020150</stp>
        <stp>누적거래량</stp>
        <stp/>
        <stp/>
        <tr r="U225" s="1"/>
        <tr r="U225" s="3"/>
      </tp>
      <tp>
        <v>19</v>
        <stp/>
        <stp>P</stp>
        <stp>0</stp>
        <stp>STK</stp>
        <stp>035150</stp>
        <stp>누적거래량</stp>
        <stp/>
        <stp/>
        <tr r="U663" s="1"/>
      </tp>
      <tp>
        <v>4759</v>
        <stp/>
        <stp>P</stp>
        <stp>0</stp>
        <stp>STK</stp>
        <stp>000150</stp>
        <stp>누적거래량</stp>
        <stp/>
        <stp/>
        <tr r="U61" s="3"/>
        <tr r="U61" s="1"/>
      </tp>
      <tp>
        <v>4301</v>
        <stp/>
        <stp>P</stp>
        <stp>0</stp>
        <stp>STK</stp>
        <stp>103140</stp>
        <stp>누적거래량</stp>
        <stp/>
        <stp/>
        <tr r="U141" s="3"/>
        <tr r="U141" s="1"/>
      </tp>
      <tp>
        <v>22423</v>
        <stp/>
        <stp>P</stp>
        <stp>0</stp>
        <stp>STK</stp>
        <stp>009150</stp>
        <stp>누적거래량</stp>
        <stp/>
        <stp/>
        <tr r="U39" s="3"/>
        <tr r="U39" s="1"/>
      </tp>
      <tp>
        <v>427</v>
        <stp/>
        <stp>P</stp>
        <stp>0</stp>
        <stp>STK</stp>
        <stp>043150</stp>
        <stp>누적거래량</stp>
        <stp/>
        <stp/>
        <tr r="U642" s="1"/>
      </tp>
      <tp>
        <v>3325</v>
        <stp/>
        <stp>P</stp>
        <stp>0</stp>
        <stp>STK</stp>
        <stp>220100</stp>
        <stp>누적거래량</stp>
        <stp/>
        <stp/>
        <tr r="U458" s="1"/>
      </tp>
      <tp>
        <v>93</v>
        <stp/>
        <stp>P</stp>
        <stp>0</stp>
        <stp>STK</stp>
        <stp>034120</stp>
        <stp>누적거래량</stp>
        <stp/>
        <stp/>
        <tr r="U581" s="1"/>
      </tp>
      <tp>
        <v>6985</v>
        <stp/>
        <stp>P</stp>
        <stp>0</stp>
        <stp>STK</stp>
        <stp>139130</stp>
        <stp>누적거래량</stp>
        <stp/>
        <stp/>
        <tr r="U193" s="3"/>
        <tr r="U193" s="1"/>
      </tp>
      <tp>
        <v>2336</v>
        <stp/>
        <stp>P</stp>
        <stp>0</stp>
        <stp>STK</stp>
        <stp>000120</stp>
        <stp>누적거래량</stp>
        <stp/>
        <stp/>
        <tr r="U194" s="3"/>
        <tr r="U194" s="1"/>
      </tp>
      <tp>
        <v>1855</v>
        <stp/>
        <stp>P</stp>
        <stp>0</stp>
        <stp>STK</stp>
        <stp>001120</stp>
        <stp>누적거래량</stp>
        <stp/>
        <stp/>
        <tr r="U257" s="3"/>
        <tr r="U257" s="1"/>
      </tp>
      <tp>
        <v>6</v>
        <stp/>
        <stp>P</stp>
        <stp>0</stp>
        <stp>STK</stp>
        <stp>003120</stp>
        <stp>누적거래량</stp>
        <stp/>
        <stp/>
        <tr r="U630" s="1"/>
      </tp>
      <tp>
        <v>81</v>
        <stp/>
        <stp>P</stp>
        <stp>0</stp>
        <stp>STK</stp>
        <stp>006120</stp>
        <stp>누적거래량</stp>
        <stp/>
        <stp/>
        <tr r="U291" s="1"/>
        <tr r="U291" s="3"/>
      </tp>
      <tp>
        <v>5540</v>
        <stp/>
        <stp>P</stp>
        <stp>0</stp>
        <stp>STK</stp>
        <stp>010120</stp>
        <stp>누적거래량</stp>
        <stp/>
        <stp/>
        <tr r="U55" s="3"/>
        <tr r="U55" s="1"/>
      </tp>
      <tp>
        <v>7635</v>
        <stp/>
        <stp>P</stp>
        <stp>0</stp>
        <stp>STK</stp>
        <stp>456160</stp>
        <stp>누적거래량</stp>
        <stp/>
        <stp/>
        <tr r="U278" s="1"/>
        <tr r="U278" s="3"/>
      </tp>
      <tp>
        <v>5514</v>
        <stp/>
        <stp>P</stp>
        <stp>0</stp>
        <stp>STK</stp>
        <stp>127120</stp>
        <stp>누적거래량</stp>
        <stp/>
        <stp/>
        <tr r="U402" s="1"/>
      </tp>
      <tp>
        <v>984</v>
        <stp/>
        <stp>P</stp>
        <stp>0</stp>
        <stp>STK</stp>
        <stp>039130</stp>
        <stp>누적거래량</stp>
        <stp/>
        <stp/>
        <tr r="U385" s="1"/>
      </tp>
      <tp>
        <v>23</v>
        <stp/>
        <stp>P</stp>
        <stp>0</stp>
        <stp>STK</stp>
        <stp>001130</stp>
        <stp>누적거래량</stp>
        <stp/>
        <stp/>
        <tr r="U680" s="1"/>
      </tp>
      <tp>
        <v>8956</v>
        <stp/>
        <stp>P</stp>
        <stp>0</stp>
        <stp>STK</stp>
        <stp>304100</stp>
        <stp>누적거래량</stp>
        <stp/>
        <stp/>
        <tr r="U591" s="1"/>
      </tp>
      <tp>
        <v>3004</v>
        <stp/>
        <stp>P</stp>
        <stp>0</stp>
        <stp>STK</stp>
        <stp>010130</stp>
        <stp>누적거래량</stp>
        <stp/>
        <stp/>
        <tr r="U25" s="1"/>
        <tr r="U25" s="3"/>
      </tp>
      <tp>
        <v>9094</v>
        <stp/>
        <stp>P</stp>
        <stp>0</stp>
        <stp>STK</stp>
        <stp>120110</stp>
        <stp>누적거래량</stp>
        <stp/>
        <stp/>
        <tr r="U277" s="1"/>
        <tr r="U277" s="3"/>
      </tp>
      <tp>
        <v>57454</v>
        <stp/>
        <stp>P</stp>
        <stp>0</stp>
        <stp>STK</stp>
        <stp>022100</stp>
        <stp>누적거래량</stp>
        <stp/>
        <stp/>
        <tr r="U95" s="1"/>
        <tr r="U95" s="3"/>
      </tp>
      <tp>
        <v>3165</v>
        <stp/>
        <stp>P</stp>
        <stp>0</stp>
        <stp>STK</stp>
        <stp>328130</stp>
        <stp>누적거래량</stp>
        <stp/>
        <stp/>
        <tr r="U295" s="3"/>
        <tr r="U295" s="1"/>
      </tp>
      <tp>
        <v>23350</v>
        <stp/>
        <stp>P</stp>
        <stp>0</stp>
        <stp>STK</stp>
        <stp>033100</stp>
        <stp>누적거래량</stp>
        <stp/>
        <stp/>
        <tr r="U403" s="1"/>
      </tp>
      <tp>
        <v>8781</v>
        <stp/>
        <stp>P</stp>
        <stp>0</stp>
        <stp>STK</stp>
        <stp>000100</stp>
        <stp>누적거래량</stp>
        <stp/>
        <stp/>
        <tr r="U84" s="1"/>
        <tr r="U84" s="3"/>
      </tp>
      <tp>
        <v>2637</v>
        <stp/>
        <stp>P</stp>
        <stp>0</stp>
        <stp>STK</stp>
        <stp>045100</stp>
        <stp>누적거래량</stp>
        <stp/>
        <stp/>
        <tr r="U500" s="1"/>
      </tp>
      <tp>
        <v>793</v>
        <stp/>
        <stp>P</stp>
        <stp>0</stp>
        <stp>STK</stp>
        <stp>084110</stp>
        <stp>누적거래량</stp>
        <stp/>
        <stp/>
        <tr r="U423" s="1"/>
      </tp>
      <tp>
        <v>570</v>
        <stp/>
        <stp>P</stp>
        <stp>0</stp>
        <stp>STK</stp>
        <stp>285130</stp>
        <stp>누적거래량</stp>
        <stp/>
        <stp/>
        <tr r="U292" s="1"/>
        <tr r="U292" s="3"/>
      </tp>
      <tp>
        <v>11861</v>
        <stp/>
        <stp>P</stp>
        <stp>0</stp>
        <stp>STK</stp>
        <stp>024110</stp>
        <stp>누적거래량</stp>
        <stp/>
        <stp/>
        <tr r="U52" s="1"/>
        <tr r="U52" s="3"/>
      </tp>
      <tp>
        <v>168</v>
        <stp/>
        <stp>P</stp>
        <stp>0</stp>
        <stp>STK</stp>
        <stp>200130</stp>
        <stp>누적거래량</stp>
        <stp/>
        <stp/>
        <tr r="U562" s="1"/>
      </tp>
      <tp>
        <v>9712</v>
        <stp/>
        <stp>P</stp>
        <stp>0</stp>
        <stp>STK</stp>
        <stp>006110</stp>
        <stp>누적거래량</stp>
        <stp/>
        <stp/>
        <tr r="U568" s="1"/>
      </tp>
      <tp>
        <v>12133</v>
        <stp/>
        <stp>P</stp>
        <stp>0</stp>
        <stp>STK</stp>
        <stp>475150</stp>
        <stp>누적거래량</stp>
        <stp/>
        <stp/>
        <tr r="U399" s="1"/>
      </tp>
      <tp>
        <v>12513</v>
        <stp/>
        <stp>P</stp>
        <stp>0</stp>
        <stp>STK</stp>
        <stp>416180</stp>
        <stp>누적거래량</stp>
        <stp/>
        <stp/>
        <tr r="U634" s="1"/>
      </tp>
      <tp>
        <v>82762</v>
        <stp/>
        <stp>P</stp>
        <stp>0</stp>
        <stp>STK</stp>
        <stp>457190</stp>
        <stp>누적거래량</stp>
        <stp/>
        <stp/>
        <tr r="U159" s="3"/>
        <tr r="U159" s="1"/>
      </tp>
      <tp>
        <v>8911</v>
        <stp/>
        <stp>P</stp>
        <stp>0</stp>
        <stp>STK</stp>
        <stp>329180</stp>
        <stp>누적거래량</stp>
        <stp/>
        <stp/>
        <tr r="U13" s="1"/>
        <tr r="U13" s="3"/>
      </tp>
      <tp>
        <v>26</v>
        <stp/>
        <stp>P</stp>
        <stp>0</stp>
        <stp>STK</stp>
        <stp>183190</stp>
        <stp>누적거래량</stp>
        <stp/>
        <stp/>
        <tr r="U513" s="1"/>
      </tp>
      <tp>
        <v>385</v>
        <stp/>
        <stp>P</stp>
        <stp>0</stp>
        <stp>STK</stp>
        <stp>005180</stp>
        <stp>누적거래량</stp>
        <stp/>
        <stp/>
        <tr r="U378" s="3"/>
        <tr r="U378" s="1"/>
      </tp>
      <tp>
        <v>231962</v>
        <stp/>
        <stp>P</stp>
        <stp>0</stp>
        <stp>STK</stp>
        <stp>114190</stp>
        <stp>누적거래량</stp>
        <stp/>
        <stp/>
        <tr r="U563" s="1"/>
      </tp>
      <tp>
        <v>10846</v>
        <stp/>
        <stp>P</stp>
        <stp>0</stp>
        <stp>STK</stp>
        <stp>160190</stp>
        <stp>누적거래량</stp>
        <stp/>
        <stp/>
        <tr r="U190" s="3"/>
        <tr r="U190" s="1"/>
      </tp>
      <tp>
        <v>506</v>
        <stp/>
        <stp>P</stp>
        <stp>0</stp>
        <stp>STK</stp>
        <stp>099190</stp>
        <stp>누적거래량</stp>
        <stp/>
        <stp/>
        <tr r="U529" s="1"/>
      </tp>
      <tp>
        <v>276</v>
        <stp/>
        <stp>P</stp>
        <stp>0</stp>
        <stp>STK</stp>
        <stp>030190</stp>
        <stp>누적거래량</stp>
        <stp/>
        <stp/>
        <tr r="U314" s="3"/>
        <tr r="U314" s="1"/>
      </tp>
      <tp>
        <v>442</v>
        <stp/>
        <stp>P</stp>
        <stp>0</stp>
        <stp>STK</stp>
        <stp>032190</stp>
        <stp>누적거래량</stp>
        <stp/>
        <stp/>
        <tr r="U387" s="1"/>
      </tp>
      <tp>
        <v>71236</v>
        <stp/>
        <stp>P</stp>
        <stp>0</stp>
        <stp>STK</stp>
        <stp>041190</stp>
        <stp>누적거래량</stp>
        <stp/>
        <stp/>
        <tr r="U425" s="1"/>
      </tp>
      <tp>
        <v>5364</v>
        <stp/>
        <stp>P</stp>
        <stp>0</stp>
        <stp>STK</stp>
        <stp>056190</stp>
        <stp>누적거래량</stp>
        <stp/>
        <stp/>
        <tr r="U327" s="3"/>
        <tr r="U327" s="1"/>
      </tp>
      <tp>
        <v>1401</v>
        <stp/>
        <stp>P</stp>
        <stp>0</stp>
        <stp>STK</stp>
        <stp>298040</stp>
        <stp>누적거래량</stp>
        <stp/>
        <stp/>
        <tr r="U37" s="3"/>
        <tr r="U37" s="1"/>
      </tp>
      <tp>
        <v>1747</v>
        <stp/>
        <stp>P</stp>
        <stp>0</stp>
        <stp>STK</stp>
        <stp>001060</stp>
        <stp>누적거래량</stp>
        <stp/>
        <stp/>
        <tr r="U407" s="1"/>
      </tp>
      <tp>
        <v>162</v>
        <stp/>
        <stp>P</stp>
        <stp>0</stp>
        <stp>STK</stp>
        <stp>008060</stp>
        <stp>누적거래량</stp>
        <stp/>
        <stp/>
        <tr r="U585" s="1"/>
      </tp>
      <tp>
        <v>19570</v>
        <stp/>
        <stp>P</stp>
        <stp>0</stp>
        <stp>STK</stp>
        <stp>010060</stp>
        <stp>누적거래량</stp>
        <stp/>
        <stp/>
        <tr r="U199" s="3"/>
        <tr r="U199" s="1"/>
      </tp>
      <tp>
        <v>5004</v>
        <stp/>
        <stp>P</stp>
        <stp>0</stp>
        <stp>STK</stp>
        <stp>098070</stp>
        <stp>누적거래량</stp>
        <stp/>
        <stp/>
        <tr r="U510" s="1"/>
      </tp>
      <tp>
        <v>499</v>
        <stp/>
        <stp>P</stp>
        <stp>0</stp>
        <stp>STK</stp>
        <stp>298050</stp>
        <stp>누적거래량</stp>
        <stp/>
        <stp/>
        <tr r="U318" s="3"/>
        <tr r="U318" s="1"/>
      </tp>
      <tp>
        <v>1223</v>
        <stp/>
        <stp>P</stp>
        <stp>0</stp>
        <stp>STK</stp>
        <stp>000070</stp>
        <stp>누적거래량</stp>
        <stp/>
        <stp/>
        <tr r="U502" s="1"/>
      </tp>
      <tp>
        <v>2612</v>
        <stp/>
        <stp>P</stp>
        <stp>0</stp>
        <stp>STK</stp>
        <stp>402030</stp>
        <stp>누적거래량</stp>
        <stp/>
        <stp/>
        <tr r="U641" s="1"/>
      </tp>
      <tp>
        <v>77785</v>
        <stp/>
        <stp>P</stp>
        <stp>0</stp>
        <stp>STK</stp>
        <stp>005070</stp>
        <stp>누적거래량</stp>
        <stp/>
        <stp/>
        <tr r="U252" s="1"/>
        <tr r="U252" s="3"/>
      </tp>
      <tp>
        <v>1757</v>
        <stp/>
        <stp>P</stp>
        <stp>0</stp>
        <stp>STK</stp>
        <stp>007070</stp>
        <stp>누적거래량</stp>
        <stp/>
        <stp/>
        <tr r="U232" s="1"/>
        <tr r="U232" s="3"/>
      </tp>
      <tp>
        <v>7212</v>
        <stp/>
        <stp>P</stp>
        <stp>0</stp>
        <stp>STK</stp>
        <stp>011070</stp>
        <stp>누적거래량</stp>
        <stp/>
        <stp/>
        <tr r="U94" s="1"/>
        <tr r="U94" s="3"/>
      </tp>
      <tp>
        <v>579</v>
        <stp/>
        <stp>P</stp>
        <stp>0</stp>
        <stp>STK</stp>
        <stp>211050</stp>
        <stp>누적거래량</stp>
        <stp/>
        <stp/>
        <tr r="U421" s="1"/>
      </tp>
      <tp>
        <v>16296</v>
        <stp/>
        <stp>P</stp>
        <stp>0</stp>
        <stp>STK</stp>
        <stp>049070</stp>
        <stp>누적거래량</stp>
        <stp/>
        <stp/>
        <tr r="U519" s="1"/>
      </tp>
      <tp>
        <v>3741</v>
        <stp/>
        <stp>P</stp>
        <stp>0</stp>
        <stp>STK</stp>
        <stp>001040</stp>
        <stp>누적거래량</stp>
        <stp/>
        <stp/>
        <tr r="U102" s="1"/>
        <tr r="U102" s="3"/>
      </tp>
      <tp>
        <v>1989</v>
        <stp/>
        <stp>P</stp>
        <stp>0</stp>
        <stp>STK</stp>
        <stp>006040</stp>
        <stp>누적거래량</stp>
        <stp/>
        <stp/>
        <tr r="U227" s="3"/>
        <tr r="U227" s="1"/>
      </tp>
      <tp>
        <v>4686</v>
        <stp/>
        <stp>P</stp>
        <stp>0</stp>
        <stp>STK</stp>
        <stp>062040</stp>
        <stp>누적거래량</stp>
        <stp/>
        <stp/>
        <tr r="U119" s="1"/>
        <tr r="U119" s="3"/>
      </tp>
      <tp>
        <v>181796</v>
        <stp/>
        <stp>P</stp>
        <stp>0</stp>
        <stp>STK</stp>
        <stp>047040</stp>
        <stp>누적거래량</stp>
        <stp/>
        <stp/>
        <tr r="U208" s="1"/>
        <tr r="U208" s="3"/>
      </tp>
      <tp>
        <v>432</v>
        <stp/>
        <stp>P</stp>
        <stp>0</stp>
        <stp>STK</stp>
        <stp>093050</stp>
        <stp>누적거래량</stp>
        <stp/>
        <stp/>
        <tr r="U468" s="1"/>
      </tp>
      <tp>
        <v>7517</v>
        <stp/>
        <stp>P</stp>
        <stp>0</stp>
        <stp>STK</stp>
        <stp>028050</stp>
        <stp>누적거래량</stp>
        <stp/>
        <stp/>
        <tr r="U110" s="1"/>
        <tr r="U110" s="3"/>
      </tp>
      <tp>
        <v>9088</v>
        <stp/>
        <stp>P</stp>
        <stp>0</stp>
        <stp>STK</stp>
        <stp>138040</stp>
        <stp>누적거래량</stp>
        <stp/>
        <stp/>
        <tr r="U44" s="3"/>
        <tr r="U44" s="1"/>
      </tp>
      <tp>
        <v>1166</v>
        <stp/>
        <stp>P</stp>
        <stp>0</stp>
        <stp>STK</stp>
        <stp>112040</stp>
        <stp>누적거래량</stp>
        <stp/>
        <stp/>
        <tr r="U334" s="3"/>
        <tr r="U334" s="1"/>
      </tp>
      <tp>
        <v>27264</v>
        <stp/>
        <stp>P</stp>
        <stp>0</stp>
        <stp>STK</stp>
        <stp>071050</stp>
        <stp>누적거래량</stp>
        <stp/>
        <stp/>
        <tr r="U70" s="1"/>
        <tr r="U70" s="3"/>
      </tp>
      <tp>
        <v>11</v>
        <stp/>
        <stp>P</stp>
        <stp>0</stp>
        <stp>STK</stp>
        <stp>243070</stp>
        <stp>누적거래량</stp>
        <stp/>
        <stp/>
        <tr r="U611" s="1"/>
      </tp>
      <tp>
        <v>27015</v>
        <stp/>
        <stp>P</stp>
        <stp>0</stp>
        <stp>STK</stp>
        <stp>047050</stp>
        <stp>누적거래량</stp>
        <stp/>
        <stp/>
        <tr r="U68" s="1"/>
        <tr r="U68" s="3"/>
      </tp>
      <tp>
        <v>964</v>
        <stp/>
        <stp>P</stp>
        <stp>0</stp>
        <stp>STK</stp>
        <stp>248070</stp>
        <stp>누적거래량</stp>
        <stp/>
        <stp/>
        <tr r="U377" s="1"/>
        <tr r="U377" s="3"/>
      </tp>
      <tp>
        <v>30</v>
        <stp/>
        <stp>P</stp>
        <stp>0</stp>
        <stp>STK</stp>
        <stp>057050</stp>
        <stp>누적거래량</stp>
        <stp/>
        <stp/>
        <tr r="U410" s="1"/>
      </tp>
      <tp>
        <v>158641</v>
        <stp/>
        <stp>P</stp>
        <stp>0</stp>
        <stp>STK</stp>
        <stp>034020</stp>
        <stp>누적거래량</stp>
        <stp/>
        <stp/>
        <tr r="U14" s="1"/>
        <tr r="U14" s="3"/>
      </tp>
      <tp>
        <v>5275</v>
        <stp/>
        <stp>P</stp>
        <stp>0</stp>
        <stp>STK</stp>
        <stp>002020</stp>
        <stp>누적거래량</stp>
        <stp/>
        <stp/>
        <tr r="U440" s="1"/>
      </tp>
      <tp>
        <v>85509</v>
        <stp/>
        <stp>P</stp>
        <stp>0</stp>
        <stp>STK</stp>
        <stp>004020</stp>
        <stp>누적거래량</stp>
        <stp/>
        <stp/>
        <tr r="U122" s="1"/>
        <tr r="U122" s="3"/>
      </tp>
      <tp>
        <v>356</v>
        <stp/>
        <stp>P</stp>
        <stp>0</stp>
        <stp>STK</stp>
        <stp>215000</stp>
        <stp>누적거래량</stp>
        <stp/>
        <stp/>
        <tr r="U592" s="1"/>
      </tp>
      <tp>
        <v>18545</v>
        <stp/>
        <stp>P</stp>
        <stp>0</stp>
        <stp>STK</stp>
        <stp>476060</stp>
        <stp>누적거래량</stp>
        <stp/>
        <stp/>
        <tr r="U340" s="1"/>
        <tr r="U340" s="3"/>
      </tp>
      <tp>
        <v>1985</v>
        <stp/>
        <stp>P</stp>
        <stp>0</stp>
        <stp>STK</stp>
        <stp>443060</stp>
        <stp>누적거래량</stp>
        <stp/>
        <stp/>
        <tr r="U83" s="1"/>
        <tr r="U83" s="3"/>
      </tp>
      <tp>
        <v>1387</v>
        <stp/>
        <stp>P</stp>
        <stp>0</stp>
        <stp>STK</stp>
        <stp>481070</stp>
        <stp>누적거래량</stp>
        <stp/>
        <stp/>
        <tr r="U588" s="1"/>
      </tp>
      <tp>
        <v>27081</v>
        <stp/>
        <stp>P</stp>
        <stp>0</stp>
        <stp>STK</stp>
        <stp>089030</stp>
        <stp>누적거래량</stp>
        <stp/>
        <stp/>
        <tr r="U247" s="3"/>
        <tr r="U247" s="1"/>
      </tp>
      <tp>
        <v>38416</v>
        <stp/>
        <stp>P</stp>
        <stp>0</stp>
        <stp>STK</stp>
        <stp>322000</stp>
        <stp>누적거래량</stp>
        <stp/>
        <stp/>
        <tr r="U420" s="1"/>
      </tp>
      <tp>
        <v>1228</v>
        <stp/>
        <stp>P</stp>
        <stp>0</stp>
        <stp>STK</stp>
        <stp>039030</stp>
        <stp>누적거래량</stp>
        <stp/>
        <stp/>
        <tr r="U136" s="1"/>
        <tr r="U136" s="3"/>
      </tp>
      <tp>
        <v>5</v>
        <stp/>
        <stp>P</stp>
        <stp>0</stp>
        <stp>STK</stp>
        <stp>002030</stp>
        <stp>누적거래량</stp>
        <stp/>
        <stp/>
        <tr r="U430" s="1"/>
      </tp>
      <tp>
        <v>133</v>
        <stp/>
        <stp>P</stp>
        <stp>0</stp>
        <stp>STK</stp>
        <stp>003030</stp>
        <stp>누적거래량</stp>
        <stp/>
        <stp/>
        <tr r="U466" s="1"/>
      </tp>
      <tp>
        <v>105</v>
        <stp/>
        <stp>P</stp>
        <stp>0</stp>
        <stp>STK</stp>
        <stp>013030</stp>
        <stp>누적거래량</stp>
        <stp/>
        <stp/>
        <tr r="U555" s="1"/>
      </tp>
      <tp>
        <v>3425</v>
        <stp/>
        <stp>P</stp>
        <stp>0</stp>
        <stp>STK</stp>
        <stp>145020</stp>
        <stp>누적거래량</stp>
        <stp/>
        <stp/>
        <tr r="U158" s="3"/>
        <tr r="U158" s="1"/>
      </tp>
      <tp>
        <v>3222</v>
        <stp/>
        <stp>P</stp>
        <stp>0</stp>
        <stp>STK</stp>
        <stp>053030</stp>
        <stp>누적거래량</stp>
        <stp/>
        <stp/>
        <tr r="U506" s="1"/>
      </tp>
      <tp>
        <v>3087</v>
        <stp/>
        <stp>P</stp>
        <stp>0</stp>
        <stp>STK</stp>
        <stp>397030</stp>
        <stp>누적거래량</stp>
        <stp/>
        <stp/>
        <tr r="U293" s="1"/>
        <tr r="U293" s="3"/>
      </tp>
      <tp>
        <v>4000</v>
        <stp/>
        <stp>P</stp>
        <stp>0</stp>
        <stp>STK</stp>
        <stp>298020</stp>
        <stp>누적거래량</stp>
        <stp/>
        <stp/>
        <tr r="U231" s="1"/>
        <tr r="U231" s="3"/>
      </tp>
      <tp>
        <v>162</v>
        <stp/>
        <stp>P</stp>
        <stp>0</stp>
        <stp>STK</stp>
        <stp>020000</stp>
        <stp>누적거래량</stp>
        <stp/>
        <stp/>
        <tr r="U584" s="1"/>
      </tp>
      <tp>
        <v>3130</v>
        <stp/>
        <stp>P</stp>
        <stp>0</stp>
        <stp>STK</stp>
        <stp>326030</stp>
        <stp>누적거래량</stp>
        <stp/>
        <stp/>
        <tr r="U78" s="3"/>
        <tr r="U78" s="1"/>
      </tp>
      <tp>
        <v>3385</v>
        <stp/>
        <stp>P</stp>
        <stp>0</stp>
        <stp>STK</stp>
        <stp>030000</stp>
        <stp>누적거래량</stp>
        <stp/>
        <stp/>
        <tr r="U184" s="3"/>
        <tr r="U184" s="1"/>
      </tp>
      <tp>
        <v>1059</v>
        <stp/>
        <stp>P</stp>
        <stp>0</stp>
        <stp>STK</stp>
        <stp>004000</stp>
        <stp>누적거래량</stp>
        <stp/>
        <stp/>
        <tr r="U287" s="1"/>
        <tr r="U287" s="3"/>
      </tp>
      <tp>
        <v>1436</v>
        <stp/>
        <stp>P</stp>
        <stp>0</stp>
        <stp>STK</stp>
        <stp>042000</stp>
        <stp>누적거래량</stp>
        <stp/>
        <stp/>
        <tr r="U367" s="3"/>
        <tr r="U367" s="1"/>
      </tp>
      <tp>
        <v>1007</v>
        <stp/>
        <stp>P</stp>
        <stp>0</stp>
        <stp>STK</stp>
        <stp>456040</stp>
        <stp>누적거래량</stp>
        <stp/>
        <stp/>
        <tr r="U409" s="1"/>
      </tp>
      <tp>
        <v>182</v>
        <stp/>
        <stp>P</stp>
        <stp>0</stp>
        <stp>STK</stp>
        <stp>084010</stp>
        <stp>누적거래량</stp>
        <stp/>
        <stp/>
        <tr r="U684" s="1"/>
      </tp>
      <tp>
        <v>9099</v>
        <stp/>
        <stp>P</stp>
        <stp>0</stp>
        <stp>STK</stp>
        <stp>087010</stp>
        <stp>누적거래량</stp>
        <stp/>
        <stp/>
        <tr r="U108" s="1"/>
        <tr r="U108" s="3"/>
      </tp>
      <tp>
        <v>30886</v>
        <stp/>
        <stp>P</stp>
        <stp>0</stp>
        <stp>STK</stp>
        <stp>089010</stp>
        <stp>누적거래량</stp>
        <stp/>
        <stp/>
        <tr r="U463" s="1"/>
      </tp>
      <tp>
        <v>9917</v>
        <stp/>
        <stp>P</stp>
        <stp>0</stp>
        <stp>STK</stp>
        <stp>299030</stp>
        <stp>누적거래량</stp>
        <stp/>
        <stp/>
        <tr r="U691" s="1"/>
      </tp>
      <tp>
        <v>38872</v>
        <stp/>
        <stp>P</stp>
        <stp>0</stp>
        <stp>STK</stp>
        <stp>161000</stp>
        <stp>누적거래량</stp>
        <stp/>
        <stp/>
        <tr r="U521" s="1"/>
      </tp>
      <tp>
        <v>48171</v>
        <stp/>
        <stp>P</stp>
        <stp>0</stp>
        <stp>STK</stp>
        <stp>450080</stp>
        <stp>누적거래량</stp>
        <stp/>
        <stp/>
        <tr r="U121" s="3"/>
        <tr r="U121" s="1"/>
      </tp>
      <tp>
        <v>804</v>
        <stp/>
        <stp>P</stp>
        <stp>0</stp>
        <stp>STK</stp>
        <stp>439090</stp>
        <stp>누적거래량</stp>
        <stp/>
        <stp/>
        <tr r="U692" s="1"/>
      </tp>
      <tp>
        <v>9209</v>
        <stp/>
        <stp>P</stp>
        <stp>0</stp>
        <stp>STK</stp>
        <stp>445090</stp>
        <stp>누적거래량</stp>
        <stp/>
        <stp/>
        <tr r="U606" s="1"/>
      </tp>
      <tp>
        <v>1229755</v>
        <stp/>
        <stp>P</stp>
        <stp>0</stp>
        <stp>STK</stp>
        <stp>222080</stp>
        <stp>누적거래량</stp>
        <stp/>
        <stp/>
        <tr r="U438" s="1"/>
      </tp>
      <tp>
        <v>13997</v>
        <stp/>
        <stp>P</stp>
        <stp>0</stp>
        <stp>STK</stp>
        <stp>300080</stp>
        <stp>누적거래량</stp>
        <stp/>
        <stp/>
        <tr r="U662" s="1"/>
      </tp>
      <tp>
        <v>803</v>
        <stp/>
        <stp>P</stp>
        <stp>0</stp>
        <stp>STK</stp>
        <stp>000080</stp>
        <stp>누적거래량</stp>
        <stp/>
        <stp/>
        <tr r="U274" s="1"/>
        <tr r="U274" s="3"/>
      </tp>
      <tp>
        <v>33327</v>
        <stp/>
        <stp>P</stp>
        <stp>0</stp>
        <stp>STK</stp>
        <stp>100090</stp>
        <stp>누적거래량</stp>
        <stp/>
        <stp/>
        <tr r="U282" s="3"/>
        <tr r="U282" s="1"/>
      </tp>
      <tp>
        <v>4237</v>
        <stp/>
        <stp>P</stp>
        <stp>0</stp>
        <stp>STK</stp>
        <stp>114090</stp>
        <stp>누적거래량</stp>
        <stp/>
        <stp/>
        <tr r="U351" s="3"/>
        <tr r="U351" s="1"/>
      </tp>
      <tp>
        <v>3152</v>
        <stp/>
        <stp>P</stp>
        <stp>0</stp>
        <stp>STK</stp>
        <stp>166090</stp>
        <stp>누적거래량</stp>
        <stp/>
        <stp/>
        <tr r="U300" s="1"/>
        <tr r="U300" s="3"/>
      </tp>
      <tp>
        <v>749</v>
        <stp/>
        <stp>P</stp>
        <stp>0</stp>
        <stp>STK</stp>
        <stp>067080</stp>
        <stp>누적거래량</stp>
        <stp/>
        <stp/>
        <tr r="U620" s="1"/>
      </tp>
      <tp>
        <v>351</v>
        <stp/>
        <stp>P</stp>
        <stp>0</stp>
        <stp>STK</stp>
        <stp>069080</stp>
        <stp>누적거래량</stp>
        <stp/>
        <stp/>
        <tr r="U523" s="1"/>
      </tp>
      <tp>
        <v>4731</v>
        <stp/>
        <stp>P</stp>
        <stp>0</stp>
        <stp>STK</stp>
        <stp>171090</stp>
        <stp>누적거래량</stp>
        <stp/>
        <stp/>
        <tr r="U456" s="1"/>
      </tp>
      <tp>
        <v>708</v>
        <stp/>
        <stp>P</stp>
        <stp>0</stp>
        <stp>STK</stp>
        <stp>192080</stp>
        <stp>누적거래량</stp>
        <stp/>
        <stp/>
        <tr r="U298" s="1"/>
        <tr r="U298" s="3"/>
      </tp>
      <tp>
        <v>3774</v>
        <stp/>
        <stp>P</stp>
        <stp>0</stp>
        <stp>STK</stp>
        <stp>003090</stp>
        <stp>누적거래량</stp>
        <stp/>
        <stp/>
        <tr r="U269" s="3"/>
        <tr r="U269" s="1"/>
      </tp>
      <tp>
        <v>235</v>
        <stp/>
        <stp>P</stp>
        <stp>0</stp>
        <stp>STK</stp>
        <stp>005090</stp>
        <stp>누적거래량</stp>
        <stp/>
        <stp/>
        <tr r="U623" s="1"/>
      </tp>
      <tp>
        <v>261</v>
        <stp/>
        <stp>P</stp>
        <stp>0</stp>
        <stp>STK</stp>
        <stp>061090</stp>
        <stp>누적거래량</stp>
        <stp/>
        <stp/>
        <tr r="U679" s="1"/>
      </tp>
      <tp>
        <v>5702</v>
        <stp/>
        <stp>P</stp>
        <stp>0</stp>
        <stp>STK</stp>
        <stp>141080</stp>
        <stp>누적거래량</stp>
        <stp/>
        <stp/>
        <tr r="U105" s="1"/>
        <tr r="U105" s="3"/>
      </tp>
      <tp>
        <v>15861</v>
        <stp/>
        <stp>P</stp>
        <stp>0</stp>
        <stp>STK</stp>
        <stp>059090</stp>
        <stp>누적거래량</stp>
        <stp/>
        <stp/>
        <tr r="U515" s="1"/>
      </tp>
      <tp>
        <v>9643</v>
        <stp/>
        <stp>P</stp>
        <stp>0</stp>
        <stp>STK</stp>
        <stp>0120G0</stp>
        <stp>누적거래량</stp>
        <stp/>
        <stp/>
        <tr r="U433" s="1"/>
      </tp>
      <tp>
        <v>9507</v>
        <stp/>
        <stp>P</stp>
        <stp>0</stp>
        <stp>STK</stp>
        <stp>090360</stp>
        <stp>누적거래량</stp>
        <stp/>
        <stp/>
        <tr r="U329" s="1"/>
        <tr r="U329" s="3"/>
      </tp>
      <tp>
        <v>6330</v>
        <stp/>
        <stp>P</stp>
        <stp>0</stp>
        <stp>STK</stp>
        <stp>094360</stp>
        <stp>누적거래량</stp>
        <stp/>
        <stp/>
        <tr r="U556" s="1"/>
      </tp>
      <tp>
        <v>2294</v>
        <stp/>
        <stp>P</stp>
        <stp>0</stp>
        <stp>STK</stp>
        <stp>194370</stp>
        <stp>누적거래량</stp>
        <stp/>
        <stp/>
        <tr r="U599" s="1"/>
      </tp>
      <tp>
        <v>126</v>
        <stp/>
        <stp>P</stp>
        <stp>0</stp>
        <stp>STK</stp>
        <stp>004360</stp>
        <stp>누적거래량</stp>
        <stp/>
        <stp/>
        <tr r="U659" s="1"/>
      </tp>
      <tp>
        <v>21912</v>
        <stp/>
        <stp>P</stp>
        <stp>0</stp>
        <stp>STK</stp>
        <stp>006360</stp>
        <stp>누적거래량</stp>
        <stp/>
        <stp/>
        <tr r="U240" s="3"/>
        <tr r="U240" s="1"/>
      </tp>
      <tp>
        <v>9</v>
        <stp/>
        <stp>P</stp>
        <stp>0</stp>
        <stp>STK</stp>
        <stp>015360</stp>
        <stp>누적거래량</stp>
        <stp/>
        <stp/>
        <tr r="U549" s="1"/>
      </tp>
      <tp>
        <v>18476</v>
        <stp/>
        <stp>P</stp>
        <stp>0</stp>
        <stp>STK</stp>
        <stp>016360</stp>
        <stp>누적거래량</stp>
        <stp/>
        <stp/>
        <tr r="U88" s="1"/>
        <tr r="U88" s="3"/>
      </tp>
      <tp>
        <v>734</v>
        <stp/>
        <stp>P</stp>
        <stp>0</stp>
        <stp>STK</stp>
        <stp>051360</stp>
        <stp>누적거래량</stp>
        <stp/>
        <stp/>
        <tr r="U672" s="1"/>
      </tp>
      <tp>
        <v>5403</v>
        <stp/>
        <stp>P</stp>
        <stp>0</stp>
        <stp>STK</stp>
        <stp>084370</stp>
        <stp>누적거래량</stp>
        <stp/>
        <stp/>
        <tr r="U219" s="3"/>
        <tr r="U219" s="1"/>
      </tp>
      <tp>
        <v>144152</v>
        <stp/>
        <stp>P</stp>
        <stp>0</stp>
        <stp>STK</stp>
        <stp>093370</stp>
        <stp>누적거래량</stp>
        <stp/>
        <stp/>
        <tr r="U355" s="3"/>
        <tr r="U355" s="1"/>
      </tp>
      <tp>
        <v>17856</v>
        <stp/>
        <stp>P</stp>
        <stp>0</stp>
        <stp>STK</stp>
        <stp>101360</stp>
        <stp>누적거래량</stp>
        <stp/>
        <stp/>
        <tr r="U597" s="1"/>
      </tp>
      <tp>
        <v>578</v>
        <stp/>
        <stp>P</stp>
        <stp>0</stp>
        <stp>STK</stp>
        <stp>004370</stp>
        <stp>누적거래량</stp>
        <stp/>
        <stp/>
        <tr r="U179" s="3"/>
        <tr r="U179" s="1"/>
      </tp>
      <tp>
        <v>7444</v>
        <stp/>
        <stp>P</stp>
        <stp>0</stp>
        <stp>STK</stp>
        <stp>060370</stp>
        <stp>누적거래량</stp>
        <stp/>
        <stp/>
        <tr r="U253" s="1"/>
        <tr r="U253" s="3"/>
      </tp>
      <tp>
        <v>9127</v>
        <stp/>
        <stp>P</stp>
        <stp>0</stp>
        <stp>STK</stp>
        <stp>365340</stp>
        <stp>누적거래량</stp>
        <stp/>
        <stp/>
        <tr r="U419" s="1"/>
      </tp>
      <tp>
        <v>1544</v>
        <stp/>
        <stp>P</stp>
        <stp>0</stp>
        <stp>STK</stp>
        <stp>168360</stp>
        <stp>누적거래량</stp>
        <stp/>
        <stp/>
        <tr r="U582" s="1"/>
      </tp>
      <tp>
        <v>30638</v>
        <stp/>
        <stp>P</stp>
        <stp>0</stp>
        <stp>STK</stp>
        <stp>378340</stp>
        <stp>누적거래량</stp>
        <stp/>
        <stp/>
        <tr r="U648" s="1"/>
      </tp>
      <tp>
        <v>14573</v>
        <stp/>
        <stp>P</stp>
        <stp>0</stp>
        <stp>STK</stp>
        <stp>079370</stp>
        <stp>누적거래량</stp>
        <stp/>
        <stp/>
        <tr r="U487" s="1"/>
      </tp>
      <tp>
        <v>5498</v>
        <stp/>
        <stp>P</stp>
        <stp>0</stp>
        <stp>STK</stp>
        <stp>043370</stp>
        <stp>누적거래량</stp>
        <stp/>
        <stp/>
        <tr r="U650" s="1"/>
      </tp>
      <tp>
        <v>150</v>
        <stp/>
        <stp>P</stp>
        <stp>0</stp>
        <stp>STK</stp>
        <stp>280360</stp>
        <stp>누적거래량</stp>
        <stp/>
        <stp/>
        <tr r="U307" s="3"/>
        <tr r="U307" s="1"/>
      </tp>
      <tp>
        <v>13140</v>
        <stp/>
        <stp>P</stp>
        <stp>0</stp>
        <stp>STK</stp>
        <stp>095340</stp>
        <stp>누적거래량</stp>
        <stp/>
        <stp/>
        <tr r="U198" s="3"/>
        <tr r="U198" s="1"/>
      </tp>
      <tp>
        <v>3</v>
        <stp/>
        <stp>P</stp>
        <stp>0</stp>
        <stp>STK</stp>
        <stp>230360</stp>
        <stp>누적거래량</stp>
        <stp/>
        <stp/>
        <tr r="U482" s="1"/>
      </tp>
      <tp>
        <v>37208</v>
        <stp/>
        <stp>P</stp>
        <stp>0</stp>
        <stp>STK</stp>
        <stp>336370</stp>
        <stp>누적거래량</stp>
        <stp/>
        <stp/>
        <tr r="U457" s="1"/>
      </tp>
      <tp>
        <v>3307</v>
        <stp/>
        <stp>P</stp>
        <stp>0</stp>
        <stp>STK</stp>
        <stp>007340</stp>
        <stp>누적거래량</stp>
        <stp/>
        <stp/>
        <tr r="U251" s="3"/>
        <tr r="U251" s="1"/>
      </tp>
      <tp>
        <v>2107</v>
        <stp/>
        <stp>P</stp>
        <stp>0</stp>
        <stp>STK</stp>
        <stp>078340</stp>
        <stp>누적거래량</stp>
        <stp/>
        <stp/>
        <tr r="U540" s="1"/>
      </tp>
      <tp>
        <v>30951</v>
        <stp/>
        <stp>P</stp>
        <stp>0</stp>
        <stp>STK</stp>
        <stp>348370</stp>
        <stp>누적거래량</stp>
        <stp/>
        <stp/>
        <tr r="U263" s="3"/>
        <tr r="U263" s="1"/>
      </tp>
      <tp>
        <v>90143</v>
        <stp/>
        <stp>P</stp>
        <stp>0</stp>
        <stp>STK</stp>
        <stp>088350</stp>
        <stp>누적거래량</stp>
        <stp/>
        <stp/>
        <tr r="U161" s="3"/>
        <tr r="U161" s="1"/>
      </tp>
      <tp>
        <v>3235</v>
        <stp/>
        <stp>P</stp>
        <stp>0</stp>
        <stp>STK</stp>
        <stp>126340</stp>
        <stp>누적거래량</stp>
        <stp/>
        <stp/>
        <tr r="U431" s="1"/>
      </tp>
      <tp>
        <v>9280</v>
        <stp/>
        <stp>P</stp>
        <stp>0</stp>
        <stp>STK</stp>
        <stp>032350</stp>
        <stp>누적거래량</stp>
        <stp/>
        <stp/>
        <tr r="U223" s="3"/>
        <tr r="U223" s="1"/>
      </tp>
      <tp>
        <v>927</v>
        <stp/>
        <stp>P</stp>
        <stp>0</stp>
        <stp>STK</stp>
        <stp>304360</stp>
        <stp>누적거래량</stp>
        <stp/>
        <stp/>
        <tr r="U557" s="1"/>
      </tp>
      <tp>
        <v>3071</v>
        <stp/>
        <stp>P</stp>
        <stp>0</stp>
        <stp>STK</stp>
        <stp>214370</stp>
        <stp>누적거래량</stp>
        <stp/>
        <stp/>
        <tr r="U126" s="1"/>
        <tr r="U126" s="3"/>
      </tp>
      <tp>
        <v>24009</v>
        <stp/>
        <stp>P</stp>
        <stp>0</stp>
        <stp>STK</stp>
        <stp>064350</stp>
        <stp>누적거래량</stp>
        <stp/>
        <stp/>
        <tr r="U34" s="3"/>
        <tr r="U34" s="1"/>
      </tp>
      <tp>
        <v>13708</v>
        <stp/>
        <stp>P</stp>
        <stp>0</stp>
        <stp>STK</stp>
        <stp>065350</stp>
        <stp>누적거래량</stp>
        <stp/>
        <stp/>
        <tr r="U239" s="1"/>
        <tr r="U239" s="3"/>
      </tp>
      <tp>
        <v>2946</v>
        <stp/>
        <stp>P</stp>
        <stp>0</stp>
        <stp>STK</stp>
        <stp>078350</stp>
        <stp>누적거래량</stp>
        <stp/>
        <stp/>
        <tr r="U566" s="1"/>
      </tp>
      <tp>
        <v>10275</v>
        <stp/>
        <stp>P</stp>
        <stp>0</stp>
        <stp>STK</stp>
        <stp>383310</stp>
        <stp>누적거래량</stp>
        <stp/>
        <stp/>
        <tr r="U476" s="1"/>
      </tp>
      <tp>
        <v>274</v>
        <stp/>
        <stp>P</stp>
        <stp>0</stp>
        <stp>STK</stp>
        <stp>093320</stp>
        <stp>누적거래량</stp>
        <stp/>
        <stp/>
        <tr r="U429" s="1"/>
      </tp>
      <tp>
        <v>5340</v>
        <stp/>
        <stp>P</stp>
        <stp>0</stp>
        <stp>STK</stp>
        <stp>025320</stp>
        <stp>누적거래량</stp>
        <stp/>
        <stp/>
        <tr r="U473" s="1"/>
      </tp>
      <tp>
        <v>5915</v>
        <stp/>
        <stp>P</stp>
        <stp>0</stp>
        <stp>STK</stp>
        <stp>000320</stp>
        <stp>누적거래량</stp>
        <stp/>
        <stp/>
        <tr r="U654" s="1"/>
      </tp>
      <tp>
        <v>20</v>
        <stp/>
        <stp>P</stp>
        <stp>0</stp>
        <stp>STK</stp>
        <stp>002320</stp>
        <stp>누적거래량</stp>
        <stp/>
        <stp/>
        <tr r="U619" s="1"/>
      </tp>
      <tp>
        <v>48</v>
        <stp/>
        <stp>P</stp>
        <stp>0</stp>
        <stp>STK</stp>
        <stp>071320</stp>
        <stp>누적거래량</stp>
        <stp/>
        <stp/>
        <tr r="U271" s="3"/>
        <tr r="U271" s="1"/>
      </tp>
      <tp>
        <v>9525</v>
        <stp/>
        <stp>P</stp>
        <stp>0</stp>
        <stp>STK</stp>
        <stp>175330</stp>
        <stp>누적거래량</stp>
        <stp/>
        <stp/>
        <tr r="U118" s="1"/>
        <tr r="U118" s="3"/>
      </tp>
      <tp>
        <v>14105</v>
        <stp/>
        <stp>P</stp>
        <stp>0</stp>
        <stp>STK</stp>
        <stp>295310</stp>
        <stp>누적거래량</stp>
        <stp/>
        <stp/>
        <tr r="U305" s="1"/>
        <tr r="U305" s="3"/>
      </tp>
      <tp>
        <v>1114</v>
        <stp/>
        <stp>P</stp>
        <stp>0</stp>
        <stp>STK</stp>
        <stp>108320</stp>
        <stp>누적거래량</stp>
        <stp/>
        <stp/>
        <tr r="U345" s="3"/>
        <tr r="U345" s="1"/>
      </tp>
      <tp>
        <v>45057</v>
        <stp/>
        <stp>P</stp>
        <stp>0</stp>
        <stp>STK</stp>
        <stp>012330</stp>
        <stp>누적거래량</stp>
        <stp/>
        <stp/>
        <tr r="U19" s="3"/>
        <tr r="U19" s="1"/>
      </tp>
      <tp>
        <v>2924</v>
        <stp/>
        <stp>P</stp>
        <stp>0</stp>
        <stp>STK</stp>
        <stp>376300</stp>
        <stp>누적거래량</stp>
        <stp/>
        <stp/>
        <tr r="U364" s="3"/>
        <tr r="U364" s="1"/>
      </tp>
      <tp>
        <v>5325</v>
        <stp/>
        <stp>P</stp>
        <stp>0</stp>
        <stp>STK</stp>
        <stp>377300</stp>
        <stp>누적거래량</stp>
        <stp/>
        <stp/>
        <tr r="U92" s="1"/>
        <tr r="U92" s="3"/>
      </tp>
      <tp>
        <v>46852</v>
        <stp/>
        <stp>P</stp>
        <stp>0</stp>
        <stp>STK</stp>
        <stp>178320</stp>
        <stp>누적거래량</stp>
        <stp/>
        <stp/>
        <tr r="U228" s="3"/>
        <tr r="U228" s="1"/>
      </tp>
      <tp>
        <v>657</v>
        <stp/>
        <stp>P</stp>
        <stp>0</stp>
        <stp>STK</stp>
        <stp>226320</stp>
        <stp>누적거래량</stp>
        <stp/>
        <stp/>
        <tr r="U676" s="1"/>
      </tp>
      <tp>
        <v>22504</v>
        <stp/>
        <stp>P</stp>
        <stp>0</stp>
        <stp>STK</stp>
        <stp>028300</stp>
        <stp>누적거래량</stp>
        <stp/>
        <stp/>
        <tr r="U93" s="3"/>
        <tr r="U93" s="1"/>
      </tp>
      <tp>
        <v>4130</v>
        <stp/>
        <stp>P</stp>
        <stp>0</stp>
        <stp>STK</stp>
        <stp>137310</stp>
        <stp>누적거래량</stp>
        <stp/>
        <stp/>
        <tr r="U312" s="3"/>
        <tr r="U312" s="1"/>
      </tp>
      <tp>
        <v>9152</v>
        <stp/>
        <stp>P</stp>
        <stp>0</stp>
        <stp>STK</stp>
        <stp>402340</stp>
        <stp>누적거래량</stp>
        <stp/>
        <stp/>
        <tr r="U15" s="3"/>
        <tr r="U15" s="1"/>
      </tp>
      <tp>
        <v>182</v>
        <stp/>
        <stp>P</stp>
        <stp>0</stp>
        <stp>STK</stp>
        <stp>003300</stp>
        <stp>누적거래량</stp>
        <stp/>
        <stp/>
        <tr r="U489" s="1"/>
      </tp>
      <tp>
        <v>65227</v>
        <stp/>
        <stp>P</stp>
        <stp>0</stp>
        <stp>STK</stp>
        <stp>204320</stp>
        <stp>누적거래량</stp>
        <stp/>
        <stp/>
        <tr r="U139" s="3"/>
        <tr r="U139" s="1"/>
      </tp>
      <tp>
        <v>63</v>
        <stp/>
        <stp>P</stp>
        <stp>0</stp>
        <stp>STK</stp>
        <stp>005300</stp>
        <stp>누적거래량</stp>
        <stp/>
        <stp/>
        <tr r="U281" s="1"/>
        <tr r="U281" s="3"/>
      </tp>
      <tp>
        <v>8650</v>
        <stp/>
        <stp>P</stp>
        <stp>0</stp>
        <stp>STK</stp>
        <stp>214320</stp>
        <stp>누적거래량</stp>
        <stp/>
        <stp/>
        <tr r="U375" s="3"/>
        <tr r="U375" s="1"/>
      </tp>
      <tp>
        <v>29925</v>
        <stp/>
        <stp>P</stp>
        <stp>0</stp>
        <stp>STK</stp>
        <stp>317330</stp>
        <stp>누적거래량</stp>
        <stp/>
        <stp/>
        <tr r="U574" s="1"/>
      </tp>
      <tp>
        <v>67414</v>
        <stp/>
        <stp>P</stp>
        <stp>0</stp>
        <stp>STK</stp>
        <stp>478340</stp>
        <stp>누적거래량</stp>
        <stp/>
        <stp/>
        <tr r="U422" s="1"/>
      </tp>
      <tp>
        <v>23</v>
        <stp/>
        <stp>P</stp>
        <stp>0</stp>
        <stp>STK</stp>
        <stp>453340</stp>
        <stp>누적거래량</stp>
        <stp/>
        <stp/>
        <tr r="U480" s="1"/>
      </tp>
      <tp>
        <v>601</v>
        <stp/>
        <stp>P</stp>
        <stp>0</stp>
        <stp>STK</stp>
        <stp>282330</stp>
        <stp>누적거래량</stp>
        <stp/>
        <stp/>
        <tr r="U210" s="1"/>
        <tr r="U210" s="3"/>
      </tp>
      <tp>
        <v>2295</v>
        <stp/>
        <stp>P</stp>
        <stp>0</stp>
        <stp>STK</stp>
        <stp>183300</stp>
        <stp>누적거래량</stp>
        <stp/>
        <stp/>
        <tr r="U303" s="3"/>
        <tr r="U303" s="1"/>
      </tp>
      <tp>
        <v>12456</v>
        <stp/>
        <stp>P</stp>
        <stp>0</stp>
        <stp>STK</stp>
        <stp>189300</stp>
        <stp>누적거래량</stp>
        <stp/>
        <stp/>
        <tr r="U356" s="3"/>
        <tr r="U356" s="1"/>
      </tp>
      <tp>
        <v>41</v>
        <stp/>
        <stp>P</stp>
        <stp>0</stp>
        <stp>STK</stp>
        <stp>034310</stp>
        <stp>누적거래량</stp>
        <stp/>
        <stp/>
        <tr r="U488" s="1"/>
      </tp>
      <tp>
        <v>118</v>
        <stp/>
        <stp>P</stp>
        <stp>0</stp>
        <stp>STK</stp>
        <stp>007310</stp>
        <stp>누적거래량</stp>
        <stp/>
        <stp/>
        <tr r="U244" s="1"/>
        <tr r="U244" s="3"/>
      </tp>
      <tp>
        <v>14</v>
        <stp/>
        <stp>P</stp>
        <stp>0</stp>
        <stp>STK</stp>
        <stp>018310</stp>
        <stp>누적거래량</stp>
        <stp/>
        <stp/>
        <tr r="U644" s="1"/>
      </tp>
      <tp>
        <v>16744</v>
        <stp/>
        <stp>P</stp>
        <stp>0</stp>
        <stp>STK</stp>
        <stp>067310</stp>
        <stp>누적거래량</stp>
        <stp/>
        <stp/>
        <tr r="U230" s="1"/>
        <tr r="U230" s="3"/>
      </tp>
      <tp>
        <v>2339</v>
        <stp/>
        <stp>P</stp>
        <stp>0</stp>
        <stp>STK</stp>
        <stp>372320</stp>
        <stp>누적거래량</stp>
        <stp/>
        <stp/>
        <tr r="U400" s="1"/>
      </tp>
      <tp>
        <v>18061</v>
        <stp/>
        <stp>P</stp>
        <stp>0</stp>
        <stp>STK</stp>
        <stp>298380</stp>
        <stp>누적거래량</stp>
        <stp/>
        <stp/>
        <tr r="U73" s="3"/>
        <tr r="U73" s="1"/>
      </tp>
      <tp>
        <v>1011</v>
        <stp/>
        <stp>P</stp>
        <stp>0</stp>
        <stp>STK</stp>
        <stp>002380</stp>
        <stp>누적거래량</stp>
        <stp/>
        <stp/>
        <tr r="U127" s="1"/>
        <tr r="U127" s="3"/>
      </tp>
      <tp>
        <v>38133</v>
        <stp/>
        <stp>P</stp>
        <stp>0</stp>
        <stp>STK</stp>
        <stp>003380</stp>
        <stp>누적거래량</stp>
        <stp/>
        <stp/>
        <tr r="U276" s="1"/>
        <tr r="U276" s="3"/>
      </tp>
      <tp>
        <v>149291</v>
        <stp/>
        <stp>P</stp>
        <stp>0</stp>
        <stp>STK</stp>
        <stp>005380</stp>
        <stp>누적거래량</stp>
        <stp/>
        <stp/>
        <tr r="U8" s="1"/>
        <tr r="U8" s="3"/>
      </tp>
      <tp>
        <v>14520</v>
        <stp/>
        <stp>P</stp>
        <stp>0</stp>
        <stp>STK</stp>
        <stp>161390</stp>
        <stp>누적거래량</stp>
        <stp/>
        <stp/>
        <tr r="U81" s="1"/>
        <tr r="U81" s="3"/>
      </tp>
      <tp>
        <v>5369</v>
        <stp/>
        <stp>P</stp>
        <stp>0</stp>
        <stp>STK</stp>
        <stp>086390</stp>
        <stp>누적거래량</stp>
        <stp/>
        <stp/>
        <tr r="U674" s="1"/>
      </tp>
      <tp>
        <v>5752</v>
        <stp/>
        <stp>P</stp>
        <stp>0</stp>
        <stp>STK</stp>
        <stp>007390</stp>
        <stp>누적거래량</stp>
        <stp/>
        <stp/>
        <tr r="U272" s="3"/>
        <tr r="U272" s="1"/>
      </tp>
      <tp>
        <v>9710</v>
        <stp/>
        <stp>P</stp>
        <stp>0</stp>
        <stp>STK</stp>
        <stp>108380</stp>
        <stp>누적거래량</stp>
        <stp/>
        <stp/>
        <tr r="U669" s="1"/>
      </tp>
      <tp>
        <v>293</v>
        <stp/>
        <stp>P</stp>
        <stp>0</stp>
        <stp>STK</stp>
        <stp>017390</stp>
        <stp>누적거래량</stp>
        <stp/>
        <stp/>
        <tr r="U601" s="1"/>
      </tp>
      <tp>
        <v>7689</v>
        <stp/>
        <stp>P</stp>
        <stp>0</stp>
        <stp>STK</stp>
        <stp>028260</stp>
        <stp>누적거래량</stp>
        <stp/>
        <stp/>
        <tr r="U17" s="1"/>
        <tr r="U17" s="3"/>
      </tp>
      <tp>
        <v>1533</v>
        <stp/>
        <stp>P</stp>
        <stp>0</stp>
        <stp>STK</stp>
        <stp>006260</stp>
        <stp>누적거래량</stp>
        <stp/>
        <stp/>
        <tr r="U89" s="3"/>
        <tr r="U89" s="1"/>
      </tp>
      <tp>
        <v>12961</v>
        <stp/>
        <stp>P</stp>
        <stp>0</stp>
        <stp>STK</stp>
        <stp>018260</stp>
        <stp>누적거래량</stp>
        <stp/>
        <stp/>
        <tr r="U60" s="3"/>
        <tr r="U60" s="1"/>
      </tp>
      <tp>
        <v>1197</v>
        <stp/>
        <stp>P</stp>
        <stp>0</stp>
        <stp>STK</stp>
        <stp>069260</stp>
        <stp>누적거래량</stp>
        <stp/>
        <stp/>
        <tr r="U369" s="1"/>
        <tr r="U369" s="3"/>
      </tp>
      <tp>
        <v>4461</v>
        <stp/>
        <stp>P</stp>
        <stp>0</stp>
        <stp>STK</stp>
        <stp>082270</stp>
        <stp>누적거래량</stp>
        <stp/>
        <stp/>
        <tr r="U313" s="3"/>
        <tr r="U313" s="1"/>
      </tp>
      <tp>
        <v>4</v>
        <stp/>
        <stp>P</stp>
        <stp>0</stp>
        <stp>STK</stp>
        <stp>033270</stp>
        <stp>누적거래량</stp>
        <stp/>
        <stp/>
        <tr r="U625" s="1"/>
      </tp>
      <tp>
        <v>103491</v>
        <stp/>
        <stp>P</stp>
        <stp>0</stp>
        <stp>STK</stp>
        <stp>000270</stp>
        <stp>누적거래량</stp>
        <stp/>
        <stp/>
        <tr r="U11" s="1"/>
        <tr r="U11" s="3"/>
      </tp>
      <tp>
        <v>677</v>
        <stp/>
        <stp>P</stp>
        <stp>0</stp>
        <stp>STK</stp>
        <stp>001270</stp>
        <stp>누적거래량</stp>
        <stp/>
        <stp/>
        <tr r="U412" s="1"/>
      </tp>
      <tp>
        <v>3313</v>
        <stp/>
        <stp>P</stp>
        <stp>0</stp>
        <stp>STK</stp>
        <stp>267250</stp>
        <stp>누적거래량</stp>
        <stp/>
        <stp/>
        <tr r="U41" s="3"/>
        <tr r="U41" s="1"/>
      </tp>
      <tp>
        <v>19055</v>
        <stp/>
        <stp>P</stp>
        <stp>0</stp>
        <stp>STK</stp>
        <stp>068270</stp>
        <stp>누적거래량</stp>
        <stp/>
        <stp/>
        <tr r="U18" s="1"/>
        <tr r="U18" s="3"/>
      </tp>
      <tp>
        <v>9546</v>
        <stp/>
        <stp>P</stp>
        <stp>0</stp>
        <stp>STK</stp>
        <stp>021240</stp>
        <stp>누적거래량</stp>
        <stp/>
        <stp/>
        <tr r="U103" s="1"/>
        <tr r="U103" s="3"/>
      </tp>
      <tp>
        <v>15407</v>
        <stp/>
        <stp>P</stp>
        <stp>0</stp>
        <stp>STK</stp>
        <stp>033240</stp>
        <stp>누적거래량</stp>
        <stp/>
        <stp/>
        <tr r="U461" s="1"/>
      </tp>
      <tp>
        <v>1702</v>
        <stp/>
        <stp>P</stp>
        <stp>0</stp>
        <stp>STK</stp>
        <stp>000240</stp>
        <stp>누적거래량</stp>
        <stp/>
        <stp/>
        <tr r="U171" s="3"/>
        <tr r="U171" s="1"/>
      </tp>
      <tp>
        <v>1407</v>
        <stp/>
        <stp>P</stp>
        <stp>0</stp>
        <stp>STK</stp>
        <stp>002240</stp>
        <stp>누적거래량</stp>
        <stp/>
        <stp/>
        <tr r="U426" s="1"/>
      </tp>
      <tp>
        <v>127</v>
        <stp/>
        <stp>P</stp>
        <stp>0</stp>
        <stp>STK</stp>
        <stp>003240</stp>
        <stp>누적거래량</stp>
        <stp/>
        <stp/>
        <tr r="U341" s="3"/>
        <tr r="U341" s="1"/>
      </tp>
      <tp>
        <v>1003</v>
        <stp/>
        <stp>P</stp>
        <stp>0</stp>
        <stp>STK</stp>
        <stp>009240</stp>
        <stp>누적거래량</stp>
        <stp/>
        <stp/>
        <tr r="U301" s="1"/>
        <tr r="U301" s="3"/>
      </tp>
      <tp>
        <v>54428</v>
        <stp/>
        <stp>P</stp>
        <stp>0</stp>
        <stp>STK</stp>
        <stp>417200</stp>
        <stp>누적거래량</stp>
        <stp/>
        <stp/>
        <tr r="U333" s="3"/>
        <tr r="U333" s="1"/>
      </tp>
      <tp>
        <v>6244</v>
        <stp/>
        <stp>P</stp>
        <stp>0</stp>
        <stp>STK</stp>
        <stp>267260</stp>
        <stp>누적거래량</stp>
        <stp/>
        <stp/>
        <tr r="U26" s="1"/>
        <tr r="U26" s="3"/>
      </tp>
      <tp>
        <v>6819</v>
        <stp/>
        <stp>P</stp>
        <stp>0</stp>
        <stp>STK</stp>
        <stp>073240</stp>
        <stp>누적거래량</stp>
        <stp/>
        <stp/>
        <tr r="U224" s="3"/>
        <tr r="U224" s="1"/>
      </tp>
      <tp>
        <v>381</v>
        <stp/>
        <stp>P</stp>
        <stp>0</stp>
        <stp>STK</stp>
        <stp>376270</stp>
        <stp>누적거래량</stp>
        <stp/>
        <stp/>
        <tr r="U552" s="1"/>
      </tp>
      <tp>
        <v>4760</v>
        <stp/>
        <stp>P</stp>
        <stp>0</stp>
        <stp>STK</stp>
        <stp>389260</stp>
        <stp>누적거래량</stp>
        <stp/>
        <stp/>
        <tr r="U612" s="1"/>
      </tp>
      <tp>
        <v>14300</v>
        <stp/>
        <stp>P</stp>
        <stp>0</stp>
        <stp>STK</stp>
        <stp>035250</stp>
        <stp>누적거래량</stp>
        <stp/>
        <stp/>
        <tr r="U128" s="1"/>
        <tr r="U128" s="3"/>
      </tp>
      <tp>
        <v>28951</v>
        <stp/>
        <stp>P</stp>
        <stp>0</stp>
        <stp>STK</stp>
        <stp>336260</stp>
        <stp>누적거래량</stp>
        <stp/>
        <stp/>
        <tr r="U183" s="1"/>
        <tr r="U183" s="3"/>
      </tp>
      <tp>
        <v>56648</v>
        <stp/>
        <stp>P</stp>
        <stp>0</stp>
        <stp>STK</stp>
        <stp>000250</stp>
        <stp>누적거래량</stp>
        <stp/>
        <stp/>
        <tr r="U97" s="3"/>
        <tr r="U97" s="1"/>
      </tp>
      <tp>
        <v>14852</v>
        <stp/>
        <stp>P</stp>
        <stp>0</stp>
        <stp>STK</stp>
        <stp>204270</stp>
        <stp>누적거래량</stp>
        <stp/>
        <stp/>
        <tr r="U294" s="1"/>
        <tr r="U294" s="3"/>
      </tp>
      <tp>
        <v>482</v>
        <stp/>
        <stp>P</stp>
        <stp>0</stp>
        <stp>STK</stp>
        <stp>005250</stp>
        <stp>누적거래량</stp>
        <stp/>
        <stp/>
        <tr r="U389" s="1"/>
      </tp>
      <tp>
        <v>156</v>
        <stp/>
        <stp>P</stp>
        <stp>0</stp>
        <stp>STK</stp>
        <stp>018250</stp>
        <stp>누적거래량</stp>
        <stp/>
        <stp/>
        <tr r="U590" s="1"/>
      </tp>
      <tp>
        <v>2687</v>
        <stp/>
        <stp>P</stp>
        <stp>0</stp>
        <stp>STK</stp>
        <stp>060250</stp>
        <stp>누적거래량</stp>
        <stp/>
        <stp/>
        <tr r="U437" s="1"/>
      </tp>
      <tp>
        <v>17186</v>
        <stp/>
        <stp>P</stp>
        <stp>0</stp>
        <stp>STK</stp>
        <stp>267270</stp>
        <stp>누적거래량</stp>
        <stp/>
        <stp/>
        <tr r="U213" s="1"/>
        <tr r="U213" s="3"/>
      </tp>
      <tp>
        <v>5599</v>
        <stp/>
        <stp>P</stp>
        <stp>0</stp>
        <stp>STK</stp>
        <stp>251270</stp>
        <stp>누적거래량</stp>
        <stp/>
        <stp/>
        <tr r="U120" s="3"/>
        <tr r="U120" s="1"/>
      </tp>
      <tp>
        <v>35023</v>
        <stp/>
        <stp>P</stp>
        <stp>0</stp>
        <stp>STK</stp>
        <stp>080220</stp>
        <stp>누적거래량</stp>
        <stp/>
        <stp/>
        <tr r="U304" s="3"/>
        <tr r="U304" s="1"/>
      </tp>
      <tp>
        <v>3903</v>
        <stp/>
        <stp>P</stp>
        <stp>0</stp>
        <stp>STK</stp>
        <stp>388210</stp>
        <stp>누적거래량</stp>
        <stp/>
        <stp/>
        <tr r="U302" s="3"/>
        <tr r="U302" s="1"/>
      </tp>
      <tp>
        <v>95549</v>
        <stp/>
        <stp>P</stp>
        <stp>0</stp>
        <stp>STK</stp>
        <stp>034220</stp>
        <stp>누적거래량</stp>
        <stp/>
        <stp/>
        <tr r="U99" s="1"/>
        <tr r="U99" s="3"/>
      </tp>
      <tp>
        <v>62949</v>
        <stp/>
        <stp>P</stp>
        <stp>0</stp>
        <stp>STK</stp>
        <stp>236200</stp>
        <stp>누적거래량</stp>
        <stp/>
        <stp/>
        <tr r="U664" s="1"/>
      </tp>
      <tp>
        <v>3598</v>
        <stp/>
        <stp>P</stp>
        <stp>0</stp>
        <stp>STK</stp>
        <stp>439260</stp>
        <stp>누적거래량</stp>
        <stp/>
        <stp/>
        <tr r="U169" s="3"/>
        <tr r="U169" s="1"/>
      </tp>
      <tp>
        <v>675</v>
        <stp/>
        <stp>P</stp>
        <stp>0</stp>
        <stp>STK</stp>
        <stp>003220</stp>
        <stp>누적거래량</stp>
        <stp/>
        <stp/>
        <tr r="U667" s="1"/>
      </tp>
      <tp>
        <v>546</v>
        <stp/>
        <stp>P</stp>
        <stp>0</stp>
        <stp>STK</stp>
        <stp>006220</stp>
        <stp>누적거래량</stp>
        <stp/>
        <stp/>
        <tr r="U512" s="1"/>
      </tp>
      <tp>
        <v>1258</v>
        <stp/>
        <stp>P</stp>
        <stp>0</stp>
        <stp>STK</stp>
        <stp>310210</stp>
        <stp>누적거래량</stp>
        <stp/>
        <stp/>
        <tr r="U145" s="1"/>
        <tr r="U145" s="3"/>
      </tp>
      <tp>
        <v>220</v>
        <stp/>
        <stp>P</stp>
        <stp>0</stp>
        <stp>STK</stp>
        <stp>215200</stp>
        <stp>누적거래량</stp>
        <stp/>
        <stp/>
        <tr r="U535" s="1"/>
      </tp>
      <tp>
        <v>2247</v>
        <stp/>
        <stp>P</stp>
        <stp>0</stp>
        <stp>STK</stp>
        <stp>348210</stp>
        <stp>누적거래량</stp>
        <stp/>
        <stp/>
        <tr r="U360" s="1"/>
        <tr r="U360" s="3"/>
      </tp>
      <tp>
        <v>1</v>
        <stp/>
        <stp>P</stp>
        <stp>0</stp>
        <stp>STK</stp>
        <stp>092230</stp>
        <stp>누적거래량</stp>
        <stp/>
        <stp/>
        <tr r="U615" s="1"/>
      </tp>
      <tp>
        <v>33221</v>
        <stp/>
        <stp>P</stp>
        <stp>0</stp>
        <stp>STK</stp>
        <stp>097230</stp>
        <stp>누적거래량</stp>
        <stp/>
        <stp/>
        <tr r="U195" s="3"/>
        <tr r="U195" s="1"/>
      </tp>
      <tp>
        <v>37256</v>
        <stp/>
        <stp>P</stp>
        <stp>0</stp>
        <stp>STK</stp>
        <stp>034230</stp>
        <stp>누적거래량</stp>
        <stp/>
        <stp/>
        <tr r="U242" s="1"/>
        <tr r="U242" s="3"/>
      </tp>
      <tp>
        <v>4223</v>
        <stp/>
        <stp>P</stp>
        <stp>0</stp>
        <stp>STK</stp>
        <stp>003230</stp>
        <stp>누적거래량</stp>
        <stp/>
        <stp/>
        <tr r="U77" s="1"/>
        <tr r="U77" s="3"/>
      </tp>
      <tp>
        <v>147</v>
        <stp/>
        <stp>P</stp>
        <stp>0</stp>
        <stp>STK</stp>
        <stp>306200</stp>
        <stp>누적거래량</stp>
        <stp/>
        <stp/>
        <tr r="U589" s="1"/>
      </tp>
      <tp>
        <v>125990</v>
        <stp/>
        <stp>P</stp>
        <stp>0</stp>
        <stp>STK</stp>
        <stp>272210</stp>
        <stp>누적거래량</stp>
        <stp/>
        <stp/>
        <tr r="U50" s="3"/>
        <tr r="U50" s="1"/>
      </tp>
      <tp>
        <v>8192</v>
        <stp/>
        <stp>P</stp>
        <stp>0</stp>
        <stp>STK</stp>
        <stp>441270</stp>
        <stp>누적거래량</stp>
        <stp/>
        <stp/>
        <tr r="U569" s="1"/>
      </tp>
      <tp>
        <v>17821</v>
        <stp/>
        <stp>P</stp>
        <stp>0</stp>
        <stp>STK</stp>
        <stp>353200</stp>
        <stp>누적거래량</stp>
        <stp/>
        <stp/>
        <tr r="U176" s="3"/>
        <tr r="U176" s="1"/>
      </tp>
      <tp>
        <v>6610</v>
        <stp/>
        <stp>P</stp>
        <stp>0</stp>
        <stp>STK</stp>
        <stp>030200</stp>
        <stp>누적거래량</stp>
        <stp/>
        <stp/>
        <tr r="U59" s="3"/>
        <tr r="U59" s="1"/>
      </tp>
      <tp>
        <v>872</v>
        <stp/>
        <stp>P</stp>
        <stp>0</stp>
        <stp>STK</stp>
        <stp>036200</stp>
        <stp>누적거래량</stp>
        <stp/>
        <stp/>
        <tr r="U626" s="1"/>
      </tp>
      <tp>
        <v>3529</v>
        <stp/>
        <stp>P</stp>
        <stp>0</stp>
        <stp>STK</stp>
        <stp>039200</stp>
        <stp>누적거래량</stp>
        <stp/>
        <stp/>
        <tr r="U236" s="3"/>
        <tr r="U236" s="1"/>
      </tp>
      <tp>
        <v>840</v>
        <stp/>
        <stp>P</stp>
        <stp>0</stp>
        <stp>STK</stp>
        <stp>003200</stp>
        <stp>누적거래량</stp>
        <stp/>
        <stp/>
        <tr r="U618" s="1"/>
      </tp>
      <tp>
        <v>84783</v>
        <stp/>
        <stp>P</stp>
        <stp>0</stp>
        <stp>STK</stp>
        <stp>011200</stp>
        <stp>누적거래량</stp>
        <stp/>
        <stp/>
        <tr r="U43" s="1"/>
        <tr r="U43" s="3"/>
      </tp>
      <tp>
        <v>681</v>
        <stp/>
        <stp>P</stp>
        <stp>0</stp>
        <stp>STK</stp>
        <stp>383220</stp>
        <stp>누적거래량</stp>
        <stp/>
        <stp/>
        <tr r="U175" s="1"/>
        <tr r="U175" s="3"/>
      </tp>
      <tp>
        <v>779</v>
        <stp/>
        <stp>P</stp>
        <stp>0</stp>
        <stp>STK</stp>
        <stp>031210</stp>
        <stp>누적거래량</stp>
        <stp/>
        <stp/>
        <tr r="U140" s="1"/>
        <tr r="U140" s="3"/>
      </tp>
      <tp>
        <v>3915</v>
        <stp/>
        <stp>P</stp>
        <stp>0</stp>
        <stp>STK</stp>
        <stp>338220</stp>
        <stp>누적거래량</stp>
        <stp/>
        <stp/>
        <tr r="U643" s="1"/>
      </tp>
      <tp>
        <v>9284</v>
        <stp/>
        <stp>P</stp>
        <stp>0</stp>
        <stp>STK</stp>
        <stp>000210</stp>
        <stp>누적거래량</stp>
        <stp/>
        <stp/>
        <tr r="U365" s="1"/>
        <tr r="U365" s="3"/>
      </tp>
      <tp>
        <v>10222</v>
        <stp/>
        <stp>P</stp>
        <stp>0</stp>
        <stp>STK</stp>
        <stp>011210</stp>
        <stp>누적거래량</stp>
        <stp/>
        <stp/>
        <tr r="U164" s="3"/>
        <tr r="U164" s="1"/>
      </tp>
      <tp>
        <v>52643</v>
        <stp/>
        <stp>P</stp>
        <stp>0</stp>
        <stp>STK</stp>
        <stp>373220</stp>
        <stp>누적거래량</stp>
        <stp/>
        <stp/>
        <tr r="U9" s="3"/>
        <tr r="U9" s="1"/>
      </tp>
      <tp>
        <v>9465</v>
        <stp/>
        <stp>P</stp>
        <stp>0</stp>
        <stp>STK</stp>
        <stp>488280</stp>
        <stp>누적거래량</stp>
        <stp/>
        <stp/>
        <tr r="U687" s="1"/>
      </tp>
      <tp>
        <v>1402</v>
        <stp/>
        <stp>P</stp>
        <stp>0</stp>
        <stp>STK</stp>
        <stp>448280</stp>
        <stp>누적거래량</stp>
        <stp/>
        <stp/>
        <tr r="U638" s="1"/>
      </tp>
      <tp>
        <v>533</v>
        <stp/>
        <stp>P</stp>
        <stp>0</stp>
        <stp>STK</stp>
        <stp>268280</stp>
        <stp>누적거래량</stp>
        <stp/>
        <stp/>
        <tr r="U388" s="1"/>
      </tp>
      <tp>
        <v>14860</v>
        <stp/>
        <stp>P</stp>
        <stp>0</stp>
        <stp>STK</stp>
        <stp>278280</stp>
        <stp>누적거래량</stp>
        <stp/>
        <stp/>
        <tr r="U434" s="1"/>
      </tp>
      <tp>
        <v>8345</v>
        <stp/>
        <stp>P</stp>
        <stp>0</stp>
        <stp>STK</stp>
        <stp>394280</stp>
        <stp>누적거래량</stp>
        <stp/>
        <stp/>
        <tr r="U624" s="1"/>
      </tp>
      <tp>
        <v>21367</v>
        <stp/>
        <stp>P</stp>
        <stp>0</stp>
        <stp>STK</stp>
        <stp>323280</stp>
        <stp>누적거래량</stp>
        <stp/>
        <stp/>
        <tr r="U255" s="3"/>
        <tr r="U255" s="1"/>
      </tp>
      <tp>
        <v>74323</v>
        <stp/>
        <stp>P</stp>
        <stp>0</stp>
        <stp>STK</stp>
        <stp>272290</stp>
        <stp>누적거래량</stp>
        <stp/>
        <stp/>
        <tr r="U469" s="1"/>
      </tp>
      <tp>
        <v>22036</v>
        <stp/>
        <stp>P</stp>
        <stp>0</stp>
        <stp>STK</stp>
        <stp>086280</stp>
        <stp>누적거래량</stp>
        <stp/>
        <stp/>
        <tr r="U36" s="3"/>
        <tr r="U36" s="1"/>
      </tp>
      <tp>
        <v>1452</v>
        <stp/>
        <stp>P</stp>
        <stp>0</stp>
        <stp>STK</stp>
        <stp>131290</stp>
        <stp>누적거래량</stp>
        <stp/>
        <stp/>
        <tr r="U343" s="1"/>
        <tr r="U343" s="3"/>
      </tp>
      <tp>
        <v>442</v>
        <stp/>
        <stp>P</stp>
        <stp>0</stp>
        <stp>STK</stp>
        <stp>006280</stp>
        <stp>누적거래량</stp>
        <stp/>
        <stp/>
        <tr r="U229" s="1"/>
        <tr r="U229" s="3"/>
      </tp>
      <tp>
        <v>91305</v>
        <stp/>
        <stp>P</stp>
        <stp>0</stp>
        <stp>STK</stp>
        <stp>060280</stp>
        <stp>누적거래량</stp>
        <stp/>
        <stp/>
        <tr r="U346" s="3"/>
        <tr r="U346" s="1"/>
      </tp>
      <tp>
        <v>9484</v>
        <stp/>
        <stp>P</stp>
        <stp>0</stp>
        <stp>STK</stp>
        <stp>005290</stp>
        <stp>누적거래량</stp>
        <stp/>
        <stp/>
        <tr r="U201" s="1"/>
        <tr r="U201" s="3"/>
      </tp>
      <tp>
        <v>8643</v>
        <stp/>
        <stp>P</stp>
        <stp>0</stp>
        <stp>STK</stp>
        <stp>018290</stp>
        <stp>누적거래량</stp>
        <stp/>
        <stp/>
        <tr r="U439" s="1"/>
      </tp>
      <tp>
        <v>1.56</v>
        <stp/>
        <stp>P</stp>
        <stp>0</stp>
        <stp>STK</stp>
        <stp>N088350</stp>
        <stp>등락률</stp>
        <stp/>
        <stp/>
        <tr r="K137" s="3"/>
        <tr r="K161" s="1"/>
      </tp>
      <tp>
        <v>0.7</v>
        <stp/>
        <stp>P</stp>
        <stp>0</stp>
        <stp>STK</stp>
        <stp>N488280</stp>
        <stp>등락률</stp>
        <stp/>
        <stp/>
        <tr r="K687" s="1"/>
      </tp>
      <tp>
        <v>-1.42</v>
        <stp/>
        <stp>P</stp>
        <stp>0</stp>
        <stp>STK</stp>
        <stp>N388210</stp>
        <stp>등락률</stp>
        <stp/>
        <stp/>
        <tr r="K302" s="1"/>
      </tp>
      <tp>
        <v>-1.37</v>
        <stp/>
        <stp>P</stp>
        <stp>0</stp>
        <stp>STK</stp>
        <stp>N388720</stp>
        <stp>등락률</stp>
        <stp/>
        <stp/>
        <tr r="K283" s="1"/>
      </tp>
      <tp>
        <v>5.26</v>
        <stp/>
        <stp>P</stp>
        <stp>0</stp>
        <stp>STK</stp>
        <stp>N189300</stp>
        <stp>등락률</stp>
        <stp/>
        <stp/>
        <tr r="K356" s="1"/>
      </tp>
      <tp>
        <v>2.08</v>
        <stp/>
        <stp>P</stp>
        <stp>0</stp>
        <stp>STK</stp>
        <stp>N389260</stp>
        <stp>등락률</stp>
        <stp/>
        <stp/>
        <tr r="K612" s="1"/>
      </tp>
      <tp>
        <v>-2.2799999999999998</v>
        <stp/>
        <stp>P</stp>
        <stp>0</stp>
        <stp>STK</stp>
        <stp>N089010</stp>
        <stp>등락률</stp>
        <stp/>
        <stp/>
        <tr r="K463" s="1"/>
      </tp>
      <tp>
        <v>0.4</v>
        <stp/>
        <stp>P</stp>
        <stp>0</stp>
        <stp>STK</stp>
        <stp>N089030</stp>
        <stp>등락률</stp>
        <stp/>
        <stp/>
        <tr r="K247" s="1"/>
      </tp>
      <tp>
        <v>1.29</v>
        <stp/>
        <stp>P</stp>
        <stp>0</stp>
        <stp>STK</stp>
        <stp>N489790</stp>
        <stp>등락률</stp>
        <stp/>
        <stp/>
        <tr r="K139" s="3"/>
        <tr r="K170" s="1"/>
      </tp>
      <tp>
        <v>1.87</v>
        <stp/>
        <stp>P</stp>
        <stp>0</stp>
        <stp>STK</stp>
        <stp>N389650</stp>
        <stp>등락률</stp>
        <stp/>
        <stp/>
        <tr r="K427" s="1"/>
      </tp>
      <tp>
        <v>-0.65</v>
        <stp/>
        <stp>P</stp>
        <stp>0</stp>
        <stp>STK</stp>
        <stp>N389470</stp>
        <stp>등락률</stp>
        <stp/>
        <stp/>
        <tr r="K326" s="1"/>
      </tp>
      <tp>
        <v>1.76</v>
        <stp/>
        <stp>P</stp>
        <stp>0</stp>
        <stp>STK</stp>
        <stp>N089980</stp>
        <stp>등락률</stp>
        <stp/>
        <stp/>
        <tr r="K678" s="1"/>
      </tp>
      <tp>
        <v>-1.42</v>
        <stp/>
        <stp>P</stp>
        <stp>0</stp>
        <stp>STK</stp>
        <stp>N089970</stp>
        <stp>등락률</stp>
        <stp/>
        <stp/>
        <tr r="K406" s="1"/>
      </tp>
      <tp>
        <v>1.74</v>
        <stp/>
        <stp>P</stp>
        <stp>0</stp>
        <stp>STK</stp>
        <stp>N089890</stp>
        <stp>등락률</stp>
        <stp/>
        <stp/>
        <tr r="K520" s="1"/>
      </tp>
      <tp>
        <v>0</v>
        <stp/>
        <stp>P</stp>
        <stp>0</stp>
        <stp>STK</stp>
        <stp>N089860</stp>
        <stp>등락률</stp>
        <stp/>
        <stp/>
        <tr r="K297" s="1"/>
        <tr r="K220" s="3"/>
      </tp>
      <tp>
        <v>0.59</v>
        <stp/>
        <stp>P</stp>
        <stp>0</stp>
        <stp>STK</stp>
        <stp>N086390</stp>
        <stp>등락률</stp>
        <stp/>
        <stp/>
        <tr r="K674" s="1"/>
      </tp>
      <tp>
        <v>-1.53</v>
        <stp/>
        <stp>P</stp>
        <stp>0</stp>
        <stp>STK</stp>
        <stp>N086280</stp>
        <stp>등락률</stp>
        <stp/>
        <stp/>
        <tr r="K36" s="1"/>
        <tr r="K40" s="3"/>
      </tp>
      <tp>
        <v>1.49</v>
        <stp/>
        <stp>P</stp>
        <stp>0</stp>
        <stp>STK</stp>
        <stp>N086790</stp>
        <stp>등락률</stp>
        <stp/>
        <stp/>
        <tr r="K29" s="1"/>
        <tr r="K30" s="3"/>
      </tp>
      <tp>
        <v>1.05</v>
        <stp/>
        <stp>P</stp>
        <stp>0</stp>
        <stp>STK</stp>
        <stp>N086520</stp>
        <stp>등락률</stp>
        <stp/>
        <stp/>
        <tr r="K64" s="1"/>
      </tp>
      <tp>
        <v>0.48</v>
        <stp/>
        <stp>P</stp>
        <stp>0</stp>
        <stp>STK</stp>
        <stp>N086450</stp>
        <stp>등락률</stp>
        <stp/>
        <stp/>
        <tr r="K368" s="1"/>
      </tp>
      <tp>
        <v>0.56999999999999995</v>
        <stp/>
        <stp>P</stp>
        <stp>0</stp>
        <stp>STK</stp>
        <stp>N486990</stp>
        <stp>등락률</stp>
        <stp/>
        <stp/>
        <tr r="K315" s="1"/>
      </tp>
      <tp>
        <v>0.17</v>
        <stp/>
        <stp>P</stp>
        <stp>0</stp>
        <stp>STK</stp>
        <stp>N086900</stp>
        <stp>등락률</stp>
        <stp/>
        <stp/>
        <tr r="K338" s="1"/>
      </tp>
      <tp>
        <v>0.71</v>
        <stp/>
        <stp>P</stp>
        <stp>0</stp>
        <stp>STK</stp>
        <stp>N286940</stp>
        <stp>등락률</stp>
        <stp/>
        <stp/>
        <tr r="K349" s="3"/>
        <tr r="K593" s="1"/>
      </tp>
      <tp>
        <v>0</v>
        <stp/>
        <stp>P</stp>
        <stp>0</stp>
        <stp>STK</stp>
        <stp>N087010</stp>
        <stp>등락률</stp>
        <stp/>
        <stp/>
        <tr r="K108" s="1"/>
      </tp>
      <tp>
        <v>0.8</v>
        <stp/>
        <stp>P</stp>
        <stp>0</stp>
        <stp>STK</stp>
        <stp>N287840</stp>
        <stp>등락률</stp>
        <stp/>
        <stp/>
        <tr r="K380" s="1"/>
      </tp>
      <tp>
        <v>-1.18</v>
        <stp/>
        <stp>P</stp>
        <stp>0</stp>
        <stp>STK</stp>
        <stp>N084370</stp>
        <stp>등락률</stp>
        <stp/>
        <stp/>
        <tr r="K219" s="1"/>
      </tp>
      <tp>
        <v>-1.18</v>
        <stp/>
        <stp>P</stp>
        <stp>0</stp>
        <stp>STK</stp>
        <stp>N084110</stp>
        <stp>등락률</stp>
        <stp/>
        <stp/>
        <tr r="K423" s="1"/>
      </tp>
      <tp>
        <v>-0.84</v>
        <stp/>
        <stp>P</stp>
        <stp>0</stp>
        <stp>STK</stp>
        <stp>N484120</stp>
        <stp>등락률</stp>
        <stp/>
        <stp/>
        <tr r="K671" s="1"/>
      </tp>
      <tp>
        <v>0.98</v>
        <stp/>
        <stp>P</stp>
        <stp>0</stp>
        <stp>STK</stp>
        <stp>N084010</stp>
        <stp>등락률</stp>
        <stp/>
        <stp/>
        <tr r="K378" s="3"/>
        <tr r="K684" s="1"/>
      </tp>
      <tp>
        <v>0.88</v>
        <stp/>
        <stp>P</stp>
        <stp>0</stp>
        <stp>STK</stp>
        <stp>N284740</stp>
        <stp>등락률</stp>
        <stp/>
        <stp/>
        <tr r="K292" s="3"/>
        <tr r="K470" s="1"/>
      </tp>
      <tp>
        <v>2.96</v>
        <stp/>
        <stp>P</stp>
        <stp>0</stp>
        <stp>STK</stp>
        <stp>N084690</stp>
        <stp>등락률</stp>
        <stp/>
        <stp/>
        <tr r="K587" s="1"/>
        <tr r="K342" s="3"/>
      </tp>
      <tp>
        <v>1.02</v>
        <stp/>
        <stp>P</stp>
        <stp>0</stp>
        <stp>STK</stp>
        <stp>N484590</stp>
        <stp>등락률</stp>
        <stp/>
        <stp/>
        <tr r="K450" s="1"/>
      </tp>
      <tp>
        <v>1.81</v>
        <stp/>
        <stp>P</stp>
        <stp>0</stp>
        <stp>STK</stp>
        <stp>N484870</stp>
        <stp>등락률</stp>
        <stp/>
        <stp/>
        <tr r="K203" s="3"/>
        <tr r="K256" s="1"/>
      </tp>
      <tp>
        <v>0</v>
        <stp/>
        <stp>P</stp>
        <stp>0</stp>
        <stp>STK</stp>
        <stp>N084850</stp>
        <stp>등락률</stp>
        <stp/>
        <stp/>
        <tr r="K695" s="1"/>
      </tp>
      <tp>
        <v>-4.68</v>
        <stp/>
        <stp>P</stp>
        <stp>0</stp>
        <stp>STK</stp>
        <stp>N484810</stp>
        <stp>등락률</stp>
        <stp/>
        <stp/>
        <tr r="K559" s="1"/>
      </tp>
      <tp>
        <v>0.45</v>
        <stp/>
        <stp>P</stp>
        <stp>0</stp>
        <stp>STK</stp>
        <stp>N285130</stp>
        <stp>등락률</stp>
        <stp/>
        <stp/>
        <tr r="K292" s="1"/>
        <tr r="K215" s="3"/>
      </tp>
      <tp>
        <v>0.36</v>
        <stp/>
        <stp>P</stp>
        <stp>0</stp>
        <stp>STK</stp>
        <stp>N185750</stp>
        <stp>등락률</stp>
        <stp/>
        <stp/>
        <tr r="K290" s="1"/>
        <tr r="K218" s="3"/>
      </tp>
      <tp>
        <v>0.33</v>
        <stp/>
        <stp>P</stp>
        <stp>0</stp>
        <stp>STK</stp>
        <stp>N085620</stp>
        <stp>등락률</stp>
        <stp/>
        <stp/>
        <tr r="K241" s="1"/>
        <tr r="K190" s="3"/>
      </tp>
      <tp>
        <v>-1.26</v>
        <stp/>
        <stp>P</stp>
        <stp>0</stp>
        <stp>STK</stp>
        <stp>N085660</stp>
        <stp>등락률</stp>
        <stp/>
        <stp/>
        <tr r="K268" s="1"/>
      </tp>
      <tp>
        <v>0.33</v>
        <stp/>
        <stp>P</stp>
        <stp>0</stp>
        <stp>STK</stp>
        <stp>N282330</stp>
        <stp>등락률</stp>
        <stp/>
        <stp/>
        <tr r="K171" s="3"/>
        <tr r="K210" s="1"/>
      </tp>
      <tp>
        <v>-1.07</v>
        <stp/>
        <stp>P</stp>
        <stp>0</stp>
        <stp>STK</stp>
        <stp>N082270</stp>
        <stp>등락률</stp>
        <stp/>
        <stp/>
        <tr r="K313" s="1"/>
      </tp>
      <tp>
        <v>1.91</v>
        <stp/>
        <stp>P</stp>
        <stp>0</stp>
        <stp>STK</stp>
        <stp>N082740</stp>
        <stp>등락률</stp>
        <stp/>
        <stp/>
        <tr r="K116" s="1"/>
        <tr r="K110" s="3"/>
      </tp>
      <tp>
        <v>0.16</v>
        <stp/>
        <stp>P</stp>
        <stp>0</stp>
        <stp>STK</stp>
        <stp>N382900</stp>
        <stp>등락률</stp>
        <stp/>
        <stp/>
        <tr r="K651" s="1"/>
      </tp>
      <tp>
        <v>4.4400000000000004</v>
        <stp/>
        <stp>P</stp>
        <stp>0</stp>
        <stp>STK</stp>
        <stp>N082920</stp>
        <stp>등락률</stp>
        <stp/>
        <stp/>
        <tr r="K328" s="1"/>
      </tp>
      <tp>
        <v>-0.82</v>
        <stp/>
        <stp>P</stp>
        <stp>0</stp>
        <stp>STK</stp>
        <stp>N183300</stp>
        <stp>등락률</stp>
        <stp/>
        <stp/>
        <tr r="K303" s="1"/>
      </tp>
      <tp>
        <v>0.41</v>
        <stp/>
        <stp>P</stp>
        <stp>0</stp>
        <stp>STK</stp>
        <stp>N383310</stp>
        <stp>등락률</stp>
        <stp/>
        <stp/>
        <tr r="K476" s="1"/>
      </tp>
      <tp>
        <v>0.61</v>
        <stp/>
        <stp>P</stp>
        <stp>0</stp>
        <stp>STK</stp>
        <stp>N383220</stp>
        <stp>등락률</stp>
        <stp/>
        <stp/>
        <tr r="K175" s="1"/>
        <tr r="K147" s="3"/>
      </tp>
      <tp>
        <v>0.77</v>
        <stp/>
        <stp>P</stp>
        <stp>0</stp>
        <stp>STK</stp>
        <stp>N183190</stp>
        <stp>등락률</stp>
        <stp/>
        <stp/>
        <tr r="K314" s="3"/>
        <tr r="K513" s="1"/>
      </tp>
      <tp>
        <v>0.27</v>
        <stp/>
        <stp>P</stp>
        <stp>0</stp>
        <stp>STK</stp>
        <stp>N483650</stp>
        <stp>등락률</stp>
        <stp/>
        <stp/>
        <tr r="K177" s="3"/>
        <tr r="K233" s="1"/>
      </tp>
      <tp>
        <v>-1.91</v>
        <stp/>
        <stp>P</stp>
        <stp>0</stp>
        <stp>STK</stp>
        <stp>N083650</stp>
        <stp>등락률</stp>
        <stp/>
        <stp/>
        <tr r="K212" s="1"/>
      </tp>
      <tp>
        <v>0.57999999999999996</v>
        <stp/>
        <stp>P</stp>
        <stp>0</stp>
        <stp>STK</stp>
        <stp>N083450</stp>
        <stp>등락률</stp>
        <stp/>
        <stp/>
        <tr r="K477" s="1"/>
      </tp>
      <tp>
        <v>1.48</v>
        <stp/>
        <stp>P</stp>
        <stp>0</stp>
        <stp>STK</stp>
        <stp>N383800</stp>
        <stp>등락률</stp>
        <stp/>
        <stp/>
        <tr r="K417" s="1"/>
        <tr r="K272" s="3"/>
      </tp>
      <tp>
        <v>0</v>
        <stp/>
        <stp>P</stp>
        <stp>0</stp>
        <stp>STK</stp>
        <stp>N280360</stp>
        <stp>등락률</stp>
        <stp/>
        <stp/>
        <tr r="K224" s="3"/>
        <tr r="K307" s="1"/>
      </tp>
      <tp>
        <v>1.71</v>
        <stp/>
        <stp>P</stp>
        <stp>0</stp>
        <stp>STK</stp>
        <stp>N080220</stp>
        <stp>등락률</stp>
        <stp/>
        <stp/>
        <tr r="K304" s="1"/>
      </tp>
      <tp>
        <v>0.54</v>
        <stp/>
        <stp>P</stp>
        <stp>0</stp>
        <stp>STK</stp>
        <stp>N180640</stp>
        <stp>등락률</stp>
        <stp/>
        <stp/>
        <tr r="K80" s="1"/>
        <tr r="K76" s="3"/>
      </tp>
      <tp>
        <v>0.71</v>
        <stp/>
        <stp>P</stp>
        <stp>0</stp>
        <stp>STK</stp>
        <stp>N380550</stp>
        <stp>등락률</stp>
        <stp/>
        <stp/>
        <tr r="K660" s="1"/>
      </tp>
      <tp>
        <v>-0.4</v>
        <stp/>
        <stp>P</stp>
        <stp>0</stp>
        <stp>STK</stp>
        <stp>N481070</stp>
        <stp>등락률</stp>
        <stp/>
        <stp/>
        <tr r="K588" s="1"/>
      </tp>
      <tp>
        <v>0.5</v>
        <stp/>
        <stp>P</stp>
        <stp>0</stp>
        <stp>STK</stp>
        <stp>N181710</stp>
        <stp>등락률</stp>
        <stp/>
        <stp/>
        <tr r="K316" s="1"/>
        <tr r="K230" s="3"/>
      </tp>
      <tp>
        <v>-2.14</v>
        <stp/>
        <stp>P</stp>
        <stp>0</stp>
        <stp>STK</stp>
        <stp>N281740</stp>
        <stp>등락률</stp>
        <stp/>
        <stp/>
        <tr r="K288" s="1"/>
      </tp>
      <tp>
        <v>-0.77</v>
        <stp/>
        <stp>P</stp>
        <stp>0</stp>
        <stp>STK</stp>
        <stp>N081660</stp>
        <stp>등락률</stp>
        <stp/>
        <stp/>
        <tr r="K154" s="3"/>
        <tr r="K189" s="1"/>
      </tp>
      <tp>
        <v>0</v>
        <stp/>
        <stp>P</stp>
        <stp>0</stp>
        <stp>STK</stp>
        <stp>N381970</stp>
        <stp>등락률</stp>
        <stp/>
        <stp/>
        <tr r="K255" s="3"/>
        <tr r="K376" s="1"/>
      </tp>
      <tp>
        <v>0</v>
        <stp/>
        <stp>P</stp>
        <stp>0</stp>
        <stp>STK</stp>
        <stp>N281820</stp>
        <stp>등락률</stp>
        <stp/>
        <stp/>
        <tr r="K350" s="1"/>
        <tr r="K247" s="3"/>
      </tp>
      <tp>
        <v>1</v>
        <stp/>
        <stp>P</stp>
        <stp>0</stp>
        <stp>STK</stp>
        <stp>N298380</stp>
        <stp>등락률</stp>
        <stp/>
        <stp/>
        <tr r="K73" s="1"/>
      </tp>
      <tp>
        <v>-2.19</v>
        <stp/>
        <stp>P</stp>
        <stp>0</stp>
        <stp>STK</stp>
        <stp>N298020</stp>
        <stp>등락률</stp>
        <stp/>
        <stp/>
        <tr r="K231" s="1"/>
        <tr r="K188" s="3"/>
      </tp>
      <tp>
        <v>-1.45</v>
        <stp/>
        <stp>P</stp>
        <stp>0</stp>
        <stp>STK</stp>
        <stp>N098070</stp>
        <stp>등락률</stp>
        <stp/>
        <stp/>
        <tr r="K510" s="1"/>
      </tp>
      <tp>
        <v>-0.46</v>
        <stp/>
        <stp>P</stp>
        <stp>0</stp>
        <stp>STK</stp>
        <stp>N298050</stp>
        <stp>등락률</stp>
        <stp/>
        <stp/>
        <tr r="K233" s="3"/>
        <tr r="K318" s="1"/>
      </tp>
      <tp>
        <v>-1.83</v>
        <stp/>
        <stp>P</stp>
        <stp>0</stp>
        <stp>STK</stp>
        <stp>N298040</stp>
        <stp>등락률</stp>
        <stp/>
        <stp/>
        <tr r="K37" s="1"/>
        <tr r="K36" s="3"/>
      </tp>
      <tp>
        <v>-1.38</v>
        <stp/>
        <stp>P</stp>
        <stp>0</stp>
        <stp>STK</stp>
        <stp>N098460</stp>
        <stp>등락률</stp>
        <stp/>
        <stp/>
        <tr r="K202" s="1"/>
      </tp>
      <tp>
        <v>-0.46</v>
        <stp/>
        <stp>P</stp>
        <stp>0</stp>
        <stp>STK</stp>
        <stp>N099190</stp>
        <stp>등락률</stp>
        <stp/>
        <stp/>
        <tr r="K529" s="1"/>
      </tp>
      <tp>
        <v>2.66</v>
        <stp/>
        <stp>P</stp>
        <stp>0</stp>
        <stp>STK</stp>
        <stp>N299030</stp>
        <stp>등락률</stp>
        <stp/>
        <stp/>
        <tr r="K691" s="1"/>
      </tp>
      <tp>
        <v>-0.24</v>
        <stp/>
        <stp>P</stp>
        <stp>0</stp>
        <stp>STK</stp>
        <stp>N499790</stp>
        <stp>등락률</stp>
        <stp/>
        <stp/>
        <tr r="K237" s="3"/>
        <tr r="K359" s="1"/>
      </tp>
      <tp>
        <v>-0.33</v>
        <stp/>
        <stp>P</stp>
        <stp>0</stp>
        <stp>STK</stp>
        <stp>N399720</stp>
        <stp>등락률</stp>
        <stp/>
        <stp/>
        <tr r="K383" s="1"/>
      </tp>
      <tp>
        <v>1.92</v>
        <stp/>
        <stp>P</stp>
        <stp>0</stp>
        <stp>STK</stp>
        <stp>N199430</stp>
        <stp>등락률</stp>
        <stp/>
        <stp/>
        <tr r="K485" s="1"/>
      </tp>
      <tp>
        <v>6.69</v>
        <stp/>
        <stp>P</stp>
        <stp>0</stp>
        <stp>STK</stp>
        <stp>N199800</stp>
        <stp>등락률</stp>
        <stp/>
        <stp/>
        <tr r="K471" s="1"/>
      </tp>
      <tp>
        <v>1.35</v>
        <stp/>
        <stp>P</stp>
        <stp>0</stp>
        <stp>STK</stp>
        <stp>N196170</stp>
        <stp>등락률</stp>
        <stp/>
        <stp/>
        <tr r="K42" s="1"/>
      </tp>
      <tp>
        <v>0.53</v>
        <stp/>
        <stp>P</stp>
        <stp>0</stp>
        <stp>STK</stp>
        <stp>N096770</stp>
        <stp>등락률</stp>
        <stp/>
        <stp/>
        <tr r="K45" s="3"/>
        <tr r="K47" s="1"/>
      </tp>
      <tp>
        <v>0.21</v>
        <stp/>
        <stp>P</stp>
        <stp>0</stp>
        <stp>STK</stp>
        <stp>N096530</stp>
        <stp>등락률</stp>
        <stp/>
        <stp/>
        <tr r="K275" s="1"/>
      </tp>
      <tp>
        <v>0.42</v>
        <stp/>
        <stp>P</stp>
        <stp>0</stp>
        <stp>STK</stp>
        <stp>N097230</stp>
        <stp>등락률</stp>
        <stp/>
        <stp/>
        <tr r="K164" s="3"/>
        <tr r="K195" s="1"/>
      </tp>
      <tp>
        <v>0.21</v>
        <stp/>
        <stp>P</stp>
        <stp>0</stp>
        <stp>STK</stp>
        <stp>N397030</stp>
        <stp>등락률</stp>
        <stp/>
        <stp/>
        <tr r="K293" s="1"/>
      </tp>
      <tp>
        <v>-0.33</v>
        <stp/>
        <stp>P</stp>
        <stp>0</stp>
        <stp>STK</stp>
        <stp>N097520</stp>
        <stp>등락률</stp>
        <stp/>
        <stp/>
        <tr r="K287" s="3"/>
        <tr r="K447" s="1"/>
      </tp>
      <tp>
        <v>-0.46</v>
        <stp/>
        <stp>P</stp>
        <stp>0</stp>
        <stp>STK</stp>
        <stp>N097950</stp>
        <stp>등락률</stp>
        <stp/>
        <stp/>
        <tr r="K147" s="1"/>
        <tr r="K128" s="3"/>
      </tp>
      <tp>
        <v>-0.35</v>
        <stp/>
        <stp>P</stp>
        <stp>0</stp>
        <stp>STK</stp>
        <stp>N094360</stp>
        <stp>등락률</stp>
        <stp/>
        <stp/>
        <tr r="K556" s="1"/>
      </tp>
      <tp>
        <v>0.35</v>
        <stp/>
        <stp>P</stp>
        <stp>0</stp>
        <stp>STK</stp>
        <stp>N194370</stp>
        <stp>등락률</stp>
        <stp/>
        <stp/>
        <tr r="K599" s="1"/>
        <tr r="K347" s="3"/>
      </tp>
      <tp>
        <v>-1.1200000000000001</v>
        <stp/>
        <stp>P</stp>
        <stp>0</stp>
        <stp>STK</stp>
        <stp>N394280</stp>
        <stp>등락률</stp>
        <stp/>
        <stp/>
        <tr r="K624" s="1"/>
      </tp>
      <tp>
        <v>-1.48</v>
        <stp/>
        <stp>P</stp>
        <stp>0</stp>
        <stp>STK</stp>
        <stp>N094170</stp>
        <stp>등락률</stp>
        <stp/>
        <stp/>
        <tr r="K436" s="1"/>
      </tp>
      <tp>
        <v>-1.25</v>
        <stp/>
        <stp>P</stp>
        <stp>0</stp>
        <stp>STK</stp>
        <stp>N494120</stp>
        <stp>등락률</stp>
        <stp/>
        <stp/>
        <tr r="K526" s="1"/>
      </tp>
      <tp>
        <v>0.22</v>
        <stp/>
        <stp>P</stp>
        <stp>0</stp>
        <stp>STK</stp>
        <stp>N194700</stp>
        <stp>등락률</stp>
        <stp/>
        <stp/>
        <tr r="K668" s="1"/>
      </tp>
      <tp>
        <v>0.37</v>
        <stp/>
        <stp>P</stp>
        <stp>0</stp>
        <stp>STK</stp>
        <stp>N294570</stp>
        <stp>등락률</stp>
        <stp/>
        <stp/>
        <tr r="K647" s="1"/>
      </tp>
      <tp>
        <v>1.18</v>
        <stp/>
        <stp>P</stp>
        <stp>0</stp>
        <stp>STK</stp>
        <stp>N194480</stp>
        <stp>등락률</stp>
        <stp/>
        <stp/>
        <tr r="K534" s="1"/>
      </tp>
      <tp>
        <v>4.03</v>
        <stp/>
        <stp>P</stp>
        <stp>0</stp>
        <stp>STK</stp>
        <stp>N094480</stp>
        <stp>등락률</stp>
        <stp/>
        <stp/>
        <tr r="K564" s="1"/>
      </tp>
      <tp>
        <v>0.28000000000000003</v>
        <stp/>
        <stp>P</stp>
        <stp>0</stp>
        <stp>STK</stp>
        <stp>N394800</stp>
        <stp>등락률</stp>
        <stp/>
        <stp/>
        <tr r="K495" s="1"/>
      </tp>
      <tp>
        <v>0.49</v>
        <stp/>
        <stp>P</stp>
        <stp>0</stp>
        <stp>STK</stp>
        <stp>N294870</stp>
        <stp>등락률</stp>
        <stp/>
        <stp/>
        <tr r="K202" s="3"/>
        <tr r="K264" s="1"/>
      </tp>
      <tp>
        <v>5.04</v>
        <stp/>
        <stp>P</stp>
        <stp>0</stp>
        <stp>STK</stp>
        <stp>N295310</stp>
        <stp>등락률</stp>
        <stp/>
        <stp/>
        <tr r="K305" s="1"/>
      </tp>
      <tp>
        <v>-3.39</v>
        <stp/>
        <stp>P</stp>
        <stp>0</stp>
        <stp>STK</stp>
        <stp>N095340</stp>
        <stp>등락률</stp>
        <stp/>
        <stp/>
        <tr r="K198" s="1"/>
      </tp>
      <tp>
        <v>1.48</v>
        <stp/>
        <stp>P</stp>
        <stp>0</stp>
        <stp>STK</stp>
        <stp>N095610</stp>
        <stp>등락률</stp>
        <stp/>
        <stp/>
        <tr r="K319" s="1"/>
      </tp>
      <tp>
        <v>0.57999999999999996</v>
        <stp/>
        <stp>P</stp>
        <stp>0</stp>
        <stp>STK</stp>
        <stp>N095660</stp>
        <stp>등락률</stp>
        <stp/>
        <stp/>
        <tr r="K445" s="1"/>
      </tp>
      <tp>
        <v>1.98</v>
        <stp/>
        <stp>P</stp>
        <stp>0</stp>
        <stp>STK</stp>
        <stp>N095500</stp>
        <stp>등락률</stp>
        <stp/>
        <stp/>
        <tr r="K596" s="1"/>
      </tp>
      <tp>
        <v>0.1</v>
        <stp/>
        <stp>P</stp>
        <stp>0</stp>
        <stp>STK</stp>
        <stp>N195940</stp>
        <stp>등락률</stp>
        <stp/>
        <stp/>
        <tr r="K262" s="1"/>
      </tp>
      <tp>
        <v>-1.88</v>
        <stp/>
        <stp>P</stp>
        <stp>0</stp>
        <stp>STK</stp>
        <stp>N195870</stp>
        <stp>등락률</stp>
        <stp/>
        <stp/>
        <tr r="K236" s="3"/>
        <tr r="K332" s="1"/>
      </tp>
      <tp>
        <v>0</v>
        <stp/>
        <stp>P</stp>
        <stp>0</stp>
        <stp>STK</stp>
        <stp>N092230</stp>
        <stp>등락률</stp>
        <stp/>
        <stp/>
        <tr r="K615" s="1"/>
        <tr r="K352" s="3"/>
      </tp>
      <tp>
        <v>0.39</v>
        <stp/>
        <stp>P</stp>
        <stp>0</stp>
        <stp>STK</stp>
        <stp>N192080</stp>
        <stp>등락률</stp>
        <stp/>
        <stp/>
        <tr r="K221" s="3"/>
        <tr r="K298" s="1"/>
      </tp>
      <tp>
        <v>-3.25</v>
        <stp/>
        <stp>P</stp>
        <stp>0</stp>
        <stp>STK</stp>
        <stp>N092790</stp>
        <stp>등락률</stp>
        <stp/>
        <stp/>
        <tr r="K351" s="3"/>
        <tr r="K607" s="1"/>
      </tp>
      <tp>
        <v>-0.84</v>
        <stp/>
        <stp>P</stp>
        <stp>0</stp>
        <stp>STK</stp>
        <stp>N092730</stp>
        <stp>등락률</stp>
        <stp/>
        <stp/>
        <tr r="K645" s="1"/>
      </tp>
      <tp>
        <v>0</v>
        <stp/>
        <stp>P</stp>
        <stp>0</stp>
        <stp>STK</stp>
        <stp>N192400</stp>
        <stp>등락률</stp>
        <stp/>
        <stp/>
        <tr r="K320" s="1"/>
        <tr r="K232" s="3"/>
      </tp>
      <tp>
        <v>0.62</v>
        <stp/>
        <stp>P</stp>
        <stp>0</stp>
        <stp>STK</stp>
        <stp>N092460</stp>
        <stp>등락률</stp>
        <stp/>
        <stp/>
        <tr r="K640" s="1"/>
      </tp>
      <tp>
        <v>0.88</v>
        <stp/>
        <stp>P</stp>
        <stp>0</stp>
        <stp>STK</stp>
        <stp>N192820</stp>
        <stp>등락률</stp>
        <stp/>
        <stp/>
        <tr r="K205" s="1"/>
        <tr r="K161" s="3"/>
      </tp>
      <tp>
        <v>-1.1599999999999999</v>
        <stp/>
        <stp>P</stp>
        <stp>0</stp>
        <stp>STK</stp>
        <stp>N093320</stp>
        <stp>등락률</stp>
        <stp/>
        <stp/>
        <tr r="K429" s="1"/>
      </tp>
      <tp>
        <v>3.44</v>
        <stp/>
        <stp>P</stp>
        <stp>0</stp>
        <stp>STK</stp>
        <stp>N093370</stp>
        <stp>등락률</stp>
        <stp/>
        <stp/>
        <tr r="K240" s="3"/>
        <tr r="K355" s="1"/>
      </tp>
      <tp>
        <v>0.4</v>
        <stp/>
        <stp>P</stp>
        <stp>0</stp>
        <stp>STK</stp>
        <stp>N093050</stp>
        <stp>등락률</stp>
        <stp/>
        <stp/>
        <tr r="K468" s="1"/>
        <tr r="K293" s="3"/>
      </tp>
      <tp>
        <v>1.67</v>
        <stp/>
        <stp>P</stp>
        <stp>0</stp>
        <stp>STK</stp>
        <stp>N093520</stp>
        <stp>등락률</stp>
        <stp/>
        <stp/>
        <tr r="K627" s="1"/>
      </tp>
      <tp>
        <v>0.84</v>
        <stp/>
        <stp>P</stp>
        <stp>0</stp>
        <stp>STK</stp>
        <stp>N293490</stp>
        <stp>등락률</stp>
        <stp/>
        <stp/>
        <tr r="K273" s="1"/>
      </tp>
      <tp>
        <v>-1.99</v>
        <stp/>
        <stp>P</stp>
        <stp>0</stp>
        <stp>STK</stp>
        <stp>N090360</stp>
        <stp>등락률</stp>
        <stp/>
        <stp/>
        <tr r="K329" s="1"/>
      </tp>
      <tp>
        <v>-1.1100000000000001</v>
        <stp/>
        <stp>P</stp>
        <stp>0</stp>
        <stp>STK</stp>
        <stp>N290650</stp>
        <stp>등락률</stp>
        <stp/>
        <stp/>
        <tr r="K266" s="1"/>
      </tp>
      <tp>
        <v>-0.41</v>
        <stp/>
        <stp>P</stp>
        <stp>0</stp>
        <stp>STK</stp>
        <stp>N190510</stp>
        <stp>등락률</stp>
        <stp/>
        <stp/>
        <tr r="K579" s="1"/>
      </tp>
      <tp>
        <v>-0.47</v>
        <stp/>
        <stp>P</stp>
        <stp>0</stp>
        <stp>STK</stp>
        <stp>N090430</stp>
        <stp>등락률</stp>
        <stp/>
        <stp/>
        <tr r="K90" s="1"/>
        <tr r="K84" s="3"/>
      </tp>
      <tp>
        <v>-0.36</v>
        <stp/>
        <stp>P</stp>
        <stp>0</stp>
        <stp>STK</stp>
        <stp>N090460</stp>
        <stp>등락률</stp>
        <stp/>
        <stp/>
        <tr r="K283" s="3"/>
        <tr r="K455" s="1"/>
      </tp>
      <tp>
        <v>3.89</v>
        <stp/>
        <stp>P</stp>
        <stp>0</stp>
        <stp>STK</stp>
        <stp>N108380</stp>
        <stp>등락률</stp>
        <stp/>
        <stp/>
        <tr r="K669" s="1"/>
      </tp>
      <tp>
        <v>0.2</v>
        <stp/>
        <stp>P</stp>
        <stp>0</stp>
        <stp>STK</stp>
        <stp>N108320</stp>
        <stp>등락률</stp>
        <stp/>
        <stp/>
        <tr r="K241" s="3"/>
        <tr r="K345" s="1"/>
      </tp>
      <tp>
        <v>0.3</v>
        <stp/>
        <stp>P</stp>
        <stp>0</stp>
        <stp>STK</stp>
        <stp>N008060</stp>
        <stp>등락률</stp>
        <stp/>
        <stp/>
        <tr r="K585" s="1"/>
        <tr r="K340" s="3"/>
      </tp>
      <tp>
        <v>1.45</v>
        <stp/>
        <stp>P</stp>
        <stp>0</stp>
        <stp>STK</stp>
        <stp>N008730</stp>
        <stp>등락률</stp>
        <stp/>
        <stp/>
        <tr r="K397" s="1"/>
        <tr r="K262" s="3"/>
      </tp>
      <tp>
        <v>-0.44</v>
        <stp/>
        <stp>P</stp>
        <stp>0</stp>
        <stp>STK</stp>
        <stp>N008770</stp>
        <stp>등락률</stp>
        <stp/>
        <stp/>
        <tr r="K226" s="1"/>
        <tr r="K179" s="3"/>
      </tp>
      <tp>
        <v>0.52</v>
        <stp/>
        <stp>P</stp>
        <stp>0</stp>
        <stp>STK</stp>
        <stp>N108670</stp>
        <stp>등락률</stp>
        <stp/>
        <stp/>
        <tr r="K665" s="1"/>
        <tr r="K369" s="3"/>
      </tp>
      <tp>
        <v>0.24</v>
        <stp/>
        <stp>P</stp>
        <stp>0</stp>
        <stp>STK</stp>
        <stp>N008490</stp>
        <stp>등락률</stp>
        <stp/>
        <stp/>
        <tr r="K379" s="3"/>
        <tr r="K686" s="1"/>
      </tp>
      <tp>
        <v>-0.2</v>
        <stp/>
        <stp>P</stp>
        <stp>0</stp>
        <stp>STK</stp>
        <stp>N108490</stp>
        <stp>등락률</stp>
        <stp/>
        <stp/>
        <tr r="K132" s="1"/>
      </tp>
      <tp>
        <v>-0.22</v>
        <stp/>
        <stp>P</stp>
        <stp>0</stp>
        <stp>STK</stp>
        <stp>N308430</stp>
        <stp>등락률</stp>
        <stp/>
        <stp/>
        <tr r="K622" s="1"/>
      </tp>
      <tp>
        <v>-0.26</v>
        <stp/>
        <stp>P</stp>
        <stp>0</stp>
        <stp>STK</stp>
        <stp>N008930</stp>
        <stp>등락률</stp>
        <stp/>
        <stp/>
        <tr r="K165" s="1"/>
        <tr r="K140" s="3"/>
      </tp>
      <tp>
        <v>0.93</v>
        <stp/>
        <stp>P</stp>
        <stp>0</stp>
        <stp>STK</stp>
        <stp>N108860</stp>
        <stp>등락률</stp>
        <stp/>
        <stp/>
        <tr r="K600" s="1"/>
      </tp>
      <tp>
        <v>0.34</v>
        <stp/>
        <stp>P</stp>
        <stp>0</stp>
        <stp>STK</stp>
        <stp>N009240</stp>
        <stp>등락률</stp>
        <stp/>
        <stp/>
        <tr r="K223" s="3"/>
        <tr r="K301" s="1"/>
      </tp>
      <tp>
        <v>0.53</v>
        <stp/>
        <stp>P</stp>
        <stp>0</stp>
        <stp>STK</stp>
        <stp>N009150</stp>
        <stp>등락률</stp>
        <stp/>
        <stp/>
        <tr r="K39" s="3"/>
        <tr r="K39" s="1"/>
      </tp>
      <tp>
        <v>-2.12</v>
        <stp/>
        <stp>P</stp>
        <stp>0</stp>
        <stp>STK</stp>
        <stp>N309710</stp>
        <stp>등락률</stp>
        <stp/>
        <stp/>
        <tr r="K514" s="1"/>
      </tp>
      <tp>
        <v>0.39</v>
        <stp/>
        <stp>P</stp>
        <stp>0</stp>
        <stp>STK</stp>
        <stp>N009680</stp>
        <stp>등락률</stp>
        <stp/>
        <stp/>
        <tr r="K632" s="1"/>
        <tr r="K359" s="3"/>
      </tp>
      <tp>
        <v>-0.11</v>
        <stp/>
        <stp>P</stp>
        <stp>0</stp>
        <stp>STK</stp>
        <stp>N009520</stp>
        <stp>등락률</stp>
        <stp/>
        <stp/>
        <tr r="K363" s="1"/>
      </tp>
      <tp>
        <v>1.41</v>
        <stp/>
        <stp>P</stp>
        <stp>0</stp>
        <stp>STK</stp>
        <stp>N009540</stp>
        <stp>등락률</stp>
        <stp/>
        <stp/>
        <tr r="K27" s="3"/>
        <tr r="K27" s="1"/>
      </tp>
      <tp>
        <v>0.52</v>
        <stp/>
        <stp>P</stp>
        <stp>0</stp>
        <stp>STK</stp>
        <stp>N009420</stp>
        <stp>등락률</stp>
        <stp/>
        <stp/>
        <tr r="K187" s="1"/>
        <tr r="K152" s="3"/>
      </tp>
      <tp>
        <v>0.36</v>
        <stp/>
        <stp>P</stp>
        <stp>0</stp>
        <stp>STK</stp>
        <stp>N009450</stp>
        <stp>등락률</stp>
        <stp/>
        <stp/>
        <tr r="K243" s="3"/>
        <tr r="K348" s="1"/>
      </tp>
      <tp>
        <v>-0.52</v>
        <stp/>
        <stp>P</stp>
        <stp>0</stp>
        <stp>STK</stp>
        <stp>N009900</stp>
        <stp>등락률</stp>
        <stp/>
        <stp/>
        <tr r="K295" s="3"/>
        <tr r="K464" s="1"/>
      </tp>
      <tp>
        <v>-0.05</v>
        <stp/>
        <stp>P</stp>
        <stp>0</stp>
        <stp>STK</stp>
        <stp>N009970</stp>
        <stp>등락률</stp>
        <stp/>
        <stp/>
        <tr r="K173" s="1"/>
        <tr r="K138" s="3"/>
      </tp>
      <tp>
        <v>4.8</v>
        <stp/>
        <stp>P</stp>
        <stp>0</stp>
        <stp>STK</stp>
        <stp>N009830</stp>
        <stp>등락률</stp>
        <stp/>
        <stp/>
        <tr r="K113" s="1"/>
        <tr r="K103" s="3"/>
      </tp>
      <tp>
        <v>1.07</v>
        <stp/>
        <stp>P</stp>
        <stp>0</stp>
        <stp>STK</stp>
        <stp>N006360</stp>
        <stp>등락률</stp>
        <stp/>
        <stp/>
        <tr r="K191" s="3"/>
        <tr r="K240" s="1"/>
      </tp>
      <tp>
        <v>0.72</v>
        <stp/>
        <stp>P</stp>
        <stp>0</stp>
        <stp>STK</stp>
        <stp>N006280</stp>
        <stp>등락률</stp>
        <stp/>
        <stp/>
        <tr r="K184" s="3"/>
        <tr r="K229" s="1"/>
      </tp>
      <tp>
        <v>-0.83</v>
        <stp/>
        <stp>P</stp>
        <stp>0</stp>
        <stp>STK</stp>
        <stp>N306200</stp>
        <stp>등락률</stp>
        <stp/>
        <stp/>
        <tr r="K341" s="3"/>
        <tr r="K589" s="1"/>
      </tp>
      <tp>
        <v>0.35</v>
        <stp/>
        <stp>P</stp>
        <stp>0</stp>
        <stp>STK</stp>
        <stp>N006220</stp>
        <stp>등락률</stp>
        <stp/>
        <stp/>
        <tr r="K315" s="3"/>
        <tr r="K512" s="1"/>
      </tp>
      <tp>
        <v>5.99</v>
        <stp/>
        <stp>P</stp>
        <stp>0</stp>
        <stp>STK</stp>
        <stp>N006260</stp>
        <stp>등락률</stp>
        <stp/>
        <stp/>
        <tr r="K89" s="1"/>
        <tr r="K85" s="3"/>
      </tp>
      <tp>
        <v>-0.97</v>
        <stp/>
        <stp>P</stp>
        <stp>0</stp>
        <stp>STK</stp>
        <stp>N006110</stp>
        <stp>등락률</stp>
        <stp/>
        <stp/>
        <tr r="K568" s="1"/>
        <tr r="K331" s="3"/>
      </tp>
      <tp>
        <v>0.8</v>
        <stp/>
        <stp>P</stp>
        <stp>0</stp>
        <stp>STK</stp>
        <stp>N006120</stp>
        <stp>등락률</stp>
        <stp/>
        <stp/>
        <tr r="K219" s="3"/>
        <tr r="K291" s="1"/>
      </tp>
      <tp>
        <v>0.74</v>
        <stp/>
        <stp>P</stp>
        <stp>0</stp>
        <stp>STK</stp>
        <stp>N006040</stp>
        <stp>등락률</stp>
        <stp/>
        <stp/>
        <tr r="K181" s="3"/>
        <tr r="K227" s="1"/>
      </tp>
      <tp>
        <v>1.39</v>
        <stp/>
        <stp>P</stp>
        <stp>0</stp>
        <stp>STK</stp>
        <stp>N006730</stp>
        <stp>등락률</stp>
        <stp/>
        <stp/>
        <tr r="K323" s="1"/>
      </tp>
      <tp>
        <v>2.36</v>
        <stp/>
        <stp>P</stp>
        <stp>0</stp>
        <stp>STK</stp>
        <stp>N006650</stp>
        <stp>등락률</stp>
        <stp/>
        <stp/>
        <tr r="K306" s="1"/>
        <tr r="K225" s="3"/>
      </tp>
      <tp>
        <v>-0.45</v>
        <stp/>
        <stp>P</stp>
        <stp>0</stp>
        <stp>STK</stp>
        <stp>N206650</stp>
        <stp>등락률</stp>
        <stp/>
        <stp/>
        <tr r="K531" s="1"/>
      </tp>
      <tp>
        <v>0</v>
        <stp/>
        <stp>P</stp>
        <stp>0</stp>
        <stp>STK</stp>
        <stp>N206640</stp>
        <stp>등락률</stp>
        <stp/>
        <stp/>
        <tr r="K629" s="1"/>
      </tp>
      <tp>
        <v>1.82</v>
        <stp/>
        <stp>P</stp>
        <stp>0</stp>
        <stp>STK</stp>
        <stp>N006400</stp>
        <stp>등락률</stp>
        <stp/>
        <stp/>
        <tr r="K31" s="1"/>
        <tr r="K28" s="3"/>
      </tp>
      <tp>
        <v>7.54</v>
        <stp/>
        <stp>P</stp>
        <stp>0</stp>
        <stp>STK</stp>
        <stp>N006800</stp>
        <stp>등락률</stp>
        <stp/>
        <stp/>
        <tr r="K48" s="1"/>
        <tr r="K47" s="3"/>
      </tp>
      <tp>
        <v>-0.55000000000000004</v>
        <stp/>
        <stp>P</stp>
        <stp>0</stp>
        <stp>STK</stp>
        <stp>N007390</stp>
        <stp>등락률</stp>
        <stp/>
        <stp/>
        <tr r="K272" s="1"/>
      </tp>
      <tp>
        <v>0.39</v>
        <stp/>
        <stp>P</stp>
        <stp>0</stp>
        <stp>STK</stp>
        <stp>N007310</stp>
        <stp>등락률</stp>
        <stp/>
        <stp/>
        <tr r="K194" s="3"/>
        <tr r="K244" s="1"/>
      </tp>
      <tp>
        <v>0.39</v>
        <stp/>
        <stp>P</stp>
        <stp>0</stp>
        <stp>STK</stp>
        <stp>N007340</stp>
        <stp>등락률</stp>
        <stp/>
        <stp/>
        <tr r="K251" s="1"/>
        <tr r="K198" s="3"/>
      </tp>
      <tp>
        <v>1.61</v>
        <stp/>
        <stp>P</stp>
        <stp>0</stp>
        <stp>STK</stp>
        <stp>N007160</stp>
        <stp>등락률</stp>
        <stp/>
        <stp/>
        <tr r="K649" s="1"/>
        <tr r="K362" s="3"/>
      </tp>
      <tp>
        <v>0.24</v>
        <stp/>
        <stp>P</stp>
        <stp>0</stp>
        <stp>STK</stp>
        <stp>N007070</stp>
        <stp>등락률</stp>
        <stp/>
        <stp/>
        <tr r="K232" s="1"/>
        <tr r="K183" s="3"/>
      </tp>
      <tp>
        <v>1.96</v>
        <stp/>
        <stp>P</stp>
        <stp>0</stp>
        <stp>STK</stp>
        <stp>N007700</stp>
        <stp>등락률</stp>
        <stp/>
        <stp/>
        <tr r="K362" s="1"/>
        <tr r="K249" s="3"/>
      </tp>
      <tp>
        <v>1.24</v>
        <stp/>
        <stp>P</stp>
        <stp>0</stp>
        <stp>STK</stp>
        <stp>N007690</stp>
        <stp>등락률</stp>
        <stp/>
        <stp/>
        <tr r="K339" s="3"/>
        <tr r="K586" s="1"/>
      </tp>
      <tp>
        <v>1.32</v>
        <stp/>
        <stp>P</stp>
        <stp>0</stp>
        <stp>STK</stp>
        <stp>N107640</stp>
        <stp>등락률</stp>
        <stp/>
        <stp/>
        <tr r="K524" s="1"/>
      </tp>
      <tp>
        <v>-0.88</v>
        <stp/>
        <stp>P</stp>
        <stp>0</stp>
        <stp>STK</stp>
        <stp>N007660</stp>
        <stp>등락률</stp>
        <stp/>
        <stp/>
        <tr r="K81" s="3"/>
        <tr r="K86" s="1"/>
      </tp>
      <tp>
        <v>0.9</v>
        <stp/>
        <stp>P</stp>
        <stp>0</stp>
        <stp>STK</stp>
        <stp>N207940</stp>
        <stp>등락률</stp>
        <stp/>
        <stp/>
        <tr r="K10" s="3"/>
        <tr r="K10" s="1"/>
      </tp>
      <tp>
        <v>0.54</v>
        <stp/>
        <stp>P</stp>
        <stp>0</stp>
        <stp>STK</stp>
        <stp>N307950</stp>
        <stp>등락률</stp>
        <stp/>
        <stp/>
        <tr r="K58" s="1"/>
        <tr r="K60" s="3"/>
      </tp>
      <tp>
        <v>-2.35</v>
        <stp/>
        <stp>P</stp>
        <stp>0</stp>
        <stp>STK</stp>
        <stp>N007810</stp>
        <stp>등락률</stp>
        <stp/>
        <stp/>
        <tr r="K199" s="3"/>
        <tr r="K250" s="1"/>
      </tp>
      <tp>
        <v>-2.8</v>
        <stp/>
        <stp>P</stp>
        <stp>0</stp>
        <stp>STK</stp>
        <stp>N204320</stp>
        <stp>등락률</stp>
        <stp/>
        <stp/>
        <tr r="K139" s="1"/>
        <tr r="K125" s="3"/>
      </tp>
      <tp>
        <v>0.34</v>
        <stp/>
        <stp>P</stp>
        <stp>0</stp>
        <stp>STK</stp>
        <stp>N304360</stp>
        <stp>등락률</stp>
        <stp/>
        <stp/>
        <tr r="K557" s="1"/>
      </tp>
      <tp>
        <v>-0.12</v>
        <stp/>
        <stp>P</stp>
        <stp>0</stp>
        <stp>STK</stp>
        <stp>N004370</stp>
        <stp>등락률</stp>
        <stp/>
        <stp/>
        <tr r="K149" s="3"/>
        <tr r="K179" s="1"/>
      </tp>
      <tp>
        <v>0.66</v>
        <stp/>
        <stp>P</stp>
        <stp>0</stp>
        <stp>STK</stp>
        <stp>N004360</stp>
        <stp>등락률</stp>
        <stp/>
        <stp/>
        <tr r="K659" s="1"/>
        <tr r="K367" s="3"/>
      </tp>
      <tp>
        <v>-1.21</v>
        <stp/>
        <stp>P</stp>
        <stp>0</stp>
        <stp>STK</stp>
        <stp>N204270</stp>
        <stp>등락률</stp>
        <stp/>
        <stp/>
        <tr r="K294" s="1"/>
      </tp>
      <tp>
        <v>2.14</v>
        <stp/>
        <stp>P</stp>
        <stp>0</stp>
        <stp>STK</stp>
        <stp>N304100</stp>
        <stp>등락률</stp>
        <stp/>
        <stp/>
        <tr r="K591" s="1"/>
      </tp>
      <tp>
        <v>0.35</v>
        <stp/>
        <stp>P</stp>
        <stp>0</stp>
        <stp>STK</stp>
        <stp>N004170</stp>
        <stp>등락률</stp>
        <stp/>
        <stp/>
        <tr r="K160" s="1"/>
        <tr r="K136" s="3"/>
      </tp>
      <tp>
        <v>0.66</v>
        <stp/>
        <stp>P</stp>
        <stp>0</stp>
        <stp>STK</stp>
        <stp>N004000</stp>
        <stp>등락률</stp>
        <stp/>
        <stp/>
        <tr r="K287" s="1"/>
        <tr r="K216" s="3"/>
      </tp>
      <tp>
        <v>2.21</v>
        <stp/>
        <stp>P</stp>
        <stp>0</stp>
        <stp>STK</stp>
        <stp>N004020</stp>
        <stp>등락률</stp>
        <stp/>
        <stp/>
        <tr r="K105" s="3"/>
        <tr r="K122" s="1"/>
      </tp>
      <tp>
        <v>0.1</v>
        <stp/>
        <stp>P</stp>
        <stp>0</stp>
        <stp>STK</stp>
        <stp>N104700</stp>
        <stp>등락률</stp>
        <stp/>
        <stp/>
        <tr r="K332" s="3"/>
        <tr r="K565" s="1"/>
      </tp>
      <tp>
        <v>6.03</v>
        <stp/>
        <stp>P</stp>
        <stp>0</stp>
        <stp>STK</stp>
        <stp>N004700</stp>
        <stp>등락률</stp>
        <stp/>
        <stp/>
        <tr r="K497" s="1"/>
        <tr r="K306" s="3"/>
      </tp>
      <tp>
        <v>1.34</v>
        <stp/>
        <stp>P</stp>
        <stp>0</stp>
        <stp>STK</stp>
        <stp>N004690</stp>
        <stp>등락률</stp>
        <stp/>
        <stp/>
        <tr r="K291" s="3"/>
        <tr r="K465" s="1"/>
      </tp>
      <tp>
        <v>0.31</v>
        <stp/>
        <stp>P</stp>
        <stp>0</stp>
        <stp>STK</stp>
        <stp>N004490</stp>
        <stp>등락률</stp>
        <stp/>
        <stp/>
        <tr r="K235" s="3"/>
        <tr r="K330" s="1"/>
      </tp>
      <tp>
        <v>2.6</v>
        <stp/>
        <stp>P</stp>
        <stp>0</stp>
        <stp>STK</stp>
        <stp>N004990</stp>
        <stp>등락률</stp>
        <stp/>
        <stp/>
        <tr r="K150" s="1"/>
        <tr r="K131" s="3"/>
      </tp>
      <tp>
        <v>0.96</v>
        <stp/>
        <stp>P</stp>
        <stp>0</stp>
        <stp>STK</stp>
        <stp>N004980</stp>
        <stp>등락률</stp>
        <stp/>
        <stp/>
        <tr r="K380" s="3"/>
        <tr r="K689" s="1"/>
      </tp>
      <tp>
        <v>0.66</v>
        <stp/>
        <stp>P</stp>
        <stp>0</stp>
        <stp>STK</stp>
        <stp>N004800</stp>
        <stp>등락률</stp>
        <stp/>
        <stp/>
        <tr r="K174" s="1"/>
        <tr r="K148" s="3"/>
      </tp>
      <tp>
        <v>-2.98</v>
        <stp/>
        <stp>P</stp>
        <stp>0</stp>
        <stp>STK</stp>
        <stp>N104830</stp>
        <stp>등락률</stp>
        <stp/>
        <stp/>
        <tr r="K504" s="1"/>
      </tp>
      <tp>
        <v>0.76</v>
        <stp/>
        <stp>P</stp>
        <stp>0</stp>
        <stp>STK</stp>
        <stp>N005380</stp>
        <stp>등락률</stp>
        <stp/>
        <stp/>
        <tr r="K8" s="3"/>
        <tr r="K8" s="1"/>
      </tp>
      <tp>
        <v>0</v>
        <stp/>
        <stp>P</stp>
        <stp>0</stp>
        <stp>STK</stp>
        <stp>N005300</stp>
        <stp>등락률</stp>
        <stp/>
        <stp/>
        <tr r="K281" s="1"/>
        <tr r="K210" s="3"/>
      </tp>
      <tp>
        <v>-0.49</v>
        <stp/>
        <stp>P</stp>
        <stp>0</stp>
        <stp>STK</stp>
        <stp>N005290</stp>
        <stp>등락률</stp>
        <stp/>
        <stp/>
        <tr r="K201" s="1"/>
      </tp>
      <tp>
        <v>0.27</v>
        <stp/>
        <stp>P</stp>
        <stp>0</stp>
        <stp>STK</stp>
        <stp>N005250</stp>
        <stp>등락률</stp>
        <stp/>
        <stp/>
        <tr r="K389" s="1"/>
        <tr r="K263" s="3"/>
      </tp>
      <tp>
        <v>0.13</v>
        <stp/>
        <stp>P</stp>
        <stp>0</stp>
        <stp>STK</stp>
        <stp>N005180</stp>
        <stp>등락률</stp>
        <stp/>
        <stp/>
        <tr r="K378" s="1"/>
        <tr r="K257" s="3"/>
      </tp>
      <tp>
        <v>0</v>
        <stp/>
        <stp>P</stp>
        <stp>0</stp>
        <stp>STK</stp>
        <stp>N005090</stp>
        <stp>등락률</stp>
        <stp/>
        <stp/>
        <tr r="K353" s="3"/>
        <tr r="K623" s="1"/>
      </tp>
      <tp>
        <v>5.22</v>
        <stp/>
        <stp>P</stp>
        <stp>0</stp>
        <stp>STK</stp>
        <stp>N005070</stp>
        <stp>등락률</stp>
        <stp/>
        <stp/>
        <tr r="K195" s="3"/>
        <tr r="K252" s="1"/>
      </tp>
      <tp>
        <v>0.85</v>
        <stp/>
        <stp>P</stp>
        <stp>0</stp>
        <stp>STK</stp>
        <stp>N005710</stp>
        <stp>등락률</stp>
        <stp/>
        <stp/>
        <tr r="K656" s="1"/>
      </tp>
      <tp>
        <v>3.1</v>
        <stp/>
        <stp>P</stp>
        <stp>0</stp>
        <stp>STK</stp>
        <stp>N005690</stp>
        <stp>등락률</stp>
        <stp/>
        <stp/>
        <tr r="K246" s="3"/>
        <tr r="K358" s="1"/>
      </tp>
      <tp>
        <v>-0.2</v>
        <stp/>
        <stp>P</stp>
        <stp>0</stp>
        <stp>STK</stp>
        <stp>N005610</stp>
        <stp>등락률</stp>
        <stp/>
        <stp/>
        <tr r="K313" s="3"/>
        <tr r="K511" s="1"/>
      </tp>
      <tp>
        <v>0</v>
        <stp/>
        <stp>P</stp>
        <stp>0</stp>
        <stp>STK</stp>
        <stp>N105630</stp>
        <stp>등락률</stp>
        <stp/>
        <stp/>
        <tr r="K280" s="3"/>
        <tr r="K441" s="1"/>
      </tp>
      <tp>
        <v>-0.1</v>
        <stp/>
        <stp>P</stp>
        <stp>0</stp>
        <stp>STK</stp>
        <stp>N005500</stp>
        <stp>등락률</stp>
        <stp/>
        <stp/>
        <tr r="K371" s="3"/>
        <tr r="K666" s="1"/>
      </tp>
      <tp>
        <v>-0.45</v>
        <stp/>
        <stp>P</stp>
        <stp>0</stp>
        <stp>STK</stp>
        <stp>N105560</stp>
        <stp>등락률</stp>
        <stp/>
        <stp/>
        <tr r="K16" s="3"/>
        <tr r="K16" s="1"/>
      </tp>
      <tp>
        <v>6.68</v>
        <stp/>
        <stp>P</stp>
        <stp>0</stp>
        <stp>STK</stp>
        <stp>N005490</stp>
        <stp>등락률</stp>
        <stp/>
        <stp/>
        <tr r="K29" s="3"/>
        <tr r="K28" s="1"/>
      </tp>
      <tp>
        <v>3.25</v>
        <stp/>
        <stp>P</stp>
        <stp>0</stp>
        <stp>STK</stp>
        <stp>N005420</stp>
        <stp>등락률</stp>
        <stp/>
        <stp/>
        <tr r="K276" s="3"/>
        <tr r="K443" s="1"/>
      </tp>
      <tp>
        <v>1.89</v>
        <stp/>
        <stp>P</stp>
        <stp>0</stp>
        <stp>STK</stp>
        <stp>N005440</stp>
        <stp>등락률</stp>
        <stp/>
        <stp/>
        <tr r="K265" s="1"/>
        <tr r="K204" s="3"/>
      </tp>
      <tp>
        <v>0.72</v>
        <stp/>
        <stp>P</stp>
        <stp>0</stp>
        <stp>STK</stp>
        <stp>N005930</stp>
        <stp>등락률</stp>
        <stp/>
        <stp/>
        <tr r="K6" s="3"/>
        <tr r="K6" s="1"/>
      </tp>
      <tp>
        <v>3.28</v>
        <stp/>
        <stp>P</stp>
        <stp>0</stp>
        <stp>STK</stp>
        <stp>N005940</stp>
        <stp>등락률</stp>
        <stp/>
        <stp/>
        <tr r="K80" s="3"/>
        <tr r="K85" s="1"/>
      </tp>
      <tp>
        <v>0.91</v>
        <stp/>
        <stp>P</stp>
        <stp>0</stp>
        <stp>STK</stp>
        <stp>N005810</stp>
        <stp>등락률</stp>
        <stp/>
        <stp/>
        <tr r="K284" s="3"/>
        <tr r="K446" s="1"/>
      </tp>
      <tp>
        <v>-0.08</v>
        <stp/>
        <stp>P</stp>
        <stp>0</stp>
        <stp>STK</stp>
        <stp>N005830</stp>
        <stp>등락률</stp>
        <stp/>
        <stp/>
        <tr r="K75" s="1"/>
        <tr r="K70" s="3"/>
      </tp>
      <tp>
        <v>-3.24</v>
        <stp/>
        <stp>P</stp>
        <stp>0</stp>
        <stp>STK</stp>
        <stp>N005850</stp>
        <stp>등락률</stp>
        <stp/>
        <stp/>
        <tr r="K135" s="3"/>
        <tr r="K144" s="1"/>
      </tp>
      <tp>
        <v>0.81</v>
        <stp/>
        <stp>P</stp>
        <stp>0</stp>
        <stp>STK</stp>
        <stp>N105840</stp>
        <stp>등락률</stp>
        <stp/>
        <stp/>
        <tr r="K288" s="3"/>
        <tr r="K451" s="1"/>
      </tp>
      <tp>
        <v>3.16</v>
        <stp/>
        <stp>P</stp>
        <stp>0</stp>
        <stp>STK</stp>
        <stp>N002380</stp>
        <stp>등락률</stp>
        <stp/>
        <stp/>
        <tr r="K115" s="3"/>
        <tr r="K127" s="1"/>
      </tp>
      <tp>
        <v>-1.1200000000000001</v>
        <stp/>
        <stp>P</stp>
        <stp>0</stp>
        <stp>STK</stp>
        <stp>N402340</stp>
        <stp>등락률</stp>
        <stp/>
        <stp/>
        <tr r="K15" s="1"/>
        <tr r="K15" s="3"/>
      </tp>
      <tp>
        <v>0.05</v>
        <stp/>
        <stp>P</stp>
        <stp>0</stp>
        <stp>STK</stp>
        <stp>N002320</stp>
        <stp>등락률</stp>
        <stp/>
        <stp/>
        <tr r="K357" s="3"/>
        <tr r="K619" s="1"/>
      </tp>
      <tp>
        <v>1.39</v>
        <stp/>
        <stp>P</stp>
        <stp>0</stp>
        <stp>STK</stp>
        <stp>N002240</stp>
        <stp>등락률</stp>
        <stp/>
        <stp/>
        <tr r="K277" s="3"/>
        <tr r="K426" s="1"/>
      </tp>
      <tp>
        <v>-0.17</v>
        <stp/>
        <stp>P</stp>
        <stp>0</stp>
        <stp>STK</stp>
        <stp>N002030</stp>
        <stp>등락률</stp>
        <stp/>
        <stp/>
        <tr r="K278" s="3"/>
        <tr r="K430" s="1"/>
      </tp>
      <tp>
        <v>3.14</v>
        <stp/>
        <stp>P</stp>
        <stp>0</stp>
        <stp>STK</stp>
        <stp>N002020</stp>
        <stp>등락률</stp>
        <stp/>
        <stp/>
        <tr r="K279" s="3"/>
        <tr r="K440" s="1"/>
      </tp>
      <tp>
        <v>0.68</v>
        <stp/>
        <stp>P</stp>
        <stp>0</stp>
        <stp>STK</stp>
        <stp>N402030</stp>
        <stp>등락률</stp>
        <stp/>
        <stp/>
        <tr r="K641" s="1"/>
      </tp>
      <tp>
        <v>0.75</v>
        <stp/>
        <stp>P</stp>
        <stp>0</stp>
        <stp>STK</stp>
        <stp>N002790</stp>
        <stp>등락률</stp>
        <stp/>
        <stp/>
        <tr r="K207" s="1"/>
        <tr r="K166" s="3"/>
      </tp>
      <tp>
        <v>3.57</v>
        <stp/>
        <stp>P</stp>
        <stp>0</stp>
        <stp>STK</stp>
        <stp>N002710</stp>
        <stp>등락률</stp>
        <stp/>
        <stp/>
        <tr r="K324" s="3"/>
        <tr r="K567" s="1"/>
      </tp>
      <tp>
        <v>0.31</v>
        <stp/>
        <stp>P</stp>
        <stp>0</stp>
        <stp>STK</stp>
        <stp>N102710</stp>
        <stp>등락률</stp>
        <stp/>
        <stp/>
        <tr r="K398" s="1"/>
      </tp>
      <tp>
        <v>0.3</v>
        <stp/>
        <stp>P</stp>
        <stp>0</stp>
        <stp>STK</stp>
        <stp>N302440</stp>
        <stp>등락률</stp>
        <stp/>
        <stp/>
        <tr r="K116" s="3"/>
        <tr r="K131" s="1"/>
      </tp>
      <tp>
        <v>0.91</v>
        <stp/>
        <stp>P</stp>
        <stp>0</stp>
        <stp>STK</stp>
        <stp>N102940</stp>
        <stp>등락률</stp>
        <stp/>
        <stp/>
        <tr r="K424" s="1"/>
      </tp>
      <tp>
        <v>0</v>
        <stp/>
        <stp>P</stp>
        <stp>0</stp>
        <stp>STK</stp>
        <stp>N002960</stp>
        <stp>등락률</stp>
        <stp/>
        <stp/>
        <tr r="K442" s="1"/>
        <tr r="K281" s="3"/>
      </tp>
      <tp>
        <v>0.98</v>
        <stp/>
        <stp>P</stp>
        <stp>0</stp>
        <stp>STK</stp>
        <stp>N002810</stp>
        <stp>등락률</stp>
        <stp/>
        <stp/>
        <tr r="K616" s="1"/>
        <tr r="K354" s="3"/>
      </tp>
      <tp>
        <v>7.0000000000000007E-2</v>
        <stp/>
        <stp>P</stp>
        <stp>0</stp>
        <stp>STK</stp>
        <stp>N002840</stp>
        <stp>등락률</stp>
        <stp/>
        <stp/>
        <tr r="K261" s="3"/>
        <tr r="K392" s="1"/>
      </tp>
      <tp>
        <v>2.16</v>
        <stp/>
        <stp>P</stp>
        <stp>0</stp>
        <stp>STK</stp>
        <stp>N003380</stp>
        <stp>등락률</stp>
        <stp/>
        <stp/>
        <tr r="K276" s="1"/>
      </tp>
      <tp>
        <v>0.97</v>
        <stp/>
        <stp>P</stp>
        <stp>0</stp>
        <stp>STK</stp>
        <stp>N003300</stp>
        <stp>등락률</stp>
        <stp/>
        <stp/>
        <tr r="K489" s="1"/>
        <tr r="K303" s="3"/>
      </tp>
      <tp>
        <v>0</v>
        <stp/>
        <stp>P</stp>
        <stp>0</stp>
        <stp>STK</stp>
        <stp>N003200</stp>
        <stp>등락률</stp>
        <stp/>
        <stp/>
        <tr r="K618" s="1"/>
        <tr r="K358" s="3"/>
      </tp>
      <tp>
        <v>1.62</v>
        <stp/>
        <stp>P</stp>
        <stp>0</stp>
        <stp>STK</stp>
        <stp>N003230</stp>
        <stp>등락률</stp>
        <stp/>
        <stp/>
        <tr r="K71" s="3"/>
        <tr r="K77" s="1"/>
      </tp>
      <tp>
        <v>0.79</v>
        <stp/>
        <stp>P</stp>
        <stp>0</stp>
        <stp>STK</stp>
        <stp>N003220</stp>
        <stp>등락률</stp>
        <stp/>
        <stp/>
        <tr r="K370" s="3"/>
        <tr r="K667" s="1"/>
      </tp>
      <tp>
        <v>3.29</v>
        <stp/>
        <stp>P</stp>
        <stp>0</stp>
        <stp>STK</stp>
        <stp>N003240</stp>
        <stp>등락률</stp>
        <stp/>
        <stp/>
        <tr r="K341" s="1"/>
        <tr r="K239" s="3"/>
      </tp>
      <tp>
        <v>2.4300000000000002</v>
        <stp/>
        <stp>P</stp>
        <stp>0</stp>
        <stp>STK</stp>
        <stp>N003120</stp>
        <stp>등락률</stp>
        <stp/>
        <stp/>
        <tr r="K630" s="1"/>
        <tr r="K363" s="3"/>
      </tp>
      <tp>
        <v>0.67</v>
        <stp/>
        <stp>P</stp>
        <stp>0</stp>
        <stp>STK</stp>
        <stp>N103140</stp>
        <stp>등락률</stp>
        <stp/>
        <stp/>
        <tr r="K124" s="3"/>
        <tr r="K141" s="1"/>
      </tp>
      <tp>
        <v>-2.09</v>
        <stp/>
        <stp>P</stp>
        <stp>0</stp>
        <stp>STK</stp>
        <stp>N003160</stp>
        <stp>등락률</stp>
        <stp/>
        <stp/>
        <tr r="K342" s="1"/>
        <tr r="K242" s="3"/>
      </tp>
      <tp>
        <v>0.45</v>
        <stp/>
        <stp>P</stp>
        <stp>0</stp>
        <stp>STK</stp>
        <stp>N003090</stp>
        <stp>등락률</stp>
        <stp/>
        <stp/>
        <tr r="K269" s="1"/>
        <tr r="K206" s="3"/>
      </tp>
      <tp>
        <v>0.46</v>
        <stp/>
        <stp>P</stp>
        <stp>0</stp>
        <stp>STK</stp>
        <stp>N003030</stp>
        <stp>등락률</stp>
        <stp/>
        <stp/>
        <tr r="K285" s="3"/>
        <tr r="K466" s="1"/>
      </tp>
      <tp>
        <v>0</v>
        <stp/>
        <stp>P</stp>
        <stp>0</stp>
        <stp>STK</stp>
        <stp>N003690</stp>
        <stp>등락률</stp>
        <stp/>
        <stp/>
        <tr r="K162" s="3"/>
        <tr r="K196" s="1"/>
      </tp>
      <tp>
        <v>-0.69</v>
        <stp/>
        <stp>P</stp>
        <stp>0</stp>
        <stp>STK</stp>
        <stp>N003670</stp>
        <stp>등락률</stp>
        <stp/>
        <stp/>
        <tr r="K46" s="1"/>
        <tr r="K43" s="3"/>
      </tp>
      <tp>
        <v>-0.98</v>
        <stp/>
        <stp>P</stp>
        <stp>0</stp>
        <stp>STK</stp>
        <stp>N103590</stp>
        <stp>등락률</stp>
        <stp/>
        <stp/>
        <tr r="K154" s="1"/>
        <tr r="K134" s="3"/>
      </tp>
      <tp>
        <v>0</v>
        <stp/>
        <stp>P</stp>
        <stp>0</stp>
        <stp>STK</stp>
        <stp>N403550</stp>
        <stp>등락률</stp>
        <stp/>
        <stp/>
        <tr r="K537" s="1"/>
        <tr r="K322" s="3"/>
      </tp>
      <tp>
        <v>0.34</v>
        <stp/>
        <stp>P</stp>
        <stp>0</stp>
        <stp>STK</stp>
        <stp>N003550</stp>
        <stp>등락률</stp>
        <stp/>
        <stp/>
        <tr r="K62" s="1"/>
        <tr r="K58" s="3"/>
      </tp>
      <tp>
        <v>2.36</v>
        <stp/>
        <stp>P</stp>
        <stp>0</stp>
        <stp>STK</stp>
        <stp>N003540</stp>
        <stp>등락률</stp>
        <stp/>
        <stp/>
        <tr r="K259" s="1"/>
        <tr r="K200" s="3"/>
      </tp>
      <tp>
        <v>0.7</v>
        <stp/>
        <stp>P</stp>
        <stp>0</stp>
        <stp>STK</stp>
        <stp>N003570</stp>
        <stp>등락률</stp>
        <stp/>
        <stp/>
        <tr r="K186" s="3"/>
        <tr r="K234" s="1"/>
      </tp>
      <tp>
        <v>0.21</v>
        <stp/>
        <stp>P</stp>
        <stp>0</stp>
        <stp>STK</stp>
        <stp>N003490</stp>
        <stp>등락률</stp>
        <stp/>
        <stp/>
        <tr r="K79" s="1"/>
        <tr r="K73" s="3"/>
      </tp>
      <tp>
        <v>0.7</v>
        <stp/>
        <stp>P</stp>
        <stp>0</stp>
        <stp>STK</stp>
        <stp>N003920</stp>
        <stp>등락률</stp>
        <stp/>
        <stp/>
        <tr r="K617" s="1"/>
        <tr r="K355" s="3"/>
      </tp>
      <tp>
        <v>0.42</v>
        <stp/>
        <stp>P</stp>
        <stp>0</stp>
        <stp>STK</stp>
        <stp>N003960</stp>
        <stp>등락률</stp>
        <stp/>
        <stp/>
        <tr r="K598" s="1"/>
        <tr r="K346" s="3"/>
      </tp>
      <tp>
        <v>0.63</v>
        <stp/>
        <stp>P</stp>
        <stp>0</stp>
        <stp>STK</stp>
        <stp>N403850</stp>
        <stp>등락률</stp>
        <stp/>
        <stp/>
        <tr r="K578" s="1"/>
      </tp>
      <tp>
        <v>0</v>
        <stp/>
        <stp>P</stp>
        <stp>0</stp>
        <stp>STK</stp>
        <stp>N403870</stp>
        <stp>등락률</stp>
        <stp/>
        <stp/>
        <tr r="K157" s="1"/>
      </tp>
      <tp>
        <v>0.34</v>
        <stp/>
        <stp>P</stp>
        <stp>0</stp>
        <stp>STK</stp>
        <stp>N003850</stp>
        <stp>등락률</stp>
        <stp/>
        <stp/>
        <tr r="K254" s="3"/>
        <tr r="K366" s="1"/>
      </tp>
      <tp>
        <v>4.1900000000000004</v>
        <stp/>
        <stp>P</stp>
        <stp>0</stp>
        <stp>STK</stp>
        <stp>N000320</stp>
        <stp>등락률</stp>
        <stp/>
        <stp/>
        <tr r="K654" s="1"/>
        <tr r="K365" s="3"/>
      </tp>
      <tp>
        <v>1.37</v>
        <stp/>
        <stp>P</stp>
        <stp>0</stp>
        <stp>STK</stp>
        <stp>N000210</stp>
        <stp>등락률</stp>
        <stp/>
        <stp/>
        <tr r="K250" s="3"/>
        <tr r="K365" s="1"/>
      </tp>
      <tp>
        <v>7.27</v>
        <stp/>
        <stp>P</stp>
        <stp>0</stp>
        <stp>STK</stp>
        <stp>N000250</stp>
        <stp>등락률</stp>
        <stp/>
        <stp/>
        <tr r="K97" s="1"/>
      </tp>
      <tp>
        <v>-0.18</v>
        <stp/>
        <stp>P</stp>
        <stp>0</stp>
        <stp>STK</stp>
        <stp>N000240</stp>
        <stp>등락률</stp>
        <stp/>
        <stp/>
        <tr r="K171" s="1"/>
        <tr r="K145" s="3"/>
      </tp>
      <tp>
        <v>-1.52</v>
        <stp/>
        <stp>P</stp>
        <stp>0</stp>
        <stp>STK</stp>
        <stp>N000270</stp>
        <stp>등락률</stp>
        <stp/>
        <stp/>
        <tr r="K11" s="1"/>
        <tr r="K12" s="3"/>
      </tp>
      <tp>
        <v>0.56999999999999995</v>
        <stp/>
        <stp>P</stp>
        <stp>0</stp>
        <stp>STK</stp>
        <stp>N200130</stp>
        <stp>등락률</stp>
        <stp/>
        <stp/>
        <tr r="K562" s="1"/>
      </tp>
      <tp>
        <v>1.05</v>
        <stp/>
        <stp>P</stp>
        <stp>0</stp>
        <stp>STK</stp>
        <stp>N000100</stp>
        <stp>등락률</stp>
        <stp/>
        <stp/>
        <tr r="K84" s="1"/>
        <tr r="K78" s="3"/>
      </tp>
      <tp>
        <v>-0.2</v>
        <stp/>
        <stp>P</stp>
        <stp>0</stp>
        <stp>STK</stp>
        <stp>N000120</stp>
        <stp>등락률</stp>
        <stp/>
        <stp/>
        <tr r="K159" s="3"/>
        <tr r="K194" s="1"/>
      </tp>
      <tp>
        <v>0.78</v>
        <stp/>
        <stp>P</stp>
        <stp>0</stp>
        <stp>STK</stp>
        <stp>N000150</stp>
        <stp>등락률</stp>
        <stp/>
        <stp/>
        <tr r="K56" s="3"/>
        <tr r="K61" s="1"/>
      </tp>
      <tp>
        <v>-0.17</v>
        <stp/>
        <stp>P</stp>
        <stp>0</stp>
        <stp>STK</stp>
        <stp>N000080</stp>
        <stp>등락률</stp>
        <stp/>
        <stp/>
        <tr r="K208" s="3"/>
        <tr r="K274" s="1"/>
      </tp>
      <tp>
        <v>1.62</v>
        <stp/>
        <stp>P</stp>
        <stp>0</stp>
        <stp>STK</stp>
        <stp>N100090</stp>
        <stp>등락률</stp>
        <stp/>
        <stp/>
        <tr r="K212" s="3"/>
        <tr r="K282" s="1"/>
      </tp>
      <tp>
        <v>2.78</v>
        <stp/>
        <stp>P</stp>
        <stp>0</stp>
        <stp>STK</stp>
        <stp>N300080</stp>
        <stp>등락률</stp>
        <stp/>
        <stp/>
        <tr r="K662" s="1"/>
      </tp>
      <tp>
        <v>0.68</v>
        <stp/>
        <stp>P</stp>
        <stp>0</stp>
        <stp>STK</stp>
        <stp>N000070</stp>
        <stp>등락률</stp>
        <stp/>
        <stp/>
        <tr r="K311" s="3"/>
        <tr r="K502" s="1"/>
      </tp>
      <tp>
        <v>3.97</v>
        <stp/>
        <stp>P</stp>
        <stp>0</stp>
        <stp>STK</stp>
        <stp>N100790</stp>
        <stp>등락률</stp>
        <stp/>
        <stp/>
        <tr r="K390" s="1"/>
      </tp>
      <tp>
        <v>0.24</v>
        <stp/>
        <stp>P</stp>
        <stp>0</stp>
        <stp>STK</stp>
        <stp>N300720</stp>
        <stp>등락률</stp>
        <stp/>
        <stp/>
        <tr r="K279" s="1"/>
        <tr r="K211" s="3"/>
      </tp>
      <tp>
        <v>-0.88</v>
        <stp/>
        <stp>P</stp>
        <stp>0</stp>
        <stp>STK</stp>
        <stp>N200710</stp>
        <stp>등락률</stp>
        <stp/>
        <stp/>
        <tr r="K491" s="1"/>
      </tp>
      <tp>
        <v>4.04</v>
        <stp/>
        <stp>P</stp>
        <stp>0</stp>
        <stp>STK</stp>
        <stp>N000720</stp>
        <stp>등락률</stp>
        <stp/>
        <stp/>
        <tr r="K65" s="1"/>
        <tr r="K63" s="3"/>
      </tp>
      <tp>
        <v>14.35</v>
        <stp/>
        <stp>P</stp>
        <stp>0</stp>
        <stp>STK</stp>
        <stp>N0007C0</stp>
        <stp>등락률</stp>
        <stp/>
        <stp/>
        <tr r="K685" s="1"/>
      </tp>
      <tp>
        <v>0.36</v>
        <stp/>
        <stp>P</stp>
        <stp>0</stp>
        <stp>STK</stp>
        <stp>N200670</stp>
        <stp>등락률</stp>
        <stp/>
        <stp/>
        <tr r="K507" s="1"/>
      </tp>
      <tp>
        <v>-0.48</v>
        <stp/>
        <stp>P</stp>
        <stp>0</stp>
        <stp>STK</stp>
        <stp>N000640</stp>
        <stp>등락률</stp>
        <stp/>
        <stp/>
        <tr r="K394" s="1"/>
        <tr r="K264" s="3"/>
      </tp>
      <tp>
        <v>0.74</v>
        <stp/>
        <stp>P</stp>
        <stp>0</stp>
        <stp>STK</stp>
        <stp>N000670</stp>
        <stp>등락률</stp>
        <stp/>
        <stp/>
        <tr r="K231" s="3"/>
        <tr r="K321" s="1"/>
      </tp>
      <tp>
        <v>-0.66</v>
        <stp/>
        <stp>P</stp>
        <stp>0</stp>
        <stp>STK</stp>
        <stp>N000660</stp>
        <stp>등락률</stp>
        <stp/>
        <stp/>
        <tr r="K7" s="1"/>
        <tr r="K7" s="3"/>
      </tp>
      <tp>
        <v>0.23</v>
        <stp/>
        <stp>P</stp>
        <stp>0</stp>
        <stp>STK</stp>
        <stp>N000500</stp>
        <stp>등락률</stp>
        <stp/>
        <stp/>
        <tr r="K196" s="3"/>
        <tr r="K249" s="1"/>
      </tp>
      <tp>
        <v>2.92</v>
        <stp/>
        <stp>P</stp>
        <stp>0</stp>
        <stp>STK</stp>
        <stp>N000490</stp>
        <stp>등락률</stp>
        <stp/>
        <stp/>
        <tr r="K360" s="3"/>
        <tr r="K628" s="1"/>
      </tp>
      <tp>
        <v>-0.97</v>
        <stp/>
        <stp>P</stp>
        <stp>0</stp>
        <stp>STK</stp>
        <stp>N000990</stp>
        <stp>등락률</stp>
        <stp/>
        <stp/>
        <tr r="K125" s="1"/>
        <tr r="K113" s="3"/>
      </tp>
      <tp>
        <v>0</v>
        <stp/>
        <stp>P</stp>
        <stp>0</stp>
        <stp>STK</stp>
        <stp>N0009K0</stp>
        <stp>등락률</stp>
        <stp/>
        <stp/>
        <tr r="K143" s="1"/>
      </tp>
      <tp>
        <v>2.52</v>
        <stp/>
        <stp>P</stp>
        <stp>0</stp>
        <stp>STK</stp>
        <stp>N000880</stp>
        <stp>등락률</stp>
        <stp/>
        <stp/>
        <tr r="K76" s="1"/>
        <tr r="K74" s="3"/>
      </tp>
      <tp>
        <v>-1.41</v>
        <stp/>
        <stp>P</stp>
        <stp>0</stp>
        <stp>STK</stp>
        <stp>N200880</stp>
        <stp>등락률</stp>
        <stp/>
        <stp/>
        <tr r="K317" s="3"/>
        <tr r="K503" s="1"/>
      </tp>
      <tp>
        <v>-0.31</v>
        <stp/>
        <stp>P</stp>
        <stp>0</stp>
        <stp>STK</stp>
        <stp>N000810</stp>
        <stp>등락률</stp>
        <stp/>
        <stp/>
        <tr r="K35" s="3"/>
        <tr r="K35" s="1"/>
      </tp>
      <tp>
        <v>-0.38</v>
        <stp/>
        <stp>P</stp>
        <stp>0</stp>
        <stp>STK</stp>
        <stp>N100840</stp>
        <stp>등락률</stp>
        <stp/>
        <stp/>
        <tr r="K245" s="3"/>
        <tr r="K347" s="1"/>
      </tp>
      <tp>
        <v>0.61</v>
        <stp/>
        <stp>P</stp>
        <stp>0</stp>
        <stp>STK</stp>
        <stp>N0008Z0</stp>
        <stp>등락률</stp>
        <stp/>
        <stp/>
        <tr r="K610" s="1"/>
      </tp>
      <tp>
        <v>2.35</v>
        <stp/>
        <stp>P</stp>
        <stp>0</stp>
        <stp>STK</stp>
        <stp>N101360</stp>
        <stp>등락률</stp>
        <stp/>
        <stp/>
        <tr r="K597" s="1"/>
      </tp>
      <tp>
        <v>11.52</v>
        <stp/>
        <stp>P</stp>
        <stp>0</stp>
        <stp>STK</stp>
        <stp>N001270</stp>
        <stp>등락률</stp>
        <stp/>
        <stp/>
        <tr r="K274" s="3"/>
        <tr r="K412" s="1"/>
      </tp>
      <tp>
        <v>0.99</v>
        <stp/>
        <stp>P</stp>
        <stp>0</stp>
        <stp>STK</stp>
        <stp>N001130</stp>
        <stp>등락률</stp>
        <stp/>
        <stp/>
        <tr r="K375" s="3"/>
        <tr r="K680" s="1"/>
      </tp>
      <tp>
        <v>0</v>
        <stp/>
        <stp>P</stp>
        <stp>0</stp>
        <stp>STK</stp>
        <stp>N001120</stp>
        <stp>등락률</stp>
        <stp/>
        <stp/>
        <tr r="K201" s="3"/>
        <tr r="K257" s="1"/>
      </tp>
      <tp>
        <v>-0.66</v>
        <stp/>
        <stp>P</stp>
        <stp>0</stp>
        <stp>STK</stp>
        <stp>N101160</stp>
        <stp>등락률</stp>
        <stp/>
        <stp/>
        <tr r="K558" s="1"/>
      </tp>
      <tp>
        <v>1.28</v>
        <stp/>
        <stp>P</stp>
        <stp>0</stp>
        <stp>STK</stp>
        <stp>N001040</stp>
        <stp>등락률</stp>
        <stp/>
        <stp/>
        <tr r="K102" s="1"/>
        <tr r="K96" s="3"/>
      </tp>
      <tp>
        <v>1.0900000000000001</v>
        <stp/>
        <stp>P</stp>
        <stp>0</stp>
        <stp>STK</stp>
        <stp>N001060</stp>
        <stp>등락률</stp>
        <stp/>
        <stp/>
        <tr r="K407" s="1"/>
        <tr r="K271" s="3"/>
      </tp>
      <tp>
        <v>7.23</v>
        <stp/>
        <stp>P</stp>
        <stp>0</stp>
        <stp>STK</stp>
        <stp>N001720</stp>
        <stp>등락률</stp>
        <stp/>
        <stp/>
        <tr r="K181" s="1"/>
        <tr r="K155" s="3"/>
      </tp>
      <tp>
        <v>0</v>
        <stp/>
        <stp>P</stp>
        <stp>0</stp>
        <stp>STK</stp>
        <stp>N101730</stp>
        <stp>등락률</stp>
        <stp/>
        <stp/>
        <tr r="K472" s="1"/>
      </tp>
      <tp>
        <v>0.7</v>
        <stp/>
        <stp>P</stp>
        <stp>0</stp>
        <stp>STK</stp>
        <stp>N001750</stp>
        <stp>등락률</stp>
        <stp/>
        <stp/>
        <tr r="K377" s="3"/>
        <tr r="K682" s="1"/>
      </tp>
      <tp>
        <v>0.69</v>
        <stp/>
        <stp>P</stp>
        <stp>0</stp>
        <stp>STK</stp>
        <stp>N001680</stp>
        <stp>등락률</stp>
        <stp/>
        <stp/>
        <tr r="K253" s="3"/>
        <tr r="K371" s="1"/>
      </tp>
      <tp>
        <v>0.43</v>
        <stp/>
        <stp>P</stp>
        <stp>0</stp>
        <stp>STK</stp>
        <stp>N001630</stp>
        <stp>등락률</stp>
        <stp/>
        <stp/>
        <tr r="K376" s="3"/>
        <tr r="K681" s="1"/>
      </tp>
      <tp>
        <v>0.81</v>
        <stp/>
        <stp>P</stp>
        <stp>0</stp>
        <stp>STK</stp>
        <stp>N001500</stp>
        <stp>등락률</stp>
        <stp/>
        <stp/>
        <tr r="K459" s="1"/>
        <tr r="K289" s="3"/>
      </tp>
      <tp>
        <v>-0.3</v>
        <stp/>
        <stp>P</stp>
        <stp>0</stp>
        <stp>STK</stp>
        <stp>N001530</stp>
        <stp>등락률</stp>
        <stp/>
        <stp/>
        <tr r="K325" s="3"/>
        <tr r="K546" s="1"/>
      </tp>
      <tp>
        <v>0</v>
        <stp/>
        <stp>P</stp>
        <stp>0</stp>
        <stp>STK</stp>
        <stp>N101490</stp>
        <stp>등락률</stp>
        <stp/>
        <stp/>
        <tr r="K254" s="1"/>
      </tp>
      <tp>
        <v>1.5</v>
        <stp/>
        <stp>P</stp>
        <stp>0</stp>
        <stp>STK</stp>
        <stp>N001430</stp>
        <stp>등락률</stp>
        <stp/>
        <stp/>
        <tr r="K141" s="3"/>
        <tr r="K163" s="1"/>
      </tp>
      <tp>
        <v>0</v>
        <stp/>
        <stp>P</stp>
        <stp>0</stp>
        <stp>STK</stp>
        <stp>N001450</stp>
        <stp>등락률</stp>
        <stp/>
        <stp/>
        <tr r="K180" s="1"/>
        <tr r="K151" s="3"/>
      </tp>
      <tp>
        <v>-2.13</v>
        <stp/>
        <stp>P</stp>
        <stp>0</stp>
        <stp>STK</stp>
        <stp>N001440</stp>
        <stp>등락률</stp>
        <stp/>
        <stp/>
        <tr r="K97" s="3"/>
        <tr r="K107" s="1"/>
      </tp>
      <tp>
        <v>0.24</v>
        <stp/>
        <stp>P</stp>
        <stp>0</stp>
        <stp>STK</stp>
        <stp>N001460</stp>
        <stp>등락률</stp>
        <stp/>
        <stp/>
        <tr r="K366" s="3"/>
        <tr r="K657" s="1"/>
      </tp>
      <tp>
        <v>1.36</v>
        <stp/>
        <stp>P</stp>
        <stp>0</stp>
        <stp>STK</stp>
        <stp>N101930</stp>
        <stp>등락률</stp>
        <stp/>
        <stp/>
        <tr r="K522" s="1"/>
      </tp>
      <tp>
        <v>0.19</v>
        <stp/>
        <stp>P</stp>
        <stp>0</stp>
        <stp>STK</stp>
        <stp>N001940</stp>
        <stp>등락률</stp>
        <stp/>
        <stp/>
        <tr r="K328" s="3"/>
        <tr r="K551" s="1"/>
      </tp>
      <tp>
        <v>-0.24</v>
        <stp/>
        <stp>P</stp>
        <stp>0</stp>
        <stp>STK</stp>
        <stp>N001800</stp>
        <stp>등락률</stp>
        <stp/>
        <stp/>
        <tr r="K205" s="3"/>
        <tr r="K267" s="1"/>
      </tp>
      <tp>
        <v>0</v>
        <stp/>
        <stp>P</stp>
        <stp>0</stp>
        <stp>STK</stp>
        <stp>N001820</stp>
        <stp>등락률</stp>
        <stp/>
        <stp/>
        <tr r="K595" s="1"/>
        <tr r="K344" s="3"/>
      </tp>
      <tp>
        <v>-0.47</v>
        <stp/>
        <stp>P</stp>
        <stp>0</stp>
        <stp>STK</stp>
        <stp>N018310</stp>
        <stp>등락률</stp>
        <stp/>
        <stp/>
        <tr r="K644" s="1"/>
      </tp>
      <tp>
        <v>1.5</v>
        <stp/>
        <stp>P</stp>
        <stp>0</stp>
        <stp>STK</stp>
        <stp>N018290</stp>
        <stp>등락률</stp>
        <stp/>
        <stp/>
        <tr r="K439" s="1"/>
      </tp>
      <tp>
        <v>0</v>
        <stp/>
        <stp>P</stp>
        <stp>0</stp>
        <stp>STK</stp>
        <stp>N018250</stp>
        <stp>등락률</stp>
        <stp/>
        <stp/>
        <tr r="K590" s="1"/>
        <tr r="K343" s="3"/>
      </tp>
      <tp>
        <v>0.89</v>
        <stp/>
        <stp>P</stp>
        <stp>0</stp>
        <stp>STK</stp>
        <stp>N018260</stp>
        <stp>등락률</stp>
        <stp/>
        <stp/>
        <tr r="K59" s="3"/>
        <tr r="K60" s="1"/>
      </tp>
      <tp>
        <v>0.88</v>
        <stp/>
        <stp>P</stp>
        <stp>0</stp>
        <stp>STK</stp>
        <stp>N018670</stp>
        <stp>등락률</stp>
        <stp/>
        <stp/>
        <tr r="K206" s="1"/>
        <tr r="K167" s="3"/>
      </tp>
      <tp>
        <v>-1.3</v>
        <stp/>
        <stp>P</stp>
        <stp>0</stp>
        <stp>STK</stp>
        <stp>N218410</stp>
        <stp>등락률</stp>
        <stp/>
        <stp/>
        <tr r="K324" s="1"/>
      </tp>
      <tp>
        <v>-1.76</v>
        <stp/>
        <stp>P</stp>
        <stp>0</stp>
        <stp>STK</stp>
        <stp>N018880</stp>
        <stp>등락률</stp>
        <stp/>
        <stp/>
        <tr r="K122" s="3"/>
        <tr r="K142" s="1"/>
      </tp>
      <tp>
        <v>0</v>
        <stp/>
        <stp>P</stp>
        <stp>0</stp>
        <stp>STK</stp>
        <stp>N019170</stp>
        <stp>등락률</stp>
        <stp/>
        <stp/>
        <tr r="K269" s="3"/>
        <tr r="K408" s="1"/>
      </tp>
      <tp>
        <v>-1.64</v>
        <stp/>
        <stp>P</stp>
        <stp>0</stp>
        <stp>STK</stp>
        <stp>N319660</stp>
        <stp>등락률</stp>
        <stp/>
        <stp/>
        <tr r="K284" s="1"/>
      </tp>
      <tp>
        <v>0.13</v>
        <stp/>
        <stp>P</stp>
        <stp>0</stp>
        <stp>STK</stp>
        <stp>N419530</stp>
        <stp>등락률</stp>
        <stp/>
        <stp/>
        <tr r="K577" s="1"/>
      </tp>
      <tp>
        <v>0</v>
        <stp/>
        <stp>P</stp>
        <stp>0</stp>
        <stp>STK</stp>
        <stp>N119850</stp>
        <stp>등락률</stp>
        <stp/>
        <stp/>
        <tr r="K432" s="1"/>
      </tp>
      <tp>
        <v>2.0299999999999998</v>
        <stp/>
        <stp>P</stp>
        <stp>0</stp>
        <stp>STK</stp>
        <stp>N016360</stp>
        <stp>등락률</stp>
        <stp/>
        <stp/>
        <tr r="K88" s="1"/>
        <tr r="K83" s="3"/>
      </tp>
      <tp>
        <v>1.22</v>
        <stp/>
        <stp>P</stp>
        <stp>0</stp>
        <stp>STK</stp>
        <stp>N416180</stp>
        <stp>등락률</stp>
        <stp/>
        <stp/>
        <tr r="K634" s="1"/>
      </tp>
      <tp>
        <v>0.34</v>
        <stp/>
        <stp>P</stp>
        <stp>0</stp>
        <stp>STK</stp>
        <stp>N316140</stp>
        <stp>등락률</stp>
        <stp/>
        <stp/>
        <tr r="K38" s="3"/>
        <tr r="K40" s="1"/>
      </tp>
      <tp>
        <v>2.94</v>
        <stp/>
        <stp>P</stp>
        <stp>0</stp>
        <stp>STK</stp>
        <stp>N016610</stp>
        <stp>등락률</stp>
        <stp/>
        <stp/>
        <tr r="K302" s="3"/>
        <tr r="K483" s="1"/>
      </tp>
      <tp>
        <v>0.24</v>
        <stp/>
        <stp>P</stp>
        <stp>0</stp>
        <stp>STK</stp>
        <stp>N016590</stp>
        <stp>등락률</stp>
        <stp/>
        <stp/>
        <tr r="K462" s="1"/>
        <tr r="K294" s="3"/>
      </tp>
      <tp>
        <v>1.05</v>
        <stp/>
        <stp>P</stp>
        <stp>0</stp>
        <stp>STK</stp>
        <stp>N016800</stp>
        <stp>등락률</stp>
        <stp/>
        <stp/>
        <tr r="K475" s="1"/>
        <tr r="K296" s="3"/>
      </tp>
      <tp>
        <v>0</v>
        <stp/>
        <stp>P</stp>
        <stp>0</stp>
        <stp>STK</stp>
        <stp>N017390</stp>
        <stp>등락률</stp>
        <stp/>
        <stp/>
        <tr r="K601" s="1"/>
        <tr r="K350" s="3"/>
      </tp>
      <tp>
        <v>3.65</v>
        <stp/>
        <stp>P</stp>
        <stp>0</stp>
        <stp>STK</stp>
        <stp>N317330</stp>
        <stp>등락률</stp>
        <stp/>
        <stp/>
        <tr r="K574" s="1"/>
      </tp>
      <tp>
        <v>-0.3</v>
        <stp/>
        <stp>P</stp>
        <stp>0</stp>
        <stp>STK</stp>
        <stp>N417200</stp>
        <stp>등락률</stp>
        <stp/>
        <stp/>
        <tr r="K333" s="1"/>
      </tp>
      <tp>
        <v>-2.25</v>
        <stp/>
        <stp>P</stp>
        <stp>0</stp>
        <stp>STK</stp>
        <stp>N117730</stp>
        <stp>등락률</stp>
        <stp/>
        <stp/>
        <tr r="K411" s="1"/>
      </tp>
      <tp>
        <v>2.59</v>
        <stp/>
        <stp>P</stp>
        <stp>0</stp>
        <stp>STK</stp>
        <stp>N017670</stp>
        <stp>등락률</stp>
        <stp/>
        <stp/>
        <tr r="K61" s="3"/>
        <tr r="K63" s="1"/>
      </tp>
      <tp>
        <v>0.33</v>
        <stp/>
        <stp>P</stp>
        <stp>0</stp>
        <stp>STK</stp>
        <stp>N217590</stp>
        <stp>등락률</stp>
        <stp/>
        <stp/>
        <tr r="K326" s="3"/>
        <tr r="K542" s="1"/>
      </tp>
      <tp>
        <v>0.86</v>
        <stp/>
        <stp>P</stp>
        <stp>0</stp>
        <stp>STK</stp>
        <stp>N317450</stp>
        <stp>등락률</stp>
        <stp/>
        <stp/>
        <tr r="K339" s="1"/>
        <tr r="K238" s="3"/>
      </tp>
      <tp>
        <v>0.73</v>
        <stp/>
        <stp>P</stp>
        <stp>0</stp>
        <stp>STK</stp>
        <stp>N017940</stp>
        <stp>등락률</stp>
        <stp/>
        <stp/>
        <tr r="K282" s="3"/>
        <tr r="K444" s="1"/>
      </tp>
      <tp>
        <v>2.15</v>
        <stp/>
        <stp>P</stp>
        <stp>0</stp>
        <stp>STK</stp>
        <stp>N017960</stp>
        <stp>등락률</stp>
        <stp/>
        <stp/>
        <tr r="K218" s="1"/>
        <tr r="K178" s="3"/>
      </tp>
      <tp>
        <v>0.47</v>
        <stp/>
        <stp>P</stp>
        <stp>0</stp>
        <stp>STK</stp>
        <stp>N017810</stp>
        <stp>등락률</stp>
        <stp/>
        <stp/>
        <tr r="K301" s="3"/>
        <tr r="K479" s="1"/>
      </tp>
      <tp>
        <v>0.21</v>
        <stp/>
        <stp>P</stp>
        <stp>0</stp>
        <stp>STK</stp>
        <stp>N017800</stp>
        <stp>등락률</stp>
        <stp/>
        <stp/>
        <tr r="K137" s="1"/>
        <tr r="K121" s="3"/>
      </tp>
      <tp>
        <v>0.26</v>
        <stp/>
        <stp>P</stp>
        <stp>0</stp>
        <stp>STK</stp>
        <stp>N017860</stp>
        <stp>등락률</stp>
        <stp/>
        <stp/>
        <tr r="K594" s="1"/>
        <tr r="K338" s="3"/>
      </tp>
      <tp>
        <v>0</v>
        <stp/>
        <stp>P</stp>
        <stp>0</stp>
        <stp>STK</stp>
        <stp>N214320</stp>
        <stp>등락률</stp>
        <stp/>
        <stp/>
        <tr r="K256" s="3"/>
        <tr r="K375" s="1"/>
      </tp>
      <tp>
        <v>-0.39</v>
        <stp/>
        <stp>P</stp>
        <stp>0</stp>
        <stp>STK</stp>
        <stp>N214370</stp>
        <stp>등락률</stp>
        <stp/>
        <stp/>
        <tr r="K126" s="1"/>
      </tp>
      <tp>
        <v>4.0199999999999996</v>
        <stp/>
        <stp>P</stp>
        <stp>0</stp>
        <stp>STK</stp>
        <stp>N114190</stp>
        <stp>등락률</stp>
        <stp/>
        <stp/>
        <tr r="K563" s="1"/>
      </tp>
      <tp>
        <v>1.18</v>
        <stp/>
        <stp>P</stp>
        <stp>0</stp>
        <stp>STK</stp>
        <stp>N214150</stp>
        <stp>등락률</stp>
        <stp/>
        <stp/>
        <tr r="K129" s="1"/>
      </tp>
      <tp>
        <v>0.23</v>
        <stp/>
        <stp>P</stp>
        <stp>0</stp>
        <stp>STK</stp>
        <stp>N114090</stp>
        <stp>등락률</stp>
        <stp/>
        <stp/>
        <tr r="K244" s="3"/>
        <tr r="K351" s="1"/>
      </tp>
      <tp>
        <v>2.17</v>
        <stp/>
        <stp>P</stp>
        <stp>0</stp>
        <stp>STK</stp>
        <stp>N014680</stp>
        <stp>등락률</stp>
        <stp/>
        <stp/>
        <tr r="K129" s="3"/>
        <tr r="K152" s="1"/>
      </tp>
      <tp>
        <v>1.77</v>
        <stp/>
        <stp>P</stp>
        <stp>0</stp>
        <stp>STK</stp>
        <stp>N014620</stp>
        <stp>등락률</stp>
        <stp/>
        <stp/>
        <tr r="K361" s="1"/>
      </tp>
      <tp>
        <v>-1.83</v>
        <stp/>
        <stp>P</stp>
        <stp>0</stp>
        <stp>STK</stp>
        <stp>N214430</stp>
        <stp>등락률</stp>
        <stp/>
        <stp/>
        <tr r="K414" s="1"/>
      </tp>
      <tp>
        <v>1.75</v>
        <stp/>
        <stp>P</stp>
        <stp>0</stp>
        <stp>STK</stp>
        <stp>N214450</stp>
        <stp>등락률</stp>
        <stp/>
        <stp/>
        <tr r="K117" s="1"/>
      </tp>
      <tp>
        <v>0.5</v>
        <stp/>
        <stp>P</stp>
        <stp>0</stp>
        <stp>STK</stp>
        <stp>N314930</stp>
        <stp>등락률</stp>
        <stp/>
        <stp/>
        <tr r="K573" s="1"/>
      </tp>
      <tp>
        <v>0.62</v>
        <stp/>
        <stp>P</stp>
        <stp>0</stp>
        <stp>STK</stp>
        <stp>N014940</stp>
        <stp>등락률</stp>
        <stp/>
        <stp/>
        <tr r="K550" s="1"/>
      </tp>
      <tp>
        <v>-0.34</v>
        <stp/>
        <stp>P</stp>
        <stp>0</stp>
        <stp>STK</stp>
        <stp>N114810</stp>
        <stp>등락률</stp>
        <stp/>
        <stp/>
        <tr r="K603" s="1"/>
      </tp>
      <tp>
        <v>11.19</v>
        <stp/>
        <stp>P</stp>
        <stp>0</stp>
        <stp>STK</stp>
        <stp>N014830</stp>
        <stp>등락률</stp>
        <stp/>
        <stp/>
        <tr r="K484" s="1"/>
        <tr r="K299" s="3"/>
      </tp>
      <tp>
        <v>0.74</v>
        <stp/>
        <stp>P</stp>
        <stp>0</stp>
        <stp>STK</stp>
        <stp>N014820</stp>
        <stp>등락률</stp>
        <stp/>
        <stp/>
        <tr r="K252" s="3"/>
        <tr r="K381" s="1"/>
      </tp>
      <tp>
        <v>0.65</v>
        <stp/>
        <stp>P</stp>
        <stp>0</stp>
        <stp>STK</stp>
        <stp>N114840</stp>
        <stp>등락률</stp>
        <stp/>
        <stp/>
        <tr r="K661" s="1"/>
      </tp>
      <tp>
        <v>1.38</v>
        <stp/>
        <stp>P</stp>
        <stp>0</stp>
        <stp>STK</stp>
        <stp>N015360</stp>
        <stp>등락률</stp>
        <stp/>
        <stp/>
        <tr r="K549" s="1"/>
        <tr r="K330" s="3"/>
      </tp>
      <tp>
        <v>1.1499999999999999</v>
        <stp/>
        <stp>P</stp>
        <stp>0</stp>
        <stp>STK</stp>
        <stp>N215200</stp>
        <stp>등락률</stp>
        <stp/>
        <stp/>
        <tr r="K535" s="1"/>
      </tp>
      <tp>
        <v>0.38</v>
        <stp/>
        <stp>P</stp>
        <stp>0</stp>
        <stp>STK</stp>
        <stp>N215000</stp>
        <stp>등락률</stp>
        <stp/>
        <stp/>
        <tr r="K592" s="1"/>
      </tp>
      <tp>
        <v>-0.52</v>
        <stp/>
        <stp>P</stp>
        <stp>0</stp>
        <stp>STK</stp>
        <stp>N015750</stp>
        <stp>등락률</stp>
        <stp/>
        <stp/>
        <tr r="K404" s="1"/>
      </tp>
      <tp>
        <v>-3.48</v>
        <stp/>
        <stp>P</stp>
        <stp>0</stp>
        <stp>STK</stp>
        <stp>N015760</stp>
        <stp>등락률</stp>
        <stp/>
        <stp/>
        <tr r="K21" s="1"/>
        <tr r="K20" s="3"/>
      </tp>
      <tp>
        <v>-1.43</v>
        <stp/>
        <stp>P</stp>
        <stp>0</stp>
        <stp>STK</stp>
        <stp>N012330</stp>
        <stp>등락률</stp>
        <stp/>
        <stp/>
        <tr r="K21" s="3"/>
        <tr r="K19" s="1"/>
      </tp>
      <tp>
        <v>0.19</v>
        <stp/>
        <stp>P</stp>
        <stp>0</stp>
        <stp>STK</stp>
        <stp>N112040</stp>
        <stp>등락률</stp>
        <stp/>
        <stp/>
        <tr r="K334" s="1"/>
      </tp>
      <tp>
        <v>-1.61</v>
        <stp/>
        <stp>P</stp>
        <stp>0</stp>
        <stp>STK</stp>
        <stp>N0120G0</stp>
        <stp>등락률</stp>
        <stp/>
        <stp/>
        <tr r="K433" s="1"/>
        <tr r="K275" s="3"/>
      </tp>
      <tp>
        <v>-0.76</v>
        <stp/>
        <stp>P</stp>
        <stp>0</stp>
        <stp>STK</stp>
        <stp>N012750</stp>
        <stp>등락률</stp>
        <stp/>
        <stp/>
        <tr r="K153" s="1"/>
        <tr r="K132" s="3"/>
      </tp>
      <tp>
        <v>1.62</v>
        <stp/>
        <stp>P</stp>
        <stp>0</stp>
        <stp>STK</stp>
        <stp>N112610</stp>
        <stp>등락률</stp>
        <stp/>
        <stp/>
        <tr r="K185" s="3"/>
        <tr r="K237" s="1"/>
      </tp>
      <tp>
        <v>1.8</v>
        <stp/>
        <stp>P</stp>
        <stp>0</stp>
        <stp>STK</stp>
        <stp>N012630</stp>
        <stp>등락률</stp>
        <stp/>
        <stp/>
        <tr r="K309" s="1"/>
        <tr r="K228" s="3"/>
      </tp>
      <tp>
        <v>-1.41</v>
        <stp/>
        <stp>P</stp>
        <stp>0</stp>
        <stp>STK</stp>
        <stp>N0126Z0</stp>
        <stp>등락률</stp>
        <stp/>
        <stp/>
        <tr r="K57" s="1"/>
        <tr r="K54" s="3"/>
      </tp>
      <tp>
        <v>-0.41</v>
        <stp/>
        <stp>P</stp>
        <stp>0</stp>
        <stp>STK</stp>
        <stp>N012510</stp>
        <stp>등락률</stp>
        <stp/>
        <stp/>
        <tr r="K133" s="3"/>
        <tr r="K155" s="1"/>
      </tp>
      <tp>
        <v>-1.01</v>
        <stp/>
        <stp>P</stp>
        <stp>0</stp>
        <stp>STK</stp>
        <stp>N012450</stp>
        <stp>등락률</stp>
        <stp/>
        <stp/>
        <tr r="K11" s="3"/>
        <tr r="K12" s="1"/>
      </tp>
      <tp>
        <v>0.63</v>
        <stp/>
        <stp>P</stp>
        <stp>0</stp>
        <stp>STK</stp>
        <stp>N013030</stp>
        <stp>등락률</stp>
        <stp/>
        <stp/>
        <tr r="K555" s="1"/>
      </tp>
      <tp>
        <v>0.83</v>
        <stp/>
        <stp>P</stp>
        <stp>0</stp>
        <stp>STK</stp>
        <stp>N213420</stp>
        <stp>등락률</stp>
        <stp/>
        <stp/>
        <tr r="K335" s="1"/>
      </tp>
      <tp>
        <v>0.9</v>
        <stp/>
        <stp>P</stp>
        <stp>0</stp>
        <stp>STK</stp>
        <stp>N013890</stp>
        <stp>등락률</stp>
        <stp/>
        <stp/>
        <tr r="K364" s="3"/>
        <tr r="K653" s="1"/>
      </tp>
      <tp>
        <v>1.93</v>
        <stp/>
        <stp>P</stp>
        <stp>0</stp>
        <stp>STK</stp>
        <stp>N310210</stp>
        <stp>등락률</stp>
        <stp/>
        <stp/>
        <tr r="K145" s="1"/>
      </tp>
      <tp>
        <v>-0.26</v>
        <stp/>
        <stp>P</stp>
        <stp>0</stp>
        <stp>STK</stp>
        <stp>N010130</stp>
        <stp>등락률</stp>
        <stp/>
        <stp/>
        <tr r="K25" s="3"/>
        <tr r="K25" s="1"/>
      </tp>
      <tp>
        <v>-2.13</v>
        <stp/>
        <stp>P</stp>
        <stp>0</stp>
        <stp>STK</stp>
        <stp>N010120</stp>
        <stp>등락률</stp>
        <stp/>
        <stp/>
        <tr r="K55" s="3"/>
        <tr r="K55" s="1"/>
      </tp>
      <tp>
        <v>2.16</v>
        <stp/>
        <stp>P</stp>
        <stp>0</stp>
        <stp>STK</stp>
        <stp>N010140</stp>
        <stp>등락률</stp>
        <stp/>
        <stp/>
        <tr r="K31" s="3"/>
        <tr r="K30" s="1"/>
      </tp>
      <tp>
        <v>6.07</v>
        <stp/>
        <stp>P</stp>
        <stp>0</stp>
        <stp>STK</stp>
        <stp>N010060</stp>
        <stp>등락률</stp>
        <stp/>
        <stp/>
        <tr r="K165" s="3"/>
        <tr r="K199" s="1"/>
      </tp>
      <tp>
        <v>0.89</v>
        <stp/>
        <stp>P</stp>
        <stp>0</stp>
        <stp>STK</stp>
        <stp>N010780</stp>
        <stp>등락률</stp>
        <stp/>
        <stp/>
        <tr r="K266" s="3"/>
        <tr r="K395" s="1"/>
      </tp>
      <tp>
        <v>-0.92</v>
        <stp/>
        <stp>P</stp>
        <stp>0</stp>
        <stp>STK</stp>
        <stp>N010690</stp>
        <stp>등락률</stp>
        <stp/>
        <stp/>
        <tr r="K335" s="3"/>
        <tr r="K560" s="1"/>
      </tp>
      <tp>
        <v>0.34</v>
        <stp/>
        <stp>P</stp>
        <stp>0</stp>
        <stp>STK</stp>
        <stp>N110990</stp>
        <stp>등락률</stp>
        <stp/>
        <stp/>
        <tr r="K583" s="1"/>
      </tp>
      <tp>
        <v>-0.91</v>
        <stp/>
        <stp>P</stp>
        <stp>0</stp>
        <stp>STK</stp>
        <stp>N010950</stp>
        <stp>등락률</stp>
        <stp/>
        <stp/>
        <tr r="K66" s="3"/>
        <tr r="K69" s="1"/>
      </tp>
      <tp>
        <v>-1.45</v>
        <stp/>
        <stp>P</stp>
        <stp>0</stp>
        <stp>STK</stp>
        <stp>N011210</stp>
        <stp>등락률</stp>
        <stp/>
        <stp/>
        <tr r="K146" s="3"/>
        <tr r="K164" s="1"/>
      </tp>
      <tp>
        <v>-1.22</v>
        <stp/>
        <stp>P</stp>
        <stp>0</stp>
        <stp>STK</stp>
        <stp>N011200</stp>
        <stp>등락률</stp>
        <stp/>
        <stp/>
        <tr r="K42" s="3"/>
        <tr r="K43" s="1"/>
      </tp>
      <tp>
        <v>3.12</v>
        <stp/>
        <stp>P</stp>
        <stp>0</stp>
        <stp>STK</stp>
        <stp>N011170</stp>
        <stp>등락률</stp>
        <stp/>
        <stp/>
        <tr r="K149" s="1"/>
        <tr r="K126" s="3"/>
      </tp>
      <tp>
        <v>-0.18</v>
        <stp/>
        <stp>P</stp>
        <stp>0</stp>
        <stp>STK</stp>
        <stp>N011070</stp>
        <stp>등락률</stp>
        <stp/>
        <stp/>
        <tr r="K94" s="1"/>
        <tr r="K88" s="3"/>
      </tp>
      <tp>
        <v>0.08</v>
        <stp/>
        <stp>P</stp>
        <stp>0</stp>
        <stp>STK</stp>
        <stp>N211050</stp>
        <stp>등락률</stp>
        <stp/>
        <stp/>
        <tr r="K421" s="1"/>
      </tp>
      <tp>
        <v>-3.1</v>
        <stp/>
        <stp>P</stp>
        <stp>0</stp>
        <stp>STK</stp>
        <stp>N011790</stp>
        <stp>등락률</stp>
        <stp/>
        <stp/>
        <tr r="K111" s="3"/>
        <tr r="K123" s="1"/>
      </tp>
      <tp>
        <v>3.58</v>
        <stp/>
        <stp>P</stp>
        <stp>0</stp>
        <stp>STK</stp>
        <stp>N011780</stp>
        <stp>등락률</stp>
        <stp/>
        <stp/>
        <tr r="K133" s="1"/>
        <tr r="K117" s="3"/>
      </tp>
      <tp>
        <v>1.37</v>
        <stp/>
        <stp>P</stp>
        <stp>0</stp>
        <stp>STK</stp>
        <stp>N011760</stp>
        <stp>등락률</stp>
        <stp/>
        <stp/>
        <tr r="K361" s="3"/>
        <tr r="K636" s="1"/>
      </tp>
      <tp>
        <v>-0.23</v>
        <stp/>
        <stp>P</stp>
        <stp>0</stp>
        <stp>STK</stp>
        <stp>N111770</stp>
        <stp>등락률</stp>
        <stp/>
        <stp/>
        <tr r="K120" s="3"/>
        <tr r="K135" s="1"/>
      </tp>
      <tp>
        <v>11.16</v>
        <stp/>
        <stp>P</stp>
        <stp>0</stp>
        <stp>STK</stp>
        <stp>N011500</stp>
        <stp>등락률</stp>
        <stp/>
        <stp/>
        <tr r="K631" s="1"/>
        <tr r="K333" s="3"/>
      </tp>
      <tp>
        <v>0.38</v>
        <stp/>
        <stp>P</stp>
        <stp>0</stp>
        <stp>STK</stp>
        <stp>N028300</stp>
        <stp>등락률</stp>
        <stp/>
        <stp/>
        <tr r="K93" s="1"/>
      </tp>
      <tp>
        <v>0.5</v>
        <stp/>
        <stp>P</stp>
        <stp>0</stp>
        <stp>STK</stp>
        <stp>N028260</stp>
        <stp>등락률</stp>
        <stp/>
        <stp/>
        <tr r="K17" s="3"/>
        <tr r="K17" s="1"/>
      </tp>
      <tp>
        <v>0</v>
        <stp/>
        <stp>P</stp>
        <stp>0</stp>
        <stp>STK</stp>
        <stp>N328130</stp>
        <stp>등락률</stp>
        <stp/>
        <stp/>
        <tr r="K295" s="1"/>
      </tp>
      <tp>
        <v>0.8</v>
        <stp/>
        <stp>P</stp>
        <stp>0</stp>
        <stp>STK</stp>
        <stp>N028050</stp>
        <stp>등락률</stp>
        <stp/>
        <stp/>
        <tr r="K110" s="1"/>
        <tr r="K101" s="3"/>
      </tp>
      <tp>
        <v>0</v>
        <stp/>
        <stp>P</stp>
        <stp>0</stp>
        <stp>STK</stp>
        <stp>N228760</stp>
        <stp>등락률</stp>
        <stp/>
        <stp/>
        <tr r="K449" s="1"/>
      </tp>
      <tp>
        <v>-1.79</v>
        <stp/>
        <stp>P</stp>
        <stp>0</stp>
        <stp>STK</stp>
        <stp>N028670</stp>
        <stp>등락률</stp>
        <stp/>
        <stp/>
        <tr r="K157" s="3"/>
        <tr r="K188" s="1"/>
      </tp>
      <tp>
        <v>-0.57999999999999996</v>
        <stp/>
        <stp>P</stp>
        <stp>0</stp>
        <stp>STK</stp>
        <stp>N128940</stp>
        <stp>등락률</stp>
        <stp/>
        <stp/>
        <tr r="K98" s="3"/>
        <tr r="K106" s="1"/>
      </tp>
      <tp>
        <v>1.63</v>
        <stp/>
        <stp>P</stp>
        <stp>0</stp>
        <stp>STK</stp>
        <stp>N329180</stp>
        <stp>등락률</stp>
        <stp/>
        <stp/>
        <tr r="K13" s="1"/>
        <tr r="K13" s="3"/>
      </tp>
      <tp>
        <v>0.75</v>
        <stp/>
        <stp>P</stp>
        <stp>0</stp>
        <stp>STK</stp>
        <stp>N029780</stp>
        <stp>등락률</stp>
        <stp/>
        <stp/>
        <tr r="K98" s="1"/>
        <tr r="K92" s="3"/>
      </tp>
      <tp>
        <v>1.3</v>
        <stp/>
        <stp>P</stp>
        <stp>0</stp>
        <stp>STK</stp>
        <stp>N229640</stp>
        <stp>등락률</stp>
        <stp/>
        <stp/>
        <tr r="K214" s="3"/>
        <tr r="K289" s="1"/>
      </tp>
      <tp>
        <v>0.54</v>
        <stp/>
        <stp>P</stp>
        <stp>0</stp>
        <stp>STK</stp>
        <stp>N029530</stp>
        <stp>등락률</stp>
        <stp/>
        <stp/>
        <tr r="K309" s="3"/>
        <tr r="K499" s="1"/>
      </tp>
      <tp>
        <v>-0.17</v>
        <stp/>
        <stp>P</stp>
        <stp>0</stp>
        <stp>STK</stp>
        <stp>N029460</stp>
        <stp>등락률</stp>
        <stp/>
        <stp/>
        <tr r="K329" s="3"/>
        <tr r="K554" s="1"/>
      </tp>
      <tp>
        <v>0.27</v>
        <stp/>
        <stp>P</stp>
        <stp>0</stp>
        <stp>STK</stp>
        <stp>N226320</stp>
        <stp>등락률</stp>
        <stp/>
        <stp/>
        <tr r="K676" s="1"/>
        <tr r="K373" s="3"/>
      </tp>
      <tp>
        <v>-3.85</v>
        <stp/>
        <stp>P</stp>
        <stp>0</stp>
        <stp>STK</stp>
        <stp>N126340</stp>
        <stp>등락률</stp>
        <stp/>
        <stp/>
        <tr r="K431" s="1"/>
      </tp>
      <tp>
        <v>0.86</v>
        <stp/>
        <stp>P</stp>
        <stp>0</stp>
        <stp>STK</stp>
        <stp>N326030</stp>
        <stp>등락률</stp>
        <stp/>
        <stp/>
        <tr r="K78" s="1"/>
        <tr r="K72" s="3"/>
      </tp>
      <tp>
        <v>-0.19</v>
        <stp/>
        <stp>P</stp>
        <stp>0</stp>
        <stp>STK</stp>
        <stp>N126720</stp>
        <stp>등락률</stp>
        <stp/>
        <stp/>
        <tr r="K544" s="1"/>
        <tr r="K327" s="3"/>
      </tp>
      <tp>
        <v>-0.25</v>
        <stp/>
        <stp>P</stp>
        <stp>0</stp>
        <stp>STK</stp>
        <stp>N226950</stp>
        <stp>등락률</stp>
        <stp/>
        <stp/>
        <tr r="K186" s="1"/>
      </tp>
      <tp>
        <v>0.96</v>
        <stp/>
        <stp>P</stp>
        <stp>0</stp>
        <stp>STK</stp>
        <stp>N026960</stp>
        <stp>등락률</stp>
        <stp/>
        <stp/>
        <tr r="K144" s="3"/>
        <tr r="K172" s="1"/>
      </tp>
      <tp>
        <v>0.88</v>
        <stp/>
        <stp>P</stp>
        <stp>0</stp>
        <stp>STK</stp>
        <stp>N026890</stp>
        <stp>등락률</stp>
        <stp/>
        <stp/>
        <tr r="K530" s="1"/>
        <tr r="K318" s="3"/>
      </tp>
      <tp>
        <v>-2.86</v>
        <stp/>
        <stp>P</stp>
        <stp>0</stp>
        <stp>STK</stp>
        <stp>N127120</stp>
        <stp>등락률</stp>
        <stp/>
        <stp/>
        <tr r="K402" s="1"/>
      </tp>
      <tp>
        <v>0</v>
        <stp/>
        <stp>P</stp>
        <stp>0</stp>
        <stp>STK</stp>
        <stp>N024110</stp>
        <stp>등락률</stp>
        <stp/>
        <stp/>
        <tr r="K50" s="3"/>
        <tr r="K52" s="1"/>
      </tp>
      <tp>
        <v>0.21</v>
        <stp/>
        <stp>P</stp>
        <stp>0</stp>
        <stp>STK</stp>
        <stp>N024720</stp>
        <stp>등락률</stp>
        <stp/>
        <stp/>
        <tr r="K348" s="3"/>
        <tr r="K602" s="1"/>
      </tp>
      <tp>
        <v>-1.05</v>
        <stp/>
        <stp>P</stp>
        <stp>0</stp>
        <stp>STK</stp>
        <stp>N424870</stp>
        <stp>등락률</stp>
        <stp/>
        <stp/>
        <tr r="K353" s="1"/>
      </tp>
      <tp>
        <v>0.88</v>
        <stp/>
        <stp>P</stp>
        <stp>0</stp>
        <stp>STK</stp>
        <stp>N025320</stp>
        <stp>등락률</stp>
        <stp/>
        <stp/>
        <tr r="K473" s="1"/>
      </tp>
      <tp>
        <v>0.13</v>
        <stp/>
        <stp>P</stp>
        <stp>0</stp>
        <stp>STK</stp>
        <stp>N025770</stp>
        <stp>등락률</stp>
        <stp/>
        <stp/>
        <tr r="K633" s="1"/>
      </tp>
      <tp>
        <v>0.08</v>
        <stp/>
        <stp>P</stp>
        <stp>0</stp>
        <stp>STK</stp>
        <stp>N225570</stp>
        <stp>등락률</stp>
        <stp/>
        <stp/>
        <tr r="K354" s="1"/>
      </tp>
      <tp>
        <v>-1.44</v>
        <stp/>
        <stp>P</stp>
        <stp>0</stp>
        <stp>STK</stp>
        <stp>N025540</stp>
        <stp>등락률</stp>
        <stp/>
        <stp/>
        <tr r="K248" s="3"/>
        <tr r="K352" s="1"/>
      </tp>
      <tp>
        <v>0.68</v>
        <stp/>
        <stp>P</stp>
        <stp>0</stp>
        <stp>STK</stp>
        <stp>N125490</stp>
        <stp>등락률</stp>
        <stp/>
        <stp/>
        <tr r="K374" s="1"/>
      </tp>
      <tp>
        <v>0.28999999999999998</v>
        <stp/>
        <stp>P</stp>
        <stp>0</stp>
        <stp>STK</stp>
        <stp>N425420</stp>
        <stp>등락률</stp>
        <stp/>
        <stp/>
        <tr r="K532" s="1"/>
      </tp>
      <tp>
        <v>0.13</v>
        <stp/>
        <stp>P</stp>
        <stp>0</stp>
        <stp>STK</stp>
        <stp>N025980</stp>
        <stp>등락률</stp>
        <stp/>
        <stp/>
        <tr r="K373" s="1"/>
      </tp>
      <tp>
        <v>0.22</v>
        <stp/>
        <stp>P</stp>
        <stp>0</stp>
        <stp>STK</stp>
        <stp>N025900</stp>
        <stp>등락률</stp>
        <stp/>
        <stp/>
        <tr r="K527" s="1"/>
      </tp>
      <tp>
        <v>-0.37</v>
        <stp/>
        <stp>P</stp>
        <stp>0</stp>
        <stp>STK</stp>
        <stp>N022100</stp>
        <stp>등락률</stp>
        <stp/>
        <stp/>
        <tr r="K90" s="3"/>
        <tr r="K95" s="1"/>
      </tp>
      <tp>
        <v>8.8699999999999992</v>
        <stp/>
        <stp>P</stp>
        <stp>0</stp>
        <stp>STK</stp>
        <stp>N222080</stp>
        <stp>등락률</stp>
        <stp/>
        <stp/>
        <tr r="K438" s="1"/>
      </tp>
      <tp>
        <v>8.23</v>
        <stp/>
        <stp>P</stp>
        <stp>0</stp>
        <stp>STK</stp>
        <stp>N322000</stp>
        <stp>등락률</stp>
        <stp/>
        <stp/>
        <tr r="K420" s="1"/>
        <tr r="K273" s="3"/>
      </tp>
      <tp>
        <v>0.81</v>
        <stp/>
        <stp>P</stp>
        <stp>0</stp>
        <stp>STK</stp>
        <stp>N122640</stp>
        <stp>등락률</stp>
        <stp/>
        <stp/>
        <tr r="K541" s="1"/>
      </tp>
      <tp>
        <v>-1.1299999999999999</v>
        <stp/>
        <stp>P</stp>
        <stp>0</stp>
        <stp>STK</stp>
        <stp>N222800</stp>
        <stp>등락률</stp>
        <stp/>
        <stp/>
        <tr r="K220" s="1"/>
      </tp>
      <tp>
        <v>1.1399999999999999</v>
        <stp/>
        <stp>P</stp>
        <stp>0</stp>
        <stp>STK</stp>
        <stp>N122870</stp>
        <stp>등락률</stp>
        <stp/>
        <stp/>
        <tr r="K270" s="1"/>
      </tp>
      <tp>
        <v>-0.31</v>
        <stp/>
        <stp>P</stp>
        <stp>0</stp>
        <stp>STK</stp>
        <stp>N323280</stp>
        <stp>등락률</stp>
        <stp/>
        <stp/>
        <tr r="K255" s="1"/>
      </tp>
      <tp>
        <v>1.59</v>
        <stp/>
        <stp>P</stp>
        <stp>0</stp>
        <stp>STK</stp>
        <stp>N023160</stp>
        <stp>등락률</stp>
        <stp/>
        <stp/>
        <tr r="K386" s="1"/>
      </tp>
      <tp>
        <v>0.88</v>
        <stp/>
        <stp>P</stp>
        <stp>0</stp>
        <stp>STK</stp>
        <stp>N023590</stp>
        <stp>등락률</stp>
        <stp/>
        <stp/>
        <tr r="K182" s="3"/>
        <tr r="K222" s="1"/>
      </tp>
      <tp>
        <v>0.26</v>
        <stp/>
        <stp>P</stp>
        <stp>0</stp>
        <stp>STK</stp>
        <stp>N023530</stp>
        <stp>등락률</stp>
        <stp/>
        <stp/>
        <tr r="K163" s="3"/>
        <tr r="K200" s="1"/>
      </tp>
      <tp>
        <v>1.17</v>
        <stp/>
        <stp>P</stp>
        <stp>0</stp>
        <stp>STK</stp>
        <stp>N323410</stp>
        <stp>등락률</stp>
        <stp/>
        <stp/>
        <tr r="K69" s="3"/>
        <tr r="K72" s="1"/>
      </tp>
      <tp>
        <v>1.5</v>
        <stp/>
        <stp>P</stp>
        <stp>0</stp>
        <stp>STK</stp>
        <stp>N120110</stp>
        <stp>등락률</stp>
        <stp/>
        <stp/>
        <tr r="K207" s="3"/>
        <tr r="K277" s="1"/>
      </tp>
      <tp>
        <v>1.08</v>
        <stp/>
        <stp>P</stp>
        <stp>0</stp>
        <stp>STK</stp>
        <stp>N220100</stp>
        <stp>등락률</stp>
        <stp/>
        <stp/>
        <tr r="K458" s="1"/>
      </tp>
      <tp>
        <v>-3.07</v>
        <stp/>
        <stp>P</stp>
        <stp>0</stp>
        <stp>STK</stp>
        <stp>N020150</stp>
        <stp>등락률</stp>
        <stp/>
        <stp/>
        <tr r="K170" s="3"/>
        <tr r="K225" s="1"/>
      </tp>
      <tp>
        <v>0.2</v>
        <stp/>
        <stp>P</stp>
        <stp>0</stp>
        <stp>STK</stp>
        <stp>N020000</stp>
        <stp>등락률</stp>
        <stp/>
        <stp/>
        <tr r="K584" s="1"/>
        <tr r="K337" s="3"/>
      </tp>
      <tp>
        <v>-1.34</v>
        <stp/>
        <stp>P</stp>
        <stp>0</stp>
        <stp>STK</stp>
        <stp>N420770</stp>
        <stp>등락률</stp>
        <stp/>
        <stp/>
        <tr r="K384" s="1"/>
      </tp>
      <tp>
        <v>-0.13</v>
        <stp/>
        <stp>P</stp>
        <stp>0</stp>
        <stp>STK</stp>
        <stp>N020560</stp>
        <stp>등락률</stp>
        <stp/>
        <stp/>
        <tr r="K192" s="3"/>
        <tr r="K243" s="1"/>
      </tp>
      <tp>
        <v>-0.91</v>
        <stp/>
        <stp>P</stp>
        <stp>0</stp>
        <stp>STK</stp>
        <stp>N021240</stp>
        <stp>등락률</stp>
        <stp/>
        <stp/>
        <tr r="K95" s="3"/>
        <tr r="K103" s="1"/>
      </tp>
      <tp>
        <v>4.5</v>
        <stp/>
        <stp>P</stp>
        <stp>0</stp>
        <stp>STK</stp>
        <stp>N121600</stp>
        <stp>등락률</stp>
        <stp/>
        <stp/>
        <tr r="K416" s="1"/>
      </tp>
      <tp>
        <v>1</v>
        <stp/>
        <stp>P</stp>
        <stp>0</stp>
        <stp>STK</stp>
        <stp>N338220</stp>
        <stp>등락률</stp>
        <stp/>
        <stp/>
        <tr r="K643" s="1"/>
      </tp>
      <tp>
        <v>1.21</v>
        <stp/>
        <stp>P</stp>
        <stp>0</stp>
        <stp>STK</stp>
        <stp>N138040</stp>
        <stp>등락률</stp>
        <stp/>
        <stp/>
        <tr r="K44" s="1"/>
        <tr r="K44" s="3"/>
      </tp>
      <tp>
        <v>-0.44</v>
        <stp/>
        <stp>P</stp>
        <stp>0</stp>
        <stp>STK</stp>
        <stp>N138610</stp>
        <stp>등락률</stp>
        <stp/>
        <stp/>
        <tr r="K545" s="1"/>
      </tp>
      <tp>
        <v>0.11</v>
        <stp/>
        <stp>P</stp>
        <stp>0</stp>
        <stp>STK</stp>
        <stp>N138490</stp>
        <stp>등락률</stp>
        <stp/>
        <stp/>
        <tr r="K608" s="1"/>
        <tr r="K345" s="3"/>
      </tp>
      <tp>
        <v>0.45</v>
        <stp/>
        <stp>P</stp>
        <stp>0</stp>
        <stp>STK</stp>
        <stp>N138930</stp>
        <stp>등락률</stp>
        <stp/>
        <stp/>
        <tr r="K112" s="1"/>
        <tr r="K104" s="3"/>
      </tp>
      <tp>
        <v>0.23</v>
        <stp/>
        <stp>P</stp>
        <stp>0</stp>
        <stp>STK</stp>
        <stp>N338840</stp>
        <stp>등락률</stp>
        <stp/>
        <stp/>
        <tr r="K580" s="1"/>
      </tp>
      <tp>
        <v>1.35</v>
        <stp/>
        <stp>P</stp>
        <stp>0</stp>
        <stp>STK</stp>
        <stp>N039200</stp>
        <stp>등락률</stp>
        <stp/>
        <stp/>
        <tr r="K236" s="1"/>
      </tp>
      <tp>
        <v>0.56999999999999995</v>
        <stp/>
        <stp>P</stp>
        <stp>0</stp>
        <stp>STK</stp>
        <stp>N439260</stp>
        <stp>등락률</stp>
        <stp/>
        <stp/>
        <tr r="K169" s="1"/>
        <tr r="K143" s="3"/>
      </tp>
      <tp>
        <v>-0.77</v>
        <stp/>
        <stp>P</stp>
        <stp>0</stp>
        <stp>STK</stp>
        <stp>N039130</stp>
        <stp>등락률</stp>
        <stp/>
        <stp/>
        <tr r="K385" s="1"/>
        <tr r="K260" s="3"/>
      </tp>
      <tp>
        <v>-7.0000000000000007E-2</v>
        <stp/>
        <stp>P</stp>
        <stp>0</stp>
        <stp>STK</stp>
        <stp>N139130</stp>
        <stp>등락률</stp>
        <stp/>
        <stp/>
        <tr r="K193" s="1"/>
        <tr r="K160" s="3"/>
      </tp>
      <tp>
        <v>7.0000000000000007E-2</v>
        <stp/>
        <stp>P</stp>
        <stp>0</stp>
        <stp>STK</stp>
        <stp>N439090</stp>
        <stp>등락률</stp>
        <stp/>
        <stp/>
        <tr r="K692" s="1"/>
      </tp>
      <tp>
        <v>-0.83</v>
        <stp/>
        <stp>P</stp>
        <stp>0</stp>
        <stp>STK</stp>
        <stp>N039030</stp>
        <stp>등락률</stp>
        <stp/>
        <stp/>
        <tr r="K136" s="1"/>
      </tp>
      <tp>
        <v>2.76</v>
        <stp/>
        <stp>P</stp>
        <stp>0</stp>
        <stp>STK</stp>
        <stp>N039490</stp>
        <stp>등락률</stp>
        <stp/>
        <stp/>
        <tr r="K82" s="1"/>
        <tr r="K75" s="3"/>
      </tp>
      <tp>
        <v>0.35</v>
        <stp/>
        <stp>P</stp>
        <stp>0</stp>
        <stp>STK</stp>
        <stp>N139480</stp>
        <stp>등락률</stp>
        <stp/>
        <stp/>
        <tr r="K158" s="3"/>
        <tr r="K191" s="1"/>
      </tp>
      <tp>
        <v>-0.34</v>
        <stp/>
        <stp>P</stp>
        <stp>0</stp>
        <stp>STK</stp>
        <stp>N039440</stp>
        <stp>등락률</stp>
        <stp/>
        <stp/>
        <tr r="K494" s="1"/>
      </tp>
      <tp>
        <v>0.44</v>
        <stp/>
        <stp>P</stp>
        <stp>0</stp>
        <stp>STK</stp>
        <stp>N039840</stp>
        <stp>등락률</stp>
        <stp/>
        <stp/>
        <tr r="K693" s="1"/>
      </tp>
      <tp>
        <v>0.89</v>
        <stp/>
        <stp>P</stp>
        <stp>0</stp>
        <stp>STK</stp>
        <stp>N336370</stp>
        <stp>등락률</stp>
        <stp/>
        <stp/>
        <tr r="K286" s="3"/>
        <tr r="K457" s="1"/>
      </tp>
      <tp>
        <v>0.43</v>
        <stp/>
        <stp>P</stp>
        <stp>0</stp>
        <stp>STK</stp>
        <stp>N036200</stp>
        <stp>등락률</stp>
        <stp/>
        <stp/>
        <tr r="K626" s="1"/>
      </tp>
      <tp>
        <v>29.9</v>
        <stp/>
        <stp>P</stp>
        <stp>0</stp>
        <stp>STK</stp>
        <stp>N236200</stp>
        <stp>등락률</stp>
        <stp/>
        <stp/>
        <tr r="K664" s="1"/>
      </tp>
      <tp>
        <v>-2.2400000000000002</v>
        <stp/>
        <stp>P</stp>
        <stp>0</stp>
        <stp>STK</stp>
        <stp>N336260</stp>
        <stp>등락률</stp>
        <stp/>
        <stp/>
        <tr r="K183" s="1"/>
        <tr r="K150" s="3"/>
      </tp>
      <tp>
        <v>-0.9</v>
        <stp/>
        <stp>P</stp>
        <stp>0</stp>
        <stp>STK</stp>
        <stp>N036620</stp>
        <stp>등락률</stp>
        <stp/>
        <stp/>
        <tr r="K478" s="1"/>
      </tp>
      <tp>
        <v>1.25</v>
        <stp/>
        <stp>P</stp>
        <stp>0</stp>
        <stp>STK</stp>
        <stp>N036530</stp>
        <stp>등락률</stp>
        <stp/>
        <stp/>
        <tr r="K325" s="1"/>
        <tr r="K234" s="3"/>
      </tp>
      <tp>
        <v>-0.94</v>
        <stp/>
        <stp>P</stp>
        <stp>0</stp>
        <stp>STK</stp>
        <stp>N036540</stp>
        <stp>등락률</stp>
        <stp/>
        <stp/>
        <tr r="K331" s="1"/>
      </tp>
      <tp>
        <v>-0.59</v>
        <stp/>
        <stp>P</stp>
        <stp>0</stp>
        <stp>STK</stp>
        <stp>N336570</stp>
        <stp>등락률</stp>
        <stp/>
        <stp/>
        <tr r="K372" s="1"/>
      </tp>
      <tp>
        <v>0.88</v>
        <stp/>
        <stp>P</stp>
        <stp>0</stp>
        <stp>STK</stp>
        <stp>N036570</stp>
        <stp>등락률</stp>
        <stp/>
        <stp/>
        <tr r="K111" s="1"/>
        <tr r="K100" s="3"/>
      </tp>
      <tp>
        <v>-1.0900000000000001</v>
        <stp/>
        <stp>P</stp>
        <stp>0</stp>
        <stp>STK</stp>
        <stp>N036460</stp>
        <stp>등락률</stp>
        <stp/>
        <stp/>
        <tr r="K119" s="3"/>
        <tr r="K134" s="1"/>
      </tp>
      <tp>
        <v>0</v>
        <stp/>
        <stp>P</stp>
        <stp>0</stp>
        <stp>STK</stp>
        <stp>N036930</stp>
        <stp>등락률</stp>
        <stp/>
        <stp/>
        <tr r="K248" s="1"/>
      </tp>
      <tp>
        <v>2.35</v>
        <stp/>
        <stp>P</stp>
        <stp>0</stp>
        <stp>STK</stp>
        <stp>N036890</stp>
        <stp>등락률</stp>
        <stp/>
        <stp/>
        <tr r="K621" s="1"/>
      </tp>
      <tp>
        <v>-4.51</v>
        <stp/>
        <stp>P</stp>
        <stp>0</stp>
        <stp>STK</stp>
        <stp>N036810</stp>
        <stp>등락률</stp>
        <stp/>
        <stp/>
        <tr r="K379" s="1"/>
      </tp>
      <tp>
        <v>-0.22</v>
        <stp/>
        <stp>P</stp>
        <stp>0</stp>
        <stp>STK</stp>
        <stp>N036800</stp>
        <stp>등락률</stp>
        <stp/>
        <stp/>
        <tr r="K688" s="1"/>
      </tp>
      <tp>
        <v>0</v>
        <stp/>
        <stp>P</stp>
        <stp>0</stp>
        <stp>STK</stp>
        <stp>N036830</stp>
        <stp>등락률</stp>
        <stp/>
        <stp/>
        <tr r="K349" s="1"/>
      </tp>
      <tp>
        <v>0.24</v>
        <stp/>
        <stp>P</stp>
        <stp>0</stp>
        <stp>STK</stp>
        <stp>N137310</stp>
        <stp>등락률</stp>
        <stp/>
        <stp/>
        <tr r="K312" s="1"/>
        <tr r="K227" s="3"/>
      </tp>
      <tp>
        <v>0.16</v>
        <stp/>
        <stp>P</stp>
        <stp>0</stp>
        <stp>STK</stp>
        <stp>N037710</stp>
        <stp>등락률</stp>
        <stp/>
        <stp/>
        <tr r="K374" s="3"/>
        <tr r="K673" s="1"/>
      </tp>
      <tp>
        <v>-1.2</v>
        <stp/>
        <stp>P</stp>
        <stp>0</stp>
        <stp>STK</stp>
        <stp>N437730</stp>
        <stp>등락률</stp>
        <stp/>
        <stp/>
        <tr r="K192" s="1"/>
      </tp>
      <tp>
        <v>0</v>
        <stp/>
        <stp>P</stp>
        <stp>0</stp>
        <stp>STK</stp>
        <stp>N237690</stp>
        <stp>등락률</stp>
        <stp/>
        <stp/>
        <tr r="K182" s="1"/>
      </tp>
      <tp>
        <v>3.07</v>
        <stp/>
        <stp>P</stp>
        <stp>0</stp>
        <stp>STK</stp>
        <stp>N137400</stp>
        <stp>등락률</stp>
        <stp/>
        <stp/>
        <tr r="K322" s="1"/>
      </tp>
      <tp>
        <v>1.25</v>
        <stp/>
        <stp>P</stp>
        <stp>0</stp>
        <stp>STK</stp>
        <stp>N237880</stp>
        <stp>등락률</stp>
        <stp/>
        <stp/>
        <tr r="K690" s="1"/>
      </tp>
      <tp>
        <v>0.08</v>
        <stp/>
        <stp>P</stp>
        <stp>0</stp>
        <stp>STK</stp>
        <stp>N034310</stp>
        <stp>등락률</stp>
        <stp/>
        <stp/>
        <tr r="K488" s="1"/>
        <tr r="K304" s="3"/>
      </tp>
      <tp>
        <v>0.87</v>
        <stp/>
        <stp>P</stp>
        <stp>0</stp>
        <stp>STK</stp>
        <stp>N034230</stp>
        <stp>등락률</stp>
        <stp/>
        <stp/>
        <tr r="K242" s="1"/>
        <tr r="K189" s="3"/>
      </tp>
      <tp>
        <v>-0.08</v>
        <stp/>
        <stp>P</stp>
        <stp>0</stp>
        <stp>STK</stp>
        <stp>N034220</stp>
        <stp>등락률</stp>
        <stp/>
        <stp/>
        <tr r="K99" s="1"/>
        <tr r="K91" s="3"/>
      </tp>
      <tp>
        <v>0.11</v>
        <stp/>
        <stp>P</stp>
        <stp>0</stp>
        <stp>STK</stp>
        <stp>N034120</stp>
        <stp>등락률</stp>
        <stp/>
        <stp/>
        <tr r="K336" s="3"/>
        <tr r="K581" s="1"/>
      </tp>
      <tp>
        <v>0.22</v>
        <stp/>
        <stp>P</stp>
        <stp>0</stp>
        <stp>STK</stp>
        <stp>N034020</stp>
        <stp>등락률</stp>
        <stp/>
        <stp/>
        <tr r="K14" s="1"/>
        <tr r="K14" s="3"/>
      </tp>
      <tp>
        <v>-0.34</v>
        <stp/>
        <stp>P</stp>
        <stp>0</stp>
        <stp>STK</stp>
        <stp>N034730</stp>
        <stp>등락률</stp>
        <stp/>
        <stp/>
        <tr r="K37" s="3"/>
        <tr r="K38" s="1"/>
      </tp>
      <tp>
        <v>0</v>
        <stp/>
        <stp>P</stp>
        <stp>0</stp>
        <stp>STK</stp>
        <stp>N034950</stp>
        <stp>등락률</stp>
        <stp/>
        <stp/>
        <tr r="K508" s="1"/>
      </tp>
      <tp>
        <v>0.56000000000000005</v>
        <stp/>
        <stp>P</stp>
        <stp>0</stp>
        <stp>STK</stp>
        <stp>N035250</stp>
        <stp>등락률</stp>
        <stp/>
        <stp/>
        <tr r="K118" s="3"/>
        <tr r="K128" s="1"/>
      </tp>
      <tp>
        <v>0.41</v>
        <stp/>
        <stp>P</stp>
        <stp>0</stp>
        <stp>STK</stp>
        <stp>N035150</stp>
        <stp>등락률</stp>
        <stp/>
        <stp/>
        <tr r="K663" s="1"/>
        <tr r="K372" s="3"/>
      </tp>
      <tp>
        <v>0</v>
        <stp/>
        <stp>P</stp>
        <stp>0</stp>
        <stp>STK</stp>
        <stp>N035720</stp>
        <stp>등락률</stp>
        <stp/>
        <stp/>
        <tr r="K32" s="1"/>
        <tr r="K32" s="3"/>
      </tp>
      <tp>
        <v>0</v>
        <stp/>
        <stp>P</stp>
        <stp>0</stp>
        <stp>STK</stp>
        <stp>N035760</stp>
        <stp>등락률</stp>
        <stp/>
        <stp/>
        <tr r="K260" s="1"/>
      </tp>
      <tp>
        <v>0.1</v>
        <stp/>
        <stp>P</stp>
        <stp>0</stp>
        <stp>STK</stp>
        <stp>N035600</stp>
        <stp>등락률</stp>
        <stp/>
        <stp/>
        <tr r="K652" s="1"/>
      </tp>
      <tp>
        <v>0.61</v>
        <stp/>
        <stp>P</stp>
        <stp>0</stp>
        <stp>STK</stp>
        <stp>N035420</stp>
        <stp>등락률</stp>
        <stp/>
        <stp/>
        <tr r="K23" s="3"/>
        <tr r="K23" s="1"/>
      </tp>
      <tp>
        <v>0.88</v>
        <stp/>
        <stp>P</stp>
        <stp>0</stp>
        <stp>STK</stp>
        <stp>N035900</stp>
        <stp>등락률</stp>
        <stp/>
        <stp/>
        <tr r="K185" s="1"/>
      </tp>
      <tp>
        <v>-0.63</v>
        <stp/>
        <stp>P</stp>
        <stp>0</stp>
        <stp>STK</stp>
        <stp>N032350</stp>
        <stp>등락률</stp>
        <stp/>
        <stp/>
        <tr r="K223" s="1"/>
        <tr r="K176" s="3"/>
      </tp>
      <tp>
        <v>1.85</v>
        <stp/>
        <stp>P</stp>
        <stp>0</stp>
        <stp>STK</stp>
        <stp>N032190</stp>
        <stp>등락률</stp>
        <stp/>
        <stp/>
        <tr r="K387" s="1"/>
      </tp>
      <tp>
        <v>0.49</v>
        <stp/>
        <stp>P</stp>
        <stp>0</stp>
        <stp>STK</stp>
        <stp>N232140</stp>
        <stp>등락률</stp>
        <stp/>
        <stp/>
        <tr r="K280" s="1"/>
      </tp>
      <tp>
        <v>-0.46</v>
        <stp/>
        <stp>P</stp>
        <stp>0</stp>
        <stp>STK</stp>
        <stp>N032640</stp>
        <stp>등락률</stp>
        <stp/>
        <stp/>
        <tr r="K87" s="3"/>
        <tr r="K96" s="1"/>
      </tp>
      <tp>
        <v>0.06</v>
        <stp/>
        <stp>P</stp>
        <stp>0</stp>
        <stp>STK</stp>
        <stp>N032500</stp>
        <stp>등락률</stp>
        <stp/>
        <stp/>
        <tr r="K413" s="1"/>
      </tp>
      <tp>
        <v>0.06</v>
        <stp/>
        <stp>P</stp>
        <stp>0</stp>
        <stp>STK</stp>
        <stp>N032830</stp>
        <stp>등락률</stp>
        <stp/>
        <stp/>
        <tr r="K24" s="3"/>
        <tr r="K24" s="1"/>
      </tp>
      <tp>
        <v>-0.44</v>
        <stp/>
        <stp>P</stp>
        <stp>0</stp>
        <stp>STK</stp>
        <stp>N033240</stp>
        <stp>등락률</stp>
        <stp/>
        <stp/>
        <tr r="K297" s="3"/>
        <tr r="K461" s="1"/>
      </tp>
      <tp>
        <v>0.33</v>
        <stp/>
        <stp>P</stp>
        <stp>0</stp>
        <stp>STK</stp>
        <stp>N033270</stp>
        <stp>등락률</stp>
        <stp/>
        <stp/>
        <tr r="K356" s="3"/>
        <tr r="K625" s="1"/>
      </tp>
      <tp>
        <v>-1.88</v>
        <stp/>
        <stp>P</stp>
        <stp>0</stp>
        <stp>STK</stp>
        <stp>N033100</stp>
        <stp>등락률</stp>
        <stp/>
        <stp/>
        <tr r="K403" s="1"/>
      </tp>
      <tp>
        <v>0.14000000000000001</v>
        <stp/>
        <stp>P</stp>
        <stp>0</stp>
        <stp>STK</stp>
        <stp>N033780</stp>
        <stp>등락률</stp>
        <stp/>
        <stp/>
        <tr r="K48" s="3"/>
        <tr r="K49" s="1"/>
      </tp>
      <tp>
        <v>0.06</v>
        <stp/>
        <stp>P</stp>
        <stp>0</stp>
        <stp>STK</stp>
        <stp>N033640</stp>
        <stp>등락률</stp>
        <stp/>
        <stp/>
        <tr r="K561" s="1"/>
      </tp>
      <tp>
        <v>0.95</v>
        <stp/>
        <stp>P</stp>
        <stp>0</stp>
        <stp>STK</stp>
        <stp>N033500</stp>
        <stp>등락률</stp>
        <stp/>
        <stp/>
        <tr r="K344" s="1"/>
      </tp>
      <tp>
        <v>0.38</v>
        <stp/>
        <stp>P</stp>
        <stp>0</stp>
        <stp>STK</stp>
        <stp>N230360</stp>
        <stp>등락률</stp>
        <stp/>
        <stp/>
        <tr r="K482" s="1"/>
      </tp>
      <tp>
        <v>0.36</v>
        <stp/>
        <stp>P</stp>
        <stp>0</stp>
        <stp>STK</stp>
        <stp>N030200</stp>
        <stp>등락률</stp>
        <stp/>
        <stp/>
        <tr r="K59" s="1"/>
        <tr r="K57" s="3"/>
      </tp>
      <tp>
        <v>0.95</v>
        <stp/>
        <stp>P</stp>
        <stp>0</stp>
        <stp>STK</stp>
        <stp>N030190</stp>
        <stp>등락률</stp>
        <stp/>
        <stp/>
        <tr r="K229" s="3"/>
        <tr r="K314" s="1"/>
      </tp>
      <tp>
        <v>0.24</v>
        <stp/>
        <stp>P</stp>
        <stp>0</stp>
        <stp>STK</stp>
        <stp>N030000</stp>
        <stp>등락률</stp>
        <stp/>
        <stp/>
        <tr r="K184" s="1"/>
        <tr r="K156" s="3"/>
      </tp>
      <tp>
        <v>1.9</v>
        <stp/>
        <stp>P</stp>
        <stp>0</stp>
        <stp>STK</stp>
        <stp>N030610</stp>
        <stp>등락률</stp>
        <stp/>
        <stp/>
        <tr r="K286" s="1"/>
        <tr r="K213" s="3"/>
      </tp>
      <tp>
        <v>-1.46</v>
        <stp/>
        <stp>P</stp>
        <stp>0</stp>
        <stp>STK</stp>
        <stp>N130660</stp>
        <stp>등락률</stp>
        <stp/>
        <stp/>
        <tr r="K518" s="1"/>
        <tr r="K321" s="3"/>
      </tp>
      <tp>
        <v>-1</v>
        <stp/>
        <stp>P</stp>
        <stp>0</stp>
        <stp>STK</stp>
        <stp>N030530</stp>
        <stp>등락률</stp>
        <stp/>
        <stp/>
        <tr r="K146" s="1"/>
      </tp>
      <tp>
        <v>1.1000000000000001</v>
        <stp/>
        <stp>P</stp>
        <stp>0</stp>
        <stp>STK</stp>
        <stp>N030520</stp>
        <stp>등락률</stp>
        <stp/>
        <stp/>
        <tr r="K454" s="1"/>
      </tp>
      <tp>
        <v>-2.25</v>
        <stp/>
        <stp>P</stp>
        <stp>0</stp>
        <stp>STK</stp>
        <stp>N131290</stp>
        <stp>등락률</stp>
        <stp/>
        <stp/>
        <tr r="K343" s="1"/>
      </tp>
      <tp>
        <v>-0.1</v>
        <stp/>
        <stp>P</stp>
        <stp>0</stp>
        <stp>STK</stp>
        <stp>N031210</stp>
        <stp>등락률</stp>
        <stp/>
        <stp/>
        <tr r="K123" s="3"/>
        <tr r="K140" s="1"/>
      </tp>
      <tp>
        <v>-0.36</v>
        <stp/>
        <stp>P</stp>
        <stp>0</stp>
        <stp>STK</stp>
        <stp>N031430</stp>
        <stp>등락률</stp>
        <stp/>
        <stp/>
        <tr r="K547" s="1"/>
        <tr r="K323" s="3"/>
      </tp>
      <tp>
        <v>-2.87</v>
        <stp/>
        <stp>P</stp>
        <stp>0</stp>
        <stp>STK</stp>
        <stp>N031980</stp>
        <stp>등락률</stp>
        <stp/>
        <stp/>
        <tr r="K258" s="1"/>
      </tp>
      <tp>
        <v>-1.86</v>
        <stp/>
        <stp>P</stp>
        <stp>0</stp>
        <stp>STK</stp>
        <stp>N131970</stp>
        <stp>등락률</stp>
        <stp/>
        <stp/>
        <tr r="K308" s="1"/>
      </tp>
      <tp>
        <v>1.99</v>
        <stp/>
        <stp>P</stp>
        <stp>0</stp>
        <stp>STK</stp>
        <stp>N348370</stp>
        <stp>등락률</stp>
        <stp/>
        <stp/>
        <tr r="K263" s="1"/>
      </tp>
      <tp>
        <v>0.71</v>
        <stp/>
        <stp>P</stp>
        <stp>0</stp>
        <stp>STK</stp>
        <stp>N448280</stp>
        <stp>등락률</stp>
        <stp/>
        <stp/>
        <tr r="K638" s="1"/>
      </tp>
      <tp>
        <v>-1.65</v>
        <stp/>
        <stp>P</stp>
        <stp>0</stp>
        <stp>STK</stp>
        <stp>N348210</stp>
        <stp>등락률</stp>
        <stp/>
        <stp/>
        <tr r="K360" s="1"/>
      </tp>
      <tp>
        <v>0.13</v>
        <stp/>
        <stp>P</stp>
        <stp>0</stp>
        <stp>STK</stp>
        <stp>N248070</stp>
        <stp>등락률</stp>
        <stp/>
        <stp/>
        <tr r="K258" s="3"/>
        <tr r="K377" s="1"/>
      </tp>
      <tp>
        <v>-1.53</v>
        <stp/>
        <stp>P</stp>
        <stp>0</stp>
        <stp>STK</stp>
        <stp>N048410</stp>
        <stp>등락률</stp>
        <stp/>
        <stp/>
        <tr r="K452" s="1"/>
      </tp>
      <tp>
        <v>0.43</v>
        <stp/>
        <stp>P</stp>
        <stp>0</stp>
        <stp>STK</stp>
        <stp>N448900</stp>
        <stp>등락률</stp>
        <stp/>
        <stp/>
        <tr r="K486" s="1"/>
      </tp>
      <tp>
        <v>-2.42</v>
        <stp/>
        <stp>P</stp>
        <stp>0</stp>
        <stp>STK</stp>
        <stp>N049070</stp>
        <stp>등락률</stp>
        <stp/>
        <stp/>
        <tr r="K519" s="1"/>
      </tp>
      <tp>
        <v>0.83</v>
        <stp/>
        <stp>P</stp>
        <stp>0</stp>
        <stp>STK</stp>
        <stp>N249420</stp>
        <stp>등락률</stp>
        <stp/>
        <stp/>
        <tr r="K217" s="3"/>
        <tr r="K285" s="1"/>
      </tp>
      <tp>
        <v>0.83</v>
        <stp/>
        <stp>P</stp>
        <stp>0</stp>
        <stp>STK</stp>
        <stp>N046890</stp>
        <stp>등락률</stp>
        <stp/>
        <stp/>
        <tr r="K576" s="1"/>
      </tp>
      <tp>
        <v>1.75</v>
        <stp/>
        <stp>P</stp>
        <stp>0</stp>
        <stp>STK</stp>
        <stp>N047050</stp>
        <stp>등락률</stp>
        <stp/>
        <stp/>
        <tr r="K68" s="1"/>
        <tr r="K65" s="3"/>
      </tp>
      <tp>
        <v>3.22</v>
        <stp/>
        <stp>P</stp>
        <stp>0</stp>
        <stp>STK</stp>
        <stp>N047040</stp>
        <stp>등락률</stp>
        <stp/>
        <stp/>
        <tr r="K173" s="3"/>
        <tr r="K208" s="1"/>
      </tp>
      <tp>
        <v>0.7</v>
        <stp/>
        <stp>P</stp>
        <stp>0</stp>
        <stp>STK</stp>
        <stp>N247540</stp>
        <stp>등락률</stp>
        <stp/>
        <stp/>
        <tr r="K54" s="1"/>
      </tp>
      <tp>
        <v>-0.06</v>
        <stp/>
        <stp>P</stp>
        <stp>0</stp>
        <stp>STK</stp>
        <stp>N047920</stp>
        <stp>등락률</stp>
        <stp/>
        <stp/>
        <tr r="K448" s="1"/>
      </tp>
      <tp>
        <v>0.78</v>
        <stp/>
        <stp>P</stp>
        <stp>0</stp>
        <stp>STK</stp>
        <stp>N047810</stp>
        <stp>등락률</stp>
        <stp/>
        <stp/>
        <tr r="K52" s="3"/>
        <tr r="K53" s="1"/>
      </tp>
      <tp>
        <v>0.38</v>
        <stp/>
        <stp>P</stp>
        <stp>0</stp>
        <stp>STK</stp>
        <stp>N347850</stp>
        <stp>등락률</stp>
        <stp/>
        <stp/>
        <tr r="K138" s="1"/>
      </tp>
      <tp>
        <v>0.68</v>
        <stp/>
        <stp>P</stp>
        <stp>0</stp>
        <stp>STK</stp>
        <stp>N144510</stp>
        <stp>등락률</stp>
        <stp/>
        <stp/>
        <tr r="K575" s="1"/>
      </tp>
      <tp>
        <v>2.56</v>
        <stp/>
        <stp>P</stp>
        <stp>0</stp>
        <stp>STK</stp>
        <stp>N044490</stp>
        <stp>등락률</stp>
        <stp/>
        <stp/>
        <tr r="K391" s="1"/>
      </tp>
      <tp>
        <v>1.1200000000000001</v>
        <stp/>
        <stp>P</stp>
        <stp>0</stp>
        <stp>STK</stp>
        <stp>N344820</stp>
        <stp>등락률</stp>
        <stp/>
        <stp/>
        <tr r="K516" s="1"/>
        <tr r="K316" s="3"/>
      </tp>
      <tp>
        <v>0.62</v>
        <stp/>
        <stp>P</stp>
        <stp>0</stp>
        <stp>STK</stp>
        <stp>N045100</stp>
        <stp>등락률</stp>
        <stp/>
        <stp/>
        <tr r="K500" s="1"/>
      </tp>
      <tp>
        <v>0.17</v>
        <stp/>
        <stp>P</stp>
        <stp>0</stp>
        <stp>STK</stp>
        <stp>N445090</stp>
        <stp>등락률</stp>
        <stp/>
        <stp/>
        <tr r="K606" s="1"/>
      </tp>
      <tp>
        <v>1.76</v>
        <stp/>
        <stp>P</stp>
        <stp>0</stp>
        <stp>STK</stp>
        <stp>N145020</stp>
        <stp>등락률</stp>
        <stp/>
        <stp/>
        <tr r="K158" s="1"/>
      </tp>
      <tp>
        <v>-0.42</v>
        <stp/>
        <stp>P</stp>
        <stp>0</stp>
        <stp>STK</stp>
        <stp>N145720</stp>
        <stp>등락률</stp>
        <stp/>
        <stp/>
        <tr r="K467" s="1"/>
        <tr r="K290" s="3"/>
      </tp>
      <tp>
        <v>3.15</v>
        <stp/>
        <stp>P</stp>
        <stp>0</stp>
        <stp>STK</stp>
        <stp>N445680</stp>
        <stp>등락률</stp>
        <stp/>
        <stp/>
        <tr r="K204" s="1"/>
      </tp>
      <tp>
        <v>0.76</v>
        <stp/>
        <stp>P</stp>
        <stp>0</stp>
        <stp>STK</stp>
        <stp>N145990</stp>
        <stp>등락률</stp>
        <stp/>
        <stp/>
        <tr r="K305" s="3"/>
        <tr r="K492" s="1"/>
      </tp>
      <tp>
        <v>0.63</v>
        <stp/>
        <stp>P</stp>
        <stp>0</stp>
        <stp>STK</stp>
        <stp>N042000</stp>
        <stp>등락률</stp>
        <stp/>
        <stp/>
        <tr r="K367" s="1"/>
      </tp>
      <tp>
        <v>-0.28999999999999998</v>
        <stp/>
        <stp>P</stp>
        <stp>0</stp>
        <stp>STK</stp>
        <stp>N042700</stp>
        <stp>등락률</stp>
        <stp/>
        <stp/>
        <tr r="K51" s="3"/>
        <tr r="K51" s="1"/>
      </tp>
      <tp>
        <v>2.4</v>
        <stp/>
        <stp>P</stp>
        <stp>0</stp>
        <stp>STK</stp>
        <stp>N042660</stp>
        <stp>등락률</stp>
        <stp/>
        <stp/>
        <tr r="K19" s="3"/>
        <tr r="K20" s="1"/>
      </tp>
      <tp>
        <v>-2.46</v>
        <stp/>
        <stp>P</stp>
        <stp>0</stp>
        <stp>STK</stp>
        <stp>N042520</stp>
        <stp>등락률</stp>
        <stp/>
        <stp/>
        <tr r="K604" s="1"/>
      </tp>
      <tp>
        <v>-0.57999999999999996</v>
        <stp/>
        <stp>P</stp>
        <stp>0</stp>
        <stp>STK</stp>
        <stp>N043370</stp>
        <stp>등락률</stp>
        <stp/>
        <stp/>
        <tr r="K650" s="1"/>
      </tp>
      <tp>
        <v>0</v>
        <stp/>
        <stp>P</stp>
        <stp>0</stp>
        <stp>STK</stp>
        <stp>N043150</stp>
        <stp>등락률</stp>
        <stp/>
        <stp/>
        <tr r="K642" s="1"/>
      </tp>
      <tp>
        <v>1.72</v>
        <stp/>
        <stp>P</stp>
        <stp>0</stp>
        <stp>STK</stp>
        <stp>N443060</stp>
        <stp>등락률</stp>
        <stp/>
        <stp/>
        <tr r="K79" s="3"/>
        <tr r="K83" s="1"/>
      </tp>
      <tp>
        <v>0</v>
        <stp/>
        <stp>P</stp>
        <stp>0</stp>
        <stp>STK</stp>
        <stp>N243070</stp>
        <stp>등락률</stp>
        <stp/>
        <stp/>
        <tr r="K611" s="1"/>
      </tp>
      <tp>
        <v>1.25</v>
        <stp/>
        <stp>P</stp>
        <stp>0</stp>
        <stp>STK</stp>
        <stp>N340570</stp>
        <stp>등락률</stp>
        <stp/>
        <stp/>
        <tr r="K572" s="1"/>
      </tp>
      <tp>
        <v>1.02</v>
        <stp/>
        <stp>P</stp>
        <stp>0</stp>
        <stp>STK</stp>
        <stp>N140410</stp>
        <stp>등락률</stp>
        <stp/>
        <stp/>
        <tr r="K151" s="1"/>
      </tp>
      <tp>
        <v>-0.39</v>
        <stp/>
        <stp>P</stp>
        <stp>0</stp>
        <stp>STK</stp>
        <stp>N240810</stp>
        <stp>등락률</stp>
        <stp/>
        <stp/>
        <tr r="K130" s="1"/>
      </tp>
      <tp>
        <v>-0.42</v>
        <stp/>
        <stp>P</stp>
        <stp>0</stp>
        <stp>STK</stp>
        <stp>N140860</stp>
        <stp>등락률</stp>
        <stp/>
        <stp/>
        <tr r="K238" s="1"/>
      </tp>
      <tp>
        <v>0.11</v>
        <stp/>
        <stp>P</stp>
        <stp>0</stp>
        <stp>STK</stp>
        <stp>N441270</stp>
        <stp>등락률</stp>
        <stp/>
        <stp/>
        <tr r="K569" s="1"/>
      </tp>
      <tp>
        <v>1.38</v>
        <stp/>
        <stp>P</stp>
        <stp>0</stp>
        <stp>STK</stp>
        <stp>N041190</stp>
        <stp>등락률</stp>
        <stp/>
        <stp/>
        <tr r="K425" s="1"/>
      </tp>
      <tp>
        <v>1.49</v>
        <stp/>
        <stp>P</stp>
        <stp>0</stp>
        <stp>STK</stp>
        <stp>N141080</stp>
        <stp>등락률</stp>
        <stp/>
        <stp/>
        <tr r="K105" s="1"/>
      </tp>
      <tp>
        <v>1.23</v>
        <stp/>
        <stp>P</stp>
        <stp>0</stp>
        <stp>STK</stp>
        <stp>N241710</stp>
        <stp>등락률</stp>
        <stp/>
        <stp/>
        <tr r="K357" s="1"/>
      </tp>
      <tp>
        <v>0.45</v>
        <stp/>
        <stp>P</stp>
        <stp>0</stp>
        <stp>STK</stp>
        <stp>N241770</stp>
        <stp>등락률</stp>
        <stp/>
        <stp/>
        <tr r="K683" s="1"/>
      </tp>
      <tp>
        <v>0</v>
        <stp/>
        <stp>P</stp>
        <stp>0</stp>
        <stp>STK</stp>
        <stp>N041510</stp>
        <stp>등락률</stp>
        <stp/>
        <stp/>
        <tr r="K177" s="1"/>
      </tp>
      <tp>
        <v>1.33</v>
        <stp/>
        <stp>P</stp>
        <stp>0</stp>
        <stp>STK</stp>
        <stp>N241560</stp>
        <stp>등락률</stp>
        <stp/>
        <stp/>
        <tr r="K93" s="3"/>
        <tr r="K100" s="1"/>
      </tp>
      <tp>
        <v>0.34</v>
        <stp/>
        <stp>P</stp>
        <stp>0</stp>
        <stp>STK</stp>
        <stp>N041830</stp>
        <stp>등락률</stp>
        <stp/>
        <stp/>
        <tr r="K543" s="1"/>
      </tp>
      <tp>
        <v>-1.89</v>
        <stp/>
        <stp>P</stp>
        <stp>0</stp>
        <stp>STK</stp>
        <stp>N058610</stp>
        <stp>등락률</stp>
        <stp/>
        <stp/>
        <tr r="K178" s="1"/>
      </tp>
      <tp>
        <v>-0.75</v>
        <stp/>
        <stp>P</stp>
        <stp>0</stp>
        <stp>STK</stp>
        <stp>N358570</stp>
        <stp>등락률</stp>
        <stp/>
        <stp/>
        <tr r="K336" s="1"/>
      </tp>
      <tp>
        <v>-0.91</v>
        <stp/>
        <stp>P</stp>
        <stp>0</stp>
        <stp>STK</stp>
        <stp>N058470</stp>
        <stp>등락률</stp>
        <stp/>
        <stp/>
        <tr r="K109" s="1"/>
      </tp>
      <tp>
        <v>0</v>
        <stp/>
        <stp>P</stp>
        <stp>0</stp>
        <stp>STK</stp>
        <stp>N058970</stp>
        <stp>등락률</stp>
        <stp/>
        <stp/>
        <tr r="K509" s="1"/>
      </tp>
      <tp>
        <v>-0.56000000000000005</v>
        <stp/>
        <stp>P</stp>
        <stp>0</stp>
        <stp>STK</stp>
        <stp>N458870</stp>
        <stp>등락률</stp>
        <stp/>
        <stp/>
        <tr r="K221" s="1"/>
      </tp>
      <tp>
        <v>0.95</v>
        <stp/>
        <stp>P</stp>
        <stp>0</stp>
        <stp>STK</stp>
        <stp>N059090</stp>
        <stp>등락률</stp>
        <stp/>
        <stp/>
        <tr r="K515" s="1"/>
      </tp>
      <tp>
        <v>-3.31</v>
        <stp/>
        <stp>P</stp>
        <stp>0</stp>
        <stp>STK</stp>
        <stp>N459510</stp>
        <stp>등락률</stp>
        <stp/>
        <stp/>
        <tr r="K490" s="1"/>
      </tp>
      <tp>
        <v>0</v>
        <stp/>
        <stp>P</stp>
        <stp>0</stp>
        <stp>STK</stp>
        <stp>N259960</stp>
        <stp>등락률</stp>
        <stp/>
        <stp/>
        <tr r="K64" s="3"/>
        <tr r="K67" s="1"/>
      </tp>
      <tp>
        <v>-0.95</v>
        <stp/>
        <stp>P</stp>
        <stp>0</stp>
        <stp>STK</stp>
        <stp>N056190</stp>
        <stp>등락률</stp>
        <stp/>
        <stp/>
        <tr r="K327" s="1"/>
      </tp>
      <tp>
        <v>-0.91</v>
        <stp/>
        <stp>P</stp>
        <stp>0</stp>
        <stp>STK</stp>
        <stp>N456160</stp>
        <stp>등락률</stp>
        <stp/>
        <stp/>
        <tr r="K278" s="1"/>
      </tp>
      <tp>
        <v>1.69</v>
        <stp/>
        <stp>P</stp>
        <stp>0</stp>
        <stp>STK</stp>
        <stp>N456040</stp>
        <stp>등락률</stp>
        <stp/>
        <stp/>
        <tr r="K409" s="1"/>
        <tr r="K270" s="3"/>
      </tp>
      <tp>
        <v>0.83</v>
        <stp/>
        <stp>P</stp>
        <stp>0</stp>
        <stp>STK</stp>
        <stp>N356680</stp>
        <stp>등락률</stp>
        <stp/>
        <stp/>
        <tr r="K694" s="1"/>
      </tp>
      <tp>
        <v>-0.72</v>
        <stp/>
        <stp>P</stp>
        <stp>0</stp>
        <stp>STK</stp>
        <stp>N356860</stp>
        <stp>등락률</stp>
        <stp/>
        <stp/>
        <tr r="K453" s="1"/>
      </tp>
      <tp>
        <v>-4.99</v>
        <stp/>
        <stp>P</stp>
        <stp>0</stp>
        <stp>STK</stp>
        <stp>N457190</stp>
        <stp>등락률</stp>
        <stp/>
        <stp/>
        <tr r="K159" s="1"/>
        <tr r="K127" s="3"/>
      </tp>
      <tp>
        <v>-0.19</v>
        <stp/>
        <stp>P</stp>
        <stp>0</stp>
        <stp>STK</stp>
        <stp>N057050</stp>
        <stp>등락률</stp>
        <stp/>
        <stp/>
        <tr r="K410" s="1"/>
        <tr r="K268" s="3"/>
      </tp>
      <tp>
        <v>-0.46</v>
        <stp/>
        <stp>P</stp>
        <stp>0</stp>
        <stp>STK</stp>
        <stp>N357780</stp>
        <stp>등락률</stp>
        <stp/>
        <stp/>
        <tr r="K167" s="1"/>
      </tp>
      <tp>
        <v>-0.21</v>
        <stp/>
        <stp>P</stp>
        <stp>0</stp>
        <stp>STK</stp>
        <stp>N257720</stp>
        <stp>등락률</stp>
        <stp/>
        <stp/>
        <tr r="K156" s="1"/>
      </tp>
      <tp>
        <v>3.83</v>
        <stp/>
        <stp>P</stp>
        <stp>0</stp>
        <stp>STK</stp>
        <stp>N357550</stp>
        <stp>등락률</stp>
        <stp/>
        <stp/>
        <tr r="K609" s="1"/>
      </tp>
      <tp>
        <v>0.59</v>
        <stp/>
        <stp>P</stp>
        <stp>0</stp>
        <stp>STK</stp>
        <stp>N054950</stp>
        <stp>등락률</stp>
        <stp/>
        <stp/>
        <tr r="K614" s="1"/>
      </tp>
      <tp>
        <v>-1.1299999999999999</v>
        <stp/>
        <stp>P</stp>
        <stp>0</stp>
        <stp>STK</stp>
        <stp>N454910</stp>
        <stp>등락률</stp>
        <stp/>
        <stp/>
        <tr r="K87" s="1"/>
        <tr r="K82" s="3"/>
      </tp>
      <tp>
        <v>0.48</v>
        <stp/>
        <stp>P</stp>
        <stp>0</stp>
        <stp>STK</stp>
        <stp>N055550</stp>
        <stp>등락률</stp>
        <stp/>
        <stp/>
        <tr r="K22" s="1"/>
        <tr r="K22" s="3"/>
      </tp>
      <tp>
        <v>0.13</v>
        <stp/>
        <stp>P</stp>
        <stp>0</stp>
        <stp>STK</stp>
        <stp>N455900</stp>
        <stp>등락률</stp>
        <stp/>
        <stp/>
        <tr r="K415" s="1"/>
      </tp>
      <tp>
        <v>0.37</v>
        <stp/>
        <stp>P</stp>
        <stp>0</stp>
        <stp>STK</stp>
        <stp>N052690</stp>
        <stp>등락률</stp>
        <stp/>
        <stp/>
        <tr r="K104" s="1"/>
        <tr r="K99" s="3"/>
      </tp>
      <tp>
        <v>0</v>
        <stp/>
        <stp>P</stp>
        <stp>0</stp>
        <stp>STK</stp>
        <stp>N352480</stp>
        <stp>등락률</stp>
        <stp/>
        <stp/>
        <tr r="K528" s="1"/>
      </tp>
      <tp>
        <v>0.94</v>
        <stp/>
        <stp>P</stp>
        <stp>0</stp>
        <stp>STK</stp>
        <stp>N052400</stp>
        <stp>등락률</stp>
        <stp/>
        <stp/>
        <tr r="K418" s="1"/>
      </tp>
      <tp>
        <v>1.04</v>
        <stp/>
        <stp>P</stp>
        <stp>0</stp>
        <stp>STK</stp>
        <stp>N452430</stp>
        <stp>등락률</stp>
        <stp/>
        <stp/>
        <tr r="K658" s="1"/>
      </tp>
      <tp>
        <v>4.34</v>
        <stp/>
        <stp>P</stp>
        <stp>0</stp>
        <stp>STK</stp>
        <stp>N352820</stp>
        <stp>등락률</stp>
        <stp/>
        <stp/>
        <tr r="K53" s="3"/>
        <tr r="K56" s="1"/>
      </tp>
      <tp>
        <v>0</v>
        <stp/>
        <stp>P</stp>
        <stp>0</stp>
        <stp>STK</stp>
        <stp>N453340</stp>
        <stp>등락률</stp>
        <stp/>
        <stp/>
        <tr r="K300" s="3"/>
        <tr r="K480" s="1"/>
      </tp>
      <tp>
        <v>-1.39</v>
        <stp/>
        <stp>P</stp>
        <stp>0</stp>
        <stp>STK</stp>
        <stp>N353200</stp>
        <stp>등락률</stp>
        <stp/>
        <stp/>
        <tr r="K153" s="3"/>
        <tr r="K176" s="1"/>
      </tp>
      <tp>
        <v>0.37</v>
        <stp/>
        <stp>P</stp>
        <stp>0</stp>
        <stp>STK</stp>
        <stp>N053030</stp>
        <stp>등락률</stp>
        <stp/>
        <stp/>
        <tr r="K506" s="1"/>
      </tp>
      <tp>
        <v>-1.34</v>
        <stp/>
        <stp>P</stp>
        <stp>0</stp>
        <stp>STK</stp>
        <stp>N053610</stp>
        <stp>등락률</stp>
        <stp/>
        <stp/>
        <tr r="K538" s="1"/>
      </tp>
      <tp>
        <v>0.09</v>
        <stp/>
        <stp>P</stp>
        <stp>0</stp>
        <stp>STK</stp>
        <stp>N253590</stp>
        <stp>등락률</stp>
        <stp/>
        <stp/>
        <tr r="K474" s="1"/>
      </tp>
      <tp>
        <v>0.77</v>
        <stp/>
        <stp>P</stp>
        <stp>0</stp>
        <stp>STK</stp>
        <stp>N253450</stp>
        <stp>등락률</stp>
        <stp/>
        <stp/>
        <tr r="K261" s="1"/>
      </tp>
      <tp>
        <v>0.67</v>
        <stp/>
        <stp>P</stp>
        <stp>0</stp>
        <stp>STK</stp>
        <stp>N053800</stp>
        <stp>등락률</stp>
        <stp/>
        <stp/>
        <tr r="K401" s="1"/>
      </tp>
      <tp>
        <v>-0.32</v>
        <stp/>
        <stp>P</stp>
        <stp>0</stp>
        <stp>STK</stp>
        <stp>N450080</stp>
        <stp>등락률</stp>
        <stp/>
        <stp/>
        <tr r="K109" s="3"/>
        <tr r="K121" s="1"/>
      </tp>
      <tp>
        <v>0.46</v>
        <stp/>
        <stp>P</stp>
        <stp>0</stp>
        <stp>STK</stp>
        <stp>N450950</stp>
        <stp>등락률</stp>
        <stp/>
        <stp/>
        <tr r="K498" s="1"/>
      </tp>
      <tp>
        <v>0.79</v>
        <stp/>
        <stp>P</stp>
        <stp>0</stp>
        <stp>STK</stp>
        <stp>N050890</stp>
        <stp>등락률</stp>
        <stp/>
        <stp/>
        <tr r="K493" s="1"/>
      </tp>
      <tp>
        <v>0.52</v>
        <stp/>
        <stp>P</stp>
        <stp>0</stp>
        <stp>STK</stp>
        <stp>N051360</stp>
        <stp>등락률</stp>
        <stp/>
        <stp/>
        <tr r="K672" s="1"/>
      </tp>
      <tp>
        <v>-0.39</v>
        <stp/>
        <stp>P</stp>
        <stp>0</stp>
        <stp>STK</stp>
        <stp>N251270</stp>
        <stp>등락률</stp>
        <stp/>
        <stp/>
        <tr r="K120" s="1"/>
        <tr r="K108" s="3"/>
      </tp>
      <tp>
        <v>-0.52</v>
        <stp/>
        <stp>P</stp>
        <stp>0</stp>
        <stp>STK</stp>
        <stp>N051600</stp>
        <stp>등락률</stp>
        <stp/>
        <stp/>
        <tr r="K142" s="3"/>
        <tr r="K166" s="1"/>
      </tp>
      <tp>
        <v>0.95</v>
        <stp/>
        <stp>P</stp>
        <stp>0</stp>
        <stp>STK</stp>
        <stp>N051500</stp>
        <stp>등락률</stp>
        <stp/>
        <stp/>
        <tr r="K605" s="1"/>
      </tp>
      <tp>
        <v>1.28</v>
        <stp/>
        <stp>P</stp>
        <stp>0</stp>
        <stp>STK</stp>
        <stp>N051910</stp>
        <stp>등락률</stp>
        <stp/>
        <stp/>
        <tr r="K33" s="1"/>
        <tr r="K33" s="3"/>
      </tp>
      <tp>
        <v>-0.91</v>
        <stp/>
        <stp>P</stp>
        <stp>0</stp>
        <stp>STK</stp>
        <stp>N051900</stp>
        <stp>등락률</stp>
        <stp/>
        <stp/>
        <tr r="K114" s="3"/>
        <tr r="K124" s="1"/>
      </tp>
      <tp>
        <v>-1.68</v>
        <stp/>
        <stp>P</stp>
        <stp>0</stp>
        <stp>STK</stp>
        <stp>N251970</stp>
        <stp>등락률</stp>
        <stp/>
        <stp/>
        <tr r="K393" s="1"/>
      </tp>
      <tp>
        <v>-1.02</v>
        <stp/>
        <stp>P</stp>
        <stp>0</stp>
        <stp>STK</stp>
        <stp>N168360</stp>
        <stp>등락률</stp>
        <stp/>
        <stp/>
        <tr r="K582" s="1"/>
      </tp>
      <tp>
        <v>-0.22</v>
        <stp/>
        <stp>P</stp>
        <stp>0</stp>
        <stp>STK</stp>
        <stp>N268280</stp>
        <stp>등락률</stp>
        <stp/>
        <stp/>
        <tr r="K265" s="3"/>
        <tr r="K388" s="1"/>
      </tp>
      <tp>
        <v>-0.48</v>
        <stp/>
        <stp>P</stp>
        <stp>0</stp>
        <stp>STK</stp>
        <stp>N068270</stp>
        <stp>등락률</stp>
        <stp/>
        <stp/>
        <tr r="K18" s="1"/>
        <tr r="K18" s="3"/>
      </tp>
      <tp>
        <v>0.16</v>
        <stp/>
        <stp>P</stp>
        <stp>0</stp>
        <stp>STK</stp>
        <stp>N068760</stp>
        <stp>등락률</stp>
        <stp/>
        <stp/>
        <tr r="K168" s="1"/>
      </tp>
      <tp>
        <v>1.79</v>
        <stp/>
        <stp>P</stp>
        <stp>0</stp>
        <stp>STK</stp>
        <stp>N468530</stp>
        <stp>등락률</stp>
        <stp/>
        <stp/>
        <tr r="K337" s="1"/>
      </tp>
      <tp>
        <v>0.65</v>
        <stp/>
        <stp>P</stp>
        <stp>0</stp>
        <stp>STK</stp>
        <stp>N069260</stp>
        <stp>등락률</stp>
        <stp/>
        <stp/>
        <tr r="K251" s="3"/>
        <tr r="K369" s="1"/>
      </tp>
      <tp>
        <v>1.6</v>
        <stp/>
        <stp>P</stp>
        <stp>0</stp>
        <stp>STK</stp>
        <stp>N069080</stp>
        <stp>등락률</stp>
        <stp/>
        <stp/>
        <tr r="K523" s="1"/>
      </tp>
      <tp>
        <v>0.18</v>
        <stp/>
        <stp>P</stp>
        <stp>0</stp>
        <stp>STK</stp>
        <stp>N069620</stp>
        <stp>등락률</stp>
        <stp/>
        <stp/>
        <tr r="K175" s="3"/>
        <tr r="K217" s="1"/>
      </tp>
      <tp>
        <v>1.0900000000000001</v>
        <stp/>
        <stp>P</stp>
        <stp>0</stp>
        <stp>STK</stp>
        <stp>N469610</stp>
        <stp>등락률</stp>
        <stp/>
        <stp/>
        <tr r="K696" s="1"/>
      </tp>
      <tp>
        <v>0</v>
        <stp/>
        <stp>P</stp>
        <stp>0</stp>
        <stp>STK</stp>
        <stp>N069960</stp>
        <stp>등락률</stp>
        <stp/>
        <stp/>
        <tr r="K169" s="3"/>
        <tr r="K203" s="1"/>
      </tp>
      <tp>
        <v>-2.2799999999999998</v>
        <stp/>
        <stp>P</stp>
        <stp>0</stp>
        <stp>STK</stp>
        <stp>N466100</stp>
        <stp>등락률</stp>
        <stp/>
        <stp/>
        <tr r="K216" s="1"/>
      </tp>
      <tp>
        <v>-0.94</v>
        <stp/>
        <stp>P</stp>
        <stp>0</stp>
        <stp>STK</stp>
        <stp>N166090</stp>
        <stp>등락률</stp>
        <stp/>
        <stp/>
        <tr r="K300" s="1"/>
      </tp>
      <tp>
        <v>-0.19</v>
        <stp/>
        <stp>P</stp>
        <stp>0</stp>
        <stp>STK</stp>
        <stp>N066570</stp>
        <stp>등락률</stp>
        <stp/>
        <stp/>
        <tr r="K45" s="1"/>
        <tr r="K46" s="3"/>
      </tp>
      <tp>
        <v>-0.71</v>
        <stp/>
        <stp>P</stp>
        <stp>0</stp>
        <stp>STK</stp>
        <stp>N066970</stp>
        <stp>등락률</stp>
        <stp/>
        <stp/>
        <tr r="K115" s="1"/>
        <tr r="K102" s="3"/>
      </tp>
      <tp>
        <v>-0.59</v>
        <stp/>
        <stp>P</stp>
        <stp>0</stp>
        <stp>STK</stp>
        <stp>N067310</stp>
        <stp>등락률</stp>
        <stp/>
        <stp/>
        <tr r="K230" s="1"/>
      </tp>
      <tp>
        <v>4.62</v>
        <stp/>
        <stp>P</stp>
        <stp>0</stp>
        <stp>STK</stp>
        <stp>N267270</stp>
        <stp>등락률</stp>
        <stp/>
        <stp/>
        <tr r="K213" s="1"/>
        <tr r="K174" s="3"/>
      </tp>
      <tp>
        <v>-1.69</v>
        <stp/>
        <stp>P</stp>
        <stp>0</stp>
        <stp>STK</stp>
        <stp>N267260</stp>
        <stp>등락률</stp>
        <stp/>
        <stp/>
        <tr r="K26" s="3"/>
        <tr r="K26" s="1"/>
      </tp>
      <tp>
        <v>0.41</v>
        <stp/>
        <stp>P</stp>
        <stp>0</stp>
        <stp>STK</stp>
        <stp>N267250</stp>
        <stp>등락률</stp>
        <stp/>
        <stp/>
        <tr r="K41" s="3"/>
        <tr r="K41" s="1"/>
      </tp>
      <tp>
        <v>0.92</v>
        <stp/>
        <stp>P</stp>
        <stp>0</stp>
        <stp>STK</stp>
        <stp>N067160</stp>
        <stp>등락률</stp>
        <stp/>
        <stp/>
        <tr r="K370" s="1"/>
      </tp>
      <tp>
        <v>-0.13</v>
        <stp/>
        <stp>P</stp>
        <stp>0</stp>
        <stp>STK</stp>
        <stp>N067080</stp>
        <stp>등락률</stp>
        <stp/>
        <stp/>
        <tr r="K620" s="1"/>
      </tp>
      <tp>
        <v>-0.72</v>
        <stp/>
        <stp>P</stp>
        <stp>0</stp>
        <stp>STK</stp>
        <stp>N267980</stp>
        <stp>등락률</stp>
        <stp/>
        <stp/>
        <tr r="K655" s="1"/>
      </tp>
      <tp>
        <v>-0.48</v>
        <stp/>
        <stp>P</stp>
        <stp>0</stp>
        <stp>STK</stp>
        <stp>N064350</stp>
        <stp>등락률</stp>
        <stp/>
        <stp/>
        <tr r="K34" s="3"/>
        <tr r="K34" s="1"/>
      </tp>
      <tp>
        <v>-0.46</v>
        <stp/>
        <stp>P</stp>
        <stp>0</stp>
        <stp>STK</stp>
        <stp>N064760</stp>
        <stp>등락률</stp>
        <stp/>
        <stp/>
        <tr r="K215" s="1"/>
      </tp>
      <tp>
        <v>0.67</v>
        <stp/>
        <stp>P</stp>
        <stp>0</stp>
        <stp>STK</stp>
        <stp>N064550</stp>
        <stp>등락률</stp>
        <stp/>
        <stp/>
        <tr r="K613" s="1"/>
      </tp>
      <tp>
        <v>1.76</v>
        <stp/>
        <stp>P</stp>
        <stp>0</stp>
        <stp>STK</stp>
        <stp>N064400</stp>
        <stp>등락률</stp>
        <stp/>
        <stp/>
        <tr r="K91" s="1"/>
        <tr r="K89" s="3"/>
      </tp>
      <tp>
        <v>2.76</v>
        <stp/>
        <stp>P</stp>
        <stp>0</stp>
        <stp>STK</stp>
        <stp>N064960</stp>
        <stp>등락률</stp>
        <stp/>
        <stp/>
        <tr r="K226" s="3"/>
        <tr r="K299" s="1"/>
      </tp>
      <tp>
        <v>1.93</v>
        <stp/>
        <stp>P</stp>
        <stp>0</stp>
        <stp>STK</stp>
        <stp>N064820</stp>
        <stp>등락률</stp>
        <stp/>
        <stp/>
        <tr r="K548" s="1"/>
      </tp>
      <tp>
        <v>-0.34</v>
        <stp/>
        <stp>P</stp>
        <stp>0</stp>
        <stp>STK</stp>
        <stp>N065350</stp>
        <stp>등락률</stp>
        <stp/>
        <stp/>
        <tr r="K239" s="1"/>
      </tp>
      <tp>
        <v>-3.16</v>
        <stp/>
        <stp>P</stp>
        <stp>0</stp>
        <stp>STK</stp>
        <stp>N365340</stp>
        <stp>등락률</stp>
        <stp/>
        <stp/>
        <tr r="K419" s="1"/>
      </tp>
      <tp>
        <v>1.1599999999999999</v>
        <stp/>
        <stp>P</stp>
        <stp>0</stp>
        <stp>STK</stp>
        <stp>N065680</stp>
        <stp>등락률</stp>
        <stp/>
        <stp/>
        <tr r="K635" s="1"/>
      </tp>
      <tp>
        <v>0.13</v>
        <stp/>
        <stp>P</stp>
        <stp>0</stp>
        <stp>STK</stp>
        <stp>N065660</stp>
        <stp>등락률</stp>
        <stp/>
        <stp/>
        <tr r="K553" s="1"/>
      </tp>
      <tp>
        <v>0.05</v>
        <stp/>
        <stp>P</stp>
        <stp>0</stp>
        <stp>STK</stp>
        <stp>N265520</stp>
        <stp>등락률</stp>
        <stp/>
        <stp/>
        <tr r="K639" s="1"/>
      </tp>
      <tp>
        <v>-7.0000000000000007E-2</v>
        <stp/>
        <stp>P</stp>
        <stp>0</stp>
        <stp>STK</stp>
        <stp>N062040</stp>
        <stp>등락률</stp>
        <stp/>
        <stp/>
        <tr r="K112" s="3"/>
        <tr r="K119" s="1"/>
      </tp>
      <tp>
        <v>0.15</v>
        <stp/>
        <stp>P</stp>
        <stp>0</stp>
        <stp>STK</stp>
        <stp>N462870</stp>
        <stp>등락률</stp>
        <stp/>
        <stp/>
        <tr r="K172" s="3"/>
        <tr r="K214" s="1"/>
      </tp>
      <tp>
        <v>1.4</v>
        <stp/>
        <stp>P</stp>
        <stp>0</stp>
        <stp>STK</stp>
        <stp>N263750</stp>
        <stp>등락률</stp>
        <stp/>
        <stp/>
        <tr r="K162" s="1"/>
      </tp>
      <tp>
        <v>-0.73</v>
        <stp/>
        <stp>P</stp>
        <stp>0</stp>
        <stp>STK</stp>
        <stp>N060370</stp>
        <stp>등락률</stp>
        <stp/>
        <stp/>
        <tr r="K253" s="1"/>
      </tp>
      <tp>
        <v>0.05</v>
        <stp/>
        <stp>P</stp>
        <stp>0</stp>
        <stp>STK</stp>
        <stp>N060280</stp>
        <stp>등락률</stp>
        <stp/>
        <stp/>
        <tr r="K346" s="1"/>
      </tp>
      <tp>
        <v>0.84</v>
        <stp/>
        <stp>P</stp>
        <stp>0</stp>
        <stp>STK</stp>
        <stp>N060250</stp>
        <stp>등락률</stp>
        <stp/>
        <stp/>
        <tr r="K437" s="1"/>
      </tp>
      <tp>
        <v>0.87</v>
        <stp/>
        <stp>P</stp>
        <stp>0</stp>
        <stp>STK</stp>
        <stp>N160190</stp>
        <stp>등락률</stp>
        <stp/>
        <stp/>
        <tr r="K190" s="1"/>
      </tp>
      <tp>
        <v>-0.86</v>
        <stp/>
        <stp>P</stp>
        <stp>0</stp>
        <stp>STK</stp>
        <stp>N060720</stp>
        <stp>등락률</stp>
        <stp/>
        <stp/>
        <tr r="K570" s="1"/>
      </tp>
      <tp>
        <v>-0.32</v>
        <stp/>
        <stp>P</stp>
        <stp>0</stp>
        <stp>STK</stp>
        <stp>N060980</stp>
        <stp>등락률</stp>
        <stp/>
        <stp/>
        <tr r="K312" s="3"/>
        <tr r="K505" s="1"/>
      </tp>
      <tp>
        <v>0.71</v>
        <stp/>
        <stp>P</stp>
        <stp>0</stp>
        <stp>STK</stp>
        <stp>N460930</stp>
        <stp>등락률</stp>
        <stp/>
        <stp/>
        <tr r="K396" s="1"/>
      </tp>
      <tp>
        <v>1.47</v>
        <stp/>
        <stp>P</stp>
        <stp>0</stp>
        <stp>STK</stp>
        <stp>N460860</stp>
        <stp>등락률</stp>
        <stp/>
        <stp/>
        <tr r="K319" s="3"/>
        <tr r="K533" s="1"/>
      </tp>
      <tp>
        <v>0.9</v>
        <stp/>
        <stp>P</stp>
        <stp>0</stp>
        <stp>STK</stp>
        <stp>N161390</stp>
        <stp>등락률</stp>
        <stp/>
        <stp/>
        <tr r="K77" s="3"/>
        <tr r="K81" s="1"/>
      </tp>
      <tp>
        <v>0.47</v>
        <stp/>
        <stp>P</stp>
        <stp>0</stp>
        <stp>STK</stp>
        <stp>N061090</stp>
        <stp>등락률</stp>
        <stp/>
        <stp/>
        <tr r="K679" s="1"/>
      </tp>
      <tp>
        <v>-1.66</v>
        <stp/>
        <stp>P</stp>
        <stp>0</stp>
        <stp>STK</stp>
        <stp>N161000</stp>
        <stp>등락률</stp>
        <stp/>
        <stp/>
        <tr r="K308" s="3"/>
        <tr r="K521" s="1"/>
      </tp>
      <tp>
        <v>-0.19</v>
        <stp/>
        <stp>P</stp>
        <stp>0</stp>
        <stp>STK</stp>
        <stp>N361610</stp>
        <stp>등락률</stp>
        <stp/>
        <stp/>
        <tr r="K211" s="1"/>
        <tr r="K168" s="3"/>
      </tp>
      <tp>
        <v>-2.71</v>
        <stp/>
        <stp>P</stp>
        <stp>0</stp>
        <stp>STK</stp>
        <stp>N161580</stp>
        <stp>등락률</stp>
        <stp/>
        <stp/>
        <tr r="K311" s="1"/>
      </tp>
      <tp>
        <v>-0.45</v>
        <stp/>
        <stp>P</stp>
        <stp>0</stp>
        <stp>STK</stp>
        <stp>N161890</stp>
        <stp>등락률</stp>
        <stp/>
        <stp/>
        <tr r="K245" s="1"/>
        <tr r="K193" s="3"/>
      </tp>
      <tp>
        <v>5.28</v>
        <stp/>
        <stp>P</stp>
        <stp>0</stp>
        <stp>STK</stp>
        <stp>N478340</stp>
        <stp>등락률</stp>
        <stp/>
        <stp/>
        <tr r="K422" s="1"/>
      </tp>
      <tp>
        <v>-1.87</v>
        <stp/>
        <stp>P</stp>
        <stp>0</stp>
        <stp>STK</stp>
        <stp>N178320</stp>
        <stp>등락률</stp>
        <stp/>
        <stp/>
        <tr r="K228" s="1"/>
      </tp>
      <tp>
        <v>-0.22</v>
        <stp/>
        <stp>P</stp>
        <stp>0</stp>
        <stp>STK</stp>
        <stp>N078350</stp>
        <stp>등락률</stp>
        <stp/>
        <stp/>
        <tr r="K566" s="1"/>
      </tp>
      <tp>
        <v>0.31</v>
        <stp/>
        <stp>P</stp>
        <stp>0</stp>
        <stp>STK</stp>
        <stp>N078340</stp>
        <stp>등락률</stp>
        <stp/>
        <stp/>
        <tr r="K540" s="1"/>
      </tp>
      <tp>
        <v>17.71</v>
        <stp/>
        <stp>P</stp>
        <stp>0</stp>
        <stp>STK</stp>
        <stp>N378340</stp>
        <stp>등락률</stp>
        <stp/>
        <stp/>
        <tr r="K648" s="1"/>
      </tp>
      <tp>
        <v>1.92</v>
        <stp/>
        <stp>P</stp>
        <stp>0</stp>
        <stp>STK</stp>
        <stp>N278280</stp>
        <stp>등락률</stp>
        <stp/>
        <stp/>
        <tr r="K434" s="1"/>
      </tp>
      <tp>
        <v>0.54</v>
        <stp/>
        <stp>P</stp>
        <stp>0</stp>
        <stp>STK</stp>
        <stp>N078160</stp>
        <stp>등락률</stp>
        <stp/>
        <stp/>
        <tr r="K435" s="1"/>
      </tp>
      <tp>
        <v>10.75</v>
        <stp/>
        <stp>P</stp>
        <stp>0</stp>
        <stp>STK</stp>
        <stp>N078600</stp>
        <stp>등락률</stp>
        <stp/>
        <stp/>
        <tr r="K317" s="1"/>
      </tp>
      <tp>
        <v>-0.9</v>
        <stp/>
        <stp>P</stp>
        <stp>0</stp>
        <stp>STK</stp>
        <stp>N078520</stp>
        <stp>등락률</stp>
        <stp/>
        <stp/>
        <tr r="K670" s="1"/>
        <tr r="K368" s="3"/>
      </tp>
      <tp>
        <v>0.35</v>
        <stp/>
        <stp>P</stp>
        <stp>0</stp>
        <stp>STK</stp>
        <stp>N278470</stp>
        <stp>등락률</stp>
        <stp/>
        <stp/>
        <tr r="K74" s="1"/>
        <tr r="K67" s="3"/>
      </tp>
      <tp>
        <v>-0.98</v>
        <stp/>
        <stp>P</stp>
        <stp>0</stp>
        <stp>STK</stp>
        <stp>N078930</stp>
        <stp>등락률</stp>
        <stp/>
        <stp/>
        <tr r="K94" s="3"/>
        <tr r="K101" s="1"/>
      </tp>
      <tp>
        <v>0.99</v>
        <stp/>
        <stp>P</stp>
        <stp>0</stp>
        <stp>STK</stp>
        <stp>N178920</stp>
        <stp>등락률</stp>
        <stp/>
        <stp/>
        <tr r="K307" s="3"/>
        <tr r="K501" s="1"/>
      </tp>
      <tp>
        <v>0.39</v>
        <stp/>
        <stp>P</stp>
        <stp>0</stp>
        <stp>STK</stp>
        <stp>N079370</stp>
        <stp>등락률</stp>
        <stp/>
        <stp/>
        <tr r="K487" s="1"/>
      </tp>
      <tp>
        <v>1.32</v>
        <stp/>
        <stp>P</stp>
        <stp>0</stp>
        <stp>STK</stp>
        <stp>N079550</stp>
        <stp>등락률</stp>
        <stp/>
        <stp/>
        <tr r="K66" s="1"/>
        <tr r="K62" s="3"/>
      </tp>
      <tp>
        <v>1.71</v>
        <stp/>
        <stp>P</stp>
        <stp>0</stp>
        <stp>STK</stp>
        <stp>N179900</stp>
        <stp>등락률</stp>
        <stp/>
        <stp/>
        <tr r="K525" s="1"/>
      </tp>
      <tp>
        <v>10.08</v>
        <stp/>
        <stp>P</stp>
        <stp>0</stp>
        <stp>STK</stp>
        <stp>N079900</stp>
        <stp>등락률</stp>
        <stp/>
        <stp/>
        <tr r="K259" s="3"/>
        <tr r="K382" s="1"/>
      </tp>
      <tp>
        <v>0.79</v>
        <stp/>
        <stp>P</stp>
        <stp>0</stp>
        <stp>STK</stp>
        <stp>N079940</stp>
        <stp>등락률</stp>
        <stp/>
        <stp/>
        <tr r="K517" s="1"/>
      </tp>
      <tp>
        <v>2.2999999999999998</v>
        <stp/>
        <stp>P</stp>
        <stp>0</stp>
        <stp>STK</stp>
        <stp>N376300</stp>
        <stp>등락률</stp>
        <stp/>
        <stp/>
        <tr r="K364" s="1"/>
      </tp>
      <tp>
        <v>1.29</v>
        <stp/>
        <stp>P</stp>
        <stp>0</stp>
        <stp>STK</stp>
        <stp>N376270</stp>
        <stp>등락률</stp>
        <stp/>
        <stp/>
        <tr r="K552" s="1"/>
      </tp>
      <tp>
        <v>0.51</v>
        <stp/>
        <stp>P</stp>
        <stp>0</stp>
        <stp>STK</stp>
        <stp>N476060</stp>
        <stp>등락률</stp>
        <stp/>
        <stp/>
        <tr r="K340" s="1"/>
      </tp>
      <tp>
        <v>1.51</v>
        <stp/>
        <stp>P</stp>
        <stp>0</stp>
        <stp>STK</stp>
        <stp>N176750</stp>
        <stp>등락률</stp>
        <stp/>
        <stp/>
        <tr r="K675" s="1"/>
      </tp>
      <tp>
        <v>-2.4700000000000002</v>
        <stp/>
        <stp>P</stp>
        <stp>0</stp>
        <stp>STK</stp>
        <stp>N376900</stp>
        <stp>등락률</stp>
        <stp/>
        <stp/>
        <tr r="K310" s="1"/>
      </tp>
      <tp>
        <v>1.67</v>
        <stp/>
        <stp>P</stp>
        <stp>0</stp>
        <stp>STK</stp>
        <stp>N476830</stp>
        <stp>등락률</stp>
        <stp/>
        <stp/>
        <tr r="K209" s="1"/>
      </tp>
      <tp>
        <v>3.07</v>
        <stp/>
        <stp>P</stp>
        <stp>0</stp>
        <stp>STK</stp>
        <stp>N377300</stp>
        <stp>등락률</stp>
        <stp/>
        <stp/>
        <tr r="K92" s="1"/>
        <tr r="K86" s="3"/>
      </tp>
      <tp>
        <v>1.62</v>
        <stp/>
        <stp>P</stp>
        <stp>0</stp>
        <stp>STK</stp>
        <stp>N077970</stp>
        <stp>등락률</stp>
        <stp/>
        <stp/>
        <tr r="K246" s="1"/>
        <tr r="K197" s="3"/>
      </tp>
      <tp>
        <v>-0.5</v>
        <stp/>
        <stp>P</stp>
        <stp>0</stp>
        <stp>STK</stp>
        <stp>N277810</stp>
        <stp>등락률</stp>
        <stp/>
        <stp/>
        <tr r="K71" s="1"/>
      </tp>
      <tp>
        <v>-1.67</v>
        <stp/>
        <stp>P</stp>
        <stp>0</stp>
        <stp>STK</stp>
        <stp>N074600</stp>
        <stp>등락률</stp>
        <stp/>
        <stp/>
        <tr r="K405" s="1"/>
      </tp>
      <tp>
        <v>1.04</v>
        <stp/>
        <stp>P</stp>
        <stp>0</stp>
        <stp>STK</stp>
        <stp>N175330</stp>
        <stp>등락률</stp>
        <stp/>
        <stp/>
        <tr r="K118" s="1"/>
        <tr r="K107" s="3"/>
      </tp>
      <tp>
        <v>2.09</v>
        <stp/>
        <stp>P</stp>
        <stp>0</stp>
        <stp>STK</stp>
        <stp>N475150</stp>
        <stp>등락률</stp>
        <stp/>
        <stp/>
        <tr r="K399" s="1"/>
        <tr r="K267" s="3"/>
      </tp>
      <tp>
        <v>1.8</v>
        <stp/>
        <stp>P</stp>
        <stp>0</stp>
        <stp>STK</stp>
        <stp>N075580</stp>
        <stp>등락률</stp>
        <stp/>
        <stp/>
        <tr r="K296" s="1"/>
        <tr r="K222" s="3"/>
      </tp>
      <tp>
        <v>2.73</v>
        <stp/>
        <stp>P</stp>
        <stp>0</stp>
        <stp>STK</stp>
        <stp>N375500</stp>
        <stp>등락률</stp>
        <stp/>
        <stp/>
        <tr r="K187" s="3"/>
        <tr r="K235" s="1"/>
      </tp>
      <tp>
        <v>0.21</v>
        <stp/>
        <stp>P</stp>
        <stp>0</stp>
        <stp>STK</stp>
        <stp>N475560</stp>
        <stp>등락률</stp>
        <stp/>
        <stp/>
        <tr r="K571" s="1"/>
        <tr r="K334" s="3"/>
      </tp>
      <tp>
        <v>-1.88</v>
        <stp/>
        <stp>P</stp>
        <stp>0</stp>
        <stp>STK</stp>
        <stp>N475400</stp>
        <stp>등락률</stp>
        <stp/>
        <stp/>
        <tr r="K460" s="1"/>
      </tp>
      <tp>
        <v>0</v>
        <stp/>
        <stp>P</stp>
        <stp>0</stp>
        <stp>STK</stp>
        <stp>N475960</stp>
        <stp>등락률</stp>
        <stp/>
        <stp/>
        <tr r="K428" s="1"/>
      </tp>
      <tp>
        <v>2.76</v>
        <stp/>
        <stp>P</stp>
        <stp>0</stp>
        <stp>STK</stp>
        <stp>N475830</stp>
        <stp>등락률</stp>
        <stp/>
        <stp/>
        <tr r="K197" s="1"/>
      </tp>
      <tp>
        <v>0.91</v>
        <stp/>
        <stp>P</stp>
        <stp>0</stp>
        <stp>STK</stp>
        <stp>N372320</stp>
        <stp>등락률</stp>
        <stp/>
        <stp/>
        <tr r="K400" s="1"/>
      </tp>
      <tp>
        <v>3.72</v>
        <stp/>
        <stp>P</stp>
        <stp>0</stp>
        <stp>STK</stp>
        <stp>N272290</stp>
        <stp>등락률</stp>
        <stp/>
        <stp/>
        <tr r="K469" s="1"/>
      </tp>
      <tp>
        <v>2.83</v>
        <stp/>
        <stp>P</stp>
        <stp>0</stp>
        <stp>STK</stp>
        <stp>N272210</stp>
        <stp>등락률</stp>
        <stp/>
        <stp/>
        <tr r="K50" s="1"/>
        <tr r="K49" s="3"/>
      </tp>
      <tp>
        <v>1.56</v>
        <stp/>
        <stp>P</stp>
        <stp>0</stp>
        <stp>STK</stp>
        <stp>N372170</stp>
        <stp>등락률</stp>
        <stp/>
        <stp/>
        <tr r="K677" s="1"/>
      </tp>
      <tp>
        <v>0.8</v>
        <stp/>
        <stp>P</stp>
        <stp>0</stp>
        <stp>STK</stp>
        <stp>N072710</stp>
        <stp>등락률</stp>
        <stp/>
        <stp/>
        <tr r="K536" s="1"/>
        <tr r="K320" s="3"/>
      </tp>
      <tp>
        <v>0.99</v>
        <stp/>
        <stp>P</stp>
        <stp>0</stp>
        <stp>STK</stp>
        <stp>N472850</stp>
        <stp>등락률</stp>
        <stp/>
        <stp/>
        <tr r="K637" s="1"/>
      </tp>
      <tp>
        <v>1.32</v>
        <stp/>
        <stp>P</stp>
        <stp>0</stp>
        <stp>STK</stp>
        <stp>N373220</stp>
        <stp>등락률</stp>
        <stp/>
        <stp/>
        <tr r="K9" s="3"/>
        <tr r="K9" s="1"/>
      </tp>
      <tp>
        <v>0</v>
        <stp/>
        <stp>P</stp>
        <stp>0</stp>
        <stp>STK</stp>
        <stp>N073240</stp>
        <stp>등락률</stp>
        <stp/>
        <stp/>
        <tr r="K224" s="1"/>
        <tr r="K180" s="3"/>
      </tp>
      <tp>
        <v>0.95</v>
        <stp/>
        <stp>P</stp>
        <stp>0</stp>
        <stp>STK</stp>
        <stp>N473980</stp>
        <stp>등락률</stp>
        <stp/>
        <stp/>
        <tr r="K646" s="1"/>
      </tp>
      <tp>
        <v>5.63</v>
        <stp/>
        <stp>P</stp>
        <stp>0</stp>
        <stp>STK</stp>
        <stp>N270660</stp>
        <stp>등락률</stp>
        <stp/>
        <stp/>
        <tr r="K539" s="1"/>
      </tp>
      <tp>
        <v>0</v>
        <stp/>
        <stp>P</stp>
        <stp>0</stp>
        <stp>STK</stp>
        <stp>N170900</stp>
        <stp>등락률</stp>
        <stp/>
        <stp/>
        <tr r="K496" s="1"/>
        <tr r="K310" s="3"/>
      </tp>
      <tp>
        <v>-0.82</v>
        <stp/>
        <stp>P</stp>
        <stp>0</stp>
        <stp>STK</stp>
        <stp>N071320</stp>
        <stp>등락률</stp>
        <stp/>
        <stp/>
        <tr r="K271" s="1"/>
        <tr r="K209" s="3"/>
      </tp>
      <tp>
        <v>1.03</v>
        <stp/>
        <stp>P</stp>
        <stp>0</stp>
        <stp>STK</stp>
        <stp>N171090</stp>
        <stp>등락률</stp>
        <stp/>
        <stp/>
        <tr r="K456" s="1"/>
      </tp>
      <tp>
        <v>2.09</v>
        <stp/>
        <stp>P</stp>
        <stp>0</stp>
        <stp>STK</stp>
        <stp>N071050</stp>
        <stp>등락률</stp>
        <stp/>
        <stp/>
        <tr r="K68" s="3"/>
        <tr r="K70" s="1"/>
      </tp>
      <tp>
        <v>-0.09</v>
        <stp/>
        <stp>P</stp>
        <stp>0</stp>
        <stp>STK</stp>
        <stp>N271560</stp>
        <stp>등락률</stp>
        <stp/>
        <stp/>
        <tr r="K114" s="1"/>
        <tr r="K106" s="3"/>
      </tp>
      <tp>
        <v>2</v>
        <stp/>
        <stp>P</stp>
        <stp>0</stp>
        <stp>STK</stp>
        <stp>N071970</stp>
        <stp>등락률</stp>
        <stp/>
        <stp/>
        <tr r="K148" s="1"/>
        <tr r="K130" s="3"/>
      </tp>
      <tp>
        <v>1.59</v>
        <stp/>
        <stp>P</stp>
        <stp>0</stp>
        <stp>STK</stp>
        <stp>N271940</stp>
        <stp>등락률</stp>
        <stp/>
        <stp/>
        <tr r="K481" s="1"/>
        <tr r="K298" s="3"/>
      </tp>
      <tp>
        <v>11834961000</v>
        <stp/>
        <stp>P</stp>
        <stp>0</stp>
        <stp>STK</stp>
        <stp>N0126Z0</stp>
        <stp>누적거래대금</stp>
        <stp/>
        <stp/>
        <tr r="M54" s="3"/>
        <tr r="M57" s="1"/>
      </tp>
      <tp>
        <v>226004700</v>
        <stp/>
        <stp>P</stp>
        <stp>0</stp>
        <stp>STK</stp>
        <stp>N0008Z0</stp>
        <stp>누적거래대금</stp>
        <stp/>
        <stp/>
        <tr r="M610" s="1"/>
      </tp>
      <tp>
        <v>15499.641168</v>
        <stp/>
        <stp>P</stp>
        <stp>0</stp>
        <stp>STK</stp>
        <stp>N200880</stp>
        <stp>가중평균가</stp>
        <stp/>
        <stp/>
        <tr r="N317" s="3"/>
        <tr r="N503" s="1"/>
      </tp>
      <tp>
        <v>12921.136364</v>
        <stp/>
        <stp>P</stp>
        <stp>0</stp>
        <stp>STK</stp>
        <stp>N237880</stp>
        <stp>가중평균가</stp>
        <stp/>
        <stp/>
        <tr r="N690" s="1"/>
      </tp>
      <tp>
        <v>26202.494914999999</v>
        <stp/>
        <stp>P</stp>
        <stp>0</stp>
        <stp>STK</stp>
        <stp>N089890</stp>
        <stp>가중평균가</stp>
        <stp/>
        <stp/>
        <tr r="N520" s="1"/>
      </tp>
      <tp>
        <v>6059.4940180000003</v>
        <stp/>
        <stp>P</stp>
        <stp>0</stp>
        <stp>STK</stp>
        <stp>N046890</stp>
        <stp>가중평균가</stp>
        <stp/>
        <stp/>
        <tr r="N576" s="1"/>
      </tp>
      <tp>
        <v>7665.341821</v>
        <stp/>
        <stp>P</stp>
        <stp>0</stp>
        <stp>STK</stp>
        <stp>N050890</stp>
        <stp>가중평균가</stp>
        <stp/>
        <stp/>
        <tr r="N493" s="1"/>
      </tp>
      <tp>
        <v>12401.913876000001</v>
        <stp/>
        <stp>P</stp>
        <stp>0</stp>
        <stp>STK</stp>
        <stp>N013890</stp>
        <stp>가중평균가</stp>
        <stp/>
        <stp/>
        <tr r="N653" s="1"/>
        <tr r="N364" s="3"/>
      </tp>
      <tp>
        <v>10255.928287000001</v>
        <stp/>
        <stp>P</stp>
        <stp>0</stp>
        <stp>STK</stp>
        <stp>N026890</stp>
        <stp>가중평균가</stp>
        <stp/>
        <stp/>
        <tr r="N530" s="1"/>
        <tr r="N318" s="3"/>
      </tp>
      <tp>
        <v>13930.571247</v>
        <stp/>
        <stp>P</stp>
        <stp>0</stp>
        <stp>STK</stp>
        <stp>N036890</stp>
        <stp>가중평균가</stp>
        <stp/>
        <stp/>
        <tr r="N621" s="1"/>
      </tp>
      <tp>
        <v>66782.956512999997</v>
        <stp/>
        <stp>P</stp>
        <stp>0</stp>
        <stp>STK</stp>
        <stp>N161890</stp>
        <stp>가중평균가</stp>
        <stp/>
        <stp/>
        <tr r="N193" s="3"/>
        <tr r="N245" s="1"/>
      </tp>
      <tp>
        <v>117032.835574</v>
        <stp/>
        <stp>P</stp>
        <stp>0</stp>
        <stp>STK</stp>
        <stp>N000880</stp>
        <stp>가중평균가</stp>
        <stp/>
        <stp/>
        <tr r="N74" s="3"/>
        <tr r="N76" s="1"/>
      </tp>
      <tp>
        <v>3461.6141149999999</v>
        <stp/>
        <stp>P</stp>
        <stp>0</stp>
        <stp>STK</stp>
        <stp>N018880</stp>
        <stp>가중평균가</stp>
        <stp/>
        <stp/>
        <tr r="N142" s="1"/>
        <tr r="N122" s="3"/>
      </tp>
      <tp>
        <v>234475.830816</v>
        <stp/>
        <stp>P</stp>
        <stp>0</stp>
        <stp>STK</stp>
        <stp>N140860</stp>
        <stp>가중평균가</stp>
        <stp/>
        <stp/>
        <tr r="N238" s="1"/>
      </tp>
      <tp>
        <v>107359.39423200001</v>
        <stp/>
        <stp>P</stp>
        <stp>0</stp>
        <stp>STK</stp>
        <stp>N475830</stp>
        <stp>가중평균가</stp>
        <stp/>
        <stp/>
        <tr r="N197" s="1"/>
      </tp>
      <tp>
        <v>139945.56430999999</v>
        <stp/>
        <stp>P</stp>
        <stp>0</stp>
        <stp>STK</stp>
        <stp>N476830</stp>
        <stp>가중평균가</stp>
        <stp/>
        <stp/>
        <tr r="N209" s="1"/>
      </tp>
      <tp>
        <v>11956.406308</v>
        <stp/>
        <stp>P</stp>
        <stp>0</stp>
        <stp>STK</stp>
        <stp>N108860</stp>
        <stp>가중평균가</stp>
        <stp/>
        <stp/>
        <tr r="N600" s="1"/>
      </tp>
      <tp>
        <v>22193.643929999998</v>
        <stp/>
        <stp>P</stp>
        <stp>0</stp>
        <stp>STK</stp>
        <stp>N338840</stp>
        <stp>가중평균가</stp>
        <stp/>
        <stp/>
        <tr r="N580" s="1"/>
      </tp>
      <tp>
        <v>30577.5</v>
        <stp/>
        <stp>P</stp>
        <stp>0</stp>
        <stp>STK</stp>
        <stp>N089860</stp>
        <stp>가중평균가</stp>
        <stp/>
        <stp/>
        <tr r="N220" s="3"/>
        <tr r="N297" s="1"/>
      </tp>
      <tp>
        <v>49861.445653000002</v>
        <stp/>
        <stp>P</stp>
        <stp>0</stp>
        <stp>STK</stp>
        <stp>N287840</stp>
        <stp>가중평균가</stp>
        <stp/>
        <stp/>
        <tr r="N380" s="1"/>
      </tp>
      <tp>
        <v>53195.395104000003</v>
        <stp/>
        <stp>P</stp>
        <stp>0</stp>
        <stp>STK</stp>
        <stp>N195870</stp>
        <stp>가중평균가</stp>
        <stp/>
        <stp/>
        <tr r="N236" s="3"/>
        <tr r="N332" s="1"/>
      </tp>
      <tp>
        <v>79540.380697000001</v>
        <stp/>
        <stp>P</stp>
        <stp>0</stp>
        <stp>STK</stp>
        <stp>N347850</stp>
        <stp>가중평균가</stp>
        <stp/>
        <stp/>
        <tr r="N138" s="1"/>
      </tp>
      <tp>
        <v>19384.575742000001</v>
        <stp/>
        <stp>P</stp>
        <stp>0</stp>
        <stp>STK</stp>
        <stp>N017860</stp>
        <stp>가중평균가</stp>
        <stp/>
        <stp/>
        <tr r="N338" s="3"/>
        <tr r="N594" s="1"/>
      </tp>
      <tp>
        <v>70739.899493999998</v>
        <stp/>
        <stp>P</stp>
        <stp>0</stp>
        <stp>STK</stp>
        <stp>N122870</stp>
        <stp>가중평균가</stp>
        <stp/>
        <stp/>
        <tr r="N270" s="1"/>
      </tp>
      <tp>
        <v>9278.7301590000006</v>
        <stp/>
        <stp>P</stp>
        <stp>0</stp>
        <stp>STK</stp>
        <stp>N084850</stp>
        <stp>가중평균가</stp>
        <stp/>
        <stp/>
        <tr r="N695" s="1"/>
      </tp>
      <tp>
        <v>23674.393162</v>
        <stp/>
        <stp>P</stp>
        <stp>0</stp>
        <stp>STK</stp>
        <stp>N484810</stp>
        <stp>가중평균가</stp>
        <stp/>
        <stp/>
        <tr r="N559" s="1"/>
      </tp>
      <tp>
        <v>20312.064766</v>
        <stp/>
        <stp>P</stp>
        <stp>0</stp>
        <stp>STK</stp>
        <stp>N294870</stp>
        <stp>가중평균가</stp>
        <stp/>
        <stp/>
        <tr r="N202" s="3"/>
        <tr r="N264" s="1"/>
      </tp>
      <tp>
        <v>56071.642204000003</v>
        <stp/>
        <stp>P</stp>
        <stp>0</stp>
        <stp>STK</stp>
        <stp>N356860</stp>
        <stp>가중평균가</stp>
        <stp/>
        <stp/>
        <tr r="N453" s="1"/>
      </tp>
      <tp>
        <v>61209.437815999998</v>
        <stp/>
        <stp>P</stp>
        <stp>0</stp>
        <stp>STK</stp>
        <stp>N005850</stp>
        <stp>가중평균가</stp>
        <stp/>
        <stp/>
        <tr r="N135" s="3"/>
        <tr r="N144" s="1"/>
      </tp>
      <tp>
        <v>25272.877111999998</v>
        <stp/>
        <stp>P</stp>
        <stp>0</stp>
        <stp>STK</stp>
        <stp>N105840</stp>
        <stp>가중평균가</stp>
        <stp/>
        <stp/>
        <tr r="N451" s="1"/>
        <tr r="N288" s="3"/>
      </tp>
      <tp>
        <v>39135.703287999997</v>
        <stp/>
        <stp>P</stp>
        <stp>0</stp>
        <stp>STK</stp>
        <stp>N100840</stp>
        <stp>가중평균가</stp>
        <stp/>
        <stp/>
        <tr r="N347" s="1"/>
        <tr r="N245" s="3"/>
      </tp>
      <tp>
        <v>8948.5732339999995</v>
        <stp/>
        <stp>P</stp>
        <stp>0</stp>
        <stp>STK</stp>
        <stp>N003850</stp>
        <stp>가중평균가</stp>
        <stp/>
        <stp/>
        <tr r="N254" s="3"/>
        <tr r="N366" s="1"/>
      </tp>
      <tp>
        <v>15400.550176000001</v>
        <stp/>
        <stp>P</stp>
        <stp>0</stp>
        <stp>STK</stp>
        <stp>N114840</stp>
        <stp>가중평균가</stp>
        <stp/>
        <stp/>
        <tr r="N661" s="1"/>
      </tp>
      <tp>
        <v>142122.22222200001</v>
        <stp/>
        <stp>P</stp>
        <stp>0</stp>
        <stp>STK</stp>
        <stp>N002840</stp>
        <stp>가중평균가</stp>
        <stp/>
        <stp/>
        <tr r="N261" s="3"/>
        <tr r="N392" s="1"/>
      </tp>
      <tp>
        <v>34792.283922000002</v>
        <stp/>
        <stp>P</stp>
        <stp>0</stp>
        <stp>STK</stp>
        <stp>N119850</stp>
        <stp>가중평균가</stp>
        <stp/>
        <stp/>
        <tr r="N432" s="1"/>
      </tp>
      <tp>
        <v>15857.789473999999</v>
        <stp/>
        <stp>P</stp>
        <stp>0</stp>
        <stp>STK</stp>
        <stp>N039840</stp>
        <stp>가중평균가</stp>
        <stp/>
        <stp/>
        <tr r="N693" s="1"/>
      </tp>
      <tp>
        <v>145339.971651</v>
        <stp/>
        <stp>P</stp>
        <stp>0</stp>
        <stp>STK</stp>
        <stp>N484870</stp>
        <stp>가중평균가</stp>
        <stp/>
        <stp/>
        <tr r="N203" s="3"/>
        <tr r="N256" s="1"/>
      </tp>
      <tp>
        <v>8222.718003</v>
        <stp/>
        <stp>P</stp>
        <stp>0</stp>
        <stp>STK</stp>
        <stp>N383800</stp>
        <stp>가중평균가</stp>
        <stp/>
        <stp/>
        <tr r="N272" s="3"/>
        <tr r="N417" s="1"/>
      </tp>
      <tp>
        <v>14311.867899999999</v>
        <stp/>
        <stp>P</stp>
        <stp>0</stp>
        <stp>STK</stp>
        <stp>N394800</stp>
        <stp>가중평균가</stp>
        <stp/>
        <stp/>
        <tr r="N495" s="1"/>
      </tp>
      <tp>
        <v>195158.42113800001</v>
        <stp/>
        <stp>P</stp>
        <stp>0</stp>
        <stp>STK</stp>
        <stp>N192820</stp>
        <stp>가중평균가</stp>
        <stp/>
        <stp/>
        <tr r="N161" s="3"/>
        <tr r="N205" s="1"/>
      </tp>
      <tp>
        <v>76388.728254999995</v>
        <stp/>
        <stp>P</stp>
        <stp>0</stp>
        <stp>STK</stp>
        <stp>N240810</stp>
        <stp>가중평균가</stp>
        <stp/>
        <stp/>
        <tr r="N130" s="1"/>
      </tp>
      <tp>
        <v>29773.294797999999</v>
        <stp/>
        <stp>P</stp>
        <stp>0</stp>
        <stp>STK</stp>
        <stp>N041830</stp>
        <stp>가중평균가</stp>
        <stp/>
        <stp/>
        <tr r="N543" s="1"/>
      </tp>
      <tp>
        <v>158061.820045</v>
        <stp/>
        <stp>P</stp>
        <stp>0</stp>
        <stp>STK</stp>
        <stp>N458870</stp>
        <stp>가중평균가</stp>
        <stp/>
        <stp/>
        <tr r="N221" s="1"/>
      </tp>
      <tp>
        <v>34241.975081999997</v>
        <stp/>
        <stp>P</stp>
        <stp>0</stp>
        <stp>STK</stp>
        <stp>N462870</stp>
        <stp>가중평균가</stp>
        <stp/>
        <stp/>
        <tr r="N214" s="1"/>
        <tr r="N172" s="3"/>
      </tp>
      <tp>
        <v>503389.41805099999</v>
        <stp/>
        <stp>P</stp>
        <stp>0</stp>
        <stp>STK</stp>
        <stp>N277810</stp>
        <stp>가중평균가</stp>
        <stp/>
        <stp/>
        <tr r="N71" s="1"/>
      </tp>
      <tp>
        <v>28975.002796000001</v>
        <stp/>
        <stp>P</stp>
        <stp>0</stp>
        <stp>STK</stp>
        <stp>N009830</stp>
        <stp>가중평균가</stp>
        <stp/>
        <stp/>
        <tr r="N113" s="1"/>
        <tr r="N103" s="3"/>
      </tp>
      <tp>
        <v>129101.553829</v>
        <stp/>
        <stp>P</stp>
        <stp>0</stp>
        <stp>STK</stp>
        <stp>N005830</stp>
        <stp>가중평균가</stp>
        <stp/>
        <stp/>
        <tr r="N70" s="3"/>
        <tr r="N75" s="1"/>
      </tp>
      <tp>
        <v>33384.122938</v>
        <stp/>
        <stp>P</stp>
        <stp>0</stp>
        <stp>STK</stp>
        <stp>N403870</stp>
        <stp>가중평균가</stp>
        <stp/>
        <stp/>
        <tr r="N157" s="1"/>
      </tp>
      <tp>
        <v>79113.862340000007</v>
        <stp/>
        <stp>P</stp>
        <stp>0</stp>
        <stp>STK</stp>
        <stp>N014830</stp>
        <stp>가중평균가</stp>
        <stp/>
        <stp/>
        <tr r="N484" s="1"/>
        <tr r="N299" s="3"/>
      </tp>
      <tp>
        <v>10388.011214</v>
        <stp/>
        <stp>P</stp>
        <stp>0</stp>
        <stp>STK</stp>
        <stp>N424870</stp>
        <stp>가중평균가</stp>
        <stp/>
        <stp/>
        <tr r="N353" s="1"/>
      </tp>
      <tp>
        <v>40323.221484000002</v>
        <stp/>
        <stp>P</stp>
        <stp>0</stp>
        <stp>STK</stp>
        <stp>N036830</stp>
        <stp>가중평균가</stp>
        <stp/>
        <stp/>
        <tr r="N349" s="1"/>
      </tp>
      <tp>
        <v>182076.732197</v>
        <stp/>
        <stp>P</stp>
        <stp>0</stp>
        <stp>STK</stp>
        <stp>N032830</stp>
        <stp>가중평균가</stp>
        <stp/>
        <stp/>
        <tr r="N24" s="1"/>
        <tr r="N24" s="3"/>
      </tp>
      <tp>
        <v>12053.98912</v>
        <stp/>
        <stp>P</stp>
        <stp>0</stp>
        <stp>STK</stp>
        <stp>N064820</stp>
        <stp>가중평균가</stp>
        <stp/>
        <stp/>
        <tr r="N548" s="1"/>
      </tp>
      <tp>
        <v>8269.5666299999993</v>
        <stp/>
        <stp>P</stp>
        <stp>0</stp>
        <stp>STK</stp>
        <stp>N460860</stp>
        <stp>가중평균가</stp>
        <stp/>
        <stp/>
        <tr r="N533" s="1"/>
        <tr r="N319" s="3"/>
      </tp>
      <tp>
        <v>36474.144037999999</v>
        <stp/>
        <stp>P</stp>
        <stp>0</stp>
        <stp>STK</stp>
        <stp>N104830</stp>
        <stp>가중평균가</stp>
        <stp/>
        <stp/>
        <tr r="N504" s="1"/>
      </tp>
      <tp>
        <v>31729.243571999999</v>
        <stp/>
        <stp>P</stp>
        <stp>0</stp>
        <stp>STK</stp>
        <stp>N001820</stp>
        <stp>가중평균가</stp>
        <stp/>
        <stp/>
        <tr r="N595" s="1"/>
        <tr r="N344" s="3"/>
      </tp>
      <tp>
        <v>27443.150180000001</v>
        <stp/>
        <stp>P</stp>
        <stp>0</stp>
        <stp>STK</stp>
        <stp>N014820</stp>
        <stp>가중평균가</stp>
        <stp/>
        <stp/>
        <tr r="N252" s="3"/>
        <tr r="N381" s="1"/>
      </tp>
      <tp>
        <v>48913.057558</v>
        <stp/>
        <stp>P</stp>
        <stp>0</stp>
        <stp>STK</stp>
        <stp>N222800</stp>
        <stp>가중평균가</stp>
        <stp/>
        <stp/>
        <tr r="N220" s="1"/>
      </tp>
      <tp>
        <v>57339.129848999997</v>
        <stp/>
        <stp>P</stp>
        <stp>0</stp>
        <stp>STK</stp>
        <stp>N199800</stp>
        <stp>가중평균가</stp>
        <stp/>
        <stp/>
        <tr r="N471" s="1"/>
      </tp>
      <tp>
        <v>27105.206612000002</v>
        <stp/>
        <stp>P</stp>
        <stp>0</stp>
        <stp>STK</stp>
        <stp>N344820</stp>
        <stp>가중평균가</stp>
        <stp/>
        <stp/>
        <tr r="N516" s="1"/>
        <tr r="N316" s="3"/>
      </tp>
      <tp>
        <v>165891.931835</v>
        <stp/>
        <stp>P</stp>
        <stp>0</stp>
        <stp>STK</stp>
        <stp>N047810</stp>
        <stp>가중평균가</stp>
        <stp/>
        <stp/>
        <tr r="N53" s="1"/>
        <tr r="N52" s="3"/>
      </tp>
      <tp>
        <v>379738.93300199998</v>
        <stp/>
        <stp>P</stp>
        <stp>0</stp>
        <stp>STK</stp>
        <stp>N352820</stp>
        <stp>가중평균가</stp>
        <stp/>
        <stp/>
        <tr r="N53" s="3"/>
        <tr r="N56" s="1"/>
      </tp>
      <tp>
        <v>5082.4902940000002</v>
        <stp/>
        <stp>P</stp>
        <stp>0</stp>
        <stp>STK</stp>
        <stp>N472850</stp>
        <stp>가중평균가</stp>
        <stp/>
        <stp/>
        <tr r="N637" s="1"/>
      </tp>
      <tp>
        <v>38679.801037999998</v>
        <stp/>
        <stp>P</stp>
        <stp>0</stp>
        <stp>STK</stp>
        <stp>N005810</stp>
        <stp>가중평균가</stp>
        <stp/>
        <stp/>
        <tr r="N284" s="3"/>
        <tr r="N446" s="1"/>
      </tp>
      <tp>
        <v>63401.565863000003</v>
        <stp/>
        <stp>P</stp>
        <stp>0</stp>
        <stp>STK</stp>
        <stp>N007810</stp>
        <stp>가중평균가</stp>
        <stp/>
        <stp/>
        <tr r="N199" s="3"/>
        <tr r="N250" s="1"/>
      </tp>
      <tp>
        <v>489992.08443300001</v>
        <stp/>
        <stp>P</stp>
        <stp>0</stp>
        <stp>STK</stp>
        <stp>N000810</stp>
        <stp>가중평균가</stp>
        <stp/>
        <stp/>
        <tr r="N35" s="1"/>
        <tr r="N35" s="3"/>
      </tp>
      <tp>
        <v>16418.452675</v>
        <stp/>
        <stp>P</stp>
        <stp>0</stp>
        <stp>STK</stp>
        <stp>N002810</stp>
        <stp>가중평균가</stp>
        <stp/>
        <stp/>
        <tr r="N616" s="1"/>
        <tr r="N354" s="3"/>
      </tp>
      <tp>
        <v>23863.603773999999</v>
        <stp/>
        <stp>P</stp>
        <stp>0</stp>
        <stp>STK</stp>
        <stp>N403850</stp>
        <stp>가중평균가</stp>
        <stp/>
        <stp/>
        <tr r="N578" s="1"/>
      </tp>
      <tp>
        <v>12941.580115000001</v>
        <stp/>
        <stp>P</stp>
        <stp>0</stp>
        <stp>STK</stp>
        <stp>N017810</stp>
        <stp>가중평균가</stp>
        <stp/>
        <stp/>
        <tr r="N479" s="1"/>
        <tr r="N301" s="3"/>
      </tp>
      <tp>
        <v>37866.872152999997</v>
        <stp/>
        <stp>P</stp>
        <stp>0</stp>
        <stp>STK</stp>
        <stp>N036810</stp>
        <stp>가중평균가</stp>
        <stp/>
        <stp/>
        <tr r="N379" s="1"/>
      </tp>
      <tp>
        <v>38592.645698</v>
        <stp/>
        <stp>P</stp>
        <stp>0</stp>
        <stp>STK</stp>
        <stp>N281820</stp>
        <stp>가중평균가</stp>
        <stp/>
        <stp/>
        <tr r="N247" s="3"/>
        <tr r="N350" s="1"/>
      </tp>
      <tp>
        <v>59653.649067999999</v>
        <stp/>
        <stp>P</stp>
        <stp>0</stp>
        <stp>STK</stp>
        <stp>N053800</stp>
        <stp>가중평균가</stp>
        <stp/>
        <stp/>
        <tr r="N401" s="1"/>
      </tp>
      <tp>
        <v>153160.521141</v>
        <stp/>
        <stp>P</stp>
        <stp>0</stp>
        <stp>STK</stp>
        <stp>N004800</stp>
        <stp>가중평균가</stp>
        <stp/>
        <stp/>
        <tr r="N148" s="3"/>
        <tr r="N174" s="1"/>
      </tp>
      <tp>
        <v>31300.164779999999</v>
        <stp/>
        <stp>P</stp>
        <stp>0</stp>
        <stp>STK</stp>
        <stp>N006800</stp>
        <stp>가중평균가</stp>
        <stp/>
        <stp/>
        <tr r="N48" s="1"/>
        <tr r="N47" s="3"/>
      </tp>
      <tp>
        <v>20724.576271000002</v>
        <stp/>
        <stp>P</stp>
        <stp>0</stp>
        <stp>STK</stp>
        <stp>N001800</stp>
        <stp>가중평균가</stp>
        <stp/>
        <stp/>
        <tr r="N205" s="3"/>
        <tr r="N267" s="1"/>
      </tp>
      <tp>
        <v>11672.916197</v>
        <stp/>
        <stp>P</stp>
        <stp>0</stp>
        <stp>STK</stp>
        <stp>N114810</stp>
        <stp>가중평균가</stp>
        <stp/>
        <stp/>
        <tr r="N603" s="1"/>
      </tp>
      <tp>
        <v>43321.739130000002</v>
        <stp/>
        <stp>P</stp>
        <stp>0</stp>
        <stp>STK</stp>
        <stp>N016800</stp>
        <stp>가중평균가</stp>
        <stp/>
        <stp/>
        <tr r="N296" s="3"/>
        <tr r="N475" s="1"/>
      </tp>
      <tp>
        <v>93692.242083999998</v>
        <stp/>
        <stp>P</stp>
        <stp>0</stp>
        <stp>STK</stp>
        <stp>N017800</stp>
        <stp>가중평균가</stp>
        <stp/>
        <stp/>
        <tr r="N121" s="3"/>
        <tr r="N137" s="1"/>
      </tp>
      <tp>
        <v>22798.012232000001</v>
        <stp/>
        <stp>P</stp>
        <stp>0</stp>
        <stp>STK</stp>
        <stp>N036800</stp>
        <stp>가중평균가</stp>
        <stp/>
        <stp/>
        <tr r="N688" s="1"/>
      </tp>
      <tp>
        <v>33046.454160000001</v>
        <stp/>
        <stp>P</stp>
        <stp>0</stp>
        <stp>STK</stp>
        <stp>N0008Z0</stp>
        <stp>가중평균가</stp>
        <stp/>
        <stp/>
        <tr r="N610" s="1"/>
      </tp>
      <tp>
        <v>44335.820491999999</v>
        <stp/>
        <stp>P</stp>
        <stp>0</stp>
        <stp>STK</stp>
        <stp>N486990</stp>
        <stp>가중평균가</stp>
        <stp/>
        <stp/>
        <tr r="N315" s="1"/>
      </tp>
      <tp>
        <v>26720.082022999999</v>
        <stp/>
        <stp>P</stp>
        <stp>0</stp>
        <stp>STK</stp>
        <stp>N473980</stp>
        <stp>가중평균가</stp>
        <stp/>
        <stp/>
        <tr r="N646" s="1"/>
      </tp>
      <tp>
        <v>34618.714286000002</v>
        <stp/>
        <stp>P</stp>
        <stp>0</stp>
        <stp>STK</stp>
        <stp>N267980</stp>
        <stp>가중평균가</stp>
        <stp/>
        <stp/>
        <tr r="N655" s="1"/>
      </tp>
      <tp>
        <v>29361.743995000001</v>
        <stp/>
        <stp>P</stp>
        <stp>0</stp>
        <stp>STK</stp>
        <stp>N004990</stp>
        <stp>가중평균가</stp>
        <stp/>
        <stp/>
        <tr r="N150" s="1"/>
        <tr r="N131" s="3"/>
      </tp>
      <tp>
        <v>93421.099619000001</v>
        <stp/>
        <stp>P</stp>
        <stp>0</stp>
        <stp>STK</stp>
        <stp>N000990</stp>
        <stp>가중평균가</stp>
        <stp/>
        <stp/>
        <tr r="N113" s="3"/>
        <tr r="N125" s="1"/>
      </tp>
      <tp>
        <v>16131.114454</v>
        <stp/>
        <stp>P</stp>
        <stp>0</stp>
        <stp>STK</stp>
        <stp>N089980</stp>
        <stp>가중평균가</stp>
        <stp/>
        <stp/>
        <tr r="N678" s="1"/>
      </tp>
      <tp>
        <v>46715.981735000001</v>
        <stp/>
        <stp>P</stp>
        <stp>0</stp>
        <stp>STK</stp>
        <stp>N145990</stp>
        <stp>가중평균가</stp>
        <stp/>
        <stp/>
        <tr r="N305" s="3"/>
        <tr r="N492" s="1"/>
      </tp>
      <tp>
        <v>46349.223910000001</v>
        <stp/>
        <stp>P</stp>
        <stp>0</stp>
        <stp>STK</stp>
        <stp>N060980</stp>
        <stp>가중평균가</stp>
        <stp/>
        <stp/>
        <tr r="N312" s="3"/>
        <tr r="N505" s="1"/>
      </tp>
      <tp>
        <v>9482.7579270000006</v>
        <stp/>
        <stp>P</stp>
        <stp>0</stp>
        <stp>STK</stp>
        <stp>N004980</stp>
        <stp>가중평균가</stp>
        <stp/>
        <stp/>
        <tr r="N380" s="3"/>
        <tr r="N689" s="1"/>
      </tp>
      <tp>
        <v>17743.546628</v>
        <stp/>
        <stp>P</stp>
        <stp>0</stp>
        <stp>STK</stp>
        <stp>N110990</stp>
        <stp>가중평균가</stp>
        <stp/>
        <stp/>
        <tr r="N583" s="1"/>
      </tp>
      <tp>
        <v>7816.3019299999996</v>
        <stp/>
        <stp>P</stp>
        <stp>0</stp>
        <stp>STK</stp>
        <stp>N025980</stp>
        <stp>가중평균가</stp>
        <stp/>
        <stp/>
        <tr r="N373" s="1"/>
      </tp>
      <tp>
        <v>61902.434864000003</v>
        <stp/>
        <stp>P</stp>
        <stp>0</stp>
        <stp>STK</stp>
        <stp>N031980</stp>
        <stp>가중평균가</stp>
        <stp/>
        <stp/>
        <tr r="N258" s="1"/>
      </tp>
      <tp>
        <v>24775.289356000001</v>
        <stp/>
        <stp>P</stp>
        <stp>0</stp>
        <stp>STK</stp>
        <stp>N089970</stp>
        <stp>가중평균가</stp>
        <stp/>
        <stp/>
        <tr r="N406" s="1"/>
      </tp>
      <tp>
        <v>35550.513726999998</v>
        <stp/>
        <stp>P</stp>
        <stp>0</stp>
        <stp>STK</stp>
        <stp>N058970</stp>
        <stp>가중평균가</stp>
        <stp/>
        <stp/>
        <tr r="N509" s="1"/>
      </tp>
      <tp>
        <v>126788.115508</v>
        <stp/>
        <stp>P</stp>
        <stp>0</stp>
        <stp>STK</stp>
        <stp>N066970</stp>
        <stp>가중평균가</stp>
        <stp/>
        <stp/>
        <tr r="N115" s="1"/>
        <tr r="N102" s="3"/>
      </tp>
      <tp>
        <v>18519.486987</v>
        <stp/>
        <stp>P</stp>
        <stp>0</stp>
        <stp>STK</stp>
        <stp>N460930</stp>
        <stp>가중평균가</stp>
        <stp/>
        <stp/>
        <tr r="N396" s="1"/>
      </tp>
      <tp>
        <v>37216.524507000002</v>
        <stp/>
        <stp>P</stp>
        <stp>0</stp>
        <stp>STK</stp>
        <stp>N077970</stp>
        <stp>가중평균가</stp>
        <stp/>
        <stp/>
        <tr r="N197" s="3"/>
        <tr r="N246" s="1"/>
      </tp>
      <tp>
        <v>91327.103447999994</v>
        <stp/>
        <stp>P</stp>
        <stp>0</stp>
        <stp>STK</stp>
        <stp>N071970</stp>
        <stp>가중평균가</stp>
        <stp/>
        <stp/>
        <tr r="N130" s="3"/>
        <tr r="N148" s="1"/>
      </tp>
      <tp>
        <v>194397.05882400001</v>
        <stp/>
        <stp>P</stp>
        <stp>0</stp>
        <stp>STK</stp>
        <stp>N009970</stp>
        <stp>가중평균가</stp>
        <stp/>
        <stp/>
        <tr r="N173" s="1"/>
        <tr r="N138" s="3"/>
      </tp>
      <tp>
        <v>118976.857174</v>
        <stp/>
        <stp>P</stp>
        <stp>0</stp>
        <stp>STK</stp>
        <stp>N226950</stp>
        <stp>가중평균가</stp>
        <stp/>
        <stp/>
        <tr r="N186" s="1"/>
      </tp>
      <tp>
        <v>21262.9375</v>
        <stp/>
        <stp>P</stp>
        <stp>0</stp>
        <stp>STK</stp>
        <stp>N286940</stp>
        <stp>가중평균가</stp>
        <stp/>
        <stp/>
        <tr r="N593" s="1"/>
        <tr r="N349" s="3"/>
      </tp>
      <tp>
        <v>91321.434078999999</v>
        <stp/>
        <stp>P</stp>
        <stp>0</stp>
        <stp>STK</stp>
        <stp>N069960</stp>
        <stp>가중평균가</stp>
        <stp/>
        <stp/>
        <tr r="N169" s="3"/>
        <tr r="N203" s="1"/>
      </tp>
      <tp>
        <v>40028.799175</v>
        <stp/>
        <stp>P</stp>
        <stp>0</stp>
        <stp>STK</stp>
        <stp>N064960</stp>
        <stp>가중평균가</stp>
        <stp/>
        <stp/>
        <tr r="N226" s="3"/>
        <tr r="N299" s="1"/>
      </tp>
      <tp>
        <v>13996.153340999999</v>
        <stp/>
        <stp>P</stp>
        <stp>0</stp>
        <stp>STK</stp>
        <stp>N271940</stp>
        <stp>가중평균가</stp>
        <stp/>
        <stp/>
        <tr r="N481" s="1"/>
        <tr r="N298" s="3"/>
      </tp>
      <tp>
        <v>1793508.266052</v>
        <stp/>
        <stp>P</stp>
        <stp>0</stp>
        <stp>STK</stp>
        <stp>N207940</stp>
        <stp>가중평균가</stp>
        <stp/>
        <stp/>
        <tr r="N10" s="3"/>
        <tr r="N10" s="1"/>
      </tp>
      <tp>
        <v>470504.217344</v>
        <stp/>
        <stp>P</stp>
        <stp>0</stp>
        <stp>STK</stp>
        <stp>N307950</stp>
        <stp>가중평균가</stp>
        <stp/>
        <stp/>
        <tr r="N58" s="1"/>
        <tr r="N60" s="3"/>
      </tp>
      <tp>
        <v>434153.84615400003</v>
        <stp/>
        <stp>P</stp>
        <stp>0</stp>
        <stp>STK</stp>
        <stp>N002960</stp>
        <stp>가중평균가</stp>
        <stp/>
        <stp/>
        <tr r="N281" s="3"/>
        <tr r="N442" s="1"/>
      </tp>
      <tp>
        <v>35391.071429000003</v>
        <stp/>
        <stp>P</stp>
        <stp>0</stp>
        <stp>STK</stp>
        <stp>N003960</stp>
        <stp>가중평균가</stp>
        <stp/>
        <stp/>
        <tr r="N346" s="3"/>
        <tr r="N598" s="1"/>
      </tp>
      <tp>
        <v>35282.935830000002</v>
        <stp/>
        <stp>P</stp>
        <stp>0</stp>
        <stp>STK</stp>
        <stp>N017960</stp>
        <stp>가중평균가</stp>
        <stp/>
        <stp/>
        <tr r="N178" s="3"/>
        <tr r="N218" s="1"/>
      </tp>
      <tp>
        <v>26025.807912</v>
        <stp/>
        <stp>P</stp>
        <stp>0</stp>
        <stp>STK</stp>
        <stp>N026960</stp>
        <stp>가중평균가</stp>
        <stp/>
        <stp/>
        <tr r="N172" s="1"/>
        <tr r="N144" s="3"/>
      </tp>
      <tp>
        <v>54123.067882000003</v>
        <stp/>
        <stp>P</stp>
        <stp>0</stp>
        <stp>STK</stp>
        <stp>N131970</stp>
        <stp>가중평균가</stp>
        <stp/>
        <stp/>
        <tr r="N308" s="1"/>
      </tp>
      <tp>
        <v>48009.102040999998</v>
        <stp/>
        <stp>P</stp>
        <stp>0</stp>
        <stp>STK</stp>
        <stp>N195940</stp>
        <stp>가중평균가</stp>
        <stp/>
        <stp/>
        <tr r="N262" s="1"/>
      </tp>
      <tp>
        <v>215224.01073099999</v>
        <stp/>
        <stp>P</stp>
        <stp>0</stp>
        <stp>STK</stp>
        <stp>N097950</stp>
        <stp>가중평균가</stp>
        <stp/>
        <stp/>
        <tr r="N128" s="3"/>
        <tr r="N147" s="1"/>
      </tp>
      <tp>
        <v>25483.543019000001</v>
        <stp/>
        <stp>P</stp>
        <stp>0</stp>
        <stp>STK</stp>
        <stp>N054950</stp>
        <stp>가중평균가</stp>
        <stp/>
        <stp/>
        <tr r="N614" s="1"/>
      </tp>
      <tp>
        <v>115407.267055</v>
        <stp/>
        <stp>P</stp>
        <stp>0</stp>
        <stp>STK</stp>
        <stp>N454910</stp>
        <stp>가중평균가</stp>
        <stp/>
        <stp/>
        <tr r="N82" s="3"/>
        <tr r="N87" s="1"/>
      </tp>
      <tp>
        <v>59778.706747999997</v>
        <stp/>
        <stp>P</stp>
        <stp>0</stp>
        <stp>STK</stp>
        <stp>N251970</stp>
        <stp>가중평균가</stp>
        <stp/>
        <stp/>
        <tr r="N393" s="1"/>
      </tp>
      <tp>
        <v>49852.403246000002</v>
        <stp/>
        <stp>P</stp>
        <stp>0</stp>
        <stp>STK</stp>
        <stp>N102940</stp>
        <stp>가중평균가</stp>
        <stp/>
        <stp/>
        <tr r="N424" s="1"/>
      </tp>
      <tp>
        <v>97055.009244000001</v>
        <stp/>
        <stp>P</stp>
        <stp>0</stp>
        <stp>STK</stp>
        <stp>N010950</stp>
        <stp>가중평균가</stp>
        <stp/>
        <stp/>
        <tr r="N69" s="1"/>
        <tr r="N66" s="3"/>
      </tp>
      <tp>
        <v>430402.73241900001</v>
        <stp/>
        <stp>P</stp>
        <stp>0</stp>
        <stp>STK</stp>
        <stp>N128940</stp>
        <stp>가중평균가</stp>
        <stp/>
        <stp/>
        <tr r="N98" s="3"/>
        <tr r="N106" s="1"/>
      </tp>
      <tp>
        <v>97159.036145000005</v>
        <stp/>
        <stp>P</stp>
        <stp>0</stp>
        <stp>STK</stp>
        <stp>N034950</stp>
        <stp>가중평균가</stp>
        <stp/>
        <stp/>
        <tr r="N508" s="1"/>
      </tp>
      <tp>
        <v>15344.960894</v>
        <stp/>
        <stp>P</stp>
        <stp>0</stp>
        <stp>STK</stp>
        <stp>N381970</stp>
        <stp>가중평균가</stp>
        <stp/>
        <stp/>
        <tr r="N376" s="1"/>
        <tr r="N255" s="3"/>
      </tp>
      <tp>
        <v>71229.657514999999</v>
        <stp/>
        <stp>P</stp>
        <stp>0</stp>
        <stp>STK</stp>
        <stp>N448900</stp>
        <stp>가중평균가</stp>
        <stp/>
        <stp/>
        <tr r="N486" s="1"/>
      </tp>
      <tp>
        <v>236783.50083800001</v>
        <stp/>
        <stp>P</stp>
        <stp>0</stp>
        <stp>STK</stp>
        <stp>N259960</stp>
        <stp>가중평균가</stp>
        <stp/>
        <stp/>
        <tr r="N64" s="3"/>
        <tr r="N67" s="1"/>
      </tp>
      <tp>
        <v>39717.729315999997</v>
        <stp/>
        <stp>P</stp>
        <stp>0</stp>
        <stp>STK</stp>
        <stp>N455900</stp>
        <stp>가중평균가</stp>
        <stp/>
        <stp/>
        <tr r="N415" s="1"/>
      </tp>
      <tp>
        <v>29799.185098999998</v>
        <stp/>
        <stp>P</stp>
        <stp>0</stp>
        <stp>STK</stp>
        <stp>N079940</stp>
        <stp>가중평균가</stp>
        <stp/>
        <stp/>
        <tr r="N517" s="1"/>
      </tp>
      <tp>
        <v>23324.676992000001</v>
        <stp/>
        <stp>P</stp>
        <stp>0</stp>
        <stp>STK</stp>
        <stp>N005940</stp>
        <stp>가중평균가</stp>
        <stp/>
        <stp/>
        <tr r="N85" s="1"/>
        <tr r="N80" s="3"/>
      </tp>
      <tp>
        <v>26500</v>
        <stp/>
        <stp>P</stp>
        <stp>0</stp>
        <stp>STK</stp>
        <stp>N001940</stp>
        <stp>가중평균가</stp>
        <stp/>
        <stp/>
        <tr r="N551" s="1"/>
        <tr r="N328" s="3"/>
      </tp>
      <tp>
        <v>8109.788732</v>
        <stp/>
        <stp>P</stp>
        <stp>0</stp>
        <stp>STK</stp>
        <stp>N014940</stp>
        <stp>가중평균가</stp>
        <stp/>
        <stp/>
        <tr r="N550" s="1"/>
      </tp>
      <tp>
        <v>82516.356108000007</v>
        <stp/>
        <stp>P</stp>
        <stp>0</stp>
        <stp>STK</stp>
        <stp>N017940</stp>
        <stp>가중평균가</stp>
        <stp/>
        <stp/>
        <tr r="N444" s="1"/>
        <tr r="N282" s="3"/>
      </tp>
      <tp>
        <v>31036.889459999999</v>
        <stp/>
        <stp>P</stp>
        <stp>0</stp>
        <stp>STK</stp>
        <stp>N382900</stp>
        <stp>가중평균가</stp>
        <stp/>
        <stp/>
        <tr r="N651" s="1"/>
      </tp>
      <tp>
        <v>61185.296108000002</v>
        <stp/>
        <stp>P</stp>
        <stp>0</stp>
        <stp>STK</stp>
        <stp>N078930</stp>
        <stp>가중평균가</stp>
        <stp/>
        <stp/>
        <tr r="N101" s="1"/>
        <tr r="N94" s="3"/>
      </tp>
      <tp>
        <v>16280.550386000001</v>
        <stp/>
        <stp>P</stp>
        <stp>0</stp>
        <stp>STK</stp>
        <stp>N178920</stp>
        <stp>가중평균가</stp>
        <stp/>
        <stp/>
        <tr r="N501" s="1"/>
        <tr r="N307" s="3"/>
      </tp>
      <tp>
        <v>63913.024037000003</v>
        <stp/>
        <stp>P</stp>
        <stp>0</stp>
        <stp>STK</stp>
        <stp>N376900</stp>
        <stp>가중평균가</stp>
        <stp/>
        <stp/>
        <tr r="N310" s="1"/>
      </tp>
      <tp>
        <v>38998.443664999999</v>
        <stp/>
        <stp>P</stp>
        <stp>0</stp>
        <stp>STK</stp>
        <stp>N008930</stp>
        <stp>가중평균가</stp>
        <stp/>
        <stp/>
        <tr r="N165" s="1"/>
        <tr r="N140" s="3"/>
      </tp>
      <tp>
        <v>153970.29545599999</v>
        <stp/>
        <stp>P</stp>
        <stp>0</stp>
        <stp>STK</stp>
        <stp>N005930</stp>
        <stp>가중평균가</stp>
        <stp/>
        <stp/>
        <tr r="N6" s="3"/>
        <tr r="N6" s="1"/>
      </tp>
      <tp>
        <v>31579.212886000001</v>
        <stp/>
        <stp>P</stp>
        <stp>0</stp>
        <stp>STK</stp>
        <stp>N036930</stp>
        <stp>가중평균가</stp>
        <stp/>
        <stp/>
        <tr r="N248" s="1"/>
      </tp>
      <tp>
        <v>21239.737255</v>
        <stp/>
        <stp>P</stp>
        <stp>0</stp>
        <stp>STK</stp>
        <stp>N082920</stp>
        <stp>가중평균가</stp>
        <stp/>
        <stp/>
        <tr r="N328" s="1"/>
      </tp>
      <tp>
        <v>17575.500832000002</v>
        <stp/>
        <stp>P</stp>
        <stp>0</stp>
        <stp>STK</stp>
        <stp>N047920</stp>
        <stp>가중평균가</stp>
        <stp/>
        <stp/>
        <tr r="N448" s="1"/>
      </tp>
      <tp>
        <v>44811.363213999997</v>
        <stp/>
        <stp>P</stp>
        <stp>0</stp>
        <stp>STK</stp>
        <stp>N475960</stp>
        <stp>가중평균가</stp>
        <stp/>
        <stp/>
        <tr r="N428" s="1"/>
      </tp>
      <tp>
        <v>44900</v>
        <stp/>
        <stp>P</stp>
        <stp>0</stp>
        <stp>STK</stp>
        <stp>N101930</stp>
        <stp>가중평균가</stp>
        <stp/>
        <stp/>
        <tr r="N522" s="1"/>
      </tp>
      <tp>
        <v>49909.677419</v>
        <stp/>
        <stp>P</stp>
        <stp>0</stp>
        <stp>STK</stp>
        <stp>N003920</stp>
        <stp>가중평균가</stp>
        <stp/>
        <stp/>
        <tr r="N617" s="1"/>
        <tr r="N355" s="3"/>
      </tp>
      <tp>
        <v>15690.854087</v>
        <stp/>
        <stp>P</stp>
        <stp>0</stp>
        <stp>STK</stp>
        <stp>N138930</stp>
        <stp>가중평균가</stp>
        <stp/>
        <stp/>
        <tr r="N112" s="1"/>
        <tr r="N104" s="3"/>
      </tp>
      <tp>
        <v>13188.524409</v>
        <stp/>
        <stp>P</stp>
        <stp>0</stp>
        <stp>STK</stp>
        <stp>N450950</stp>
        <stp>가중평균가</stp>
        <stp/>
        <stp/>
        <tr r="N498" s="1"/>
      </tp>
      <tp>
        <v>356333.68457400001</v>
        <stp/>
        <stp>P</stp>
        <stp>0</stp>
        <stp>STK</stp>
        <stp>N051910</stp>
        <stp>가중평균가</stp>
        <stp/>
        <stp/>
        <tr r="N33" s="1"/>
        <tr r="N33" s="3"/>
      </tp>
      <tp>
        <v>20832.256000000001</v>
        <stp/>
        <stp>P</stp>
        <stp>0</stp>
        <stp>STK</stp>
        <stp>N179900</stp>
        <stp>가중평균가</stp>
        <stp/>
        <stp/>
        <tr r="N525" s="1"/>
      </tp>
      <tp>
        <v>50289.928788999998</v>
        <stp/>
        <stp>P</stp>
        <stp>0</stp>
        <stp>STK</stp>
        <stp>N170900</stp>
        <stp>가중평균가</stp>
        <stp/>
        <stp/>
        <tr r="N310" s="3"/>
        <tr r="N496" s="1"/>
      </tp>
      <tp>
        <v>119882.020389</v>
        <stp/>
        <stp>P</stp>
        <stp>0</stp>
        <stp>STK</stp>
        <stp>N086900</stp>
        <stp>가중평균가</stp>
        <stp/>
        <stp/>
        <tr r="N338" s="1"/>
      </tp>
      <tp>
        <v>273820.51282100001</v>
        <stp/>
        <stp>P</stp>
        <stp>0</stp>
        <stp>STK</stp>
        <stp>N051900</stp>
        <stp>가중평균가</stp>
        <stp/>
        <stp/>
        <tr r="N124" s="1"/>
        <tr r="N114" s="3"/>
      </tp>
      <tp>
        <v>53345.939699000002</v>
        <stp/>
        <stp>P</stp>
        <stp>0</stp>
        <stp>STK</stp>
        <stp>N079900</stp>
        <stp>가중평균가</stp>
        <stp/>
        <stp/>
        <tr r="N382" s="1"/>
        <tr r="N259" s="3"/>
      </tp>
      <tp>
        <v>9580.1044669999992</v>
        <stp/>
        <stp>P</stp>
        <stp>0</stp>
        <stp>STK</stp>
        <stp>N009900</stp>
        <stp>가중평균가</stp>
        <stp/>
        <stp/>
        <tr r="N464" s="1"/>
        <tr r="N295" s="3"/>
      </tp>
      <tp>
        <v>11884.953052000001</v>
        <stp/>
        <stp>P</stp>
        <stp>0</stp>
        <stp>STK</stp>
        <stp>N314930</stp>
        <stp>가중평균가</stp>
        <stp/>
        <stp/>
        <tr r="N573" s="1"/>
      </tp>
      <tp>
        <v>9175.1872519999997</v>
        <stp/>
        <stp>P</stp>
        <stp>0</stp>
        <stp>STK</stp>
        <stp>N025900</stp>
        <stp>가중평균가</stp>
        <stp/>
        <stp/>
        <tr r="N527" s="1"/>
      </tp>
      <tp>
        <v>68274.042407000001</v>
        <stp/>
        <stp>P</stp>
        <stp>0</stp>
        <stp>STK</stp>
        <stp>N035900</stp>
        <stp>가중평균가</stp>
        <stp/>
        <stp/>
        <tr r="N185" s="1"/>
      </tp>
      <tp>
        <v>51357.761799</v>
        <stp/>
        <stp>P</stp>
        <stp>0</stp>
        <stp>STK</stp>
        <stp>N0009K0</stp>
        <stp>가중평균가</stp>
        <stp/>
        <stp/>
        <tr r="N143" s="1"/>
      </tp>
      <tp>
        <v>14333.446088999999</v>
        <stp/>
        <stp>P</stp>
        <stp>0</stp>
        <stp>STK</stp>
        <stp>N293490</stp>
        <stp>가중평균가</stp>
        <stp/>
        <stp/>
        <tr r="N273" s="1"/>
      </tp>
      <tp>
        <v>31692.745984000001</v>
        <stp/>
        <stp>P</stp>
        <stp>0</stp>
        <stp>STK</stp>
        <stp>N352480</stp>
        <stp>가중평균가</stp>
        <stp/>
        <stp/>
        <tr r="N528" s="1"/>
      </tp>
      <tp>
        <v>34168.816600999999</v>
        <stp/>
        <stp>P</stp>
        <stp>0</stp>
        <stp>STK</stp>
        <stp>N194480</stp>
        <stp>가중평균가</stp>
        <stp/>
        <stp/>
        <tr r="N534" s="1"/>
      </tp>
      <tp>
        <v>32005.263352000002</v>
        <stp/>
        <stp>P</stp>
        <stp>0</stp>
        <stp>STK</stp>
        <stp>N044490</stp>
        <stp>가중평균가</stp>
        <stp/>
        <stp/>
        <tr r="N391" s="1"/>
      </tp>
      <tp>
        <v>20891.340781999999</v>
        <stp/>
        <stp>P</stp>
        <stp>0</stp>
        <stp>STK</stp>
        <stp>N008490</stp>
        <stp>가중평균가</stp>
        <stp/>
        <stp/>
        <tr r="N686" s="1"/>
        <tr r="N379" s="3"/>
      </tp>
      <tp>
        <v>64998.251513000003</v>
        <stp/>
        <stp>P</stp>
        <stp>0</stp>
        <stp>STK</stp>
        <stp>N004490</stp>
        <stp>가중평균가</stp>
        <stp/>
        <stp/>
        <tr r="N235" s="3"/>
        <tr r="N330" s="1"/>
      </tp>
      <tp>
        <v>370492.54391299997</v>
        <stp/>
        <stp>P</stp>
        <stp>0</stp>
        <stp>STK</stp>
        <stp>N005490</stp>
        <stp>가중평균가</stp>
        <stp/>
        <stp/>
        <tr r="N28" s="1"/>
        <tr r="N29" s="3"/>
      </tp>
      <tp>
        <v>10220.188935</v>
        <stp/>
        <stp>P</stp>
        <stp>0</stp>
        <stp>STK</stp>
        <stp>N000490</stp>
        <stp>가중평균가</stp>
        <stp/>
        <stp/>
        <tr r="N360" s="3"/>
        <tr r="N628" s="1"/>
      </tp>
      <tp>
        <v>24168.495731999999</v>
        <stp/>
        <stp>P</stp>
        <stp>0</stp>
        <stp>STK</stp>
        <stp>N003490</stp>
        <stp>가중평균가</stp>
        <stp/>
        <stp/>
        <tr r="N73" s="3"/>
        <tr r="N79" s="1"/>
      </tp>
      <tp>
        <v>332138.27628200001</v>
        <stp/>
        <stp>P</stp>
        <stp>0</stp>
        <stp>STK</stp>
        <stp>N039490</stp>
        <stp>가중평균가</stp>
        <stp/>
        <stp/>
        <tr r="N75" s="3"/>
        <tr r="N82" s="1"/>
      </tp>
      <tp>
        <v>86465.906579999995</v>
        <stp/>
        <stp>P</stp>
        <stp>0</stp>
        <stp>STK</stp>
        <stp>N139480</stp>
        <stp>가중평균가</stp>
        <stp/>
        <stp/>
        <tr r="N158" s="3"/>
        <tr r="N191" s="1"/>
      </tp>
      <tp>
        <v>9353.1333460000005</v>
        <stp/>
        <stp>P</stp>
        <stp>0</stp>
        <stp>STK</stp>
        <stp>N094480</stp>
        <stp>가중평균가</stp>
        <stp/>
        <stp/>
        <tr r="N564" s="1"/>
      </tp>
      <tp>
        <v>247820.99497599999</v>
        <stp/>
        <stp>P</stp>
        <stp>0</stp>
        <stp>STK</stp>
        <stp>N108490</stp>
        <stp>가중평균가</stp>
        <stp/>
        <stp/>
        <tr r="N132" s="1"/>
      </tp>
      <tp>
        <v>65503.828837000001</v>
        <stp/>
        <stp>P</stp>
        <stp>0</stp>
        <stp>STK</stp>
        <stp>N101490</stp>
        <stp>가중평균가</stp>
        <stp/>
        <stp/>
        <tr r="N254" s="1"/>
      </tp>
      <tp>
        <v>19528.753999</v>
        <stp/>
        <stp>P</stp>
        <stp>0</stp>
        <stp>STK</stp>
        <stp>N125490</stp>
        <stp>가중평균가</stp>
        <stp/>
        <stp/>
        <tr r="N374" s="1"/>
      </tp>
      <tp>
        <v>8692.7484289999993</v>
        <stp/>
        <stp>P</stp>
        <stp>0</stp>
        <stp>STK</stp>
        <stp>N138490</stp>
        <stp>가중평균가</stp>
        <stp/>
        <stp/>
        <tr r="N608" s="1"/>
        <tr r="N345" s="3"/>
      </tp>
      <tp>
        <v>65925.486201000007</v>
        <stp/>
        <stp>P</stp>
        <stp>0</stp>
        <stp>STK</stp>
        <stp>N058470</stp>
        <stp>가중평균가</stp>
        <stp/>
        <stp/>
        <tr r="N109" s="1"/>
      </tp>
      <tp>
        <v>34134.932810999999</v>
        <stp/>
        <stp>P</stp>
        <stp>0</stp>
        <stp>STK</stp>
        <stp>N452430</stp>
        <stp>가중평균가</stp>
        <stp/>
        <stp/>
        <tr r="N658" s="1"/>
      </tp>
      <tp>
        <v>45453.004756000002</v>
        <stp/>
        <stp>P</stp>
        <stp>0</stp>
        <stp>STK</stp>
        <stp>N253450</stp>
        <stp>가중평균가</stp>
        <stp/>
        <stp/>
        <tr r="N261" s="1"/>
      </tp>
      <tp>
        <v>49327.358161999997</v>
        <stp/>
        <stp>P</stp>
        <stp>0</stp>
        <stp>STK</stp>
        <stp>N302440</stp>
        <stp>가중평균가</stp>
        <stp/>
        <stp/>
        <tr r="N116" s="3"/>
        <tr r="N131" s="1"/>
      </tp>
      <tp>
        <v>472005.29632600001</v>
        <stp/>
        <stp>P</stp>
        <stp>0</stp>
        <stp>STK</stp>
        <stp>N214450</stp>
        <stp>가중평균가</stp>
        <stp/>
        <stp/>
        <tr r="N117" s="1"/>
      </tp>
      <tp>
        <v>29114.775485999999</v>
        <stp/>
        <stp>P</stp>
        <stp>0</stp>
        <stp>STK</stp>
        <stp>N098460</stp>
        <stp>가중평균가</stp>
        <stp/>
        <stp/>
        <tr r="N202" s="1"/>
      </tp>
      <tp>
        <v>16530.003241999999</v>
        <stp/>
        <stp>P</stp>
        <stp>0</stp>
        <stp>STK</stp>
        <stp>N090460</stp>
        <stp>가중평균가</stp>
        <stp/>
        <stp/>
        <tr r="N455" s="1"/>
        <tr r="N283" s="3"/>
      </tp>
      <tp>
        <v>16364.523169</v>
        <stp/>
        <stp>P</stp>
        <stp>0</stp>
        <stp>STK</stp>
        <stp>N092460</stp>
        <stp>가중평균가</stp>
        <stp/>
        <stp/>
        <tr r="N640" s="1"/>
      </tp>
      <tp>
        <v>41192.180095000003</v>
        <stp/>
        <stp>P</stp>
        <stp>0</stp>
        <stp>STK</stp>
        <stp>N001460</stp>
        <stp>가중평균가</stp>
        <stp/>
        <stp/>
        <tr r="N366" s="3"/>
        <tr r="N657" s="1"/>
      </tp>
      <tp>
        <v>58523.222519000003</v>
        <stp/>
        <stp>P</stp>
        <stp>0</stp>
        <stp>STK</stp>
        <stp>N317450</stp>
        <stp>가중평균가</stp>
        <stp/>
        <stp/>
        <tr r="N339" s="1"/>
        <tr r="N238" s="3"/>
      </tp>
      <tp>
        <v>28663.845143999999</v>
        <stp/>
        <stp>P</stp>
        <stp>0</stp>
        <stp>STK</stp>
        <stp>N029460</stp>
        <stp>가중평균가</stp>
        <stp/>
        <stp/>
        <tr r="N329" s="3"/>
        <tr r="N554" s="1"/>
      </tp>
      <tp>
        <v>34542.526228000002</v>
        <stp/>
        <stp>P</stp>
        <stp>0</stp>
        <stp>STK</stp>
        <stp>N425420</stp>
        <stp>가중평균가</stp>
        <stp/>
        <stp/>
        <tr r="N532" s="1"/>
      </tp>
      <tp>
        <v>41169.399207000002</v>
        <stp/>
        <stp>P</stp>
        <stp>0</stp>
        <stp>STK</stp>
        <stp>N036460</stp>
        <stp>가중평균가</stp>
        <stp/>
        <stp/>
        <tr r="N119" s="3"/>
        <tr r="N134" s="1"/>
      </tp>
      <tp>
        <v>16647.983378000001</v>
        <stp/>
        <stp>P</stp>
        <stp>0</stp>
        <stp>STK</stp>
        <stp>N086450</stp>
        <stp>가중평균가</stp>
        <stp/>
        <stp/>
        <tr r="N368" s="1"/>
      </tp>
      <tp>
        <v>25849.525965000001</v>
        <stp/>
        <stp>P</stp>
        <stp>0</stp>
        <stp>STK</stp>
        <stp>N083450</stp>
        <stp>가중평균가</stp>
        <stp/>
        <stp/>
        <tr r="N477" s="1"/>
      </tp>
      <tp>
        <v>282292.86262199999</v>
        <stp/>
        <stp>P</stp>
        <stp>0</stp>
        <stp>STK</stp>
        <stp>N278470</stp>
        <stp>가중평균가</stp>
        <stp/>
        <stp/>
        <tr r="N74" s="1"/>
        <tr r="N67" s="3"/>
      </tp>
      <tp>
        <v>56362.097902000001</v>
        <stp/>
        <stp>P</stp>
        <stp>0</stp>
        <stp>STK</stp>
        <stp>N009450</stp>
        <stp>가중평균가</stp>
        <stp/>
        <stp/>
        <tr r="N348" s="1"/>
        <tr r="N243" s="3"/>
      </tp>
      <tp>
        <v>27807.150125</v>
        <stp/>
        <stp>P</stp>
        <stp>0</stp>
        <stp>STK</stp>
        <stp>N001450</stp>
        <stp>가중평균가</stp>
        <stp/>
        <stp/>
        <tr r="N151" s="3"/>
        <tr r="N180" s="1"/>
      </tp>
      <tp>
        <v>1291536.777092</v>
        <stp/>
        <stp>P</stp>
        <stp>0</stp>
        <stp>STK</stp>
        <stp>N012450</stp>
        <stp>가중평균가</stp>
        <stp/>
        <stp/>
        <tr r="N12" s="1"/>
        <tr r="N11" s="3"/>
      </tp>
      <tp>
        <v>76298.689562</v>
        <stp/>
        <stp>P</stp>
        <stp>0</stp>
        <stp>STK</stp>
        <stp>N389470</stp>
        <stp>가중평균가</stp>
        <stp/>
        <stp/>
        <tr r="N326" s="1"/>
      </tp>
      <tp>
        <v>39944.6849</v>
        <stp/>
        <stp>P</stp>
        <stp>0</stp>
        <stp>STK</stp>
        <stp>N475400</stp>
        <stp>가중평균가</stp>
        <stp/>
        <stp/>
        <tr r="N460" s="1"/>
      </tp>
      <tp>
        <v>8503.6422939999993</v>
        <stp/>
        <stp>P</stp>
        <stp>0</stp>
        <stp>STK</stp>
        <stp>N005440</stp>
        <stp>가중평균가</stp>
        <stp/>
        <stp/>
        <tr r="N204" s="3"/>
        <tr r="N265" s="1"/>
      </tp>
      <tp>
        <v>28465.820546999999</v>
        <stp/>
        <stp>P</stp>
        <stp>0</stp>
        <stp>STK</stp>
        <stp>N001440</stp>
        <stp>가중평균가</stp>
        <stp/>
        <stp/>
        <tr r="N107" s="1"/>
        <tr r="N97" s="3"/>
      </tp>
      <tp>
        <v>29798.094781</v>
        <stp/>
        <stp>P</stp>
        <stp>0</stp>
        <stp>STK</stp>
        <stp>N039440</stp>
        <stp>가중평균가</stp>
        <stp/>
        <stp/>
        <tr r="N494" s="1"/>
      </tp>
      <tp>
        <v>126466.44438299999</v>
        <stp/>
        <stp>P</stp>
        <stp>0</stp>
        <stp>STK</stp>
        <stp>N090430</stp>
        <stp>가중평균가</stp>
        <stp/>
        <stp/>
        <tr r="N90" s="1"/>
        <tr r="N84" s="3"/>
      </tp>
      <tp>
        <v>75130.691109000007</v>
        <stp/>
        <stp>P</stp>
        <stp>0</stp>
        <stp>STK</stp>
        <stp>N001430</stp>
        <stp>가중평균가</stp>
        <stp/>
        <stp/>
        <tr r="N141" s="3"/>
        <tr r="N163" s="1"/>
      </tp>
      <tp>
        <v>34298.614795000001</v>
        <stp/>
        <stp>P</stp>
        <stp>0</stp>
        <stp>STK</stp>
        <stp>N218410</stp>
        <stp>가중평균가</stp>
        <stp/>
        <stp/>
        <tr r="N324" s="1"/>
      </tp>
      <tp>
        <v>11217.855696000001</v>
        <stp/>
        <stp>P</stp>
        <stp>0</stp>
        <stp>STK</stp>
        <stp>N031430</stp>
        <stp>가중평균가</stp>
        <stp/>
        <stp/>
        <tr r="N323" s="3"/>
        <tr r="N547" s="1"/>
      </tp>
      <tp>
        <v>40430.771694000003</v>
        <stp/>
        <stp>P</stp>
        <stp>0</stp>
        <stp>STK</stp>
        <stp>N199430</stp>
        <stp>가중평균가</stp>
        <stp/>
        <stp/>
        <tr r="N485" s="1"/>
      </tp>
      <tp>
        <v>47737.012937</v>
        <stp/>
        <stp>P</stp>
        <stp>0</stp>
        <stp>STK</stp>
        <stp>N009420</stp>
        <stp>가중평균가</stp>
        <stp/>
        <stp/>
        <tr r="N152" s="3"/>
        <tr r="N187" s="1"/>
      </tp>
      <tp>
        <v>16581.867953000001</v>
        <stp/>
        <stp>P</stp>
        <stp>0</stp>
        <stp>STK</stp>
        <stp>N005420</stp>
        <stp>가중평균가</stp>
        <stp/>
        <stp/>
        <tr r="N443" s="1"/>
        <tr r="N276" s="3"/>
      </tp>
      <tp>
        <v>21514.786294000001</v>
        <stp/>
        <stp>P</stp>
        <stp>0</stp>
        <stp>STK</stp>
        <stp>N323410</stp>
        <stp>가중평균가</stp>
        <stp/>
        <stp/>
        <tr r="N72" s="1"/>
        <tr r="N69" s="3"/>
      </tp>
      <tp>
        <v>247708.26746500001</v>
        <stp/>
        <stp>P</stp>
        <stp>0</stp>
        <stp>STK</stp>
        <stp>N035420</stp>
        <stp>가중평균가</stp>
        <stp/>
        <stp/>
        <tr r="N23" s="3"/>
        <tr r="N23" s="1"/>
      </tp>
      <tp>
        <v>27462.211982000001</v>
        <stp/>
        <stp>P</stp>
        <stp>0</stp>
        <stp>STK</stp>
        <stp>N192400</stp>
        <stp>가중평균가</stp>
        <stp/>
        <stp/>
        <tr r="N232" s="3"/>
        <tr r="N320" s="1"/>
      </tp>
      <tp>
        <v>5843.2184319999997</v>
        <stp/>
        <stp>P</stp>
        <stp>0</stp>
        <stp>STK</stp>
        <stp>N048410</stp>
        <stp>가중평균가</stp>
        <stp/>
        <stp/>
        <tr r="N452" s="1"/>
      </tp>
      <tp>
        <v>87527.004306000003</v>
        <stp/>
        <stp>P</stp>
        <stp>0</stp>
        <stp>STK</stp>
        <stp>N214430</stp>
        <stp>가중평균가</stp>
        <stp/>
        <stp/>
        <tr r="N414" s="1"/>
      </tp>
      <tp>
        <v>45902.138714000001</v>
        <stp/>
        <stp>P</stp>
        <stp>0</stp>
        <stp>STK</stp>
        <stp>N137400</stp>
        <stp>가중평균가</stp>
        <stp/>
        <stp/>
        <tr r="N322" s="1"/>
      </tp>
      <tp>
        <v>36481.257135</v>
        <stp/>
        <stp>P</stp>
        <stp>0</stp>
        <stp>STK</stp>
        <stp>N249420</stp>
        <stp>가중평균가</stp>
        <stp/>
        <stp/>
        <tr r="N285" s="1"/>
        <tr r="N217" s="3"/>
      </tp>
      <tp>
        <v>110110.38309800001</v>
        <stp/>
        <stp>P</stp>
        <stp>0</stp>
        <stp>STK</stp>
        <stp>N140410</stp>
        <stp>가중평균가</stp>
        <stp/>
        <stp/>
        <tr r="N151" s="1"/>
      </tp>
      <tp>
        <v>42409.587334999997</v>
        <stp/>
        <stp>P</stp>
        <stp>0</stp>
        <stp>STK</stp>
        <stp>N052400</stp>
        <stp>가중평균가</stp>
        <stp/>
        <stp/>
        <tr r="N418" s="1"/>
      </tp>
      <tp>
        <v>68919.353545000005</v>
        <stp/>
        <stp>P</stp>
        <stp>0</stp>
        <stp>STK</stp>
        <stp>N064400</stp>
        <stp>가중평균가</stp>
        <stp/>
        <stp/>
        <tr r="N89" s="3"/>
        <tr r="N91" s="1"/>
      </tp>
      <tp>
        <v>23085.470831999999</v>
        <stp/>
        <stp>P</stp>
        <stp>0</stp>
        <stp>STK</stp>
        <stp>N308430</stp>
        <stp>가중평균가</stp>
        <stp/>
        <stp/>
        <tr r="N622" s="1"/>
      </tp>
      <tp>
        <v>400726.56467200001</v>
        <stp/>
        <stp>P</stp>
        <stp>0</stp>
        <stp>STK</stp>
        <stp>N006400</stp>
        <stp>가중평균가</stp>
        <stp/>
        <stp/>
        <tr r="N28" s="3"/>
        <tr r="N31" s="1"/>
      </tp>
      <tp>
        <v>36338.321106000003</v>
        <stp/>
        <stp>P</stp>
        <stp>0</stp>
        <stp>STK</stp>
        <stp>N213420</stp>
        <stp>가중평균가</stp>
        <stp/>
        <stp/>
        <tr r="N335" s="1"/>
      </tp>
      <tp>
        <v>12861.88342</v>
        <stp/>
        <stp>P</stp>
        <stp>0</stp>
        <stp>STK</stp>
        <stp>N484590</stp>
        <stp>가중평균가</stp>
        <stp/>
        <stp/>
        <tr r="N450" s="1"/>
      </tp>
      <tp>
        <v>11532.161549</v>
        <stp/>
        <stp>P</stp>
        <stp>0</stp>
        <stp>STK</stp>
        <stp>N253590</stp>
        <stp>가중평균가</stp>
        <stp/>
        <stp/>
        <tr r="N474" s="1"/>
      </tp>
      <tp>
        <v>15543.127962</v>
        <stp/>
        <stp>P</stp>
        <stp>0</stp>
        <stp>STK</stp>
        <stp>N217590</stp>
        <stp>가중평균가</stp>
        <stp/>
        <stp/>
        <tr r="N542" s="1"/>
        <tr r="N326" s="3"/>
      </tp>
      <tp>
        <v>46314.030336999997</v>
        <stp/>
        <stp>P</stp>
        <stp>0</stp>
        <stp>STK</stp>
        <stp>N161580</stp>
        <stp>가중평균가</stp>
        <stp/>
        <stp/>
        <tr r="N311" s="1"/>
      </tp>
      <tp>
        <v>12274.910394</v>
        <stp/>
        <stp>P</stp>
        <stp>0</stp>
        <stp>STK</stp>
        <stp>N016590</stp>
        <stp>가중평균가</stp>
        <stp/>
        <stp/>
        <tr r="N294" s="3"/>
        <tr r="N462" s="1"/>
      </tp>
      <tp>
        <v>40064.532684999998</v>
        <stp/>
        <stp>P</stp>
        <stp>0</stp>
        <stp>STK</stp>
        <stp>N023590</stp>
        <stp>가중평균가</stp>
        <stp/>
        <stp/>
        <tr r="N222" s="1"/>
        <tr r="N182" s="3"/>
      </tp>
      <tp>
        <v>19094.104583</v>
        <stp/>
        <stp>P</stp>
        <stp>0</stp>
        <stp>STK</stp>
        <stp>N075580</stp>
        <stp>가중평균가</stp>
        <stp/>
        <stp/>
        <tr r="N222" s="3"/>
        <tr r="N296" s="1"/>
      </tp>
      <tp>
        <v>61194.771108000001</v>
        <stp/>
        <stp>P</stp>
        <stp>0</stp>
        <stp>STK</stp>
        <stp>N103590</stp>
        <stp>가중평균가</stp>
        <stp/>
        <stp/>
        <tr r="N154" s="1"/>
        <tr r="N134" s="3"/>
      </tp>
      <tp>
        <v>79182.167285000003</v>
        <stp/>
        <stp>P</stp>
        <stp>0</stp>
        <stp>STK</stp>
        <stp>N468530</stp>
        <stp>가중평균가</stp>
        <stp/>
        <stp/>
        <tr r="N337" s="1"/>
      </tp>
      <tp>
        <v>106699.30574700001</v>
        <stp/>
        <stp>P</stp>
        <stp>0</stp>
        <stp>STK</stp>
        <stp>N066570</stp>
        <stp>가중평균가</stp>
        <stp/>
        <stp/>
        <tr r="N46" s="3"/>
        <tr r="N45" s="1"/>
      </tp>
      <tp>
        <v>134440.931312</v>
        <stp/>
        <stp>P</stp>
        <stp>0</stp>
        <stp>STK</stp>
        <stp>N105560</stp>
        <stp>가중평균가</stp>
        <stp/>
        <stp/>
        <tr r="N16" s="1"/>
        <tr r="N16" s="3"/>
      </tp>
      <tp>
        <v>50137.582389000003</v>
        <stp/>
        <stp>P</stp>
        <stp>0</stp>
        <stp>STK</stp>
        <stp>N003570</stp>
        <stp>가중평균가</stp>
        <stp/>
        <stp/>
        <tr r="N186" s="3"/>
        <tr r="N234" s="1"/>
      </tp>
      <tp>
        <v>37331.832460999998</v>
        <stp/>
        <stp>P</stp>
        <stp>0</stp>
        <stp>STK</stp>
        <stp>N419530</stp>
        <stp>가중평균가</stp>
        <stp/>
        <stp/>
        <tr r="N577" s="1"/>
      </tp>
      <tp>
        <v>231076.83121</v>
        <stp/>
        <stp>P</stp>
        <stp>0</stp>
        <stp>STK</stp>
        <stp>N036570</stp>
        <stp>가중평균가</stp>
        <stp/>
        <stp/>
        <tr r="N100" s="3"/>
        <tr r="N111" s="1"/>
      </tp>
      <tp>
        <v>21361.344037999999</v>
        <stp/>
        <stp>P</stp>
        <stp>0</stp>
        <stp>STK</stp>
        <stp>N380550</stp>
        <stp>가중평균가</stp>
        <stp/>
        <stp/>
        <tr r="N660" s="1"/>
      </tp>
      <tp>
        <v>175294.052926</v>
        <stp/>
        <stp>P</stp>
        <stp>0</stp>
        <stp>STK</stp>
        <stp>N247540</stp>
        <stp>가중평균가</stp>
        <stp/>
        <stp/>
        <tr r="N54" s="1"/>
      </tp>
      <tp>
        <v>61717.497774000003</v>
        <stp/>
        <stp>P</stp>
        <stp>0</stp>
        <stp>STK</stp>
        <stp>N357550</stp>
        <stp>가중평균가</stp>
        <stp/>
        <stp/>
        <tr r="N609" s="1"/>
      </tp>
      <tp>
        <v>7726.9731389999997</v>
        <stp/>
        <stp>P</stp>
        <stp>0</stp>
        <stp>STK</stp>
        <stp>N020560</stp>
        <stp>가중평균가</stp>
        <stp/>
        <stp/>
        <tr r="N243" s="1"/>
        <tr r="N192" s="3"/>
      </tp>
      <tp>
        <v>27161.378737999999</v>
        <stp/>
        <stp>P</stp>
        <stp>0</stp>
        <stp>STK</stp>
        <stp>N294570</stp>
        <stp>가중평균가</stp>
        <stp/>
        <stp/>
        <tr r="N647" s="1"/>
      </tp>
      <tp>
        <v>32743.880148</v>
        <stp/>
        <stp>P</stp>
        <stp>0</stp>
        <stp>STK</stp>
        <stp>N459510</stp>
        <stp>가중평균가</stp>
        <stp/>
        <stp/>
        <tr r="N490" s="1"/>
      </tp>
      <tp>
        <v>82877.420805999995</v>
        <stp/>
        <stp>P</stp>
        <stp>0</stp>
        <stp>STK</stp>
        <stp>N055550</stp>
        <stp>가중평균가</stp>
        <stp/>
        <stp/>
        <tr r="N22" s="1"/>
        <tr r="N22" s="3"/>
      </tp>
      <tp>
        <v>11962.05379</v>
        <stp/>
        <stp>P</stp>
        <stp>0</stp>
        <stp>STK</stp>
        <stp>N064550</stp>
        <stp>가중평균가</stp>
        <stp/>
        <stp/>
        <tr r="N613" s="1"/>
      </tp>
      <tp>
        <v>534036.97183099994</v>
        <stp/>
        <stp>P</stp>
        <stp>0</stp>
        <stp>STK</stp>
        <stp>N079550</stp>
        <stp>가중평균가</stp>
        <stp/>
        <stp/>
        <tr r="N66" s="1"/>
        <tr r="N62" s="3"/>
      </tp>
      <tp>
        <v>89138.959069999997</v>
        <stp/>
        <stp>P</stp>
        <stp>0</stp>
        <stp>STK</stp>
        <stp>N003550</stp>
        <stp>가중평균가</stp>
        <stp/>
        <stp/>
        <tr r="N62" s="1"/>
        <tr r="N58" s="3"/>
      </tp>
      <tp>
        <v>12120.198714</v>
        <stp/>
        <stp>P</stp>
        <stp>0</stp>
        <stp>STK</stp>
        <stp>N225570</stp>
        <stp>가중평균가</stp>
        <stp/>
        <stp/>
        <tr r="N354" s="1"/>
      </tp>
      <tp>
        <v>44516.758091000003</v>
        <stp/>
        <stp>P</stp>
        <stp>0</stp>
        <stp>STK</stp>
        <stp>N340570</stp>
        <stp>가중평균가</stp>
        <stp/>
        <stp/>
        <tr r="N572" s="1"/>
      </tp>
      <tp>
        <v>60647.166646999998</v>
        <stp/>
        <stp>P</stp>
        <stp>0</stp>
        <stp>STK</stp>
        <stp>N241560</stp>
        <stp>가중평균가</stp>
        <stp/>
        <stp/>
        <tr r="N93" s="3"/>
        <tr r="N100" s="1"/>
      </tp>
      <tp>
        <v>13295.991882</v>
        <stp/>
        <stp>P</stp>
        <stp>0</stp>
        <stp>STK</stp>
        <stp>N358570</stp>
        <stp>가중평균가</stp>
        <stp/>
        <stp/>
        <tr r="N336" s="1"/>
      </tp>
      <tp>
        <v>115520.436927</v>
        <stp/>
        <stp>P</stp>
        <stp>0</stp>
        <stp>STK</stp>
        <stp>N271560</stp>
        <stp>가중평균가</stp>
        <stp/>
        <stp/>
        <tr r="N114" s="1"/>
        <tr r="N106" s="3"/>
      </tp>
      <tp>
        <v>428097.64309799997</v>
        <stp/>
        <stp>P</stp>
        <stp>0</stp>
        <stp>STK</stp>
        <stp>N009540</stp>
        <stp>가중평균가</stp>
        <stp/>
        <stp/>
        <tr r="N27" s="3"/>
        <tr r="N27" s="1"/>
      </tp>
      <tp>
        <v>27876.720123999999</v>
        <stp/>
        <stp>P</stp>
        <stp>0</stp>
        <stp>STK</stp>
        <stp>N003540</stp>
        <stp>가중평균가</stp>
        <stp/>
        <stp/>
        <tr r="N259" s="1"/>
        <tr r="N200" s="3"/>
      </tp>
      <tp>
        <v>76498.307176999995</v>
        <stp/>
        <stp>P</stp>
        <stp>0</stp>
        <stp>STK</stp>
        <stp>N025540</stp>
        <stp>가중평균가</stp>
        <stp/>
        <stp/>
        <tr r="N248" s="3"/>
        <tr r="N352" s="1"/>
      </tp>
      <tp>
        <v>5305.4994260000003</v>
        <stp/>
        <stp>P</stp>
        <stp>0</stp>
        <stp>STK</stp>
        <stp>N036540</stp>
        <stp>가중평균가</stp>
        <stp/>
        <stp/>
        <tr r="N331" s="1"/>
      </tp>
      <tp>
        <v>8610.8838909999995</v>
        <stp/>
        <stp>P</stp>
        <stp>0</stp>
        <stp>STK</stp>
        <stp>N336570</stp>
        <stp>가중평균가</stp>
        <stp/>
        <stp/>
        <tr r="N372" s="1"/>
      </tp>
      <tp>
        <v>24064.261431999999</v>
        <stp/>
        <stp>P</stp>
        <stp>0</stp>
        <stp>STK</stp>
        <stp>N096530</stp>
        <stp>가중평균가</stp>
        <stp/>
        <stp/>
        <tr r="N275" s="1"/>
      </tp>
      <tp>
        <v>44031.159789999998</v>
        <stp/>
        <stp>P</stp>
        <stp>0</stp>
        <stp>STK</stp>
        <stp>N375500</stp>
        <stp>가중평균가</stp>
        <stp/>
        <stp/>
        <tr r="N187" s="3"/>
        <tr r="N235" s="1"/>
      </tp>
      <tp>
        <v>20044.748069000001</v>
        <stp/>
        <stp>P</stp>
        <stp>0</stp>
        <stp>STK</stp>
        <stp>N001530</stp>
        <stp>가중평균가</stp>
        <stp/>
        <stp/>
        <tr r="N325" s="3"/>
        <tr r="N546" s="1"/>
      </tp>
      <tp>
        <v>46265.384615000003</v>
        <stp/>
        <stp>P</stp>
        <stp>0</stp>
        <stp>STK</stp>
        <stp>N029530</stp>
        <stp>가중평균가</stp>
        <stp/>
        <stp/>
        <tr r="N309" s="3"/>
        <tr r="N499" s="1"/>
      </tp>
      <tp>
        <v>77560.427553000001</v>
        <stp/>
        <stp>P</stp>
        <stp>0</stp>
        <stp>STK</stp>
        <stp>N023530</stp>
        <stp>가중평균가</stp>
        <stp/>
        <stp/>
        <tr r="N200" s="1"/>
        <tr r="N163" s="3"/>
      </tp>
      <tp>
        <v>56746.290801000003</v>
        <stp/>
        <stp>P</stp>
        <stp>0</stp>
        <stp>STK</stp>
        <stp>N036530</stp>
        <stp>가중평균가</stp>
        <stp/>
        <stp/>
        <tr r="N234" s="3"/>
        <tr r="N325" s="1"/>
      </tp>
      <tp>
        <v>40128.692235000002</v>
        <stp/>
        <stp>P</stp>
        <stp>0</stp>
        <stp>STK</stp>
        <stp>N030530</stp>
        <stp>가중평균가</stp>
        <stp/>
        <stp/>
        <tr r="N146" s="1"/>
      </tp>
      <tp>
        <v>108209.958296</v>
        <stp/>
        <stp>P</stp>
        <stp>0</stp>
        <stp>STK</stp>
        <stp>N086520</stp>
        <stp>가중평균가</stp>
        <stp/>
        <stp/>
        <tr r="N64" s="1"/>
      </tp>
      <tp>
        <v>30526.421469000001</v>
        <stp/>
        <stp>P</stp>
        <stp>0</stp>
        <stp>STK</stp>
        <stp>N097520</stp>
        <stp>가중평균가</stp>
        <stp/>
        <stp/>
        <tr r="N447" s="1"/>
        <tr r="N287" s="3"/>
      </tp>
      <tp>
        <v>21394.430218000001</v>
        <stp/>
        <stp>P</stp>
        <stp>0</stp>
        <stp>STK</stp>
        <stp>N093520</stp>
        <stp>가중평균가</stp>
        <stp/>
        <stp/>
        <tr r="N627" s="1"/>
      </tp>
      <tp>
        <v>23988.521003999998</v>
        <stp/>
        <stp>P</stp>
        <stp>0</stp>
        <stp>STK</stp>
        <stp>N042520</stp>
        <stp>가중평균가</stp>
        <stp/>
        <stp/>
        <tr r="N604" s="1"/>
      </tp>
      <tp>
        <v>10061.166063999999</v>
        <stp/>
        <stp>P</stp>
        <stp>0</stp>
        <stp>STK</stp>
        <stp>N078520</stp>
        <stp>가중평균가</stp>
        <stp/>
        <stp/>
        <tr r="N670" s="1"/>
        <tr r="N368" s="3"/>
      </tp>
      <tp>
        <v>23976.77305</v>
        <stp/>
        <stp>P</stp>
        <stp>0</stp>
        <stp>STK</stp>
        <stp>N475560</stp>
        <stp>가중평균가</stp>
        <stp/>
        <stp/>
        <tr r="N571" s="1"/>
        <tr r="N334" s="3"/>
      </tp>
      <tp>
        <v>19157.942258999999</v>
        <stp/>
        <stp>P</stp>
        <stp>0</stp>
        <stp>STK</stp>
        <stp>N009520</stp>
        <stp>가중평균가</stp>
        <stp/>
        <stp/>
        <tr r="N363" s="1"/>
      </tp>
      <tp>
        <v>23022.592143999998</v>
        <stp/>
        <stp>P</stp>
        <stp>0</stp>
        <stp>STK</stp>
        <stp>N030520</stp>
        <stp>가중평균가</stp>
        <stp/>
        <stp/>
        <tr r="N454" s="1"/>
      </tp>
      <tp>
        <v>108687.779553</v>
        <stp/>
        <stp>P</stp>
        <stp>0</stp>
        <stp>STK</stp>
        <stp>N041510</stp>
        <stp>가중평균가</stp>
        <stp/>
        <stp/>
        <tr r="N177" s="1"/>
      </tp>
      <tp>
        <v>12058.484848</v>
        <stp/>
        <stp>P</stp>
        <stp>0</stp>
        <stp>STK</stp>
        <stp>N403550</stp>
        <stp>가중평균가</stp>
        <stp/>
        <stp/>
        <tr r="N537" s="1"/>
        <tr r="N322" s="3"/>
      </tp>
      <tp>
        <v>96687.371274000005</v>
        <stp/>
        <stp>P</stp>
        <stp>0</stp>
        <stp>STK</stp>
        <stp>N012510</stp>
        <stp>가중평균가</stp>
        <stp/>
        <stp/>
        <tr r="N155" s="1"/>
        <tr r="N133" s="3"/>
      </tp>
      <tp>
        <v>12575.330005</v>
        <stp/>
        <stp>P</stp>
        <stp>0</stp>
        <stp>STK</stp>
        <stp>N095500</stp>
        <stp>가중평균가</stp>
        <stp/>
        <stp/>
        <tr r="N596" s="1"/>
      </tp>
      <tp>
        <v>24747.214067000001</v>
        <stp/>
        <stp>P</stp>
        <stp>0</stp>
        <stp>STK</stp>
        <stp>N190510</stp>
        <stp>가중평균가</stp>
        <stp/>
        <stp/>
        <tr r="N579" s="1"/>
      </tp>
      <tp>
        <v>22296.864820999999</v>
        <stp/>
        <stp>P</stp>
        <stp>0</stp>
        <stp>STK</stp>
        <stp>N144510</stp>
        <stp>가중평균가</stp>
        <stp/>
        <stp/>
        <tr r="N575" s="1"/>
      </tp>
      <tp>
        <v>26535</v>
        <stp/>
        <stp>P</stp>
        <stp>0</stp>
        <stp>STK</stp>
        <stp>N051500</stp>
        <stp>가중평균가</stp>
        <stp/>
        <stp/>
        <tr r="N605" s="1"/>
      </tp>
      <tp>
        <v>19207.166041</v>
        <stp/>
        <stp>P</stp>
        <stp>0</stp>
        <stp>STK</stp>
        <stp>N265520</stp>
        <stp>가중평균가</stp>
        <stp/>
        <stp/>
        <tr r="N639" s="1"/>
      </tp>
      <tp>
        <v>19274.872880999999</v>
        <stp/>
        <stp>P</stp>
        <stp>0</stp>
        <stp>STK</stp>
        <stp>N005500</stp>
        <stp>가중평균가</stp>
        <stp/>
        <stp/>
        <tr r="N666" s="1"/>
        <tr r="N371" s="3"/>
      </tp>
      <tp>
        <v>89093.014102999994</v>
        <stp/>
        <stp>P</stp>
        <stp>0</stp>
        <stp>STK</stp>
        <stp>N000500</stp>
        <stp>가중평균가</stp>
        <stp/>
        <stp/>
        <tr r="N196" s="3"/>
        <tr r="N249" s="1"/>
      </tp>
      <tp>
        <v>8691.9732939999994</v>
        <stp/>
        <stp>P</stp>
        <stp>0</stp>
        <stp>STK</stp>
        <stp>N001500</stp>
        <stp>가중평균가</stp>
        <stp/>
        <stp/>
        <tr r="N289" s="3"/>
        <tr r="N459" s="1"/>
      </tp>
      <tp>
        <v>25867.248638000001</v>
        <stp/>
        <stp>P</stp>
        <stp>0</stp>
        <stp>STK</stp>
        <stp>N011500</stp>
        <stp>가중평균가</stp>
        <stp/>
        <stp/>
        <tr r="N333" s="3"/>
        <tr r="N631" s="1"/>
      </tp>
      <tp>
        <v>15564.339989</v>
        <stp/>
        <stp>P</stp>
        <stp>0</stp>
        <stp>STK</stp>
        <stp>N032500</stp>
        <stp>가중평균가</stp>
        <stp/>
        <stp/>
        <tr r="N413" s="1"/>
      </tp>
      <tp>
        <v>26622.210728999999</v>
        <stp/>
        <stp>P</stp>
        <stp>0</stp>
        <stp>STK</stp>
        <stp>N033500</stp>
        <stp>가중평균가</stp>
        <stp/>
        <stp/>
        <tr r="N344" s="1"/>
      </tp>
      <tp>
        <v>125859.89042700001</v>
        <stp/>
        <stp>P</stp>
        <stp>0</stp>
        <stp>STK</stp>
        <stp>N445680</stp>
        <stp>가중평균가</stp>
        <stp/>
        <stp/>
        <tr r="N204" s="1"/>
      </tp>
      <tp>
        <v>7219.3822019999998</v>
        <stp/>
        <stp>P</stp>
        <stp>0</stp>
        <stp>STK</stp>
        <stp>N356680</stp>
        <stp>가중평균가</stp>
        <stp/>
        <stp/>
        <tr r="N694" s="1"/>
      </tp>
      <tp>
        <v>120239.783593</v>
        <stp/>
        <stp>P</stp>
        <stp>0</stp>
        <stp>STK</stp>
        <stp>N237690</stp>
        <stp>가중평균가</stp>
        <stp/>
        <stp/>
        <tr r="N182" s="1"/>
      </tp>
      <tp>
        <v>9766.344083</v>
        <stp/>
        <stp>P</stp>
        <stp>0</stp>
        <stp>STK</stp>
        <stp>N084690</stp>
        <stp>가중평균가</stp>
        <stp/>
        <stp/>
        <tr r="N342" s="3"/>
        <tr r="N587" s="1"/>
      </tp>
      <tp>
        <v>136583.411876</v>
        <stp/>
        <stp>P</stp>
        <stp>0</stp>
        <stp>STK</stp>
        <stp>N052690</stp>
        <stp>가중평균가</stp>
        <stp/>
        <stp/>
        <tr r="N104" s="1"/>
        <tr r="N99" s="3"/>
      </tp>
      <tp>
        <v>127637.819905</v>
        <stp/>
        <stp>P</stp>
        <stp>0</stp>
        <stp>STK</stp>
        <stp>N004690</stp>
        <stp>가중평균가</stp>
        <stp/>
        <stp/>
        <tr r="N291" s="3"/>
        <tr r="N465" s="1"/>
      </tp>
      <tp>
        <v>13717.887027999999</v>
        <stp/>
        <stp>P</stp>
        <stp>0</stp>
        <stp>STK</stp>
        <stp>N005690</stp>
        <stp>가중평균가</stp>
        <stp/>
        <stp/>
        <tr r="N246" s="3"/>
        <tr r="N358" s="1"/>
      </tp>
      <tp>
        <v>36923.372395999999</v>
        <stp/>
        <stp>P</stp>
        <stp>0</stp>
        <stp>STK</stp>
        <stp>N007690</stp>
        <stp>가중평균가</stp>
        <stp/>
        <stp/>
        <tr r="N586" s="1"/>
        <tr r="N339" s="3"/>
      </tp>
      <tp>
        <v>11063.799499000001</v>
        <stp/>
        <stp>P</stp>
        <stp>0</stp>
        <stp>STK</stp>
        <stp>N003690</stp>
        <stp>가중평균가</stp>
        <stp/>
        <stp/>
        <tr r="N196" s="1"/>
        <tr r="N162" s="3"/>
      </tp>
      <tp>
        <v>9850.8874820000001</v>
        <stp/>
        <stp>P</stp>
        <stp>0</stp>
        <stp>STK</stp>
        <stp>N010690</stp>
        <stp>가중평균가</stp>
        <stp/>
        <stp/>
        <tr r="N335" s="3"/>
        <tr r="N560" s="1"/>
      </tp>
      <tp>
        <v>30539.201878</v>
        <stp/>
        <stp>P</stp>
        <stp>0</stp>
        <stp>STK</stp>
        <stp>N065680</stp>
        <stp>가중평균가</stp>
        <stp/>
        <stp/>
        <tr r="N635" s="1"/>
      </tp>
      <tp>
        <v>10210.291262000001</v>
        <stp/>
        <stp>P</stp>
        <stp>0</stp>
        <stp>STK</stp>
        <stp>N009680</stp>
        <stp>가중평균가</stp>
        <stp/>
        <stp/>
        <tr r="N632" s="1"/>
        <tr r="N359" s="3"/>
      </tp>
      <tp>
        <v>21967.903511</v>
        <stp/>
        <stp>P</stp>
        <stp>0</stp>
        <stp>STK</stp>
        <stp>N001680</stp>
        <stp>가중평균가</stp>
        <stp/>
        <stp/>
        <tr r="N253" s="3"/>
        <tr r="N371" s="1"/>
      </tp>
      <tp>
        <v>284085.21970700001</v>
        <stp/>
        <stp>P</stp>
        <stp>0</stp>
        <stp>STK</stp>
        <stp>N014680</stp>
        <stp>가중평균가</stp>
        <stp/>
        <stp/>
        <tr r="N129" s="3"/>
        <tr r="N152" s="1"/>
      </tp>
      <tp>
        <v>53335.581596000004</v>
        <stp/>
        <stp>P</stp>
        <stp>0</stp>
        <stp>STK</stp>
        <stp>N290650</stp>
        <stp>가중평균가</stp>
        <stp/>
        <stp/>
        <tr r="N266" s="1"/>
      </tp>
      <tp>
        <v>11174.211812</v>
        <stp/>
        <stp>P</stp>
        <stp>0</stp>
        <stp>STK</stp>
        <stp>N206650</stp>
        <stp>가중평균가</stp>
        <stp/>
        <stp/>
        <tr r="N531" s="1"/>
      </tp>
      <tp>
        <v>54471.046714999997</v>
        <stp/>
        <stp>P</stp>
        <stp>0</stp>
        <stp>STK</stp>
        <stp>N000670</stp>
        <stp>가중평균가</stp>
        <stp/>
        <stp/>
        <tr r="N321" s="1"/>
        <tr r="N231" s="3"/>
      </tp>
      <tp>
        <v>221834.62139499999</v>
        <stp/>
        <stp>P</stp>
        <stp>0</stp>
        <stp>STK</stp>
        <stp>N003670</stp>
        <stp>가중평균가</stp>
        <stp/>
        <stp/>
        <tr r="N46" s="1"/>
        <tr r="N43" s="3"/>
      </tp>
      <tp>
        <v>229681.668496</v>
        <stp/>
        <stp>P</stp>
        <stp>0</stp>
        <stp>STK</stp>
        <stp>N018670</stp>
        <stp>가중평균가</stp>
        <stp/>
        <stp/>
        <tr r="N167" s="3"/>
        <tr r="N206" s="1"/>
      </tp>
      <tp>
        <v>62222.380014000002</v>
        <stp/>
        <stp>P</stp>
        <stp>0</stp>
        <stp>STK</stp>
        <stp>N017670</stp>
        <stp>가중평균가</stp>
        <stp/>
        <stp/>
        <tr r="N63" s="1"/>
        <tr r="N61" s="3"/>
      </tp>
      <tp>
        <v>4458.6574220000002</v>
        <stp/>
        <stp>P</stp>
        <stp>0</stp>
        <stp>STK</stp>
        <stp>N028670</stp>
        <stp>가중평균가</stp>
        <stp/>
        <stp/>
        <tr r="N157" s="3"/>
        <tr r="N188" s="1"/>
      </tp>
      <tp>
        <v>12297.170055000001</v>
        <stp/>
        <stp>P</stp>
        <stp>0</stp>
        <stp>STK</stp>
        <stp>N130660</stp>
        <stp>가중평균가</stp>
        <stp/>
        <stp/>
        <tr r="N321" s="3"/>
        <tr r="N518" s="1"/>
      </tp>
      <tp>
        <v>75841.939937999996</v>
        <stp/>
        <stp>P</stp>
        <stp>0</stp>
        <stp>STK</stp>
        <stp>N389650</stp>
        <stp>가중평균가</stp>
        <stp/>
        <stp/>
        <tr r="N427" s="1"/>
      </tp>
      <tp>
        <v>15743.855613</v>
        <stp/>
        <stp>P</stp>
        <stp>0</stp>
        <stp>STK</stp>
        <stp>N085660</stp>
        <stp>가중평균가</stp>
        <stp/>
        <stp/>
        <tr r="N268" s="1"/>
      </tp>
      <tp>
        <v>45163.620071999998</v>
        <stp/>
        <stp>P</stp>
        <stp>0</stp>
        <stp>STK</stp>
        <stp>N081660</stp>
        <stp>가중평균가</stp>
        <stp/>
        <stp/>
        <tr r="N154" s="3"/>
        <tr r="N189" s="1"/>
      </tp>
      <tp>
        <v>25946.364346999999</v>
        <stp/>
        <stp>P</stp>
        <stp>0</stp>
        <stp>STK</stp>
        <stp>N095660</stp>
        <stp>가중평균가</stp>
        <stp/>
        <stp/>
        <tr r="N445" s="1"/>
      </tp>
      <tp>
        <v>139530.365681</v>
        <stp/>
        <stp>P</stp>
        <stp>0</stp>
        <stp>STK</stp>
        <stp>N042660</stp>
        <stp>가중평균가</stp>
        <stp/>
        <stp/>
        <tr r="N19" s="3"/>
        <tr r="N20" s="1"/>
      </tp>
      <tp>
        <v>39258.056266</v>
        <stp/>
        <stp>P</stp>
        <stp>0</stp>
        <stp>STK</stp>
        <stp>N065660</stp>
        <stp>가중평균가</stp>
        <stp/>
        <stp/>
        <tr r="N553" s="1"/>
      </tp>
      <tp>
        <v>29230.612245</v>
        <stp/>
        <stp>P</stp>
        <stp>0</stp>
        <stp>STK</stp>
        <stp>N108670</stp>
        <stp>가중평균가</stp>
        <stp/>
        <stp/>
        <tr r="N665" s="1"/>
        <tr r="N369" s="3"/>
      </tp>
      <tp>
        <v>12474.603827000001</v>
        <stp/>
        <stp>P</stp>
        <stp>0</stp>
        <stp>STK</stp>
        <stp>N206640</stp>
        <stp>가중평균가</stp>
        <stp/>
        <stp/>
        <tr r="N629" s="1"/>
      </tp>
      <tp>
        <v>113037.610373</v>
        <stp/>
        <stp>P</stp>
        <stp>0</stp>
        <stp>STK</stp>
        <stp>N007660</stp>
        <stp>가중평균가</stp>
        <stp/>
        <stp/>
        <tr r="N81" s="3"/>
        <tr r="N86" s="1"/>
      </tp>
      <tp>
        <v>756538.58754600002</v>
        <stp/>
        <stp>P</stp>
        <stp>0</stp>
        <stp>STK</stp>
        <stp>N000660</stp>
        <stp>가중평균가</stp>
        <stp/>
        <stp/>
        <tr r="N7" s="1"/>
        <tr r="N7" s="3"/>
      </tp>
      <tp>
        <v>39554.043007</v>
        <stp/>
        <stp>P</stp>
        <stp>0</stp>
        <stp>STK</stp>
        <stp>N229640</stp>
        <stp>가중평균가</stp>
        <stp/>
        <stp/>
        <tr r="N214" s="3"/>
        <tr r="N289" s="1"/>
      </tp>
      <tp>
        <v>129746.87323899999</v>
        <stp/>
        <stp>P</stp>
        <stp>0</stp>
        <stp>STK</stp>
        <stp>N180640</stp>
        <stp>가중평균가</stp>
        <stp/>
        <stp/>
        <tr r="N76" s="3"/>
        <tr r="N80" s="1"/>
      </tp>
      <tp>
        <v>63127.159296999998</v>
        <stp/>
        <stp>P</stp>
        <stp>0</stp>
        <stp>STK</stp>
        <stp>N083650</stp>
        <stp>가중평균가</stp>
        <stp/>
        <stp/>
        <tr r="N212" s="1"/>
      </tp>
      <tp>
        <v>23114.338452</v>
        <stp/>
        <stp>P</stp>
        <stp>0</stp>
        <stp>STK</stp>
        <stp>N469610</stp>
        <stp>가중평균가</stp>
        <stp/>
        <stp/>
        <tr r="N696" s="1"/>
      </tp>
      <tp>
        <v>158697.65002100001</v>
        <stp/>
        <stp>P</stp>
        <stp>0</stp>
        <stp>STK</stp>
        <stp>N006650</stp>
        <stp>가중평균가</stp>
        <stp/>
        <stp/>
        <tr r="N306" s="1"/>
        <tr r="N225" s="3"/>
      </tp>
      <tp>
        <v>51009.479391000001</v>
        <stp/>
        <stp>P</stp>
        <stp>0</stp>
        <stp>STK</stp>
        <stp>N107640</stp>
        <stp>가중평균가</stp>
        <stp/>
        <stp/>
        <tr r="N524" s="1"/>
      </tp>
      <tp>
        <v>41821.961480999998</v>
        <stp/>
        <stp>P</stp>
        <stp>0</stp>
        <stp>STK</stp>
        <stp>N200670</stp>
        <stp>가중평균가</stp>
        <stp/>
        <stp/>
        <tr r="N507" s="1"/>
      </tp>
      <tp>
        <v>39922.980681000001</v>
        <stp/>
        <stp>P</stp>
        <stp>0</stp>
        <stp>STK</stp>
        <stp>N319660</stp>
        <stp>가중평균가</stp>
        <stp/>
        <stp/>
        <tr r="N284" s="1"/>
      </tp>
      <tp>
        <v>18684.008999999998</v>
        <stp/>
        <stp>P</stp>
        <stp>0</stp>
        <stp>STK</stp>
        <stp>N122640</stp>
        <stp>가중평균가</stp>
        <stp/>
        <stp/>
        <tr r="N541" s="1"/>
      </tp>
      <tp>
        <v>28977.591899999999</v>
        <stp/>
        <stp>P</stp>
        <stp>0</stp>
        <stp>STK</stp>
        <stp>N270660</stp>
        <stp>가중평균가</stp>
        <stp/>
        <stp/>
        <tr r="N539" s="1"/>
      </tp>
      <tp>
        <v>105061.004785</v>
        <stp/>
        <stp>P</stp>
        <stp>0</stp>
        <stp>STK</stp>
        <stp>N000640</stp>
        <stp>가중평균가</stp>
        <stp/>
        <stp/>
        <tr r="N394" s="1"/>
        <tr r="N264" s="3"/>
      </tp>
      <tp>
        <v>15405.964883000001</v>
        <stp/>
        <stp>P</stp>
        <stp>0</stp>
        <stp>STK</stp>
        <stp>N032640</stp>
        <stp>가중평균가</stp>
        <stp/>
        <stp/>
        <tr r="N96" s="1"/>
        <tr r="N87" s="3"/>
      </tp>
      <tp>
        <v>15895.729167</v>
        <stp/>
        <stp>P</stp>
        <stp>0</stp>
        <stp>STK</stp>
        <stp>N033640</stp>
        <stp>가중평균가</stp>
        <stp/>
        <stp/>
        <tr r="N561" s="1"/>
      </tp>
      <tp>
        <v>47347.019868000003</v>
        <stp/>
        <stp>P</stp>
        <stp>0</stp>
        <stp>STK</stp>
        <stp>N001630</stp>
        <stp>가중평균가</stp>
        <stp/>
        <stp/>
        <tr r="N376" s="3"/>
        <tr r="N681" s="1"/>
      </tp>
      <tp>
        <v>16960.24325</v>
        <stp/>
        <stp>P</stp>
        <stp>0</stp>
        <stp>STK</stp>
        <stp>N012630</stp>
        <stp>가중평균가</stp>
        <stp/>
        <stp/>
        <tr r="N309" s="1"/>
        <tr r="N228" s="3"/>
      </tp>
      <tp>
        <v>9073.0188679999992</v>
        <stp/>
        <stp>P</stp>
        <stp>0</stp>
        <stp>STK</stp>
        <stp>N085620</stp>
        <stp>가중평균가</stp>
        <stp/>
        <stp/>
        <tr r="N190" s="3"/>
        <tr r="N241" s="1"/>
      </tp>
      <tp>
        <v>164657.24137900001</v>
        <stp/>
        <stp>P</stp>
        <stp>0</stp>
        <stp>STK</stp>
        <stp>N069620</stp>
        <stp>가중평균가</stp>
        <stp/>
        <stp/>
        <tr r="N217" s="1"/>
        <tr r="N175" s="3"/>
      </tp>
      <tp>
        <v>26891.492483000002</v>
        <stp/>
        <stp>P</stp>
        <stp>0</stp>
        <stp>STK</stp>
        <stp>N361610</stp>
        <stp>가중평균가</stp>
        <stp/>
        <stp/>
        <tr r="N211" s="1"/>
        <tr r="N168" s="3"/>
      </tp>
      <tp>
        <v>14186.087206</v>
        <stp/>
        <stp>P</stp>
        <stp>0</stp>
        <stp>STK</stp>
        <stp>N105630</stp>
        <stp>가중평균가</stp>
        <stp/>
        <stp/>
        <tr r="N280" s="3"/>
        <tr r="N441" s="1"/>
      </tp>
      <tp>
        <v>28609.548916</v>
        <stp/>
        <stp>P</stp>
        <stp>0</stp>
        <stp>STK</stp>
        <stp>N014620</stp>
        <stp>가중평균가</stp>
        <stp/>
        <stp/>
        <tr r="N361" s="1"/>
      </tp>
      <tp>
        <v>5576.8048429999999</v>
        <stp/>
        <stp>P</stp>
        <stp>0</stp>
        <stp>STK</stp>
        <stp>N036620</stp>
        <stp>가중평균가</stp>
        <stp/>
        <stp/>
        <tr r="N478" s="1"/>
      </tp>
      <tp>
        <v>148855.655455</v>
        <stp/>
        <stp>P</stp>
        <stp>0</stp>
        <stp>STK</stp>
        <stp>N483650</stp>
        <stp>가중평균가</stp>
        <stp/>
        <stp/>
        <tr r="N233" s="1"/>
        <tr r="N177" s="3"/>
      </tp>
      <tp>
        <v>48967.526831000003</v>
        <stp/>
        <stp>P</stp>
        <stp>0</stp>
        <stp>STK</stp>
        <stp>N095610</stp>
        <stp>가중평균가</stp>
        <stp/>
        <stp/>
        <tr r="N319" s="1"/>
      </tp>
      <tp>
        <v>105243.423171</v>
        <stp/>
        <stp>P</stp>
        <stp>0</stp>
        <stp>STK</stp>
        <stp>N058610</stp>
        <stp>가중평균가</stp>
        <stp/>
        <stp/>
        <tr r="N178" s="1"/>
      </tp>
      <tp>
        <v>37734.602810999997</v>
        <stp/>
        <stp>P</stp>
        <stp>0</stp>
        <stp>STK</stp>
        <stp>N053610</stp>
        <stp>가중평균가</stp>
        <stp/>
        <stp/>
        <tr r="N538" s="1"/>
      </tp>
      <tp>
        <v>50329.545454999999</v>
        <stp/>
        <stp>P</stp>
        <stp>0</stp>
        <stp>STK</stp>
        <stp>N005610</stp>
        <stp>가중평균가</stp>
        <stp/>
        <stp/>
        <tr r="N313" s="3"/>
        <tr r="N511" s="1"/>
      </tp>
      <tp>
        <v>11913.276432000001</v>
        <stp/>
        <stp>P</stp>
        <stp>0</stp>
        <stp>STK</stp>
        <stp>N016610</stp>
        <stp>가중평균가</stp>
        <stp/>
        <stp/>
        <tr r="N302" s="3"/>
        <tr r="N483" s="1"/>
      </tp>
      <tp>
        <v>59312.864712000002</v>
        <stp/>
        <stp>P</stp>
        <stp>0</stp>
        <stp>STK</stp>
        <stp>N121600</stp>
        <stp>가중평균가</stp>
        <stp/>
        <stp/>
        <tr r="N416" s="1"/>
      </tp>
      <tp>
        <v>10627.865383</v>
        <stp/>
        <stp>P</stp>
        <stp>0</stp>
        <stp>STK</stp>
        <stp>N030610</stp>
        <stp>가중평균가</stp>
        <stp/>
        <stp/>
        <tr r="N286" s="1"/>
        <tr r="N213" s="3"/>
      </tp>
      <tp>
        <v>58002.114170000001</v>
        <stp/>
        <stp>P</stp>
        <stp>0</stp>
        <stp>STK</stp>
        <stp>N051600</stp>
        <stp>가중평균가</stp>
        <stp/>
        <stp/>
        <tr r="N166" s="1"/>
        <tr r="N142" s="3"/>
      </tp>
      <tp>
        <v>75232.782238999993</v>
        <stp/>
        <stp>P</stp>
        <stp>0</stp>
        <stp>STK</stp>
        <stp>N078600</stp>
        <stp>가중평균가</stp>
        <stp/>
        <stp/>
        <tr r="N317" s="1"/>
      </tp>
      <tp>
        <v>23890.588179999999</v>
        <stp/>
        <stp>P</stp>
        <stp>0</stp>
        <stp>STK</stp>
        <stp>N074600</stp>
        <stp>가중평균가</stp>
        <stp/>
        <stp/>
        <tr r="N405" s="1"/>
      </tp>
      <tp>
        <v>40393.170123999997</v>
        <stp/>
        <stp>P</stp>
        <stp>0</stp>
        <stp>STK</stp>
        <stp>N112610</stp>
        <stp>가중평균가</stp>
        <stp/>
        <stp/>
        <tr r="N237" s="1"/>
        <tr r="N185" s="3"/>
      </tp>
      <tp>
        <v>33680.058377000001</v>
        <stp/>
        <stp>P</stp>
        <stp>0</stp>
        <stp>STK</stp>
        <stp>N138610</stp>
        <stp>가중평균가</stp>
        <stp/>
        <stp/>
        <tr r="N545" s="1"/>
      </tp>
      <tp>
        <v>9781.5921859999999</v>
        <stp/>
        <stp>P</stp>
        <stp>0</stp>
        <stp>STK</stp>
        <stp>N035600</stp>
        <stp>가중평균가</stp>
        <stp/>
        <stp/>
        <tr r="N652" s="1"/>
      </tp>
      <tp>
        <v>637144.60296100006</v>
        <stp/>
        <stp>P</stp>
        <stp>0</stp>
        <stp>STK</stp>
        <stp>N0126Z0</stp>
        <stp>가중평균가</stp>
        <stp/>
        <stp/>
        <tr r="N54" s="3"/>
        <tr r="N57" s="1"/>
      </tp>
      <tp>
        <v>54506.894634999997</v>
        <stp/>
        <stp>P</stp>
        <stp>0</stp>
        <stp>STK</stp>
        <stp>N489790</stp>
        <stp>가중평균가</stp>
        <stp/>
        <stp/>
        <tr r="N170" s="1"/>
        <tr r="N139" s="3"/>
      </tp>
      <tp>
        <v>42138.939052000002</v>
        <stp/>
        <stp>P</stp>
        <stp>0</stp>
        <stp>STK</stp>
        <stp>N499790</stp>
        <stp>가중평균가</stp>
        <stp/>
        <stp/>
        <tr r="N237" s="3"/>
        <tr r="N359" s="1"/>
      </tp>
      <tp>
        <v>326524.09957600001</v>
        <stp/>
        <stp>P</stp>
        <stp>0</stp>
        <stp>STK</stp>
        <stp>N357780</stp>
        <stp>가중평균가</stp>
        <stp/>
        <stp/>
        <tr r="N167" s="1"/>
      </tp>
      <tp>
        <v>100752.12128599999</v>
        <stp/>
        <stp>P</stp>
        <stp>0</stp>
        <stp>STK</stp>
        <stp>N086790</stp>
        <stp>가중평균가</stp>
        <stp/>
        <stp/>
        <tr r="N30" s="3"/>
        <tr r="N29" s="1"/>
      </tp>
      <tp>
        <v>11541.089781000001</v>
        <stp/>
        <stp>P</stp>
        <stp>0</stp>
        <stp>STK</stp>
        <stp>N092790</stp>
        <stp>가중평균가</stp>
        <stp/>
        <stp/>
        <tr r="N351" s="3"/>
        <tr r="N607" s="1"/>
      </tp>
      <tp>
        <v>26829.710448999998</v>
        <stp/>
        <stp>P</stp>
        <stp>0</stp>
        <stp>STK</stp>
        <stp>N002790</stp>
        <stp>가중평균가</stp>
        <stp/>
        <stp/>
        <tr r="N207" s="1"/>
        <tr r="N166" s="3"/>
      </tp>
      <tp>
        <v>115735.884966</v>
        <stp/>
        <stp>P</stp>
        <stp>0</stp>
        <stp>STK</stp>
        <stp>N011790</stp>
        <stp>가중평균가</stp>
        <stp/>
        <stp/>
        <tr r="N111" s="3"/>
        <tr r="N123" s="1"/>
      </tp>
      <tp>
        <v>12721.527529999999</v>
        <stp/>
        <stp>P</stp>
        <stp>0</stp>
        <stp>STK</stp>
        <stp>N100790</stp>
        <stp>가중평균가</stp>
        <stp/>
        <stp/>
        <tr r="N390" s="1"/>
      </tp>
      <tp>
        <v>22812.3295</v>
        <stp/>
        <stp>P</stp>
        <stp>0</stp>
        <stp>STK</stp>
        <stp>N010780</stp>
        <stp>가중평균가</stp>
        <stp/>
        <stp/>
        <tr r="N266" s="3"/>
        <tr r="N395" s="1"/>
      </tp>
      <tp>
        <v>148688.79085399999</v>
        <stp/>
        <stp>P</stp>
        <stp>0</stp>
        <stp>STK</stp>
        <stp>N011780</stp>
        <stp>가중평균가</stp>
        <stp/>
        <stp/>
        <tr r="N133" s="1"/>
        <tr r="N117" s="3"/>
      </tp>
      <tp>
        <v>54020.330579000001</v>
        <stp/>
        <stp>P</stp>
        <stp>0</stp>
        <stp>STK</stp>
        <stp>N029780</stp>
        <stp>가중평균가</stp>
        <stp/>
        <stp/>
        <tr r="N92" s="3"/>
        <tr r="N98" s="1"/>
      </tp>
      <tp>
        <v>144109.105691</v>
        <stp/>
        <stp>P</stp>
        <stp>0</stp>
        <stp>STK</stp>
        <stp>N033780</stp>
        <stp>가중평균가</stp>
        <stp/>
        <stp/>
        <tr r="N48" s="3"/>
        <tr r="N49" s="1"/>
      </tp>
      <tp>
        <v>114285.282536</v>
        <stp/>
        <stp>P</stp>
        <stp>0</stp>
        <stp>STK</stp>
        <stp>N096770</stp>
        <stp>가중평균가</stp>
        <stp/>
        <stp/>
        <tr r="N47" s="1"/>
        <tr r="N45" s="3"/>
      </tp>
      <tp>
        <v>43546.961232000001</v>
        <stp/>
        <stp>P</stp>
        <stp>0</stp>
        <stp>STK</stp>
        <stp>N263750</stp>
        <stp>가중평균가</stp>
        <stp/>
        <stp/>
        <tr r="N162" s="1"/>
      </tp>
      <tp>
        <v>45545.559610999997</v>
        <stp/>
        <stp>P</stp>
        <stp>0</stp>
        <stp>STK</stp>
        <stp>N008770</stp>
        <stp>가중평균가</stp>
        <stp/>
        <stp/>
        <tr r="N179" s="3"/>
        <tr r="N226" s="1"/>
      </tp>
      <tp>
        <v>7672.6098899999997</v>
        <stp/>
        <stp>P</stp>
        <stp>0</stp>
        <stp>STK</stp>
        <stp>N025770</stp>
        <stp>가중평균가</stp>
        <stp/>
        <stp/>
        <tr r="N633" s="1"/>
      </tp>
      <tp>
        <v>66590.134854999997</v>
        <stp/>
        <stp>P</stp>
        <stp>0</stp>
        <stp>STK</stp>
        <stp>N437730</stp>
        <stp>가중평균가</stp>
        <stp/>
        <stp/>
        <tr r="N192" s="1"/>
      </tp>
      <tp>
        <v>22748.617886</v>
        <stp/>
        <stp>P</stp>
        <stp>0</stp>
        <stp>STK</stp>
        <stp>N284740</stp>
        <stp>가중평균가</stp>
        <stp/>
        <stp/>
        <tr r="N292" s="3"/>
        <tr r="N470" s="1"/>
      </tp>
      <tp>
        <v>22625.401698999998</v>
        <stp/>
        <stp>P</stp>
        <stp>0</stp>
        <stp>STK</stp>
        <stp>N281740</stp>
        <stp>가중평균가</stp>
        <stp/>
        <stp/>
        <tr r="N288" s="1"/>
      </tp>
      <tp>
        <v>61349.415051999997</v>
        <stp/>
        <stp>P</stp>
        <stp>0</stp>
        <stp>STK</stp>
        <stp>N068760</stp>
        <stp>가중평균가</stp>
        <stp/>
        <stp/>
        <tr r="N168" s="1"/>
      </tp>
      <tp>
        <v>174329.89985700001</v>
        <stp/>
        <stp>P</stp>
        <stp>0</stp>
        <stp>STK</stp>
        <stp>N064760</stp>
        <stp>가중평균가</stp>
        <stp/>
        <stp/>
        <tr r="N215" s="1"/>
      </tp>
      <tp>
        <v>64790.915820000002</v>
        <stp/>
        <stp>P</stp>
        <stp>0</stp>
        <stp>STK</stp>
        <stp>N015760</stp>
        <stp>가중평균가</stp>
        <stp/>
        <stp/>
        <tr r="N20" s="3"/>
        <tr r="N21" s="1"/>
      </tp>
      <tp>
        <v>22237.030224999999</v>
        <stp/>
        <stp>P</stp>
        <stp>0</stp>
        <stp>STK</stp>
        <stp>N011760</stp>
        <stp>가중평균가</stp>
        <stp/>
        <stp/>
        <tr r="N636" s="1"/>
        <tr r="N361" s="3"/>
      </tp>
      <tp>
        <v>84765.972221999997</v>
        <stp/>
        <stp>P</stp>
        <stp>0</stp>
        <stp>STK</stp>
        <stp>N111770</stp>
        <stp>가중평균가</stp>
        <stp/>
        <stp/>
        <tr r="N135" s="1"/>
        <tr r="N120" s="3"/>
      </tp>
      <tp>
        <v>64191.843782999997</v>
        <stp/>
        <stp>P</stp>
        <stp>0</stp>
        <stp>STK</stp>
        <stp>N035760</stp>
        <stp>가중평균가</stp>
        <stp/>
        <stp/>
        <tr r="N260" s="1"/>
      </tp>
      <tp>
        <v>22440.217390999998</v>
        <stp/>
        <stp>P</stp>
        <stp>0</stp>
        <stp>STK</stp>
        <stp>N241770</stp>
        <stp>가중평균가</stp>
        <stp/>
        <stp/>
        <tr r="N683" s="1"/>
      </tp>
      <tp>
        <v>18656.262266000002</v>
        <stp/>
        <stp>P</stp>
        <stp>0</stp>
        <stp>STK</stp>
        <stp>N001750</stp>
        <stp>가중평균가</stp>
        <stp/>
        <stp/>
        <tr r="N682" s="1"/>
        <tr r="N377" s="3"/>
      </tp>
      <tp>
        <v>7703.6669320000001</v>
        <stp/>
        <stp>P</stp>
        <stp>0</stp>
        <stp>STK</stp>
        <stp>N015750</stp>
        <stp>가중평균가</stp>
        <stp/>
        <stp/>
        <tr r="N404" s="1"/>
      </tp>
      <tp>
        <v>78287.832699999999</v>
        <stp/>
        <stp>P</stp>
        <stp>0</stp>
        <stp>STK</stp>
        <stp>N012750</stp>
        <stp>가중평균가</stp>
        <stp/>
        <stp/>
        <tr r="N132" s="3"/>
        <tr r="N153" s="1"/>
      </tp>
      <tp>
        <v>83921.963824000006</v>
        <stp/>
        <stp>P</stp>
        <stp>0</stp>
        <stp>STK</stp>
        <stp>N185750</stp>
        <stp>가중평균가</stp>
        <stp/>
        <stp/>
        <tr r="N218" s="3"/>
        <tr r="N290" s="1"/>
      </tp>
      <tp>
        <v>52922.459374999999</v>
        <stp/>
        <stp>P</stp>
        <stp>0</stp>
        <stp>STK</stp>
        <stp>N082740</stp>
        <stp>가중평균가</stp>
        <stp/>
        <stp/>
        <tr r="N110" s="3"/>
        <tr r="N116" s="1"/>
      </tp>
      <tp>
        <v>8713.2411950000005</v>
        <stp/>
        <stp>P</stp>
        <stp>0</stp>
        <stp>STK</stp>
        <stp>N176750</stp>
        <stp>가중평균가</stp>
        <stp/>
        <stp/>
        <tr r="N675" s="1"/>
      </tp>
      <tp>
        <v>23186.366754999999</v>
        <stp/>
        <stp>P</stp>
        <stp>0</stp>
        <stp>STK</stp>
        <stp>N228760</stp>
        <stp>가중평균가</stp>
        <stp/>
        <stp/>
        <tr r="N449" s="1"/>
      </tp>
      <tp>
        <v>18932.261222000001</v>
        <stp/>
        <stp>P</stp>
        <stp>0</stp>
        <stp>STK</stp>
        <stp>N092730</stp>
        <stp>가중평균가</stp>
        <stp/>
        <stp/>
        <tr r="N645" s="1"/>
      </tp>
      <tp>
        <v>47052.360876999999</v>
        <stp/>
        <stp>P</stp>
        <stp>0</stp>
        <stp>STK</stp>
        <stp>N145720</stp>
        <stp>가중평균가</stp>
        <stp/>
        <stp/>
        <tr r="N467" s="1"/>
        <tr r="N290" s="3"/>
      </tp>
      <tp>
        <v>82173.549750000006</v>
        <stp/>
        <stp>P</stp>
        <stp>0</stp>
        <stp>STK</stp>
        <stp>N241710</stp>
        <stp>가중평균가</stp>
        <stp/>
        <stp/>
        <tr r="N357" s="1"/>
      </tp>
      <tp>
        <v>28196.067717000002</v>
        <stp/>
        <stp>P</stp>
        <stp>0</stp>
        <stp>STK</stp>
        <stp>N008730</stp>
        <stp>가중평균가</stp>
        <stp/>
        <stp/>
        <tr r="N262" s="3"/>
        <tr r="N397" s="1"/>
      </tp>
      <tp>
        <v>15468.208495999999</v>
        <stp/>
        <stp>P</stp>
        <stp>0</stp>
        <stp>STK</stp>
        <stp>N006730</stp>
        <stp>가중평균가</stp>
        <stp/>
        <stp/>
        <tr r="N323" s="1"/>
      </tp>
      <tp>
        <v>34159.006556</v>
        <stp/>
        <stp>P</stp>
        <stp>0</stp>
        <stp>STK</stp>
        <stp>N200710</stp>
        <stp>가중평균가</stp>
        <stp/>
        <stp/>
        <tr r="N491" s="1"/>
      </tp>
      <tp>
        <v>26222.574627000002</v>
        <stp/>
        <stp>P</stp>
        <stp>0</stp>
        <stp>STK</stp>
        <stp>N126720</stp>
        <stp>가중평균가</stp>
        <stp/>
        <stp/>
        <tr r="N327" s="3"/>
        <tr r="N544" s="1"/>
      </tp>
      <tp>
        <v>52622.385184999999</v>
        <stp/>
        <stp>P</stp>
        <stp>0</stp>
        <stp>STK</stp>
        <stp>N420770</stp>
        <stp>가중평균가</stp>
        <stp/>
        <stp/>
        <tr r="N384" s="1"/>
      </tp>
      <tp>
        <v>293812.03254699998</v>
        <stp/>
        <stp>P</stp>
        <stp>0</stp>
        <stp>STK</stp>
        <stp>N034730</stp>
        <stp>가중평균가</stp>
        <stp/>
        <stp/>
        <tr r="N38" s="1"/>
        <tr r="N37" s="3"/>
      </tp>
      <tp>
        <v>14058.69497</v>
        <stp/>
        <stp>P</stp>
        <stp>0</stp>
        <stp>STK</stp>
        <stp>N060720</stp>
        <stp>가중평균가</stp>
        <stp/>
        <stp/>
        <tr r="N570" s="1"/>
      </tp>
      <tp>
        <v>32633.788769999999</v>
        <stp/>
        <stp>P</stp>
        <stp>0</stp>
        <stp>STK</stp>
        <stp>N309710</stp>
        <stp>가중평균가</stp>
        <stp/>
        <stp/>
        <tr r="N514" s="1"/>
      </tp>
      <tp>
        <v>106821.333012</v>
        <stp/>
        <stp>P</stp>
        <stp>0</stp>
        <stp>STK</stp>
        <stp>N000720</stp>
        <stp>가중평균가</stp>
        <stp/>
        <stp/>
        <tr r="N63" s="3"/>
        <tr r="N65" s="1"/>
      </tp>
      <tp>
        <v>152320.808383</v>
        <stp/>
        <stp>P</stp>
        <stp>0</stp>
        <stp>STK</stp>
        <stp>N001720</stp>
        <stp>가중평균가</stp>
        <stp/>
        <stp/>
        <tr r="N181" s="1"/>
        <tr r="N155" s="3"/>
      </tp>
      <tp>
        <v>6045.5384620000004</v>
        <stp/>
        <stp>P</stp>
        <stp>0</stp>
        <stp>STK</stp>
        <stp>N101730</stp>
        <stp>가중평균가</stp>
        <stp/>
        <stp/>
        <tr r="N472" s="1"/>
      </tp>
      <tp>
        <v>26066.689295</v>
        <stp/>
        <stp>P</stp>
        <stp>0</stp>
        <stp>STK</stp>
        <stp>N117730</stp>
        <stp>가중평균가</stp>
        <stp/>
        <stp/>
        <tr r="N411" s="1"/>
      </tp>
      <tp>
        <v>9518.7173519999997</v>
        <stp/>
        <stp>P</stp>
        <stp>0</stp>
        <stp>STK</stp>
        <stp>N024720</stp>
        <stp>가중평균가</stp>
        <stp/>
        <stp/>
        <tr r="N348" s="3"/>
        <tr r="N602" s="1"/>
      </tp>
      <tp>
        <v>58609.095294999999</v>
        <stp/>
        <stp>P</stp>
        <stp>0</stp>
        <stp>STK</stp>
        <stp>N035720</stp>
        <stp>가중평균가</stp>
        <stp/>
        <stp/>
        <tr r="N32" s="1"/>
        <tr r="N32" s="3"/>
      </tp>
      <tp>
        <v>95209.458402000004</v>
        <stp/>
        <stp>P</stp>
        <stp>0</stp>
        <stp>STK</stp>
        <stp>N388720</stp>
        <stp>가중평균가</stp>
        <stp/>
        <stp/>
        <tr r="N283" s="1"/>
      </tp>
      <tp>
        <v>61071.928477000001</v>
        <stp/>
        <stp>P</stp>
        <stp>0</stp>
        <stp>STK</stp>
        <stp>N399720</stp>
        <stp>가중평균가</stp>
        <stp/>
        <stp/>
        <tr r="N383" s="1"/>
      </tp>
      <tp>
        <v>13648.256880999999</v>
        <stp/>
        <stp>P</stp>
        <stp>0</stp>
        <stp>STK</stp>
        <stp>N194700</stp>
        <stp>가중평균가</stp>
        <stp/>
        <stp/>
        <tr r="N668" s="1"/>
      </tp>
      <tp>
        <v>87808.636364000005</v>
        <stp/>
        <stp>P</stp>
        <stp>0</stp>
        <stp>STK</stp>
        <stp>N072710</stp>
        <stp>가중평균가</stp>
        <stp/>
        <stp/>
        <tr r="N320" s="3"/>
        <tr r="N536" s="1"/>
      </tp>
      <tp>
        <v>10000</v>
        <stp/>
        <stp>P</stp>
        <stp>0</stp>
        <stp>STK</stp>
        <stp>N104700</stp>
        <stp>가중평균가</stp>
        <stp/>
        <stp/>
        <tr r="N565" s="1"/>
        <tr r="N332" s="3"/>
      </tp>
      <tp>
        <v>12917.853402999999</v>
        <stp/>
        <stp>P</stp>
        <stp>0</stp>
        <stp>STK</stp>
        <stp>N005710</stp>
        <stp>가중평균가</stp>
        <stp/>
        <stp/>
        <tr r="N656" s="1"/>
      </tp>
      <tp>
        <v>16550.714658000001</v>
        <stp/>
        <stp>P</stp>
        <stp>0</stp>
        <stp>STK</stp>
        <stp>N300720</stp>
        <stp>가중평균가</stp>
        <stp/>
        <stp/>
        <tr r="N211" s="3"/>
        <tr r="N279" s="1"/>
      </tp>
      <tp>
        <v>16045.773608</v>
        <stp/>
        <stp>P</stp>
        <stp>0</stp>
        <stp>STK</stp>
        <stp>N002710</stp>
        <stp>가중평균가</stp>
        <stp/>
        <stp/>
        <tr r="N324" s="3"/>
        <tr r="N567" s="1"/>
      </tp>
      <tp>
        <v>30984.25</v>
        <stp/>
        <stp>P</stp>
        <stp>0</stp>
        <stp>STK</stp>
        <stp>N037710</stp>
        <stp>가중평균가</stp>
        <stp/>
        <stp/>
        <tr r="N673" s="1"/>
        <tr r="N374" s="3"/>
      </tp>
      <tp>
        <v>29996.153846000001</v>
        <stp/>
        <stp>P</stp>
        <stp>0</stp>
        <stp>STK</stp>
        <stp>N181710</stp>
        <stp>가중평균가</stp>
        <stp/>
        <stp/>
        <tr r="N316" s="1"/>
        <tr r="N230" s="3"/>
      </tp>
      <tp>
        <v>170568.92548000001</v>
        <stp/>
        <stp>P</stp>
        <stp>0</stp>
        <stp>STK</stp>
        <stp>N042700</stp>
        <stp>가중평균가</stp>
        <stp/>
        <stp/>
        <tr r="N51" s="3"/>
        <tr r="N51" s="1"/>
      </tp>
      <tp>
        <v>48636.771282000002</v>
        <stp/>
        <stp>P</stp>
        <stp>0</stp>
        <stp>STK</stp>
        <stp>N257720</stp>
        <stp>가중평균가</stp>
        <stp/>
        <stp/>
        <tr r="N156" s="1"/>
      </tp>
      <tp>
        <v>72528.910134000005</v>
        <stp/>
        <stp>P</stp>
        <stp>0</stp>
        <stp>STK</stp>
        <stp>N004700</stp>
        <stp>가중평균가</stp>
        <stp/>
        <stp/>
        <tr r="N497" s="1"/>
        <tr r="N306" s="3"/>
      </tp>
      <tp>
        <v>19750.096899</v>
        <stp/>
        <stp>P</stp>
        <stp>0</stp>
        <stp>STK</stp>
        <stp>N007700</stp>
        <stp>가중평균가</stp>
        <stp/>
        <stp/>
        <tr r="N362" s="1"/>
        <tr r="N249" s="3"/>
      </tp>
      <tp>
        <v>49084.601105000002</v>
        <stp/>
        <stp>P</stp>
        <stp>0</stp>
        <stp>STK</stp>
        <stp>N102710</stp>
        <stp>가중평균가</stp>
        <stp/>
        <stp/>
        <tr r="N398" s="1"/>
      </tp>
      <tp>
        <v>36261.58958</v>
        <stp/>
        <stp>P</stp>
        <stp>0</stp>
        <stp>STK</stp>
        <stp>N0007C0</stp>
        <stp>가중평균가</stp>
        <stp/>
        <stp/>
        <tr r="N685" s="1"/>
      </tp>
      <tp>
        <v>30369.599547000002</v>
        <stp/>
        <stp>P</stp>
        <stp>0</stp>
        <stp>STK</stp>
        <stp>N445090</stp>
        <stp>가중평균가</stp>
        <stp/>
        <stp/>
        <tr r="N606" s="1"/>
      </tp>
      <tp>
        <v>14172.186936</v>
        <stp/>
        <stp>P</stp>
        <stp>0</stp>
        <stp>STK</stp>
        <stp>N439090</stp>
        <stp>가중평균가</stp>
        <stp/>
        <stp/>
        <tr r="N692" s="1"/>
      </tp>
      <tp>
        <v>63578.305998000003</v>
        <stp/>
        <stp>P</stp>
        <stp>0</stp>
        <stp>STK</stp>
        <stp>N450080</stp>
        <stp>가중평균가</stp>
        <stp/>
        <stp/>
        <tr r="N121" s="1"/>
        <tr r="N109" s="3"/>
      </tp>
      <tp>
        <v>15954.407499000001</v>
        <stp/>
        <stp>P</stp>
        <stp>0</stp>
        <stp>STK</stp>
        <stp>N300080</stp>
        <stp>가중평균가</stp>
        <stp/>
        <stp/>
        <tr r="N662" s="1"/>
      </tp>
      <tp>
        <v>9787.748243</v>
        <stp/>
        <stp>P</stp>
        <stp>0</stp>
        <stp>STK</stp>
        <stp>N222080</stp>
        <stp>가중평균가</stp>
        <stp/>
        <stp/>
        <tr r="N438" s="1"/>
      </tp>
      <tp>
        <v>51293.267595999998</v>
        <stp/>
        <stp>P</stp>
        <stp>0</stp>
        <stp>STK</stp>
        <stp>N192080</stp>
        <stp>가중평균가</stp>
        <stp/>
        <stp/>
        <tr r="N298" s="1"/>
        <tr r="N221" s="3"/>
      </tp>
      <tp>
        <v>148547.88263400001</v>
        <stp/>
        <stp>P</stp>
        <stp>0</stp>
        <stp>STK</stp>
        <stp>N141080</stp>
        <stp>가중평균가</stp>
        <stp/>
        <stp/>
        <tr r="N105" s="1"/>
      </tp>
      <tp>
        <v>12812.138074</v>
        <stp/>
        <stp>P</stp>
        <stp>0</stp>
        <stp>STK</stp>
        <stp>N059090</stp>
        <stp>가중평균가</stp>
        <stp/>
        <stp/>
        <tr r="N515" s="1"/>
      </tp>
      <tp>
        <v>42381.037367999998</v>
        <stp/>
        <stp>P</stp>
        <stp>0</stp>
        <stp>STK</stp>
        <stp>N061090</stp>
        <stp>가중평균가</stp>
        <stp/>
        <stp/>
        <tr r="N679" s="1"/>
      </tp>
      <tp>
        <v>21096.583850999999</v>
        <stp/>
        <stp>P</stp>
        <stp>0</stp>
        <stp>STK</stp>
        <stp>N005090</stp>
        <stp>가중평균가</stp>
        <stp/>
        <stp/>
        <tr r="N623" s="1"/>
        <tr r="N353" s="3"/>
      </tp>
      <tp>
        <v>22121.668902000001</v>
        <stp/>
        <stp>P</stp>
        <stp>0</stp>
        <stp>STK</stp>
        <stp>N003090</stp>
        <stp>가중평균가</stp>
        <stp/>
        <stp/>
        <tr r="N206" s="3"/>
        <tr r="N269" s="1"/>
      </tp>
      <tp>
        <v>12007.686948</v>
        <stp/>
        <stp>P</stp>
        <stp>0</stp>
        <stp>STK</stp>
        <stp>N069080</stp>
        <stp>가중평균가</stp>
        <stp/>
        <stp/>
        <tr r="N523" s="1"/>
      </tp>
      <tp>
        <v>53927.521955999997</v>
        <stp/>
        <stp>P</stp>
        <stp>0</stp>
        <stp>STK</stp>
        <stp>N166090</stp>
        <stp>가중평균가</stp>
        <stp/>
        <stp/>
        <tr r="N300" s="1"/>
      </tp>
      <tp>
        <v>15794.383599999999</v>
        <stp/>
        <stp>P</stp>
        <stp>0</stp>
        <stp>STK</stp>
        <stp>N067080</stp>
        <stp>가중평균가</stp>
        <stp/>
        <stp/>
        <tr r="N620" s="1"/>
      </tp>
      <tp>
        <v>60082.718726999999</v>
        <stp/>
        <stp>P</stp>
        <stp>0</stp>
        <stp>STK</stp>
        <stp>N171090</stp>
        <stp>가중평균가</stp>
        <stp/>
        <stp/>
        <tr r="N456" s="1"/>
      </tp>
      <tp>
        <v>18052.727999999999</v>
        <stp/>
        <stp>P</stp>
        <stp>0</stp>
        <stp>STK</stp>
        <stp>N000080</stp>
        <stp>가중평균가</stp>
        <stp/>
        <stp/>
        <tr r="N208" s="3"/>
        <tr r="N274" s="1"/>
      </tp>
      <tp>
        <v>19275.043776999999</v>
        <stp/>
        <stp>P</stp>
        <stp>0</stp>
        <stp>STK</stp>
        <stp>N100090</stp>
        <stp>가중평균가</stp>
        <stp/>
        <stp/>
        <tr r="N282" s="1"/>
        <tr r="N212" s="3"/>
      </tp>
      <tp>
        <v>13100.391389</v>
        <stp/>
        <stp>P</stp>
        <stp>0</stp>
        <stp>STK</stp>
        <stp>N114090</stp>
        <stp>가중평균가</stp>
        <stp/>
        <stp/>
        <tr r="N351" s="1"/>
        <tr r="N244" s="3"/>
      </tp>
      <tp>
        <v>37986.486161000001</v>
        <stp/>
        <stp>P</stp>
        <stp>0</stp>
        <stp>STK</stp>
        <stp>N098070</stp>
        <stp>가중평균가</stp>
        <stp/>
        <stp/>
        <tr r="N510" s="1"/>
      </tp>
      <tp>
        <v>218360.675808</v>
        <stp/>
        <stp>P</stp>
        <stp>0</stp>
        <stp>STK</stp>
        <stp>N298050</stp>
        <stp>가중평균가</stp>
        <stp/>
        <stp/>
        <tr r="N233" s="3"/>
        <tr r="N318" s="1"/>
      </tp>
      <tp>
        <v>22623.255173000001</v>
        <stp/>
        <stp>P</stp>
        <stp>0</stp>
        <stp>STK</stp>
        <stp>N049070</stp>
        <stp>가중평균가</stp>
        <stp/>
        <stp/>
        <tr r="N519" s="1"/>
      </tp>
      <tp>
        <v>51804.544160999998</v>
        <stp/>
        <stp>P</stp>
        <stp>0</stp>
        <stp>STK</stp>
        <stp>N005070</stp>
        <stp>가중평균가</stp>
        <stp/>
        <stp/>
        <tr r="N195" s="3"/>
        <tr r="N252" s="1"/>
      </tp>
      <tp>
        <v>21393.013910000001</v>
        <stp/>
        <stp>P</stp>
        <stp>0</stp>
        <stp>STK</stp>
        <stp>N007070</stp>
        <stp>가중평균가</stp>
        <stp/>
        <stp/>
        <tr r="N183" s="3"/>
        <tr r="N232" s="1"/>
      </tp>
      <tp>
        <v>59181.634981000003</v>
        <stp/>
        <stp>P</stp>
        <stp>0</stp>
        <stp>STK</stp>
        <stp>N000070</stp>
        <stp>가중평균가</stp>
        <stp/>
        <stp/>
        <tr r="N311" s="3"/>
        <tr r="N502" s="1"/>
      </tp>
      <tp>
        <v>22137.835652000002</v>
        <stp/>
        <stp>P</stp>
        <stp>0</stp>
        <stp>STK</stp>
        <stp>N402030</stp>
        <stp>가중평균가</stp>
        <stp/>
        <stp/>
        <tr r="N641" s="1"/>
      </tp>
      <tp>
        <v>285319.189602</v>
        <stp/>
        <stp>P</stp>
        <stp>0</stp>
        <stp>STK</stp>
        <stp>N011070</stp>
        <stp>가중평균가</stp>
        <stp/>
        <stp/>
        <tr r="N94" s="1"/>
        <tr r="N88" s="3"/>
      </tp>
      <tp>
        <v>13204.252993</v>
        <stp/>
        <stp>P</stp>
        <stp>0</stp>
        <stp>STK</stp>
        <stp>N211050</stp>
        <stp>가중평균가</stp>
        <stp/>
        <stp/>
        <tr r="N421" s="1"/>
      </tp>
      <tp>
        <v>2364987.5439160001</v>
        <stp/>
        <stp>P</stp>
        <stp>0</stp>
        <stp>STK</stp>
        <stp>N298040</stp>
        <stp>가중평균가</stp>
        <stp/>
        <stp/>
        <tr r="N36" s="3"/>
        <tr r="N37" s="1"/>
      </tp>
      <tp>
        <v>9963.6696749999992</v>
        <stp/>
        <stp>P</stp>
        <stp>0</stp>
        <stp>STK</stp>
        <stp>N008060</stp>
        <stp>가중평균가</stp>
        <stp/>
        <stp/>
        <tr r="N340" s="3"/>
        <tr r="N585" s="1"/>
      </tp>
      <tp>
        <v>27620.058796000001</v>
        <stp/>
        <stp>P</stp>
        <stp>0</stp>
        <stp>STK</stp>
        <stp>N001060</stp>
        <stp>가중평균가</stp>
        <stp/>
        <stp/>
        <tr r="N271" s="3"/>
        <tr r="N407" s="1"/>
      </tp>
      <tp>
        <v>118718.76341</v>
        <stp/>
        <stp>P</stp>
        <stp>0</stp>
        <stp>STK</stp>
        <stp>N010060</stp>
        <stp>가중평균가</stp>
        <stp/>
        <stp/>
        <tr r="N199" s="1"/>
        <tr r="N165" s="3"/>
      </tp>
      <tp>
        <v>17341.974522</v>
        <stp/>
        <stp>P</stp>
        <stp>0</stp>
        <stp>STK</stp>
        <stp>N093050</stp>
        <stp>가중평균가</stp>
        <stp/>
        <stp/>
        <tr r="N293" s="3"/>
        <tr r="N468" s="1"/>
      </tp>
      <tp>
        <v>15657.025272000001</v>
        <stp/>
        <stp>P</stp>
        <stp>0</stp>
        <stp>STK</stp>
        <stp>N248070</stp>
        <stp>가중평균가</stp>
        <stp/>
        <stp/>
        <tr r="N258" s="3"/>
        <tr r="N377" s="1"/>
      </tp>
      <tp>
        <v>63465.298726000001</v>
        <stp/>
        <stp>P</stp>
        <stp>0</stp>
        <stp>STK</stp>
        <stp>N047050</stp>
        <stp>가중평균가</stp>
        <stp/>
        <stp/>
        <tr r="N68" s="1"/>
        <tr r="N65" s="3"/>
      </tp>
      <tp>
        <v>26071.274834</v>
        <stp/>
        <stp>P</stp>
        <stp>0</stp>
        <stp>STK</stp>
        <stp>N243070</stp>
        <stp>가중평균가</stp>
        <stp/>
        <stp/>
        <tr r="N611" s="1"/>
      </tp>
      <tp>
        <v>53834.146341</v>
        <stp/>
        <stp>P</stp>
        <stp>0</stp>
        <stp>STK</stp>
        <stp>N057050</stp>
        <stp>가중평균가</stp>
        <stp/>
        <stp/>
        <tr r="N268" s="3"/>
        <tr r="N410" s="1"/>
      </tp>
      <tp>
        <v>191327.04830299999</v>
        <stp/>
        <stp>P</stp>
        <stp>0</stp>
        <stp>STK</stp>
        <stp>N071050</stp>
        <stp>가중평균가</stp>
        <stp/>
        <stp/>
        <tr r="N70" s="1"/>
        <tr r="N68" s="3"/>
      </tp>
      <tp>
        <v>25891.153223000001</v>
        <stp/>
        <stp>P</stp>
        <stp>0</stp>
        <stp>STK</stp>
        <stp>N112040</stp>
        <stp>가중평균가</stp>
        <stp/>
        <stp/>
        <tr r="N334" s="1"/>
      </tp>
      <tp>
        <v>25104.894113999999</v>
        <stp/>
        <stp>P</stp>
        <stp>0</stp>
        <stp>STK</stp>
        <stp>N028050</stp>
        <stp>가중평균가</stp>
        <stp/>
        <stp/>
        <tr r="N110" s="1"/>
        <tr r="N101" s="3"/>
      </tp>
      <tp>
        <v>107857.69511299999</v>
        <stp/>
        <stp>P</stp>
        <stp>0</stp>
        <stp>STK</stp>
        <stp>N138040</stp>
        <stp>가중평균가</stp>
        <stp/>
        <stp/>
        <tr r="N44" s="1"/>
        <tr r="N44" s="3"/>
      </tp>
      <tp>
        <v>5081.127614</v>
        <stp/>
        <stp>P</stp>
        <stp>0</stp>
        <stp>STK</stp>
        <stp>N047040</stp>
        <stp>가중평균가</stp>
        <stp/>
        <stp/>
        <tr r="N173" s="3"/>
        <tr r="N208" s="1"/>
      </tp>
      <tp>
        <v>142167.511459</v>
        <stp/>
        <stp>P</stp>
        <stp>0</stp>
        <stp>STK</stp>
        <stp>N062040</stp>
        <stp>가중평균가</stp>
        <stp/>
        <stp/>
        <tr r="N112" s="3"/>
        <tr r="N119" s="1"/>
      </tp>
      <tp>
        <v>41038.533429000003</v>
        <stp/>
        <stp>P</stp>
        <stp>0</stp>
        <stp>STK</stp>
        <stp>N006040</stp>
        <stp>가중평균가</stp>
        <stp/>
        <stp/>
        <tr r="N227" s="1"/>
        <tr r="N181" s="3"/>
      </tp>
      <tp>
        <v>188257.49097499999</v>
        <stp/>
        <stp>P</stp>
        <stp>0</stp>
        <stp>STK</stp>
        <stp>N001040</stp>
        <stp>가중평균가</stp>
        <stp/>
        <stp/>
        <tr r="N96" s="3"/>
        <tr r="N102" s="1"/>
      </tp>
      <tp>
        <v>37534.898883000002</v>
        <stp/>
        <stp>P</stp>
        <stp>0</stp>
        <stp>STK</stp>
        <stp>N089030</stp>
        <stp>가중평균가</stp>
        <stp/>
        <stp/>
        <tr r="N247" s="1"/>
      </tp>
      <tp>
        <v>25026.077098000002</v>
        <stp/>
        <stp>P</stp>
        <stp>0</stp>
        <stp>STK</stp>
        <stp>N481070</stp>
        <stp>가중평균가</stp>
        <stp/>
        <stp/>
        <tr r="N588" s="1"/>
      </tp>
      <tp>
        <v>260520.494229</v>
        <stp/>
        <stp>P</stp>
        <stp>0</stp>
        <stp>STK</stp>
        <stp>N145020</stp>
        <stp>가중평균가</stp>
        <stp/>
        <stp/>
        <tr r="N158" s="1"/>
      </tp>
      <tp>
        <v>13483.775653000001</v>
        <stp/>
        <stp>P</stp>
        <stp>0</stp>
        <stp>STK</stp>
        <stp>N053030</stp>
        <stp>가중평균가</stp>
        <stp/>
        <stp/>
        <tr r="N506" s="1"/>
      </tp>
      <tp>
        <v>288875</v>
        <stp/>
        <stp>P</stp>
        <stp>0</stp>
        <stp>STK</stp>
        <stp>N002030</stp>
        <stp>가중평균가</stp>
        <stp/>
        <stp/>
        <tr r="N278" s="3"/>
        <tr r="N430" s="1"/>
      </tp>
      <tp>
        <v>130881.354167</v>
        <stp/>
        <stp>P</stp>
        <stp>0</stp>
        <stp>STK</stp>
        <stp>N003030</stp>
        <stp>가중평균가</stp>
        <stp/>
        <stp/>
        <tr r="N466" s="1"/>
        <tr r="N285" s="3"/>
      </tp>
      <tp>
        <v>31667.668622000001</v>
        <stp/>
        <stp>P</stp>
        <stp>0</stp>
        <stp>STK</stp>
        <stp>N013030</stp>
        <stp>가중평균가</stp>
        <stp/>
        <stp/>
        <tr r="N555" s="1"/>
      </tp>
      <tp>
        <v>57080.601575000001</v>
        <stp/>
        <stp>P</stp>
        <stp>0</stp>
        <stp>STK</stp>
        <stp>N322000</stp>
        <stp>가중평균가</stp>
        <stp/>
        <stp/>
        <tr r="N420" s="1"/>
        <tr r="N273" s="3"/>
      </tp>
      <tp>
        <v>299086.67670800001</v>
        <stp/>
        <stp>P</stp>
        <stp>0</stp>
        <stp>STK</stp>
        <stp>N039030</stp>
        <stp>가중평균가</stp>
        <stp/>
        <stp/>
        <tr r="N136" s="1"/>
      </tp>
      <tp>
        <v>187265.30800399999</v>
        <stp/>
        <stp>P</stp>
        <stp>0</stp>
        <stp>STK</stp>
        <stp>N443060</stp>
        <stp>가중평균가</stp>
        <stp/>
        <stp/>
        <tr r="N79" s="3"/>
        <tr r="N83" s="1"/>
      </tp>
      <tp>
        <v>17828.571177000002</v>
        <stp/>
        <stp>P</stp>
        <stp>0</stp>
        <stp>STK</stp>
        <stp>N476060</stp>
        <stp>가중평균가</stp>
        <stp/>
        <stp/>
        <tr r="N340" s="1"/>
      </tp>
      <tp>
        <v>34711.429451999997</v>
        <stp/>
        <stp>P</stp>
        <stp>0</stp>
        <stp>STK</stp>
        <stp>N004020</stp>
        <stp>가중평균가</stp>
        <stp/>
        <stp/>
        <tr r="N122" s="1"/>
        <tr r="N105" s="3"/>
      </tp>
      <tp>
        <v>45509.353836000002</v>
        <stp/>
        <stp>P</stp>
        <stp>0</stp>
        <stp>STK</stp>
        <stp>N002020</stp>
        <stp>가중평균가</stp>
        <stp/>
        <stp/>
        <tr r="N279" s="3"/>
        <tr r="N440" s="1"/>
      </tp>
      <tp>
        <v>52859.87055</v>
        <stp/>
        <stp>P</stp>
        <stp>0</stp>
        <stp>STK</stp>
        <stp>N215000</stp>
        <stp>가중평균가</stp>
        <stp/>
        <stp/>
        <tr r="N592" s="1"/>
      </tp>
      <tp>
        <v>91247.535652999999</v>
        <stp/>
        <stp>P</stp>
        <stp>0</stp>
        <stp>STK</stp>
        <stp>N034020</stp>
        <stp>가중평균가</stp>
        <stp/>
        <stp/>
        <tr r="N14" s="3"/>
        <tr r="N14" s="1"/>
      </tp>
      <tp>
        <v>33238.946757999998</v>
        <stp/>
        <stp>P</stp>
        <stp>0</stp>
        <stp>STK</stp>
        <stp>N089010</stp>
        <stp>가중평균가</stp>
        <stp/>
        <stp/>
        <tr r="N463" s="1"/>
      </tp>
      <tp>
        <v>10393.596358000001</v>
        <stp/>
        <stp>P</stp>
        <stp>0</stp>
        <stp>STK</stp>
        <stp>N084010</stp>
        <stp>가중평균가</stp>
        <stp/>
        <stp/>
        <tr r="N378" s="3"/>
        <tr r="N684" s="1"/>
      </tp>
      <tp>
        <v>235915.72652900001</v>
        <stp/>
        <stp>P</stp>
        <stp>0</stp>
        <stp>STK</stp>
        <stp>N087010</stp>
        <stp>가중평균가</stp>
        <stp/>
        <stp/>
        <tr r="N108" s="1"/>
      </tp>
      <tp>
        <v>31260.152236000002</v>
        <stp/>
        <stp>P</stp>
        <stp>0</stp>
        <stp>STK</stp>
        <stp>N299030</stp>
        <stp>가중평균가</stp>
        <stp/>
        <stp/>
        <tr r="N691" s="1"/>
      </tp>
      <tp>
        <v>9645.4074440000004</v>
        <stp/>
        <stp>P</stp>
        <stp>0</stp>
        <stp>STK</stp>
        <stp>N161000</stp>
        <stp>가중평균가</stp>
        <stp/>
        <stp/>
        <tr r="N521" s="1"/>
        <tr r="N308" s="3"/>
      </tp>
      <tp>
        <v>385328.45345299999</v>
        <stp/>
        <stp>P</stp>
        <stp>0</stp>
        <stp>STK</stp>
        <stp>N298020</stp>
        <stp>가중평균가</stp>
        <stp/>
        <stp/>
        <tr r="N188" s="3"/>
        <tr r="N231" s="1"/>
      </tp>
      <tp>
        <v>47723.999245999999</v>
        <stp/>
        <stp>P</stp>
        <stp>0</stp>
        <stp>STK</stp>
        <stp>N397030</stp>
        <stp>가중평균가</stp>
        <stp/>
        <stp/>
        <tr r="N293" s="1"/>
      </tp>
      <tp>
        <v>31728.212573000001</v>
        <stp/>
        <stp>P</stp>
        <stp>0</stp>
        <stp>STK</stp>
        <stp>N042000</stp>
        <stp>가중평균가</stp>
        <stp/>
        <stp/>
        <tr r="N367" s="1"/>
      </tp>
      <tp>
        <v>71497.776815000005</v>
        <stp/>
        <stp>P</stp>
        <stp>0</stp>
        <stp>STK</stp>
        <stp>N456040</stp>
        <stp>가중평균가</stp>
        <stp/>
        <stp/>
        <tr r="N270" s="3"/>
        <tr r="N409" s="1"/>
      </tp>
      <tp>
        <v>45545.723683999997</v>
        <stp/>
        <stp>P</stp>
        <stp>0</stp>
        <stp>STK</stp>
        <stp>N004000</stp>
        <stp>가중평균가</stp>
        <stp/>
        <stp/>
        <tr r="N216" s="3"/>
        <tr r="N287" s="1"/>
      </tp>
      <tp>
        <v>117353.201839</v>
        <stp/>
        <stp>P</stp>
        <stp>0</stp>
        <stp>STK</stp>
        <stp>N326030</stp>
        <stp>가중평균가</stp>
        <stp/>
        <stp/>
        <tr r="N72" s="3"/>
        <tr r="N78" s="1"/>
      </tp>
      <tp>
        <v>15233.017241</v>
        <stp/>
        <stp>P</stp>
        <stp>0</stp>
        <stp>STK</stp>
        <stp>N020000</stp>
        <stp>가중평균가</stp>
        <stp/>
        <stp/>
        <tr r="N584" s="1"/>
        <tr r="N337" s="3"/>
      </tp>
      <tp>
        <v>20885.512406000002</v>
        <stp/>
        <stp>P</stp>
        <stp>0</stp>
        <stp>STK</stp>
        <stp>N030000</stp>
        <stp>가중평균가</stp>
        <stp/>
        <stp/>
        <tr r="N156" s="3"/>
        <tr r="N184" s="1"/>
      </tp>
      <tp>
        <v>90767.064047000007</v>
        <stp/>
        <stp>P</stp>
        <stp>0</stp>
        <stp>STK</stp>
        <stp>N0120G0</stp>
        <stp>가중평균가</stp>
        <stp/>
        <stp/>
        <tr r="N275" s="3"/>
        <tr r="N433" s="1"/>
      </tp>
      <tp>
        <v>99793.482415000006</v>
        <stp/>
        <stp>P</stp>
        <stp>0</stp>
        <stp>STK</stp>
        <stp>N457190</stp>
        <stp>가중평균가</stp>
        <stp/>
        <stp/>
        <tr r="N127" s="3"/>
        <tr r="N159" s="1"/>
      </tp>
      <tp>
        <v>33700.112731000001</v>
        <stp/>
        <stp>P</stp>
        <stp>0</stp>
        <stp>STK</stp>
        <stp>N416180</stp>
        <stp>가중평균가</stp>
        <stp/>
        <stp/>
        <tr r="N634" s="1"/>
      </tp>
      <tp>
        <v>619709.18084699998</v>
        <stp/>
        <stp>P</stp>
        <stp>0</stp>
        <stp>STK</stp>
        <stp>N329180</stp>
        <stp>가중평균가</stp>
        <stp/>
        <stp/>
        <tr r="N13" s="3"/>
        <tr r="N13" s="1"/>
      </tp>
      <tp>
        <v>15367.025624</v>
        <stp/>
        <stp>P</stp>
        <stp>0</stp>
        <stp>STK</stp>
        <stp>N099190</stp>
        <stp>가중평균가</stp>
        <stp/>
        <stp/>
        <tr r="N529" s="1"/>
      </tp>
      <tp>
        <v>7308.3751249999996</v>
        <stp/>
        <stp>P</stp>
        <stp>0</stp>
        <stp>STK</stp>
        <stp>N041190</stp>
        <stp>가중평균가</stp>
        <stp/>
        <stp/>
        <tr r="N425" s="1"/>
      </tp>
      <tp>
        <v>26072.471066999999</v>
        <stp/>
        <stp>P</stp>
        <stp>0</stp>
        <stp>STK</stp>
        <stp>N056190</stp>
        <stp>가중평균가</stp>
        <stp/>
        <stp/>
        <tr r="N327" s="1"/>
      </tp>
      <tp>
        <v>17026.623377</v>
        <stp/>
        <stp>P</stp>
        <stp>0</stp>
        <stp>STK</stp>
        <stp>N030190</stp>
        <stp>가중평균가</stp>
        <stp/>
        <stp/>
        <tr r="N314" s="1"/>
        <tr r="N229" s="3"/>
      </tp>
      <tp>
        <v>18025.025104</v>
        <stp/>
        <stp>P</stp>
        <stp>0</stp>
        <stp>STK</stp>
        <stp>N032190</stp>
        <stp>가중평균가</stp>
        <stp/>
        <stp/>
        <tr r="N387" s="1"/>
      </tp>
      <tp>
        <v>11747.072367999999</v>
        <stp/>
        <stp>P</stp>
        <stp>0</stp>
        <stp>STK</stp>
        <stp>N183190</stp>
        <stp>가중평균가</stp>
        <stp/>
        <stp/>
        <tr r="N513" s="1"/>
        <tr r="N314" s="3"/>
      </tp>
      <tp>
        <v>71534.320212999999</v>
        <stp/>
        <stp>P</stp>
        <stp>0</stp>
        <stp>STK</stp>
        <stp>N160190</stp>
        <stp>가중평균가</stp>
        <stp/>
        <stp/>
        <tr r="N190" s="1"/>
      </tp>
      <tp>
        <v>76337.082601000002</v>
        <stp/>
        <stp>P</stp>
        <stp>0</stp>
        <stp>STK</stp>
        <stp>N005180</stp>
        <stp>가중평균가</stp>
        <stp/>
        <stp/>
        <tr r="N257" s="3"/>
        <tr r="N378" s="1"/>
      </tp>
      <tp>
        <v>18594.516409</v>
        <stp/>
        <stp>P</stp>
        <stp>0</stp>
        <stp>STK</stp>
        <stp>N114190</stp>
        <stp>가중평균가</stp>
        <stp/>
        <stp/>
        <tr r="N563" s="1"/>
      </tp>
      <tp>
        <v>26729.907471999999</v>
        <stp/>
        <stp>P</stp>
        <stp>0</stp>
        <stp>STK</stp>
        <stp>N094170</stp>
        <stp>가중평균가</stp>
        <stp/>
        <stp/>
        <tr r="N436" s="1"/>
      </tp>
      <tp>
        <v>287587.74373300001</v>
        <stp/>
        <stp>P</stp>
        <stp>0</stp>
        <stp>STK</stp>
        <stp>N004170</stp>
        <stp>가중평균가</stp>
        <stp/>
        <stp/>
        <tr r="N160" s="1"/>
        <tr r="N136" s="3"/>
      </tp>
      <tp>
        <v>22834.079247000001</v>
        <stp/>
        <stp>P</stp>
        <stp>0</stp>
        <stp>STK</stp>
        <stp>N101160</stp>
        <stp>가중평균가</stp>
        <stp/>
        <stp/>
        <tr r="N558" s="1"/>
      </tp>
      <tp>
        <v>12292.192276</v>
        <stp/>
        <stp>P</stp>
        <stp>0</stp>
        <stp>STK</stp>
        <stp>N019170</stp>
        <stp>가중평균가</stp>
        <stp/>
        <stp/>
        <tr r="N269" s="3"/>
        <tr r="N408" s="1"/>
      </tp>
      <tp>
        <v>59849.172740000002</v>
        <stp/>
        <stp>P</stp>
        <stp>0</stp>
        <stp>STK</stp>
        <stp>N214150</stp>
        <stp>가중평균가</stp>
        <stp/>
        <stp/>
        <tr r="N129" s="1"/>
      </tp>
      <tp>
        <v>29048.556249000001</v>
        <stp/>
        <stp>P</stp>
        <stp>0</stp>
        <stp>STK</stp>
        <stp>N316140</stp>
        <stp>가중평균가</stp>
        <stp/>
        <stp/>
        <tr r="N38" s="3"/>
        <tr r="N40" s="1"/>
      </tp>
      <tp>
        <v>78442.984712000005</v>
        <stp/>
        <stp>P</stp>
        <stp>0</stp>
        <stp>STK</stp>
        <stp>N011170</stp>
        <stp>가중평균가</stp>
        <stp/>
        <stp/>
        <tr r="N126" s="3"/>
        <tr r="N149" s="1"/>
      </tp>
      <tp>
        <v>23759.122738999999</v>
        <stp/>
        <stp>P</stp>
        <stp>0</stp>
        <stp>STK</stp>
        <stp>N484120</stp>
        <stp>가중평균가</stp>
        <stp/>
        <stp/>
        <tr r="N671" s="1"/>
      </tp>
      <tp>
        <v>55289.273041</v>
        <stp/>
        <stp>P</stp>
        <stp>0</stp>
        <stp>STK</stp>
        <stp>N494120</stp>
        <stp>가중평균가</stp>
        <stp/>
        <stp/>
        <tr r="N526" s="1"/>
      </tp>
      <tp>
        <v>371501.87556900003</v>
        <stp/>
        <stp>P</stp>
        <stp>0</stp>
        <stp>STK</stp>
        <stp>N196170</stp>
        <stp>가중평균가</stp>
        <stp/>
        <stp/>
        <tr r="N42" s="1"/>
      </tp>
      <tp>
        <v>65187.90436</v>
        <stp/>
        <stp>P</stp>
        <stp>0</stp>
        <stp>STK</stp>
        <stp>N067160</stp>
        <stp>가중평균가</stp>
        <stp/>
        <stp/>
        <tr r="N370" s="1"/>
      </tp>
      <tp>
        <v>14846.20155</v>
        <stp/>
        <stp>P</stp>
        <stp>0</stp>
        <stp>STK</stp>
        <stp>N078160</stp>
        <stp>가중평균가</stp>
        <stp/>
        <stp/>
        <tr r="N435" s="1"/>
      </tp>
      <tp>
        <v>56864.579380000003</v>
        <stp/>
        <stp>P</stp>
        <stp>0</stp>
        <stp>STK</stp>
        <stp>N007160</stp>
        <stp>가중평균가</stp>
        <stp/>
        <stp/>
        <tr r="N362" s="3"/>
        <tr r="N649" s="1"/>
      </tp>
      <tp>
        <v>28438.581855</v>
        <stp/>
        <stp>P</stp>
        <stp>0</stp>
        <stp>STK</stp>
        <stp>N003160</stp>
        <stp>가중평균가</stp>
        <stp/>
        <stp/>
        <tr r="N242" s="3"/>
        <tr r="N342" s="1"/>
      </tp>
      <tp>
        <v>25585.474317</v>
        <stp/>
        <stp>P</stp>
        <stp>0</stp>
        <stp>STK</stp>
        <stp>N023160</stp>
        <stp>가중평균가</stp>
        <stp/>
        <stp/>
        <tr r="N386" s="1"/>
      </tp>
      <tp>
        <v>14545.484571000001</v>
        <stp/>
        <stp>P</stp>
        <stp>0</stp>
        <stp>STK</stp>
        <stp>N232140</stp>
        <stp>가중평균가</stp>
        <stp/>
        <stp/>
        <tr r="N280" s="1"/>
      </tp>
      <tp>
        <v>19200.066666999999</v>
        <stp/>
        <stp>P</stp>
        <stp>0</stp>
        <stp>STK</stp>
        <stp>N043150</stp>
        <stp>가중평균가</stp>
        <stp/>
        <stp/>
        <tr r="N642" s="1"/>
      </tp>
      <tp>
        <v>286416.73901199998</v>
        <stp/>
        <stp>P</stp>
        <stp>0</stp>
        <stp>STK</stp>
        <stp>N009150</stp>
        <stp>가중평균가</stp>
        <stp/>
        <stp/>
        <tr r="N39" s="1"/>
        <tr r="N39" s="3"/>
      </tp>
      <tp>
        <v>913310.41331700003</v>
        <stp/>
        <stp>P</stp>
        <stp>0</stp>
        <stp>STK</stp>
        <stp>N000150</stp>
        <stp>가중평균가</stp>
        <stp/>
        <stp/>
        <tr r="N61" s="1"/>
        <tr r="N56" s="3"/>
      </tp>
      <tp>
        <v>119407.821807</v>
        <stp/>
        <stp>P</stp>
        <stp>0</stp>
        <stp>STK</stp>
        <stp>N103140</stp>
        <stp>가중평균가</stp>
        <stp/>
        <stp/>
        <tr r="N124" s="3"/>
        <tr r="N141" s="1"/>
      </tp>
      <tp>
        <v>42420.373764999997</v>
        <stp/>
        <stp>P</stp>
        <stp>0</stp>
        <stp>STK</stp>
        <stp>N020150</stp>
        <stp>가중평균가</stp>
        <stp/>
        <stp/>
        <tr r="N225" s="1"/>
        <tr r="N170" s="3"/>
      </tp>
      <tp>
        <v>12330</v>
        <stp/>
        <stp>P</stp>
        <stp>0</stp>
        <stp>STK</stp>
        <stp>N035150</stp>
        <stp>가중평균가</stp>
        <stp/>
        <stp/>
        <tr r="N663" s="1"/>
        <tr r="N372" s="3"/>
      </tp>
      <tp>
        <v>69444.188855</v>
        <stp/>
        <stp>P</stp>
        <stp>0</stp>
        <stp>STK</stp>
        <stp>N466100</stp>
        <stp>가중평균가</stp>
        <stp/>
        <stp/>
        <tr r="N216" s="1"/>
      </tp>
      <tp>
        <v>33061.174443000004</v>
        <stp/>
        <stp>P</stp>
        <stp>0</stp>
        <stp>STK</stp>
        <stp>N372170</stp>
        <stp>가중평균가</stp>
        <stp/>
        <stp/>
        <tr r="N677" s="1"/>
      </tp>
      <tp>
        <v>30444.685724999999</v>
        <stp/>
        <stp>P</stp>
        <stp>0</stp>
        <stp>STK</stp>
        <stp>N010140</stp>
        <stp>가중평균가</stp>
        <stp/>
        <stp/>
        <tr r="N30" s="1"/>
        <tr r="N31" s="3"/>
      </tp>
      <tp>
        <v>26116.064125000001</v>
        <stp/>
        <stp>P</stp>
        <stp>0</stp>
        <stp>STK</stp>
        <stp>N304100</stp>
        <stp>가중평균가</stp>
        <stp/>
        <stp/>
        <tr r="N591" s="1"/>
      </tp>
      <tp>
        <v>143200</v>
        <stp/>
        <stp>P</stp>
        <stp>0</stp>
        <stp>STK</stp>
        <stp>N001130</stp>
        <stp>가중평균가</stp>
        <stp/>
        <stp/>
        <tr r="N375" s="3"/>
        <tr r="N680" s="1"/>
      </tp>
      <tp>
        <v>1562036.5627890001</v>
        <stp/>
        <stp>P</stp>
        <stp>0</stp>
        <stp>STK</stp>
        <stp>N010130</stp>
        <stp>가중평균가</stp>
        <stp/>
        <stp/>
        <tr r="N25" s="1"/>
        <tr r="N25" s="3"/>
      </tp>
      <tp>
        <v>22237.342627999999</v>
        <stp/>
        <stp>P</stp>
        <stp>0</stp>
        <stp>STK</stp>
        <stp>N127120</stp>
        <stp>가중평균가</stp>
        <stp/>
        <stp/>
        <tr r="N402" s="1"/>
      </tp>
      <tp>
        <v>45066.500937999997</v>
        <stp/>
        <stp>P</stp>
        <stp>0</stp>
        <stp>STK</stp>
        <stp>N039130</stp>
        <stp>가중평균가</stp>
        <stp/>
        <stp/>
        <tr r="N260" s="3"/>
        <tr r="N385" s="1"/>
      </tp>
      <tp>
        <v>76544.842283000005</v>
        <stp/>
        <stp>P</stp>
        <stp>0</stp>
        <stp>STK</stp>
        <stp>N456160</stp>
        <stp>가중평균가</stp>
        <stp/>
        <stp/>
        <tr r="N278" s="1"/>
      </tp>
      <tp>
        <v>62206.940874</v>
        <stp/>
        <stp>P</stp>
        <stp>0</stp>
        <stp>STK</stp>
        <stp>N006120</stp>
        <stp>가중평균가</stp>
        <stp/>
        <stp/>
        <tr r="N219" s="3"/>
        <tr r="N291" s="1"/>
      </tp>
      <tp>
        <v>100304.604116</v>
        <stp/>
        <stp>P</stp>
        <stp>0</stp>
        <stp>STK</stp>
        <stp>N000120</stp>
        <stp>가중평균가</stp>
        <stp/>
        <stp/>
        <tr r="N159" s="3"/>
        <tr r="N194" s="1"/>
      </tp>
      <tp>
        <v>36032.472825999997</v>
        <stp/>
        <stp>P</stp>
        <stp>0</stp>
        <stp>STK</stp>
        <stp>N001120</stp>
        <stp>가중평균가</stp>
        <stp/>
        <stp/>
        <tr r="N201" s="3"/>
        <tr r="N257" s="1"/>
      </tp>
      <tp>
        <v>20965.701881000001</v>
        <stp/>
        <stp>P</stp>
        <stp>0</stp>
        <stp>STK</stp>
        <stp>N003120</stp>
        <stp>가중평균가</stp>
        <stp/>
        <stp/>
        <tr r="N630" s="1"/>
        <tr r="N363" s="3"/>
      </tp>
      <tp>
        <v>517553.143163</v>
        <stp/>
        <stp>P</stp>
        <stp>0</stp>
        <stp>STK</stp>
        <stp>N010120</stp>
        <stp>가중평균가</stp>
        <stp/>
        <stp/>
        <tr r="N55" s="3"/>
        <tr r="N55" s="1"/>
      </tp>
      <tp>
        <v>23253.144038999999</v>
        <stp/>
        <stp>P</stp>
        <stp>0</stp>
        <stp>STK</stp>
        <stp>N220100</stp>
        <stp>가중평균가</stp>
        <stp/>
        <stp/>
        <tr r="N458" s="1"/>
      </tp>
      <tp>
        <v>14351.114842000001</v>
        <stp/>
        <stp>P</stp>
        <stp>0</stp>
        <stp>STK</stp>
        <stp>N139130</stp>
        <stp>가중평균가</stp>
        <stp/>
        <stp/>
        <tr r="N193" s="1"/>
        <tr r="N160" s="3"/>
      </tp>
      <tp>
        <v>18577.921147000001</v>
        <stp/>
        <stp>P</stp>
        <stp>0</stp>
        <stp>STK</stp>
        <stp>N034120</stp>
        <stp>가중평균가</stp>
        <stp/>
        <stp/>
        <tr r="N581" s="1"/>
        <tr r="N336" s="3"/>
      </tp>
      <tp>
        <v>50316.881355999998</v>
        <stp/>
        <stp>P</stp>
        <stp>0</stp>
        <stp>STK</stp>
        <stp>N084110</stp>
        <stp>가중평균가</stp>
        <stp/>
        <stp/>
        <tr r="N423" s="1"/>
      </tp>
      <tp>
        <v>67427.893844999999</v>
        <stp/>
        <stp>P</stp>
        <stp>0</stp>
        <stp>STK</stp>
        <stp>N285130</stp>
        <stp>가중평균가</stp>
        <stp/>
        <stp/>
        <tr r="N215" s="3"/>
        <tr r="N292" s="1"/>
      </tp>
      <tp>
        <v>19979.371257999999</v>
        <stp/>
        <stp>P</stp>
        <stp>0</stp>
        <stp>STK</stp>
        <stp>N475150</stp>
        <stp>가중평균가</stp>
        <stp/>
        <stp/>
        <tr r="N399" s="1"/>
        <tr r="N267" s="3"/>
      </tp>
      <tp>
        <v>26322.303776000001</v>
        <stp/>
        <stp>P</stp>
        <stp>0</stp>
        <stp>STK</stp>
        <stp>N006110</stp>
        <stp>가중평균가</stp>
        <stp/>
        <stp/>
        <tr r="N331" s="3"/>
        <tr r="N568" s="1"/>
      </tp>
      <tp>
        <v>12397.348262</v>
        <stp/>
        <stp>P</stp>
        <stp>0</stp>
        <stp>STK</stp>
        <stp>N200130</stp>
        <stp>가중평균가</stp>
        <stp/>
        <stp/>
        <tr r="N562" s="1"/>
      </tp>
      <tp>
        <v>21048.525151000002</v>
        <stp/>
        <stp>P</stp>
        <stp>0</stp>
        <stp>STK</stp>
        <stp>N024110</stp>
        <stp>가중평균가</stp>
        <stp/>
        <stp/>
        <tr r="N52" s="1"/>
        <tr r="N50" s="3"/>
      </tp>
      <tp>
        <v>24402.917517999998</v>
        <stp/>
        <stp>P</stp>
        <stp>0</stp>
        <stp>STK</stp>
        <stp>N045100</stp>
        <stp>가중평균가</stp>
        <stp/>
        <stp/>
        <tr r="N500" s="1"/>
      </tp>
      <tp>
        <v>105142.037224</v>
        <stp/>
        <stp>P</stp>
        <stp>0</stp>
        <stp>STK</stp>
        <stp>N000100</stp>
        <stp>가중평균가</stp>
        <stp/>
        <stp/>
        <tr r="N84" s="1"/>
        <tr r="N78" s="3"/>
      </tp>
      <tp>
        <v>37839.487316999999</v>
        <stp/>
        <stp>P</stp>
        <stp>0</stp>
        <stp>STK</stp>
        <stp>N328130</stp>
        <stp>가중평균가</stp>
        <stp/>
        <stp/>
        <tr r="N295" s="1"/>
      </tp>
      <tp>
        <v>47024.239865000003</v>
        <stp/>
        <stp>P</stp>
        <stp>0</stp>
        <stp>STK</stp>
        <stp>N120110</stp>
        <stp>가중평균가</stp>
        <stp/>
        <stp/>
        <tr r="N277" s="1"/>
        <tr r="N207" s="3"/>
      </tp>
      <tp>
        <v>40775.980596000001</v>
        <stp/>
        <stp>P</stp>
        <stp>0</stp>
        <stp>STK</stp>
        <stp>N022100</stp>
        <stp>가중평균가</stp>
        <stp/>
        <stp/>
        <tr r="N95" s="1"/>
        <tr r="N90" s="3"/>
      </tp>
      <tp>
        <v>39525.274922999997</v>
        <stp/>
        <stp>P</stp>
        <stp>0</stp>
        <stp>STK</stp>
        <stp>N033100</stp>
        <stp>가중평균가</stp>
        <stp/>
        <stp/>
        <tr r="N403" s="1"/>
      </tp>
      <tp>
        <v>22035.485862000001</v>
        <stp/>
        <stp>P</stp>
        <stp>0</stp>
        <stp>STK</stp>
        <stp>N488280</stp>
        <stp>가중평균가</stp>
        <stp/>
        <stp/>
        <tr r="N687" s="1"/>
      </tp>
      <tp>
        <v>9972.7221829999999</v>
        <stp/>
        <stp>P</stp>
        <stp>0</stp>
        <stp>STK</stp>
        <stp>N448280</stp>
        <stp>가중평균가</stp>
        <stp/>
        <stp/>
        <tr r="N638" s="1"/>
      </tp>
      <tp>
        <v>13386.732726</v>
        <stp/>
        <stp>P</stp>
        <stp>0</stp>
        <stp>STK</stp>
        <stp>N394280</stp>
        <stp>가중평균가</stp>
        <stp/>
        <stp/>
        <tr r="N624" s="1"/>
      </tp>
      <tp>
        <v>28152.844960999999</v>
        <stp/>
        <stp>P</stp>
        <stp>0</stp>
        <stp>STK</stp>
        <stp>N272290</stp>
        <stp>가중평균가</stp>
        <stp/>
        <stp/>
        <tr r="N469" s="1"/>
      </tp>
      <tp>
        <v>49161.97567</v>
        <stp/>
        <stp>P</stp>
        <stp>0</stp>
        <stp>STK</stp>
        <stp>N323280</stp>
        <stp>가중평균가</stp>
        <stp/>
        <stp/>
        <tr r="N255" s="1"/>
      </tp>
      <tp>
        <v>136518.18181800001</v>
        <stp/>
        <stp>P</stp>
        <stp>0</stp>
        <stp>STK</stp>
        <stp>N268280</stp>
        <stp>가중평균가</stp>
        <stp/>
        <stp/>
        <tr r="N265" s="3"/>
        <tr r="N388" s="1"/>
      </tp>
      <tp>
        <v>53920.609768000002</v>
        <stp/>
        <stp>P</stp>
        <stp>0</stp>
        <stp>STK</stp>
        <stp>N278280</stp>
        <stp>가중평균가</stp>
        <stp/>
        <stp/>
        <tr r="N434" s="1"/>
      </tp>
      <tp>
        <v>40658.221162000002</v>
        <stp/>
        <stp>P</stp>
        <stp>0</stp>
        <stp>STK</stp>
        <stp>N005290</stp>
        <stp>가중평균가</stp>
        <stp/>
        <stp/>
        <tr r="N201" s="1"/>
      </tp>
      <tp>
        <v>16908.628906000002</v>
        <stp/>
        <stp>P</stp>
        <stp>0</stp>
        <stp>STK</stp>
        <stp>N018290</stp>
        <stp>가중평균가</stp>
        <stp/>
        <stp/>
        <tr r="N439" s="1"/>
      </tp>
      <tp>
        <v>263006.04446100001</v>
        <stp/>
        <stp>P</stp>
        <stp>0</stp>
        <stp>STK</stp>
        <stp>N086280</stp>
        <stp>가중평균가</stp>
        <stp/>
        <stp/>
        <tr r="N36" s="1"/>
        <tr r="N40" s="3"/>
      </tp>
      <tp>
        <v>19594.012070000001</v>
        <stp/>
        <stp>P</stp>
        <stp>0</stp>
        <stp>STK</stp>
        <stp>N060280</stp>
        <stp>가중평균가</stp>
        <stp/>
        <stp/>
        <tr r="N346" s="1"/>
      </tp>
      <tp>
        <v>152964.439495</v>
        <stp/>
        <stp>P</stp>
        <stp>0</stp>
        <stp>STK</stp>
        <stp>N006280</stp>
        <stp>가중평균가</stp>
        <stp/>
        <stp/>
        <tr r="N184" s="3"/>
        <tr r="N229" s="1"/>
      </tp>
      <tp>
        <v>74343.373361000005</v>
        <stp/>
        <stp>P</stp>
        <stp>0</stp>
        <stp>STK</stp>
        <stp>N131290</stp>
        <stp>가중평균가</stp>
        <stp/>
        <stp/>
        <tr r="N343" s="1"/>
      </tp>
      <tp>
        <v>23152.176090000001</v>
        <stp/>
        <stp>P</stp>
        <stp>0</stp>
        <stp>STK</stp>
        <stp>N082270</stp>
        <stp>가중평균가</stp>
        <stp/>
        <stp/>
        <tr r="N313" s="1"/>
      </tp>
      <tp>
        <v>208742.07555400001</v>
        <stp/>
        <stp>P</stp>
        <stp>0</stp>
        <stp>STK</stp>
        <stp>N068270</stp>
        <stp>가중평균가</stp>
        <stp/>
        <stp/>
        <tr r="N18" s="3"/>
        <tr r="N18" s="1"/>
      </tp>
      <tp>
        <v>244294.299876</v>
        <stp/>
        <stp>P</stp>
        <stp>0</stp>
        <stp>STK</stp>
        <stp>N267250</stp>
        <stp>가중평균가</stp>
        <stp/>
        <stp/>
        <tr r="N41" s="3"/>
        <tr r="N41" s="1"/>
      </tp>
      <tp>
        <v>164827.416578</v>
        <stp/>
        <stp>P</stp>
        <stp>0</stp>
        <stp>STK</stp>
        <stp>N000270</stp>
        <stp>가중평균가</stp>
        <stp/>
        <stp/>
        <tr r="N12" s="3"/>
        <tr r="N11" s="1"/>
      </tp>
      <tp>
        <v>63605.536608000002</v>
        <stp/>
        <stp>P</stp>
        <stp>0</stp>
        <stp>STK</stp>
        <stp>N001270</stp>
        <stp>가중평균가</stp>
        <stp/>
        <stp/>
        <tr r="N412" s="1"/>
        <tr r="N274" s="3"/>
      </tp>
      <tp>
        <v>18411.997593</v>
        <stp/>
        <stp>P</stp>
        <stp>0</stp>
        <stp>STK</stp>
        <stp>N033270</stp>
        <stp>가중평균가</stp>
        <stp/>
        <stp/>
        <tr r="N625" s="1"/>
        <tr r="N356" s="3"/>
      </tp>
      <tp>
        <v>18597.050360000001</v>
        <stp/>
        <stp>P</stp>
        <stp>0</stp>
        <stp>STK</stp>
        <stp>N069260</stp>
        <stp>가중평균가</stp>
        <stp/>
        <stp/>
        <tr r="N251" s="3"/>
        <tr r="N369" s="1"/>
      </tp>
      <tp>
        <v>225106.56062199999</v>
        <stp/>
        <stp>P</stp>
        <stp>0</stp>
        <stp>STK</stp>
        <stp>N006260</stp>
        <stp>가중평균가</stp>
        <stp/>
        <stp/>
        <tr r="N85" s="3"/>
        <tr r="N89" s="1"/>
      </tp>
      <tp>
        <v>171111.87857</v>
        <stp/>
        <stp>P</stp>
        <stp>0</stp>
        <stp>STK</stp>
        <stp>N018260</stp>
        <stp>가중평균가</stp>
        <stp/>
        <stp/>
        <tr r="N59" s="3"/>
        <tr r="N60" s="1"/>
      </tp>
      <tp>
        <v>300318.26474800002</v>
        <stp/>
        <stp>P</stp>
        <stp>0</stp>
        <stp>STK</stp>
        <stp>N028260</stp>
        <stp>가중평균가</stp>
        <stp/>
        <stp/>
        <tr r="N17" s="3"/>
        <tr r="N17" s="1"/>
      </tp>
      <tp>
        <v>17503.881084000001</v>
        <stp/>
        <stp>P</stp>
        <stp>0</stp>
        <stp>STK</stp>
        <stp>N389260</stp>
        <stp>가중평균가</stp>
        <stp/>
        <stp/>
        <tr r="N612" s="1"/>
      </tp>
      <tp>
        <v>51157.499190000002</v>
        <stp/>
        <stp>P</stp>
        <stp>0</stp>
        <stp>STK</stp>
        <stp>N251270</stp>
        <stp>가중평균가</stp>
        <stp/>
        <stp/>
        <tr r="N108" s="3"/>
        <tr r="N120" s="1"/>
      </tp>
      <tp>
        <v>119052.042737</v>
        <stp/>
        <stp>P</stp>
        <stp>0</stp>
        <stp>STK</stp>
        <stp>N267270</stp>
        <stp>가중평균가</stp>
        <stp/>
        <stp/>
        <tr r="N213" s="1"/>
        <tr r="N174" s="3"/>
      </tp>
      <tp>
        <v>14257.323054</v>
        <stp/>
        <stp>P</stp>
        <stp>0</stp>
        <stp>STK</stp>
        <stp>N060250</stp>
        <stp>가중평균가</stp>
        <stp/>
        <stp/>
        <tr r="N437" s="1"/>
      </tp>
      <tp>
        <v>20610.173455</v>
        <stp/>
        <stp>P</stp>
        <stp>0</stp>
        <stp>STK</stp>
        <stp>N204270</stp>
        <stp>가중평균가</stp>
        <stp/>
        <stp/>
        <tr r="N294" s="1"/>
      </tp>
      <tp>
        <v>14684.635641000001</v>
        <stp/>
        <stp>P</stp>
        <stp>0</stp>
        <stp>STK</stp>
        <stp>N005250</stp>
        <stp>가중평균가</stp>
        <stp/>
        <stp/>
        <tr r="N263" s="3"/>
        <tr r="N389" s="1"/>
      </tp>
      <tp>
        <v>319479.18044899998</v>
        <stp/>
        <stp>P</stp>
        <stp>0</stp>
        <stp>STK</stp>
        <stp>N000250</stp>
        <stp>가중평균가</stp>
        <stp/>
        <stp/>
        <tr r="N97" s="1"/>
      </tp>
      <tp>
        <v>12852.228412</v>
        <stp/>
        <stp>P</stp>
        <stp>0</stp>
        <stp>STK</stp>
        <stp>N018250</stp>
        <stp>가중평균가</stp>
        <stp/>
        <stp/>
        <tr r="N343" s="3"/>
        <tr r="N590" s="1"/>
      </tp>
      <tp>
        <v>17845.841557</v>
        <stp/>
        <stp>P</stp>
        <stp>0</stp>
        <stp>STK</stp>
        <stp>N035250</stp>
        <stp>가중평균가</stp>
        <stp/>
        <stp/>
        <tr r="N128" s="1"/>
        <tr r="N118" s="3"/>
      </tp>
      <tp>
        <v>38027.676815999999</v>
        <stp/>
        <stp>P</stp>
        <stp>0</stp>
        <stp>STK</stp>
        <stp>N336260</stp>
        <stp>가중평균가</stp>
        <stp/>
        <stp/>
        <tr r="N183" s="1"/>
        <tr r="N150" s="3"/>
      </tp>
      <tp>
        <v>889916.79773500003</v>
        <stp/>
        <stp>P</stp>
        <stp>0</stp>
        <stp>STK</stp>
        <stp>N267260</stp>
        <stp>가중평균가</stp>
        <stp/>
        <stp/>
        <tr r="N26" s="1"/>
        <tr r="N26" s="3"/>
      </tp>
      <tp>
        <v>55431.488934000001</v>
        <stp/>
        <stp>P</stp>
        <stp>0</stp>
        <stp>STK</stp>
        <stp>N376270</stp>
        <stp>가중평균가</stp>
        <stp/>
        <stp/>
        <tr r="N552" s="1"/>
      </tp>
      <tp>
        <v>6278.3965070000004</v>
        <stp/>
        <stp>P</stp>
        <stp>0</stp>
        <stp>STK</stp>
        <stp>N073240</stp>
        <stp>가중평균가</stp>
        <stp/>
        <stp/>
        <tr r="N180" s="3"/>
        <tr r="N224" s="1"/>
      </tp>
      <tp>
        <v>44224.769702999998</v>
        <stp/>
        <stp>P</stp>
        <stp>0</stp>
        <stp>STK</stp>
        <stp>N009240</stp>
        <stp>가중평균가</stp>
        <stp/>
        <stp/>
        <tr r="N301" s="1"/>
        <tr r="N223" s="3"/>
      </tp>
      <tp>
        <v>27021.25</v>
        <stp/>
        <stp>P</stp>
        <stp>0</stp>
        <stp>STK</stp>
        <stp>N000240</stp>
        <stp>가중평균가</stp>
        <stp/>
        <stp/>
        <tr r="N171" s="1"/>
        <tr r="N145" s="3"/>
      </tp>
      <tp>
        <v>21934.059946000001</v>
        <stp/>
        <stp>P</stp>
        <stp>0</stp>
        <stp>STK</stp>
        <stp>N002240</stp>
        <stp>가중평균가</stp>
        <stp/>
        <stp/>
        <tr r="N277" s="3"/>
        <tr r="N426" s="1"/>
      </tp>
      <tp>
        <v>779581.74097699998</v>
        <stp/>
        <stp>P</stp>
        <stp>0</stp>
        <stp>STK</stp>
        <stp>N003240</stp>
        <stp>가중평균가</stp>
        <stp/>
        <stp/>
        <tr r="N239" s="3"/>
        <tr r="N341" s="1"/>
      </tp>
      <tp>
        <v>13562.423228</v>
        <stp/>
        <stp>P</stp>
        <stp>0</stp>
        <stp>STK</stp>
        <stp>N417200</stp>
        <stp>가중평균가</stp>
        <stp/>
        <stp/>
        <tr r="N333" s="1"/>
      </tp>
      <tp>
        <v>76214.643303999997</v>
        <stp/>
        <stp>P</stp>
        <stp>0</stp>
        <stp>STK</stp>
        <stp>N021240</stp>
        <stp>가중평균가</stp>
        <stp/>
        <stp/>
        <tr r="N103" s="1"/>
        <tr r="N95" s="3"/>
      </tp>
      <tp>
        <v>22933.458108999999</v>
        <stp/>
        <stp>P</stp>
        <stp>0</stp>
        <stp>STK</stp>
        <stp>N033240</stp>
        <stp>가중평균가</stp>
        <stp/>
        <stp/>
        <tr r="N461" s="1"/>
        <tr r="N297" s="3"/>
      </tp>
      <tp>
        <v>23818.577696</v>
        <stp/>
        <stp>P</stp>
        <stp>0</stp>
        <stp>STK</stp>
        <stp>N097230</stp>
        <stp>가중평균가</stp>
        <stp/>
        <stp/>
        <tr r="N164" s="3"/>
        <tr r="N195" s="1"/>
      </tp>
      <tp>
        <v>0</v>
        <stp/>
        <stp>P</stp>
        <stp>0</stp>
        <stp>STK</stp>
        <stp>N092230</stp>
        <stp>가중평균가</stp>
        <stp/>
        <stp/>
        <tr r="N352" s="3"/>
        <tr r="N615" s="1"/>
      </tp>
      <tp>
        <v>9167.1217140000008</v>
        <stp/>
        <stp>P</stp>
        <stp>0</stp>
        <stp>STK</stp>
        <stp>N441270</stp>
        <stp>가중평균가</stp>
        <stp/>
        <stp/>
        <tr r="N569" s="1"/>
      </tp>
      <tp>
        <v>49905.067864999997</v>
        <stp/>
        <stp>P</stp>
        <stp>0</stp>
        <stp>STK</stp>
        <stp>N353200</stp>
        <stp>가중평균가</stp>
        <stp/>
        <stp/>
        <tr r="N153" s="3"/>
        <tr r="N176" s="1"/>
      </tp>
      <tp>
        <v>89779.228495999996</v>
        <stp/>
        <stp>P</stp>
        <stp>0</stp>
        <stp>STK</stp>
        <stp>N272210</stp>
        <stp>가중평균가</stp>
        <stp/>
        <stp/>
        <tr r="N50" s="1"/>
        <tr r="N49" s="3"/>
      </tp>
      <tp>
        <v>119304.740292</v>
        <stp/>
        <stp>P</stp>
        <stp>0</stp>
        <stp>STK</stp>
        <stp>N306200</stp>
        <stp>가중평균가</stp>
        <stp/>
        <stp/>
        <tr r="N589" s="1"/>
        <tr r="N341" s="3"/>
      </tp>
      <tp>
        <v>1251038.3386580001</v>
        <stp/>
        <stp>P</stp>
        <stp>0</stp>
        <stp>STK</stp>
        <stp>N003230</stp>
        <stp>가중평균가</stp>
        <stp/>
        <stp/>
        <tr r="N77" s="1"/>
        <tr r="N71" s="3"/>
      </tp>
      <tp>
        <v>17285.629313000001</v>
        <stp/>
        <stp>P</stp>
        <stp>0</stp>
        <stp>STK</stp>
        <stp>N034230</stp>
        <stp>가중평균가</stp>
        <stp/>
        <stp/>
        <tr r="N242" s="1"/>
        <tr r="N189" s="3"/>
      </tp>
      <tp>
        <v>106795.63974300001</v>
        <stp/>
        <stp>P</stp>
        <stp>0</stp>
        <stp>STK</stp>
        <stp>N388210</stp>
        <stp>가중평균가</stp>
        <stp/>
        <stp/>
        <tr r="N302" s="1"/>
      </tp>
      <tp>
        <v>30041.110102999999</v>
        <stp/>
        <stp>P</stp>
        <stp>0</stp>
        <stp>STK</stp>
        <stp>N080220</stp>
        <stp>가중평균가</stp>
        <stp/>
        <stp/>
        <tr r="N304" s="1"/>
      </tp>
      <tp>
        <v>71732.661416999996</v>
        <stp/>
        <stp>P</stp>
        <stp>0</stp>
        <stp>STK</stp>
        <stp>N348210</stp>
        <stp>가중평균가</stp>
        <stp/>
        <stp/>
        <tr r="N360" s="1"/>
      </tp>
      <tp>
        <v>11487.044072000001</v>
        <stp/>
        <stp>P</stp>
        <stp>0</stp>
        <stp>STK</stp>
        <stp>N006220</stp>
        <stp>가중평균가</stp>
        <stp/>
        <stp/>
        <tr r="N512" s="1"/>
        <tr r="N315" s="3"/>
      </tp>
      <tp>
        <v>11479.067469</v>
        <stp/>
        <stp>P</stp>
        <stp>0</stp>
        <stp>STK</stp>
        <stp>N003220</stp>
        <stp>가중평균가</stp>
        <stp/>
        <stp/>
        <tr r="N667" s="1"/>
        <tr r="N370" s="3"/>
      </tp>
      <tp>
        <v>39395.454545000001</v>
        <stp/>
        <stp>P</stp>
        <stp>0</stp>
        <stp>STK</stp>
        <stp>N215200</stp>
        <stp>가중평균가</stp>
        <stp/>
        <stp/>
        <tr r="N535" s="1"/>
      </tp>
      <tp>
        <v>178554.981642</v>
        <stp/>
        <stp>P</stp>
        <stp>0</stp>
        <stp>STK</stp>
        <stp>N310210</stp>
        <stp>가중평균가</stp>
        <stp/>
        <stp/>
        <tr r="N145" s="1"/>
      </tp>
      <tp>
        <v>71356.580201000004</v>
        <stp/>
        <stp>P</stp>
        <stp>0</stp>
        <stp>STK</stp>
        <stp>N439260</stp>
        <stp>가중평균가</stp>
        <stp/>
        <stp/>
        <tr r="N143" s="3"/>
        <tr r="N169" s="1"/>
      </tp>
      <tp>
        <v>12742.518298000001</v>
        <stp/>
        <stp>P</stp>
        <stp>0</stp>
        <stp>STK</stp>
        <stp>N034220</stp>
        <stp>가중평균가</stp>
        <stp/>
        <stp/>
        <tr r="N99" s="1"/>
        <tr r="N91" s="3"/>
      </tp>
      <tp>
        <v>45351.340365999997</v>
        <stp/>
        <stp>P</stp>
        <stp>0</stp>
        <stp>STK</stp>
        <stp>N236200</stp>
        <stp>가중평균가</stp>
        <stp/>
        <stp/>
        <tr r="N664" s="1"/>
      </tp>
      <tp>
        <v>66109.572784999997</v>
        <stp/>
        <stp>P</stp>
        <stp>0</stp>
        <stp>STK</stp>
        <stp>N383220</stp>
        <stp>가중평균가</stp>
        <stp/>
        <stp/>
        <tr r="N175" s="1"/>
        <tr r="N147" s="3"/>
      </tp>
      <tp>
        <v>428452.85985499999</v>
        <stp/>
        <stp>P</stp>
        <stp>0</stp>
        <stp>STK</stp>
        <stp>N373220</stp>
        <stp>가중평균가</stp>
        <stp/>
        <stp/>
        <tr r="N9" s="1"/>
        <tr r="N9" s="3"/>
      </tp>
      <tp>
        <v>36893.029760999998</v>
        <stp/>
        <stp>P</stp>
        <stp>0</stp>
        <stp>STK</stp>
        <stp>N000210</stp>
        <stp>가중평균가</stp>
        <stp/>
        <stp/>
        <tr r="N250" s="3"/>
        <tr r="N365" s="1"/>
      </tp>
      <tp>
        <v>89389.922028000001</v>
        <stp/>
        <stp>P</stp>
        <stp>0</stp>
        <stp>STK</stp>
        <stp>N011210</stp>
        <stp>가중평균가</stp>
        <stp/>
        <stp/>
        <tr r="N146" s="3"/>
        <tr r="N164" s="1"/>
      </tp>
      <tp>
        <v>20218.828902000001</v>
        <stp/>
        <stp>P</stp>
        <stp>0</stp>
        <stp>STK</stp>
        <stp>N338220</stp>
        <stp>가중평균가</stp>
        <stp/>
        <stp/>
        <tr r="N643" s="1"/>
      </tp>
      <tp>
        <v>49549.645389999998</v>
        <stp/>
        <stp>P</stp>
        <stp>0</stp>
        <stp>STK</stp>
        <stp>N031210</stp>
        <stp>가중평균가</stp>
        <stp/>
        <stp/>
        <tr r="N123" s="3"/>
        <tr r="N140" s="1"/>
      </tp>
      <tp>
        <v>12579.792299999999</v>
        <stp/>
        <stp>P</stp>
        <stp>0</stp>
        <stp>STK</stp>
        <stp>N003200</stp>
        <stp>가중평균가</stp>
        <stp/>
        <stp/>
        <tr r="N618" s="1"/>
        <tr r="N358" s="3"/>
      </tp>
      <tp>
        <v>20593.52666</v>
        <stp/>
        <stp>P</stp>
        <stp>0</stp>
        <stp>STK</stp>
        <stp>N011200</stp>
        <stp>가중평균가</stp>
        <stp/>
        <stp/>
        <tr r="N42" s="3"/>
        <tr r="N43" s="1"/>
      </tp>
      <tp>
        <v>41030.632549000002</v>
        <stp/>
        <stp>P</stp>
        <stp>0</stp>
        <stp>STK</stp>
        <stp>N039200</stp>
        <stp>가중평균가</stp>
        <stp/>
        <stp/>
        <tr r="N236" s="1"/>
      </tp>
      <tp>
        <v>9423.4626960000005</v>
        <stp/>
        <stp>P</stp>
        <stp>0</stp>
        <stp>STK</stp>
        <stp>N036200</stp>
        <stp>가중평균가</stp>
        <stp/>
        <stp/>
        <tr r="N626" s="1"/>
      </tp>
      <tp>
        <v>55091.528027</v>
        <stp/>
        <stp>P</stp>
        <stp>0</stp>
        <stp>STK</stp>
        <stp>N030200</stp>
        <stp>가중평균가</stp>
        <stp/>
        <stp/>
        <tr r="N57" s="3"/>
        <tr r="N59" s="1"/>
      </tp>
      <tp>
        <v>179642.220531</v>
        <stp/>
        <stp>P</stp>
        <stp>0</stp>
        <stp>STK</stp>
        <stp>N298380</stp>
        <stp>가중평균가</stp>
        <stp/>
        <stp/>
        <tr r="N73" s="1"/>
      </tp>
      <tp>
        <v>12161.665147</v>
        <stp/>
        <stp>P</stp>
        <stp>0</stp>
        <stp>STK</stp>
        <stp>N086390</stp>
        <stp>가중평균가</stp>
        <stp/>
        <stp/>
        <tr r="N674" s="1"/>
      </tp>
      <tp>
        <v>26453.911547</v>
        <stp/>
        <stp>P</stp>
        <stp>0</stp>
        <stp>STK</stp>
        <stp>N108380</stp>
        <stp>가중평균가</stp>
        <stp/>
        <stp/>
        <tr r="N669" s="1"/>
      </tp>
      <tp>
        <v>20022.263482999999</v>
        <stp/>
        <stp>P</stp>
        <stp>0</stp>
        <stp>STK</stp>
        <stp>N007390</stp>
        <stp>가중평균가</stp>
        <stp/>
        <stp/>
        <tr r="N272" s="1"/>
      </tp>
      <tp>
        <v>64314.613778999999</v>
        <stp/>
        <stp>P</stp>
        <stp>0</stp>
        <stp>STK</stp>
        <stp>N017390</stp>
        <stp>가중평균가</stp>
        <stp/>
        <stp/>
        <tr r="N350" s="3"/>
        <tr r="N601" s="1"/>
      </tp>
      <tp>
        <v>67874.103285999998</v>
        <stp/>
        <stp>P</stp>
        <stp>0</stp>
        <stp>STK</stp>
        <stp>N161390</stp>
        <stp>가중평균가</stp>
        <stp/>
        <stp/>
        <tr r="N81" s="1"/>
        <tr r="N77" s="3"/>
      </tp>
      <tp>
        <v>536541.48969399999</v>
        <stp/>
        <stp>P</stp>
        <stp>0</stp>
        <stp>STK</stp>
        <stp>N005380</stp>
        <stp>가중평균가</stp>
        <stp/>
        <stp/>
        <tr r="N8" s="3"/>
        <tr r="N8" s="1"/>
      </tp>
      <tp>
        <v>450596.64607199997</v>
        <stp/>
        <stp>P</stp>
        <stp>0</stp>
        <stp>STK</stp>
        <stp>N002380</stp>
        <stp>가중평균가</stp>
        <stp/>
        <stp/>
        <tr r="N127" s="1"/>
        <tr r="N115" s="3"/>
      </tp>
      <tp>
        <v>11347.428180000001</v>
        <stp/>
        <stp>P</stp>
        <stp>0</stp>
        <stp>STK</stp>
        <stp>N003380</stp>
        <stp>가중평균가</stp>
        <stp/>
        <stp/>
        <tr r="N276" s="1"/>
      </tp>
      <tp>
        <v>76184.802014000001</v>
        <stp/>
        <stp>P</stp>
        <stp>0</stp>
        <stp>STK</stp>
        <stp>N084370</stp>
        <stp>가중평균가</stp>
        <stp/>
        <stp/>
        <tr r="N219" s="1"/>
      </tp>
      <tp>
        <v>8214.8303919999998</v>
        <stp/>
        <stp>P</stp>
        <stp>0</stp>
        <stp>STK</stp>
        <stp>N093370</stp>
        <stp>가중평균가</stp>
        <stp/>
        <stp/>
        <tr r="N240" s="3"/>
        <tr r="N355" s="1"/>
      </tp>
      <tp>
        <v>12101.76172</v>
        <stp/>
        <stp>P</stp>
        <stp>0</stp>
        <stp>STK</stp>
        <stp>N043370</stp>
        <stp>가중평균가</stp>
        <stp/>
        <stp/>
        <tr r="N650" s="1"/>
      </tp>
      <tp>
        <v>15594.462732</v>
        <stp/>
        <stp>P</stp>
        <stp>0</stp>
        <stp>STK</stp>
        <stp>N168360</stp>
        <stp>가중평균가</stp>
        <stp/>
        <stp/>
        <tr r="N582" s="1"/>
      </tp>
      <tp>
        <v>56315.281461999999</v>
        <stp/>
        <stp>P</stp>
        <stp>0</stp>
        <stp>STK</stp>
        <stp>N365340</stp>
        <stp>가중평균가</stp>
        <stp/>
        <stp/>
        <tr r="N419" s="1"/>
      </tp>
      <tp>
        <v>27311.622832000001</v>
        <stp/>
        <stp>P</stp>
        <stp>0</stp>
        <stp>STK</stp>
        <stp>N060370</stp>
        <stp>가중평균가</stp>
        <stp/>
        <stp/>
        <tr r="N253" s="1"/>
      </tp>
      <tp>
        <v>17821.629515000001</v>
        <stp/>
        <stp>P</stp>
        <stp>0</stp>
        <stp>STK</stp>
        <stp>N378340</stp>
        <stp>가중평균가</stp>
        <stp/>
        <stp/>
        <tr r="N648" s="1"/>
      </tp>
      <tp>
        <v>15460.928139</v>
        <stp/>
        <stp>P</stp>
        <stp>0</stp>
        <stp>STK</stp>
        <stp>N079370</stp>
        <stp>가중평균가</stp>
        <stp/>
        <stp/>
        <tr r="N487" s="1"/>
      </tp>
      <tp>
        <v>410737.91348599998</v>
        <stp/>
        <stp>P</stp>
        <stp>0</stp>
        <stp>STK</stp>
        <stp>N004370</stp>
        <stp>가중평균가</stp>
        <stp/>
        <stp/>
        <tr r="N149" s="3"/>
        <tr r="N179" s="1"/>
      </tp>
      <tp>
        <v>19745.86908</v>
        <stp/>
        <stp>P</stp>
        <stp>0</stp>
        <stp>STK</stp>
        <stp>N101360</stp>
        <stp>가중평균가</stp>
        <stp/>
        <stp/>
        <tr r="N597" s="1"/>
      </tp>
      <tp>
        <v>17279.101488</v>
        <stp/>
        <stp>P</stp>
        <stp>0</stp>
        <stp>STK</stp>
        <stp>N094360</stp>
        <stp>가중평균가</stp>
        <stp/>
        <stp/>
        <tr r="N556" s="1"/>
      </tp>
      <tp>
        <v>11417.748857</v>
        <stp/>
        <stp>P</stp>
        <stp>0</stp>
        <stp>STK</stp>
        <stp>N194370</stp>
        <stp>가중평균가</stp>
        <stp/>
        <stp/>
        <tr r="N347" s="3"/>
        <tr r="N599" s="1"/>
      </tp>
      <tp>
        <v>85356.335582999993</v>
        <stp/>
        <stp>P</stp>
        <stp>0</stp>
        <stp>STK</stp>
        <stp>N090360</stp>
        <stp>가중평균가</stp>
        <stp/>
        <stp/>
        <tr r="N329" s="1"/>
      </tp>
      <tp>
        <v>15520.344827999999</v>
        <stp/>
        <stp>P</stp>
        <stp>0</stp>
        <stp>STK</stp>
        <stp>N051360</stp>
        <stp>가중평균가</stp>
        <stp/>
        <stp/>
        <tr r="N672" s="1"/>
      </tp>
      <tp>
        <v>13598.777959999999</v>
        <stp/>
        <stp>P</stp>
        <stp>0</stp>
        <stp>STK</stp>
        <stp>N004360</stp>
        <stp>가중평균가</stp>
        <stp/>
        <stp/>
        <tr r="N367" s="3"/>
        <tr r="N659" s="1"/>
      </tp>
      <tp>
        <v>18748.458669</v>
        <stp/>
        <stp>P</stp>
        <stp>0</stp>
        <stp>STK</stp>
        <stp>N006360</stp>
        <stp>가중평균가</stp>
        <stp/>
        <stp/>
        <tr r="N191" s="3"/>
        <tr r="N240" s="1"/>
      </tp>
      <tp>
        <v>66502.797202999995</v>
        <stp/>
        <stp>P</stp>
        <stp>0</stp>
        <stp>STK</stp>
        <stp>N015360</stp>
        <stp>가중평균가</stp>
        <stp/>
        <stp/>
        <tr r="N330" s="3"/>
        <tr r="N549" s="1"/>
      </tp>
      <tp>
        <v>85013.388797000007</v>
        <stp/>
        <stp>P</stp>
        <stp>0</stp>
        <stp>STK</stp>
        <stp>N016360</stp>
        <stp>가중평균가</stp>
        <stp/>
        <stp/>
        <tr r="N88" s="1"/>
        <tr r="N83" s="3"/>
      </tp>
      <tp>
        <v>3252.4818930000001</v>
        <stp/>
        <stp>P</stp>
        <stp>0</stp>
        <stp>STK</stp>
        <stp>N088350</stp>
        <stp>가중평균가</stp>
        <stp/>
        <stp/>
        <tr r="N137" s="3"/>
        <tr r="N161" s="1"/>
      </tp>
      <tp>
        <v>208163.083701</v>
        <stp/>
        <stp>P</stp>
        <stp>0</stp>
        <stp>STK</stp>
        <stp>N064350</stp>
        <stp>가중평균가</stp>
        <stp/>
        <stp/>
        <tr r="N34" s="1"/>
        <tr r="N34" s="3"/>
      </tp>
      <tp>
        <v>60342.553613999997</v>
        <stp/>
        <stp>P</stp>
        <stp>0</stp>
        <stp>STK</stp>
        <stp>N065350</stp>
        <stp>가중평균가</stp>
        <stp/>
        <stp/>
        <tr r="N239" s="1"/>
      </tp>
      <tp>
        <v>22747.640813000002</v>
        <stp/>
        <stp>P</stp>
        <stp>0</stp>
        <stp>STK</stp>
        <stp>N078350</stp>
        <stp>가중평균가</stp>
        <stp/>
        <stp/>
        <tr r="N566" s="1"/>
      </tp>
      <tp>
        <v>29919.744283</v>
        <stp/>
        <stp>P</stp>
        <stp>0</stp>
        <stp>STK</stp>
        <stp>N304360</stp>
        <stp>가중평균가</stp>
        <stp/>
        <stp/>
        <tr r="N557" s="1"/>
      </tp>
      <tp>
        <v>76094.857208999994</v>
        <stp/>
        <stp>P</stp>
        <stp>0</stp>
        <stp>STK</stp>
        <stp>N214370</stp>
        <stp>가중평균가</stp>
        <stp/>
        <stp/>
        <tr r="N126" s="1"/>
      </tp>
      <tp>
        <v>89639.797183000002</v>
        <stp/>
        <stp>P</stp>
        <stp>0</stp>
        <stp>STK</stp>
        <stp>N126340</stp>
        <stp>가중평균가</stp>
        <stp/>
        <stp/>
        <tr r="N431" s="1"/>
      </tp>
      <tp>
        <v>23541.967725999999</v>
        <stp/>
        <stp>P</stp>
        <stp>0</stp>
        <stp>STK</stp>
        <stp>N032350</stp>
        <stp>가중평균가</stp>
        <stp/>
        <stp/>
        <tr r="N223" s="1"/>
        <tr r="N176" s="3"/>
      </tp>
      <tp>
        <v>112771.19266099999</v>
        <stp/>
        <stp>P</stp>
        <stp>0</stp>
        <stp>STK</stp>
        <stp>N280360</stp>
        <stp>가중평균가</stp>
        <stp/>
        <stp/>
        <tr r="N224" s="3"/>
        <tr r="N307" s="1"/>
      </tp>
      <tp>
        <v>105468.312395</v>
        <stp/>
        <stp>P</stp>
        <stp>0</stp>
        <stp>STK</stp>
        <stp>N095340</stp>
        <stp>가중평균가</stp>
        <stp/>
        <stp/>
        <tr r="N198" s="1"/>
      </tp>
      <tp>
        <v>67048.609685999996</v>
        <stp/>
        <stp>P</stp>
        <stp>0</stp>
        <stp>STK</stp>
        <stp>N348370</stp>
        <stp>가중평균가</stp>
        <stp/>
        <stp/>
        <tr r="N263" s="1"/>
      </tp>
      <tp>
        <v>32115.192819</v>
        <stp/>
        <stp>P</stp>
        <stp>0</stp>
        <stp>STK</stp>
        <stp>N078340</stp>
        <stp>가중평균가</stp>
        <stp/>
        <stp/>
        <tr r="N540" s="1"/>
      </tp>
      <tp>
        <v>25805.694931000002</v>
        <stp/>
        <stp>P</stp>
        <stp>0</stp>
        <stp>STK</stp>
        <stp>N007340</stp>
        <stp>가중평균가</stp>
        <stp/>
        <stp/>
        <tr r="N251" s="1"/>
        <tr r="N198" s="3"/>
      </tp>
      <tp>
        <v>8059.8672370000004</v>
        <stp/>
        <stp>P</stp>
        <stp>0</stp>
        <stp>STK</stp>
        <stp>N336370</stp>
        <stp>가중평균가</stp>
        <stp/>
        <stp/>
        <tr r="N457" s="1"/>
        <tr r="N286" s="3"/>
      </tp>
      <tp>
        <v>15822.291875999999</v>
        <stp/>
        <stp>P</stp>
        <stp>0</stp>
        <stp>STK</stp>
        <stp>N230360</stp>
        <stp>가중평균가</stp>
        <stp/>
        <stp/>
        <tr r="N482" s="1"/>
      </tp>
      <tp>
        <v>86340.185704000003</v>
        <stp/>
        <stp>P</stp>
        <stp>0</stp>
        <stp>STK</stp>
        <stp>N295310</stp>
        <stp>가중평균가</stp>
        <stp/>
        <stp/>
        <tr r="N305" s="1"/>
      </tp>
      <tp>
        <v>31969.034372999999</v>
        <stp/>
        <stp>P</stp>
        <stp>0</stp>
        <stp>STK</stp>
        <stp>N178320</stp>
        <stp>가중평균가</stp>
        <stp/>
        <stp/>
        <tr r="N228" s="1"/>
      </tp>
      <tp>
        <v>32884.619231999997</v>
        <stp/>
        <stp>P</stp>
        <stp>0</stp>
        <stp>STK</stp>
        <stp>N376300</stp>
        <stp>가중평균가</stp>
        <stp/>
        <stp/>
        <tr r="N364" s="1"/>
      </tp>
      <tp>
        <v>53127.819907999998</v>
        <stp/>
        <stp>P</stp>
        <stp>0</stp>
        <stp>STK</stp>
        <stp>N377300</stp>
        <stp>가중평균가</stp>
        <stp/>
        <stp/>
        <tr r="N92" s="1"/>
        <tr r="N86" s="3"/>
      </tp>
      <tp>
        <v>51044.007103000004</v>
        <stp/>
        <stp>P</stp>
        <stp>0</stp>
        <stp>STK</stp>
        <stp>N108320</stp>
        <stp>가중평균가</stp>
        <stp/>
        <stp/>
        <tr r="N241" s="3"/>
        <tr r="N345" s="1"/>
      </tp>
      <tp>
        <v>452275.89725099999</v>
        <stp/>
        <stp>P</stp>
        <stp>0</stp>
        <stp>STK</stp>
        <stp>N012330</stp>
        <stp>가중평균가</stp>
        <stp/>
        <stp/>
        <tr r="N21" s="3"/>
        <tr r="N19" s="1"/>
      </tp>
      <tp>
        <v>24655.502906000002</v>
        <stp/>
        <stp>P</stp>
        <stp>0</stp>
        <stp>STK</stp>
        <stp>N383310</stp>
        <stp>가중평균가</stp>
        <stp/>
        <stp/>
        <tr r="N476" s="1"/>
      </tp>
      <tp>
        <v>119489.203085</v>
        <stp/>
        <stp>P</stp>
        <stp>0</stp>
        <stp>STK</stp>
        <stp>N093320</stp>
        <stp>가중평균가</stp>
        <stp/>
        <stp/>
        <tr r="N429" s="1"/>
      </tp>
      <tp>
        <v>24057.877512999999</v>
        <stp/>
        <stp>P</stp>
        <stp>0</stp>
        <stp>STK</stp>
        <stp>N175330</stp>
        <stp>가중평균가</stp>
        <stp/>
        <stp/>
        <tr r="N118" s="1"/>
        <tr r="N107" s="3"/>
      </tp>
      <tp>
        <v>108344.976077</v>
        <stp/>
        <stp>P</stp>
        <stp>0</stp>
        <stp>STK</stp>
        <stp>N071320</stp>
        <stp>가중평균가</stp>
        <stp/>
        <stp/>
        <tr r="N271" s="1"/>
        <tr r="N209" s="3"/>
      </tp>
      <tp>
        <v>20870.398524</v>
        <stp/>
        <stp>P</stp>
        <stp>0</stp>
        <stp>STK</stp>
        <stp>N000320</stp>
        <stp>가중평균가</stp>
        <stp/>
        <stp/>
        <tr r="N365" s="3"/>
        <tr r="N654" s="1"/>
      </tp>
      <tp>
        <v>19543.2</v>
        <stp/>
        <stp>P</stp>
        <stp>0</stp>
        <stp>STK</stp>
        <stp>N002320</stp>
        <stp>가중평균가</stp>
        <stp/>
        <stp/>
        <tr r="N357" s="3"/>
        <tr r="N619" s="1"/>
      </tp>
      <tp>
        <v>5717.9367099999999</v>
        <stp/>
        <stp>P</stp>
        <stp>0</stp>
        <stp>STK</stp>
        <stp>N025320</stp>
        <stp>가중평균가</stp>
        <stp/>
        <stp/>
        <tr r="N473" s="1"/>
      </tp>
      <tp>
        <v>74921.483055000004</v>
        <stp/>
        <stp>P</stp>
        <stp>0</stp>
        <stp>STK</stp>
        <stp>N189300</stp>
        <stp>가중평균가</stp>
        <stp/>
        <stp/>
        <tr r="N356" s="1"/>
      </tp>
      <tp>
        <v>120551.87901</v>
        <stp/>
        <stp>P</stp>
        <stp>0</stp>
        <stp>STK</stp>
        <stp>N282330</stp>
        <stp>가중평균가</stp>
        <stp/>
        <stp/>
        <tr r="N171" s="3"/>
        <tr r="N210" s="1"/>
      </tp>
      <tp>
        <v>98120.122057999994</v>
        <stp/>
        <stp>P</stp>
        <stp>0</stp>
        <stp>STK</stp>
        <stp>N183300</stp>
        <stp>가중평균가</stp>
        <stp/>
        <stp/>
        <tr r="N303" s="1"/>
      </tp>
      <tp>
        <v>25697.687516999998</v>
        <stp/>
        <stp>P</stp>
        <stp>0</stp>
        <stp>STK</stp>
        <stp>N067310</stp>
        <stp>가중평균가</stp>
        <stp/>
        <stp/>
        <tr r="N230" s="1"/>
      </tp>
      <tp>
        <v>44333.267243000002</v>
        <stp/>
        <stp>P</stp>
        <stp>0</stp>
        <stp>STK</stp>
        <stp>N372320</stp>
        <stp>가중평균가</stp>
        <stp/>
        <stp/>
        <tr r="N400" s="1"/>
      </tp>
      <tp>
        <v>387008.38926199998</v>
        <stp/>
        <stp>P</stp>
        <stp>0</stp>
        <stp>STK</stp>
        <stp>N007310</stp>
        <stp>가중평균가</stp>
        <stp/>
        <stp/>
        <tr r="N244" s="1"/>
        <tr r="N194" s="3"/>
      </tp>
      <tp>
        <v>19021.666667000001</v>
        <stp/>
        <stp>P</stp>
        <stp>0</stp>
        <stp>STK</stp>
        <stp>N018310</stp>
        <stp>가중평균가</stp>
        <stp/>
        <stp/>
        <tr r="N644" s="1"/>
      </tp>
      <tp>
        <v>13094.851229</v>
        <stp/>
        <stp>P</stp>
        <stp>0</stp>
        <stp>STK</stp>
        <stp>N034310</stp>
        <stp>가중평균가</stp>
        <stp/>
        <stp/>
        <tr r="N304" s="3"/>
        <tr r="N488" s="1"/>
      </tp>
      <tp>
        <v>14975.735294</v>
        <stp/>
        <stp>P</stp>
        <stp>0</stp>
        <stp>STK</stp>
        <stp>N453340</stp>
        <stp>가중평균가</stp>
        <stp/>
        <stp/>
        <tr r="N300" s="3"/>
        <tr r="N480" s="1"/>
      </tp>
      <tp>
        <v>54137.271151000001</v>
        <stp/>
        <stp>P</stp>
        <stp>0</stp>
        <stp>STK</stp>
        <stp>N478340</stp>
        <stp>가중평균가</stp>
        <stp/>
        <stp/>
        <tr r="N422" s="1"/>
      </tp>
      <tp>
        <v>67995.986516000004</v>
        <stp/>
        <stp>P</stp>
        <stp>0</stp>
        <stp>STK</stp>
        <stp>N204320</stp>
        <stp>가중평균가</stp>
        <stp/>
        <stp/>
        <tr r="N125" s="3"/>
        <tr r="N139" s="1"/>
      </tp>
      <tp>
        <v>131726.20481900001</v>
        <stp/>
        <stp>P</stp>
        <stp>0</stp>
        <stp>STK</stp>
        <stp>N005300</stp>
        <stp>가중평균가</stp>
        <stp/>
        <stp/>
        <tr r="N210" s="3"/>
        <tr r="N281" s="1"/>
      </tp>
      <tp>
        <v>449175.52036800003</v>
        <stp/>
        <stp>P</stp>
        <stp>0</stp>
        <stp>STK</stp>
        <stp>N402340</stp>
        <stp>가중평균가</stp>
        <stp/>
        <stp/>
        <tr r="N15" s="1"/>
        <tr r="N15" s="3"/>
      </tp>
      <tp>
        <v>15600</v>
        <stp/>
        <stp>P</stp>
        <stp>0</stp>
        <stp>STK</stp>
        <stp>N003300</stp>
        <stp>가중평균가</stp>
        <stp/>
        <stp/>
        <tr r="N489" s="1"/>
        <tr r="N303" s="3"/>
      </tp>
      <tp>
        <v>18566.885366999999</v>
        <stp/>
        <stp>P</stp>
        <stp>0</stp>
        <stp>STK</stp>
        <stp>N214320</stp>
        <stp>가중평균가</stp>
        <stp/>
        <stp/>
        <tr r="N375" s="1"/>
        <tr r="N256" s="3"/>
      </tp>
      <tp>
        <v>18924.102673000001</v>
        <stp/>
        <stp>P</stp>
        <stp>0</stp>
        <stp>STK</stp>
        <stp>N317330</stp>
        <stp>가중평균가</stp>
        <stp/>
        <stp/>
        <tr r="N574" s="1"/>
      </tp>
      <tp>
        <v>52472.111454999998</v>
        <stp/>
        <stp>P</stp>
        <stp>0</stp>
        <stp>STK</stp>
        <stp>N028300</stp>
        <stp>가중평균가</stp>
        <stp/>
        <stp/>
        <tr r="N93" s="1"/>
      </tp>
      <tp>
        <v>11181.934267000001</v>
        <stp/>
        <stp>P</stp>
        <stp>0</stp>
        <stp>STK</stp>
        <stp>N226320</stp>
        <stp>가중평균가</stp>
        <stp/>
        <stp/>
        <tr r="N373" s="3"/>
        <tr r="N676" s="1"/>
      </tp>
      <tp>
        <v>8255.3196349999998</v>
        <stp/>
        <stp>P</stp>
        <stp>0</stp>
        <stp>STK</stp>
        <stp>N137310</stp>
        <stp>가중평균가</stp>
        <stp/>
        <stp/>
        <tr r="N312" s="1"/>
        <tr r="N227" s="3"/>
      </tp>
      <tp t="e">
        <v>#N/A</v>
        <stp/>
        <stp>P</stp>
        <stp>0</stp>
        <stp>STK</stp>
        <stp>N025980</stp>
        <stp>체결시간</stp>
        <stp/>
        <stp/>
        <tr r="S373" s="1"/>
      </tp>
      <tp t="e">
        <v>#N/A</v>
        <stp/>
        <stp>P</stp>
        <stp>0</stp>
        <stp>STK</stp>
        <stp>N145990</stp>
        <stp>체결시간</stp>
        <stp/>
        <stp/>
        <tr r="S305" s="3"/>
        <tr r="S492" s="1"/>
      </tp>
      <tp t="e">
        <v>#N/A</v>
        <stp/>
        <stp>P</stp>
        <stp>0</stp>
        <stp>STK</stp>
        <stp>N195940</stp>
        <stp>체결시간</stp>
        <stp/>
        <stp/>
        <tr r="S262" s="1"/>
      </tp>
      <tp t="e">
        <v>#N/A</v>
        <stp/>
        <stp>P</stp>
        <stp>0</stp>
        <stp>STK</stp>
        <stp>N005940</stp>
        <stp>체결시간</stp>
        <stp/>
        <stp/>
        <tr r="S85" s="1"/>
        <tr r="S80" s="3"/>
      </tp>
      <tp t="e">
        <v>#N/A</v>
        <stp/>
        <stp>P</stp>
        <stp>0</stp>
        <stp>STK</stp>
        <stp>N455900</stp>
        <stp>체결시간</stp>
        <stp/>
        <stp/>
        <tr r="S415" s="1"/>
      </tp>
      <tp t="e">
        <v>#N/A</v>
        <stp/>
        <stp>P</stp>
        <stp>0</stp>
        <stp>STK</stp>
        <stp>N005930</stp>
        <stp>체결시간</stp>
        <stp/>
        <stp/>
        <tr r="S6" s="3"/>
        <tr r="S6" s="1"/>
      </tp>
      <tp t="e">
        <v>#N/A</v>
        <stp/>
        <stp>P</stp>
        <stp>0</stp>
        <stp>STK</stp>
        <stp>N475960</stp>
        <stp>체결시간</stp>
        <stp/>
        <stp/>
        <tr r="S428" s="1"/>
      </tp>
      <tp t="e">
        <v>#N/A</v>
        <stp/>
        <stp>P</stp>
        <stp>0</stp>
        <stp>STK</stp>
        <stp>N025900</stp>
        <stp>체결시간</stp>
        <stp/>
        <stp/>
        <tr r="S527" s="1"/>
      </tp>
      <tp t="e">
        <v>#N/A</v>
        <stp/>
        <stp>P</stp>
        <stp>0</stp>
        <stp>STK</stp>
        <stp>N035900</stp>
        <stp>체결시간</stp>
        <stp/>
        <stp/>
        <tr r="S185" s="1"/>
      </tp>
      <tp t="e">
        <v>#N/A</v>
        <stp/>
        <stp>P</stp>
        <stp>0</stp>
        <stp>STK</stp>
        <stp>N475830</stp>
        <stp>체결시간</stp>
        <stp/>
        <stp/>
        <tr r="S197" s="1"/>
      </tp>
      <tp t="e">
        <v>#N/A</v>
        <stp/>
        <stp>P</stp>
        <stp>0</stp>
        <stp>STK</stp>
        <stp>N195870</stp>
        <stp>체결시간</stp>
        <stp/>
        <stp/>
        <tr r="S332" s="1"/>
        <tr r="S236" s="3"/>
      </tp>
      <tp t="e">
        <v>#N/A</v>
        <stp/>
        <stp>P</stp>
        <stp>0</stp>
        <stp>STK</stp>
        <stp>N005850</stp>
        <stp>체결시간</stp>
        <stp/>
        <stp/>
        <tr r="S135" s="3"/>
        <tr r="S144" s="1"/>
      </tp>
      <tp t="e">
        <v>#N/A</v>
        <stp/>
        <stp>P</stp>
        <stp>0</stp>
        <stp>STK</stp>
        <stp>N105840</stp>
        <stp>체결시간</stp>
        <stp/>
        <stp/>
        <tr r="S288" s="3"/>
        <tr r="S451" s="1"/>
      </tp>
      <tp t="e">
        <v>#N/A</v>
        <stp/>
        <stp>P</stp>
        <stp>0</stp>
        <stp>STK</stp>
        <stp>N005830</stp>
        <stp>체결시간</stp>
        <stp/>
        <stp/>
        <tr r="S70" s="3"/>
        <tr r="S75" s="1"/>
      </tp>
      <tp t="e">
        <v>#N/A</v>
        <stp/>
        <stp>P</stp>
        <stp>0</stp>
        <stp>STK</stp>
        <stp>N005810</stp>
        <stp>체결시간</stp>
        <stp/>
        <stp/>
        <tr r="S446" s="1"/>
        <tr r="S284" s="3"/>
      </tp>
      <tp t="e">
        <v>#N/A</v>
        <stp/>
        <stp>P</stp>
        <stp>0</stp>
        <stp>STK</stp>
        <stp>N075580</stp>
        <stp>체결시간</stp>
        <stp/>
        <stp/>
        <tr r="S296" s="1"/>
        <tr r="S222" s="3"/>
      </tp>
      <tp t="e">
        <v>#N/A</v>
        <stp/>
        <stp>P</stp>
        <stp>0</stp>
        <stp>STK</stp>
        <stp>N105560</stp>
        <stp>체결시간</stp>
        <stp/>
        <stp/>
        <tr r="S16" s="3"/>
        <tr r="S16" s="1"/>
      </tp>
      <tp t="e">
        <v>#N/A</v>
        <stp/>
        <stp>P</stp>
        <stp>0</stp>
        <stp>STK</stp>
        <stp>N225570</stp>
        <stp>체결시간</stp>
        <stp/>
        <stp/>
        <tr r="S354" s="1"/>
      </tp>
      <tp t="e">
        <v>#N/A</v>
        <stp/>
        <stp>P</stp>
        <stp>0</stp>
        <stp>STK</stp>
        <stp>N055550</stp>
        <stp>체결시간</stp>
        <stp/>
        <stp/>
        <tr r="S22" s="1"/>
        <tr r="S22" s="3"/>
      </tp>
      <tp t="e">
        <v>#N/A</v>
        <stp/>
        <stp>P</stp>
        <stp>0</stp>
        <stp>STK</stp>
        <stp>N025540</stp>
        <stp>체결시간</stp>
        <stp/>
        <stp/>
        <tr r="S248" s="3"/>
        <tr r="S352" s="1"/>
      </tp>
      <tp t="e">
        <v>#N/A</v>
        <stp/>
        <stp>P</stp>
        <stp>0</stp>
        <stp>STK</stp>
        <stp>N375500</stp>
        <stp>체결시간</stp>
        <stp/>
        <stp/>
        <tr r="S235" s="1"/>
        <tr r="S187" s="3"/>
      </tp>
      <tp t="e">
        <v>#N/A</v>
        <stp/>
        <stp>P</stp>
        <stp>0</stp>
        <stp>STK</stp>
        <stp>N475560</stp>
        <stp>체결시간</stp>
        <stp/>
        <stp/>
        <tr r="S334" s="3"/>
        <tr r="S571" s="1"/>
      </tp>
      <tp t="e">
        <v>#N/A</v>
        <stp/>
        <stp>P</stp>
        <stp>0</stp>
        <stp>STK</stp>
        <stp>N095500</stp>
        <stp>체결시간</stp>
        <stp/>
        <stp/>
        <tr r="S596" s="1"/>
      </tp>
      <tp t="e">
        <v>#N/A</v>
        <stp/>
        <stp>P</stp>
        <stp>0</stp>
        <stp>STK</stp>
        <stp>N005500</stp>
        <stp>체결시간</stp>
        <stp/>
        <stp/>
        <tr r="S666" s="1"/>
        <tr r="S371" s="3"/>
      </tp>
      <tp t="e">
        <v>#N/A</v>
        <stp/>
        <stp>P</stp>
        <stp>0</stp>
        <stp>STK</stp>
        <stp>N265520</stp>
        <stp>체결시간</stp>
        <stp/>
        <stp/>
        <tr r="S639" s="1"/>
      </tp>
      <tp t="e">
        <v>#N/A</v>
        <stp/>
        <stp>P</stp>
        <stp>0</stp>
        <stp>STK</stp>
        <stp>N005490</stp>
        <stp>체결시간</stp>
        <stp/>
        <stp/>
        <tr r="S28" s="1"/>
        <tr r="S29" s="3"/>
      </tp>
      <tp t="e">
        <v>#N/A</v>
        <stp/>
        <stp>P</stp>
        <stp>0</stp>
        <stp>STK</stp>
        <stp>N125490</stp>
        <stp>체결시간</stp>
        <stp/>
        <stp/>
        <tr r="S374" s="1"/>
      </tp>
      <tp t="e">
        <v>#N/A</v>
        <stp/>
        <stp>P</stp>
        <stp>0</stp>
        <stp>STK</stp>
        <stp>N425420</stp>
        <stp>체결시간</stp>
        <stp/>
        <stp/>
        <tr r="S532" s="1"/>
      </tp>
      <tp t="e">
        <v>#N/A</v>
        <stp/>
        <stp>P</stp>
        <stp>0</stp>
        <stp>STK</stp>
        <stp>N005440</stp>
        <stp>체결시간</stp>
        <stp/>
        <stp/>
        <tr r="S265" s="1"/>
        <tr r="S204" s="3"/>
      </tp>
      <tp t="e">
        <v>#N/A</v>
        <stp/>
        <stp>P</stp>
        <stp>0</stp>
        <stp>STK</stp>
        <stp>N475400</stp>
        <stp>체결시간</stp>
        <stp/>
        <stp/>
        <tr r="S460" s="1"/>
      </tp>
      <tp t="e">
        <v>#N/A</v>
        <stp/>
        <stp>P</stp>
        <stp>0</stp>
        <stp>STK</stp>
        <stp>N005420</stp>
        <stp>체결시간</stp>
        <stp/>
        <stp/>
        <tr r="S276" s="3"/>
        <tr r="S443" s="1"/>
      </tp>
      <tp t="e">
        <v>#N/A</v>
        <stp/>
        <stp>P</stp>
        <stp>0</stp>
        <stp>STK</stp>
        <stp>N035420</stp>
        <stp>체결시간</stp>
        <stp/>
        <stp/>
        <tr r="S23" s="3"/>
        <tr r="S23" s="1"/>
      </tp>
      <tp t="e">
        <v>#N/A</v>
        <stp/>
        <stp>P</stp>
        <stp>0</stp>
        <stp>STK</stp>
        <stp>N025770</stp>
        <stp>체결시간</stp>
        <stp/>
        <stp/>
        <tr r="S633" s="1"/>
      </tp>
      <tp t="e">
        <v>#N/A</v>
        <stp/>
        <stp>P</stp>
        <stp>0</stp>
        <stp>STK</stp>
        <stp>N015760</stp>
        <stp>체결시간</stp>
        <stp/>
        <stp/>
        <tr r="S20" s="3"/>
        <tr r="S21" s="1"/>
      </tp>
      <tp t="e">
        <v>#N/A</v>
        <stp/>
        <stp>P</stp>
        <stp>0</stp>
        <stp>STK</stp>
        <stp>N035760</stp>
        <stp>체결시간</stp>
        <stp/>
        <stp/>
        <tr r="S260" s="1"/>
      </tp>
      <tp t="e">
        <v>#N/A</v>
        <stp/>
        <stp>P</stp>
        <stp>0</stp>
        <stp>STK</stp>
        <stp>N015750</stp>
        <stp>체결시간</stp>
        <stp/>
        <stp/>
        <tr r="S404" s="1"/>
      </tp>
      <tp t="e">
        <v>#N/A</v>
        <stp/>
        <stp>P</stp>
        <stp>0</stp>
        <stp>STK</stp>
        <stp>N185750</stp>
        <stp>체결시간</stp>
        <stp/>
        <stp/>
        <tr r="S218" s="3"/>
        <tr r="S290" s="1"/>
      </tp>
      <tp t="e">
        <v>#N/A</v>
        <stp/>
        <stp>P</stp>
        <stp>0</stp>
        <stp>STK</stp>
        <stp>N145720</stp>
        <stp>체결시간</stp>
        <stp/>
        <stp/>
        <tr r="S467" s="1"/>
        <tr r="S290" s="3"/>
      </tp>
      <tp t="e">
        <v>#N/A</v>
        <stp/>
        <stp>P</stp>
        <stp>0</stp>
        <stp>STK</stp>
        <stp>N035720</stp>
        <stp>체결시간</stp>
        <stp/>
        <stp/>
        <tr r="S32" s="3"/>
        <tr r="S32" s="1"/>
      </tp>
      <tp t="e">
        <v>#N/A</v>
        <stp/>
        <stp>P</stp>
        <stp>0</stp>
        <stp>STK</stp>
        <stp>N005710</stp>
        <stp>체결시간</stp>
        <stp/>
        <stp/>
        <tr r="S656" s="1"/>
      </tp>
      <tp t="e">
        <v>#N/A</v>
        <stp/>
        <stp>P</stp>
        <stp>0</stp>
        <stp>STK</stp>
        <stp>N445680</stp>
        <stp>체결시간</stp>
        <stp/>
        <stp/>
        <tr r="S204" s="1"/>
      </tp>
      <tp t="e">
        <v>#N/A</v>
        <stp/>
        <stp>P</stp>
        <stp>0</stp>
        <stp>STK</stp>
        <stp>N005690</stp>
        <stp>체결시간</stp>
        <stp/>
        <stp/>
        <tr r="S246" s="3"/>
        <tr r="S358" s="1"/>
      </tp>
      <tp t="e">
        <v>#N/A</v>
        <stp/>
        <stp>P</stp>
        <stp>0</stp>
        <stp>STK</stp>
        <stp>N065680</stp>
        <stp>체결시간</stp>
        <stp/>
        <stp/>
        <tr r="S635" s="1"/>
      </tp>
      <tp t="e">
        <v>#N/A</v>
        <stp/>
        <stp>P</stp>
        <stp>0</stp>
        <stp>STK</stp>
        <stp>N085660</stp>
        <stp>체결시간</stp>
        <stp/>
        <stp/>
        <tr r="S268" s="1"/>
      </tp>
      <tp t="e">
        <v>#N/A</v>
        <stp/>
        <stp>P</stp>
        <stp>0</stp>
        <stp>STK</stp>
        <stp>N095660</stp>
        <stp>체결시간</stp>
        <stp/>
        <stp/>
        <tr r="S445" s="1"/>
      </tp>
      <tp t="e">
        <v>#N/A</v>
        <stp/>
        <stp>P</stp>
        <stp>0</stp>
        <stp>STK</stp>
        <stp>N065660</stp>
        <stp>체결시간</stp>
        <stp/>
        <stp/>
        <tr r="S553" s="1"/>
      </tp>
      <tp t="e">
        <v>#N/A</v>
        <stp/>
        <stp>P</stp>
        <stp>0</stp>
        <stp>STK</stp>
        <stp>N085620</stp>
        <stp>체결시간</stp>
        <stp/>
        <stp/>
        <tr r="S241" s="1"/>
        <tr r="S190" s="3"/>
      </tp>
      <tp t="e">
        <v>#N/A</v>
        <stp/>
        <stp>P</stp>
        <stp>0</stp>
        <stp>STK</stp>
        <stp>N105630</stp>
        <stp>체결시간</stp>
        <stp/>
        <stp/>
        <tr r="S441" s="1"/>
        <tr r="S280" s="3"/>
      </tp>
      <tp t="e">
        <v>#N/A</v>
        <stp/>
        <stp>P</stp>
        <stp>0</stp>
        <stp>STK</stp>
        <stp>N095610</stp>
        <stp>체결시간</stp>
        <stp/>
        <stp/>
        <tr r="S319" s="1"/>
      </tp>
      <tp t="e">
        <v>#N/A</v>
        <stp/>
        <stp>P</stp>
        <stp>0</stp>
        <stp>STK</stp>
        <stp>N005610</stp>
        <stp>체결시간</stp>
        <stp/>
        <stp/>
        <tr r="S313" s="3"/>
        <tr r="S511" s="1"/>
      </tp>
      <tp t="e">
        <v>#N/A</v>
        <stp/>
        <stp>P</stp>
        <stp>0</stp>
        <stp>STK</stp>
        <stp>N035600</stp>
        <stp>체결시간</stp>
        <stp/>
        <stp/>
        <tr r="S652" s="1"/>
      </tp>
      <tp t="e">
        <v>#N/A</v>
        <stp/>
        <stp>P</stp>
        <stp>0</stp>
        <stp>STK</stp>
        <stp>N005180</stp>
        <stp>체결시간</stp>
        <stp/>
        <stp/>
        <tr r="S378" s="1"/>
        <tr r="S257" s="3"/>
      </tp>
      <tp t="e">
        <v>#N/A</v>
        <stp/>
        <stp>P</stp>
        <stp>0</stp>
        <stp>STK</stp>
        <stp>N035150</stp>
        <stp>체결시간</stp>
        <stp/>
        <stp/>
        <tr r="S372" s="3"/>
        <tr r="S663" s="1"/>
      </tp>
      <tp t="e">
        <v>#N/A</v>
        <stp/>
        <stp>P</stp>
        <stp>0</stp>
        <stp>STK</stp>
        <stp>N285130</stp>
        <stp>체결시간</stp>
        <stp/>
        <stp/>
        <tr r="S292" s="1"/>
        <tr r="S215" s="3"/>
      </tp>
      <tp t="e">
        <v>#N/A</v>
        <stp/>
        <stp>P</stp>
        <stp>0</stp>
        <stp>STK</stp>
        <stp>N475150</stp>
        <stp>체결시간</stp>
        <stp/>
        <stp/>
        <tr r="S267" s="3"/>
        <tr r="S399" s="1"/>
      </tp>
      <tp t="e">
        <v>#N/A</v>
        <stp/>
        <stp>P</stp>
        <stp>0</stp>
        <stp>STK</stp>
        <stp>N045100</stp>
        <stp>체결시간</stp>
        <stp/>
        <stp/>
        <tr r="S500" s="1"/>
      </tp>
      <tp t="e">
        <v>#N/A</v>
        <stp/>
        <stp>P</stp>
        <stp>0</stp>
        <stp>STK</stp>
        <stp>N445090</stp>
        <stp>체결시간</stp>
        <stp/>
        <stp/>
        <tr r="S606" s="1"/>
      </tp>
      <tp t="e">
        <v>#N/A</v>
        <stp/>
        <stp>P</stp>
        <stp>0</stp>
        <stp>STK</stp>
        <stp>N005090</stp>
        <stp>체결시간</stp>
        <stp/>
        <stp/>
        <tr r="S623" s="1"/>
        <tr r="S353" s="3"/>
      </tp>
      <tp t="e">
        <v>#N/A</v>
        <stp/>
        <stp>P</stp>
        <stp>0</stp>
        <stp>STK</stp>
        <stp>N005070</stp>
        <stp>체결시간</stp>
        <stp/>
        <stp/>
        <tr r="S252" s="1"/>
        <tr r="S195" s="3"/>
      </tp>
      <tp t="e">
        <v>#N/A</v>
        <stp/>
        <stp>P</stp>
        <stp>0</stp>
        <stp>STK</stp>
        <stp>N145020</stp>
        <stp>체결시간</stp>
        <stp/>
        <stp/>
        <tr r="S158" s="1"/>
      </tp>
      <tp t="e">
        <v>#N/A</v>
        <stp/>
        <stp>P</stp>
        <stp>0</stp>
        <stp>STK</stp>
        <stp>N215000</stp>
        <stp>체결시간</stp>
        <stp/>
        <stp/>
        <tr r="S592" s="1"/>
      </tp>
      <tp t="e">
        <v>#N/A</v>
        <stp/>
        <stp>P</stp>
        <stp>0</stp>
        <stp>STK</stp>
        <stp>N005380</stp>
        <stp>체결시간</stp>
        <stp/>
        <stp/>
        <tr r="S8" s="3"/>
        <tr r="S8" s="1"/>
      </tp>
      <tp t="e">
        <v>#N/A</v>
        <stp/>
        <stp>P</stp>
        <stp>0</stp>
        <stp>STK</stp>
        <stp>N365340</stp>
        <stp>체결시간</stp>
        <stp/>
        <stp/>
        <tr r="S419" s="1"/>
      </tp>
      <tp t="e">
        <v>#N/A</v>
        <stp/>
        <stp>P</stp>
        <stp>0</stp>
        <stp>STK</stp>
        <stp>N015360</stp>
        <stp>체결시간</stp>
        <stp/>
        <stp/>
        <tr r="S549" s="1"/>
        <tr r="S330" s="3"/>
      </tp>
      <tp t="e">
        <v>#N/A</v>
        <stp/>
        <stp>P</stp>
        <stp>0</stp>
        <stp>STK</stp>
        <stp>N065350</stp>
        <stp>체결시간</stp>
        <stp/>
        <stp/>
        <tr r="S239" s="1"/>
      </tp>
      <tp t="e">
        <v>#N/A</v>
        <stp/>
        <stp>P</stp>
        <stp>0</stp>
        <stp>STK</stp>
        <stp>N095340</stp>
        <stp>체결시간</stp>
        <stp/>
        <stp/>
        <tr r="S198" s="1"/>
      </tp>
      <tp t="e">
        <v>#N/A</v>
        <stp/>
        <stp>P</stp>
        <stp>0</stp>
        <stp>STK</stp>
        <stp>N295310</stp>
        <stp>체결시간</stp>
        <stp/>
        <stp/>
        <tr r="S305" s="1"/>
      </tp>
      <tp t="e">
        <v>#N/A</v>
        <stp/>
        <stp>P</stp>
        <stp>0</stp>
        <stp>STK</stp>
        <stp>N025320</stp>
        <stp>체결시간</stp>
        <stp/>
        <stp/>
        <tr r="S473" s="1"/>
      </tp>
      <tp t="e">
        <v>#N/A</v>
        <stp/>
        <stp>P</stp>
        <stp>0</stp>
        <stp>STK</stp>
        <stp>N175330</stp>
        <stp>체결시간</stp>
        <stp/>
        <stp/>
        <tr r="S107" s="3"/>
        <tr r="S118" s="1"/>
      </tp>
      <tp t="e">
        <v>#N/A</v>
        <stp/>
        <stp>P</stp>
        <stp>0</stp>
        <stp>STK</stp>
        <stp>N005300</stp>
        <stp>체결시간</stp>
        <stp/>
        <stp/>
        <tr r="S281" s="1"/>
        <tr r="S210" s="3"/>
      </tp>
      <tp t="e">
        <v>#N/A</v>
        <stp/>
        <stp>P</stp>
        <stp>0</stp>
        <stp>STK</stp>
        <stp>N005290</stp>
        <stp>체결시간</stp>
        <stp/>
        <stp/>
        <tr r="S201" s="1"/>
      </tp>
      <tp t="e">
        <v>#N/A</v>
        <stp/>
        <stp>P</stp>
        <stp>0</stp>
        <stp>STK</stp>
        <stp>N005250</stp>
        <stp>체결시간</stp>
        <stp/>
        <stp/>
        <tr r="S263" s="3"/>
        <tr r="S389" s="1"/>
      </tp>
      <tp t="e">
        <v>#N/A</v>
        <stp/>
        <stp>P</stp>
        <stp>0</stp>
        <stp>STK</stp>
        <stp>N035250</stp>
        <stp>체결시간</stp>
        <stp/>
        <stp/>
        <tr r="S128" s="1"/>
        <tr r="S118" s="3"/>
      </tp>
      <tp t="e">
        <v>#N/A</v>
        <stp/>
        <stp>P</stp>
        <stp>0</stp>
        <stp>STK</stp>
        <stp>N215200</stp>
        <stp>체결시간</stp>
        <stp/>
        <stp/>
        <tr r="S535" s="1"/>
      </tp>
      <tp t="e">
        <v>#N/A</v>
        <stp/>
        <stp>P</stp>
        <stp>0</stp>
        <stp>STK</stp>
        <stp>N004990</stp>
        <stp>체결시간</stp>
        <stp/>
        <stp/>
        <tr r="S131" s="3"/>
        <tr r="S150" s="1"/>
      </tp>
      <tp t="e">
        <v>#N/A</v>
        <stp/>
        <stp>P</stp>
        <stp>0</stp>
        <stp>STK</stp>
        <stp>N004980</stp>
        <stp>체결시간</stp>
        <stp/>
        <stp/>
        <tr r="S380" s="3"/>
        <tr r="S689" s="1"/>
      </tp>
      <tp t="e">
        <v>#N/A</v>
        <stp/>
        <stp>P</stp>
        <stp>0</stp>
        <stp>STK</stp>
        <stp>N064960</stp>
        <stp>체결시간</stp>
        <stp/>
        <stp/>
        <tr r="S226" s="3"/>
        <tr r="S299" s="1"/>
      </tp>
      <tp t="e">
        <v>#N/A</v>
        <stp/>
        <stp>P</stp>
        <stp>0</stp>
        <stp>STK</stp>
        <stp>N034950</stp>
        <stp>체결시간</stp>
        <stp/>
        <stp/>
        <tr r="S508" s="1"/>
      </tp>
      <tp t="e">
        <v>#N/A</v>
        <stp/>
        <stp>P</stp>
        <stp>0</stp>
        <stp>STK</stp>
        <stp>N054950</stp>
        <stp>체결시간</stp>
        <stp/>
        <stp/>
        <tr r="S614" s="1"/>
      </tp>
      <tp t="e">
        <v>#N/A</v>
        <stp/>
        <stp>P</stp>
        <stp>0</stp>
        <stp>STK</stp>
        <stp>N454910</stp>
        <stp>체결시간</stp>
        <stp/>
        <stp/>
        <tr r="S82" s="3"/>
        <tr r="S87" s="1"/>
      </tp>
      <tp t="e">
        <v>#N/A</v>
        <stp/>
        <stp>P</stp>
        <stp>0</stp>
        <stp>STK</stp>
        <stp>N014940</stp>
        <stp>체결시간</stp>
        <stp/>
        <stp/>
        <tr r="S550" s="1"/>
      </tp>
      <tp t="e">
        <v>#N/A</v>
        <stp/>
        <stp>P</stp>
        <stp>0</stp>
        <stp>STK</stp>
        <stp>N314930</stp>
        <stp>체결시간</stp>
        <stp/>
        <stp/>
        <tr r="S573" s="1"/>
      </tp>
      <tp t="e">
        <v>#N/A</v>
        <stp/>
        <stp>P</stp>
        <stp>0</stp>
        <stp>STK</stp>
        <stp>N084850</stp>
        <stp>체결시간</stp>
        <stp/>
        <stp/>
        <tr r="S695" s="1"/>
      </tp>
      <tp t="e">
        <v>#N/A</v>
        <stp/>
        <stp>P</stp>
        <stp>0</stp>
        <stp>STK</stp>
        <stp>N484810</stp>
        <stp>체결시간</stp>
        <stp/>
        <stp/>
        <tr r="S559" s="1"/>
      </tp>
      <tp t="e">
        <v>#N/A</v>
        <stp/>
        <stp>P</stp>
        <stp>0</stp>
        <stp>STK</stp>
        <stp>N294870</stp>
        <stp>체결시간</stp>
        <stp/>
        <stp/>
        <tr r="S264" s="1"/>
        <tr r="S202" s="3"/>
      </tp>
      <tp t="e">
        <v>#N/A</v>
        <stp/>
        <stp>P</stp>
        <stp>0</stp>
        <stp>STK</stp>
        <stp>N114840</stp>
        <stp>체결시간</stp>
        <stp/>
        <stp/>
        <tr r="S661" s="1"/>
      </tp>
      <tp t="e">
        <v>#N/A</v>
        <stp/>
        <stp>P</stp>
        <stp>0</stp>
        <stp>STK</stp>
        <stp>N484870</stp>
        <stp>체결시간</stp>
        <stp/>
        <stp/>
        <tr r="S256" s="1"/>
        <tr r="S203" s="3"/>
      </tp>
      <tp t="e">
        <v>#N/A</v>
        <stp/>
        <stp>P</stp>
        <stp>0</stp>
        <stp>STK</stp>
        <stp>N394800</stp>
        <stp>체결시간</stp>
        <stp/>
        <stp/>
        <tr r="S495" s="1"/>
      </tp>
      <tp t="e">
        <v>#N/A</v>
        <stp/>
        <stp>P</stp>
        <stp>0</stp>
        <stp>STK</stp>
        <stp>N014830</stp>
        <stp>체결시간</stp>
        <stp/>
        <stp/>
        <tr r="S484" s="1"/>
        <tr r="S299" s="3"/>
      </tp>
      <tp t="e">
        <v>#N/A</v>
        <stp/>
        <stp>P</stp>
        <stp>0</stp>
        <stp>STK</stp>
        <stp>N424870</stp>
        <stp>체결시간</stp>
        <stp/>
        <stp/>
        <tr r="S353" s="1"/>
      </tp>
      <tp t="e">
        <v>#N/A</v>
        <stp/>
        <stp>P</stp>
        <stp>0</stp>
        <stp>STK</stp>
        <stp>N104830</stp>
        <stp>체결시간</stp>
        <stp/>
        <stp/>
        <tr r="S504" s="1"/>
      </tp>
      <tp t="e">
        <v>#N/A</v>
        <stp/>
        <stp>P</stp>
        <stp>0</stp>
        <stp>STK</stp>
        <stp>N014820</stp>
        <stp>체결시간</stp>
        <stp/>
        <stp/>
        <tr r="S252" s="3"/>
        <tr r="S381" s="1"/>
      </tp>
      <tp t="e">
        <v>#N/A</v>
        <stp/>
        <stp>P</stp>
        <stp>0</stp>
        <stp>STK</stp>
        <stp>N064820</stp>
        <stp>체결시간</stp>
        <stp/>
        <stp/>
        <tr r="S548" s="1"/>
      </tp>
      <tp t="e">
        <v>#N/A</v>
        <stp/>
        <stp>P</stp>
        <stp>0</stp>
        <stp>STK</stp>
        <stp>N344820</stp>
        <stp>체결시간</stp>
        <stp/>
        <stp/>
        <tr r="S516" s="1"/>
        <tr r="S316" s="3"/>
      </tp>
      <tp t="e">
        <v>#N/A</v>
        <stp/>
        <stp>P</stp>
        <stp>0</stp>
        <stp>STK</stp>
        <stp>N004800</stp>
        <stp>체결시간</stp>
        <stp/>
        <stp/>
        <tr r="S174" s="1"/>
        <tr r="S148" s="3"/>
      </tp>
      <tp t="e">
        <v>#N/A</v>
        <stp/>
        <stp>P</stp>
        <stp>0</stp>
        <stp>STK</stp>
        <stp>N114810</stp>
        <stp>체결시간</stp>
        <stp/>
        <stp/>
        <tr r="S603" s="1"/>
      </tp>
      <tp t="e">
        <v>#N/A</v>
        <stp/>
        <stp>P</stp>
        <stp>0</stp>
        <stp>STK</stp>
        <stp>N484590</stp>
        <stp>체결시간</stp>
        <stp/>
        <stp/>
        <tr r="S450" s="1"/>
      </tp>
      <tp t="e">
        <v>#N/A</v>
        <stp/>
        <stp>P</stp>
        <stp>0</stp>
        <stp>STK</stp>
        <stp>N294570</stp>
        <stp>체결시간</stp>
        <stp/>
        <stp/>
        <tr r="S647" s="1"/>
      </tp>
      <tp t="e">
        <v>#N/A</v>
        <stp/>
        <stp>P</stp>
        <stp>0</stp>
        <stp>STK</stp>
        <stp>N064550</stp>
        <stp>체결시간</stp>
        <stp/>
        <stp/>
        <tr r="S613" s="1"/>
      </tp>
      <tp t="e">
        <v>#N/A</v>
        <stp/>
        <stp>P</stp>
        <stp>0</stp>
        <stp>STK</stp>
        <stp>N144510</stp>
        <stp>체결시간</stp>
        <stp/>
        <stp/>
        <tr r="S575" s="1"/>
      </tp>
      <tp t="e">
        <v>#N/A</v>
        <stp/>
        <stp>P</stp>
        <stp>0</stp>
        <stp>STK</stp>
        <stp>N194480</stp>
        <stp>체결시간</stp>
        <stp/>
        <stp/>
        <tr r="S534" s="1"/>
      </tp>
      <tp t="e">
        <v>#N/A</v>
        <stp/>
        <stp>P</stp>
        <stp>0</stp>
        <stp>STK</stp>
        <stp>N004490</stp>
        <stp>체결시간</stp>
        <stp/>
        <stp/>
        <tr r="S235" s="3"/>
        <tr r="S330" s="1"/>
      </tp>
      <tp t="e">
        <v>#N/A</v>
        <stp/>
        <stp>P</stp>
        <stp>0</stp>
        <stp>STK</stp>
        <stp>N044490</stp>
        <stp>체결시간</stp>
        <stp/>
        <stp/>
        <tr r="S391" s="1"/>
      </tp>
      <tp t="e">
        <v>#N/A</v>
        <stp/>
        <stp>P</stp>
        <stp>0</stp>
        <stp>STK</stp>
        <stp>N094480</stp>
        <stp>체결시간</stp>
        <stp/>
        <stp/>
        <tr r="S564" s="1"/>
      </tp>
      <tp t="e">
        <v>#N/A</v>
        <stp/>
        <stp>P</stp>
        <stp>0</stp>
        <stp>STK</stp>
        <stp>N214450</stp>
        <stp>체결시간</stp>
        <stp/>
        <stp/>
        <tr r="S117" s="1"/>
      </tp>
      <tp t="e">
        <v>#N/A</v>
        <stp/>
        <stp>P</stp>
        <stp>0</stp>
        <stp>STK</stp>
        <stp>N214430</stp>
        <stp>체결시간</stp>
        <stp/>
        <stp/>
        <tr r="S414" s="1"/>
      </tp>
      <tp t="e">
        <v>#N/A</v>
        <stp/>
        <stp>P</stp>
        <stp>0</stp>
        <stp>STK</stp>
        <stp>N064400</stp>
        <stp>체결시간</stp>
        <stp/>
        <stp/>
        <tr r="S89" s="3"/>
        <tr r="S91" s="1"/>
      </tp>
      <tp t="e">
        <v>#N/A</v>
        <stp/>
        <stp>P</stp>
        <stp>0</stp>
        <stp>STK</stp>
        <stp>N284740</stp>
        <stp>체결시간</stp>
        <stp/>
        <stp/>
        <tr r="S470" s="1"/>
        <tr r="S292" s="3"/>
      </tp>
      <tp t="e">
        <v>#N/A</v>
        <stp/>
        <stp>P</stp>
        <stp>0</stp>
        <stp>STK</stp>
        <stp>N064760</stp>
        <stp>체결시간</stp>
        <stp/>
        <stp/>
        <tr r="S215" s="1"/>
      </tp>
      <tp t="e">
        <v>#N/A</v>
        <stp/>
        <stp>P</stp>
        <stp>0</stp>
        <stp>STK</stp>
        <stp>N034730</stp>
        <stp>체결시간</stp>
        <stp/>
        <stp/>
        <tr r="S37" s="3"/>
        <tr r="S38" s="1"/>
      </tp>
      <tp t="e">
        <v>#N/A</v>
        <stp/>
        <stp>P</stp>
        <stp>0</stp>
        <stp>STK</stp>
        <stp>N024720</stp>
        <stp>체결시간</stp>
        <stp/>
        <stp/>
        <tr r="S348" s="3"/>
        <tr r="S602" s="1"/>
      </tp>
      <tp t="e">
        <v>#N/A</v>
        <stp/>
        <stp>P</stp>
        <stp>0</stp>
        <stp>STK</stp>
        <stp>N194700</stp>
        <stp>체결시간</stp>
        <stp/>
        <stp/>
        <tr r="S668" s="1"/>
      </tp>
      <tp t="e">
        <v>#N/A</v>
        <stp/>
        <stp>P</stp>
        <stp>0</stp>
        <stp>STK</stp>
        <stp>N104700</stp>
        <stp>체결시간</stp>
        <stp/>
        <stp/>
        <tr r="S565" s="1"/>
        <tr r="S332" s="3"/>
      </tp>
      <tp t="e">
        <v>#N/A</v>
        <stp/>
        <stp>P</stp>
        <stp>0</stp>
        <stp>STK</stp>
        <stp>N004700</stp>
        <stp>체결시간</stp>
        <stp/>
        <stp/>
        <tr r="S306" s="3"/>
        <tr r="S497" s="1"/>
      </tp>
      <tp t="e">
        <v>#N/A</v>
        <stp/>
        <stp>P</stp>
        <stp>0</stp>
        <stp>STK</stp>
        <stp>N084690</stp>
        <stp>체결시간</stp>
        <stp/>
        <stp/>
        <tr r="S587" s="1"/>
        <tr r="S342" s="3"/>
      </tp>
      <tp t="e">
        <v>#N/A</v>
        <stp/>
        <stp>P</stp>
        <stp>0</stp>
        <stp>STK</stp>
        <stp>N004690</stp>
        <stp>체결시간</stp>
        <stp/>
        <stp/>
        <tr r="S465" s="1"/>
        <tr r="S291" s="3"/>
      </tp>
      <tp t="e">
        <v>#N/A</v>
        <stp/>
        <stp>P</stp>
        <stp>0</stp>
        <stp>STK</stp>
        <stp>N014680</stp>
        <stp>체결시간</stp>
        <stp/>
        <stp/>
        <tr r="S152" s="1"/>
        <tr r="S129" s="3"/>
      </tp>
      <tp t="e">
        <v>#N/A</v>
        <stp/>
        <stp>P</stp>
        <stp>0</stp>
        <stp>STK</stp>
        <stp>N014620</stp>
        <stp>체결시간</stp>
        <stp/>
        <stp/>
        <tr r="S361" s="1"/>
      </tp>
      <tp t="e">
        <v>#N/A</v>
        <stp/>
        <stp>P</stp>
        <stp>0</stp>
        <stp>STK</stp>
        <stp>N074600</stp>
        <stp>체결시간</stp>
        <stp/>
        <stp/>
        <tr r="S405" s="1"/>
      </tp>
      <tp t="e">
        <v>#N/A</v>
        <stp/>
        <stp>P</stp>
        <stp>0</stp>
        <stp>STK</stp>
        <stp>N114190</stp>
        <stp>체결시간</stp>
        <stp/>
        <stp/>
        <tr r="S563" s="1"/>
      </tp>
      <tp t="e">
        <v>#N/A</v>
        <stp/>
        <stp>P</stp>
        <stp>0</stp>
        <stp>STK</stp>
        <stp>N094170</stp>
        <stp>체결시간</stp>
        <stp/>
        <stp/>
        <tr r="S436" s="1"/>
      </tp>
      <tp t="e">
        <v>#N/A</v>
        <stp/>
        <stp>P</stp>
        <stp>0</stp>
        <stp>STK</stp>
        <stp>N004170</stp>
        <stp>체결시간</stp>
        <stp/>
        <stp/>
        <tr r="S160" s="1"/>
        <tr r="S136" s="3"/>
      </tp>
      <tp t="e">
        <v>#N/A</v>
        <stp/>
        <stp>P</stp>
        <stp>0</stp>
        <stp>STK</stp>
        <stp>N214150</stp>
        <stp>체결시간</stp>
        <stp/>
        <stp/>
        <tr r="S129" s="1"/>
      </tp>
      <tp t="e">
        <v>#N/A</v>
        <stp/>
        <stp>P</stp>
        <stp>0</stp>
        <stp>STK</stp>
        <stp>N484120</stp>
        <stp>체결시간</stp>
        <stp/>
        <stp/>
        <tr r="S671" s="1"/>
      </tp>
      <tp t="e">
        <v>#N/A</v>
        <stp/>
        <stp>P</stp>
        <stp>0</stp>
        <stp>STK</stp>
        <stp>N494120</stp>
        <stp>체결시간</stp>
        <stp/>
        <stp/>
        <tr r="S526" s="1"/>
      </tp>
      <tp t="e">
        <v>#N/A</v>
        <stp/>
        <stp>P</stp>
        <stp>0</stp>
        <stp>STK</stp>
        <stp>N304100</stp>
        <stp>체결시간</stp>
        <stp/>
        <stp/>
        <tr r="S591" s="1"/>
      </tp>
      <tp t="e">
        <v>#N/A</v>
        <stp/>
        <stp>P</stp>
        <stp>0</stp>
        <stp>STK</stp>
        <stp>N034120</stp>
        <stp>체결시간</stp>
        <stp/>
        <stp/>
        <tr r="S581" s="1"/>
        <tr r="S336" s="3"/>
      </tp>
      <tp t="e">
        <v>#N/A</v>
        <stp/>
        <stp>P</stp>
        <stp>0</stp>
        <stp>STK</stp>
        <stp>N084110</stp>
        <stp>체결시간</stp>
        <stp/>
        <stp/>
        <tr r="S423" s="1"/>
      </tp>
      <tp t="e">
        <v>#N/A</v>
        <stp/>
        <stp>P</stp>
        <stp>0</stp>
        <stp>STK</stp>
        <stp>N024110</stp>
        <stp>체결시간</stp>
        <stp/>
        <stp/>
        <tr r="S52" s="1"/>
        <tr r="S50" s="3"/>
      </tp>
      <tp t="e">
        <v>#N/A</v>
        <stp/>
        <stp>P</stp>
        <stp>0</stp>
        <stp>STK</stp>
        <stp>N114090</stp>
        <stp>체결시간</stp>
        <stp/>
        <stp/>
        <tr r="S351" s="1"/>
        <tr r="S244" s="3"/>
      </tp>
      <tp t="e">
        <v>#N/A</v>
        <stp/>
        <stp>P</stp>
        <stp>0</stp>
        <stp>STK</stp>
        <stp>N004020</stp>
        <stp>체결시간</stp>
        <stp/>
        <stp/>
        <tr r="S122" s="1"/>
        <tr r="S105" s="3"/>
      </tp>
      <tp t="e">
        <v>#N/A</v>
        <stp/>
        <stp>P</stp>
        <stp>0</stp>
        <stp>STK</stp>
        <stp>N034020</stp>
        <stp>체결시간</stp>
        <stp/>
        <stp/>
        <tr r="S14" s="1"/>
        <tr r="S14" s="3"/>
      </tp>
      <tp t="e">
        <v>#N/A</v>
        <stp/>
        <stp>P</stp>
        <stp>0</stp>
        <stp>STK</stp>
        <stp>N084010</stp>
        <stp>체결시간</stp>
        <stp/>
        <stp/>
        <tr r="S684" s="1"/>
        <tr r="S378" s="3"/>
      </tp>
      <tp t="e">
        <v>#N/A</v>
        <stp/>
        <stp>P</stp>
        <stp>0</stp>
        <stp>STK</stp>
        <stp>N004000</stp>
        <stp>체결시간</stp>
        <stp/>
        <stp/>
        <tr r="S216" s="3"/>
        <tr r="S287" s="1"/>
      </tp>
      <tp t="e">
        <v>#N/A</v>
        <stp/>
        <stp>P</stp>
        <stp>0</stp>
        <stp>STK</stp>
        <stp>N084370</stp>
        <stp>체결시간</stp>
        <stp/>
        <stp/>
        <tr r="S219" s="1"/>
      </tp>
      <tp t="e">
        <v>#N/A</v>
        <stp/>
        <stp>P</stp>
        <stp>0</stp>
        <stp>STK</stp>
        <stp>N004370</stp>
        <stp>체결시간</stp>
        <stp/>
        <stp/>
        <tr r="S179" s="1"/>
        <tr r="S149" s="3"/>
      </tp>
      <tp t="e">
        <v>#N/A</v>
        <stp/>
        <stp>P</stp>
        <stp>0</stp>
        <stp>STK</stp>
        <stp>N094360</stp>
        <stp>체결시간</stp>
        <stp/>
        <stp/>
        <tr r="S556" s="1"/>
      </tp>
      <tp t="e">
        <v>#N/A</v>
        <stp/>
        <stp>P</stp>
        <stp>0</stp>
        <stp>STK</stp>
        <stp>N194370</stp>
        <stp>체결시간</stp>
        <stp/>
        <stp/>
        <tr r="S599" s="1"/>
        <tr r="S347" s="3"/>
      </tp>
      <tp t="e">
        <v>#N/A</v>
        <stp/>
        <stp>P</stp>
        <stp>0</stp>
        <stp>STK</stp>
        <stp>N004360</stp>
        <stp>체결시간</stp>
        <stp/>
        <stp/>
        <tr r="S659" s="1"/>
        <tr r="S367" s="3"/>
      </tp>
      <tp t="e">
        <v>#N/A</v>
        <stp/>
        <stp>P</stp>
        <stp>0</stp>
        <stp>STK</stp>
        <stp>N304360</stp>
        <stp>체결시간</stp>
        <stp/>
        <stp/>
        <tr r="S557" s="1"/>
      </tp>
      <tp t="e">
        <v>#N/A</v>
        <stp/>
        <stp>P</stp>
        <stp>0</stp>
        <stp>STK</stp>
        <stp>N214370</stp>
        <stp>체결시간</stp>
        <stp/>
        <stp/>
        <tr r="S126" s="1"/>
      </tp>
      <tp t="e">
        <v>#N/A</v>
        <stp/>
        <stp>P</stp>
        <stp>0</stp>
        <stp>STK</stp>
        <stp>N064350</stp>
        <stp>체결시간</stp>
        <stp/>
        <stp/>
        <tr r="S34" s="1"/>
        <tr r="S34" s="3"/>
      </tp>
      <tp t="e">
        <v>#N/A</v>
        <stp/>
        <stp>P</stp>
        <stp>0</stp>
        <stp>STK</stp>
        <stp>N034310</stp>
        <stp>체결시간</stp>
        <stp/>
        <stp/>
        <tr r="S488" s="1"/>
        <tr r="S304" s="3"/>
      </tp>
      <tp t="e">
        <v>#N/A</v>
        <stp/>
        <stp>P</stp>
        <stp>0</stp>
        <stp>STK</stp>
        <stp>N204320</stp>
        <stp>체결시간</stp>
        <stp/>
        <stp/>
        <tr r="S125" s="3"/>
        <tr r="S139" s="1"/>
      </tp>
      <tp t="e">
        <v>#N/A</v>
        <stp/>
        <stp>P</stp>
        <stp>0</stp>
        <stp>STK</stp>
        <stp>N214320</stp>
        <stp>체결시간</stp>
        <stp/>
        <stp/>
        <tr r="S256" s="3"/>
        <tr r="S375" s="1"/>
      </tp>
      <tp t="e">
        <v>#N/A</v>
        <stp/>
        <stp>P</stp>
        <stp>0</stp>
        <stp>STK</stp>
        <stp>N394280</stp>
        <stp>체결시간</stp>
        <stp/>
        <stp/>
        <tr r="S624" s="1"/>
      </tp>
      <tp t="e">
        <v>#N/A</v>
        <stp/>
        <stp>P</stp>
        <stp>0</stp>
        <stp>STK</stp>
        <stp>N204270</stp>
        <stp>체결시간</stp>
        <stp/>
        <stp/>
        <tr r="S294" s="1"/>
      </tp>
      <tp t="e">
        <v>#N/A</v>
        <stp/>
        <stp>P</stp>
        <stp>0</stp>
        <stp>STK</stp>
        <stp>N034230</stp>
        <stp>체결시간</stp>
        <stp/>
        <stp/>
        <tr r="S189" s="3"/>
        <tr r="S242" s="1"/>
      </tp>
      <tp t="e">
        <v>#N/A</v>
        <stp/>
        <stp>P</stp>
        <stp>0</stp>
        <stp>STK</stp>
        <stp>N034220</stp>
        <stp>체결시간</stp>
        <stp/>
        <stp/>
        <tr r="S99" s="1"/>
        <tr r="S91" s="3"/>
      </tp>
      <tp t="e">
        <v>#N/A</v>
        <stp/>
        <stp>P</stp>
        <stp>0</stp>
        <stp>STK</stp>
        <stp>N267980</stp>
        <stp>체결시간</stp>
        <stp/>
        <stp/>
        <tr r="S655" s="1"/>
      </tp>
      <tp t="e">
        <v>#N/A</v>
        <stp/>
        <stp>P</stp>
        <stp>0</stp>
        <stp>STK</stp>
        <stp>N077970</stp>
        <stp>체결시간</stp>
        <stp/>
        <stp/>
        <tr r="S246" s="1"/>
        <tr r="S197" s="3"/>
      </tp>
      <tp t="e">
        <v>#N/A</v>
        <stp/>
        <stp>P</stp>
        <stp>0</stp>
        <stp>STK</stp>
        <stp>N207940</stp>
        <stp>체결시간</stp>
        <stp/>
        <stp/>
        <tr r="S10" s="3"/>
        <tr r="S10" s="1"/>
      </tp>
      <tp t="e">
        <v>#N/A</v>
        <stp/>
        <stp>P</stp>
        <stp>0</stp>
        <stp>STK</stp>
        <stp>N307950</stp>
        <stp>체결시간</stp>
        <stp/>
        <stp/>
        <tr r="S60" s="3"/>
        <tr r="S58" s="1"/>
      </tp>
      <tp t="e">
        <v>#N/A</v>
        <stp/>
        <stp>P</stp>
        <stp>0</stp>
        <stp>STK</stp>
        <stp>N017960</stp>
        <stp>체결시간</stp>
        <stp/>
        <stp/>
        <tr r="S218" s="1"/>
        <tr r="S178" s="3"/>
      </tp>
      <tp t="e">
        <v>#N/A</v>
        <stp/>
        <stp>P</stp>
        <stp>0</stp>
        <stp>STK</stp>
        <stp>N097950</stp>
        <stp>체결시간</stp>
        <stp/>
        <stp/>
        <tr r="S128" s="3"/>
        <tr r="S147" s="1"/>
      </tp>
      <tp t="e">
        <v>#N/A</v>
        <stp/>
        <stp>P</stp>
        <stp>0</stp>
        <stp>STK</stp>
        <stp>N017940</stp>
        <stp>체결시간</stp>
        <stp/>
        <stp/>
        <tr r="S282" s="3"/>
        <tr r="S444" s="1"/>
      </tp>
      <tp t="e">
        <v>#N/A</v>
        <stp/>
        <stp>P</stp>
        <stp>0</stp>
        <stp>STK</stp>
        <stp>N047920</stp>
        <stp>체결시간</stp>
        <stp/>
        <stp/>
        <tr r="S448" s="1"/>
      </tp>
      <tp t="e">
        <v>#N/A</v>
        <stp/>
        <stp>P</stp>
        <stp>0</stp>
        <stp>STK</stp>
        <stp>N237880</stp>
        <stp>체결시간</stp>
        <stp/>
        <stp/>
        <tr r="S690" s="1"/>
      </tp>
      <tp t="e">
        <v>#N/A</v>
        <stp/>
        <stp>P</stp>
        <stp>0</stp>
        <stp>STK</stp>
        <stp>N287840</stp>
        <stp>체결시간</stp>
        <stp/>
        <stp/>
        <tr r="S380" s="1"/>
      </tp>
      <tp t="e">
        <v>#N/A</v>
        <stp/>
        <stp>P</stp>
        <stp>0</stp>
        <stp>STK</stp>
        <stp>N017860</stp>
        <stp>체결시간</stp>
        <stp/>
        <stp/>
        <tr r="S594" s="1"/>
        <tr r="S338" s="3"/>
      </tp>
      <tp t="e">
        <v>#N/A</v>
        <stp/>
        <stp>P</stp>
        <stp>0</stp>
        <stp>STK</stp>
        <stp>N347850</stp>
        <stp>체결시간</stp>
        <stp/>
        <stp/>
        <tr r="S138" s="1"/>
      </tp>
      <tp t="e">
        <v>#N/A</v>
        <stp/>
        <stp>P</stp>
        <stp>0</stp>
        <stp>STK</stp>
        <stp>N277810</stp>
        <stp>체결시간</stp>
        <stp/>
        <stp/>
        <tr r="S71" s="1"/>
      </tp>
      <tp t="e">
        <v>#N/A</v>
        <stp/>
        <stp>P</stp>
        <stp>0</stp>
        <stp>STK</stp>
        <stp>N007810</stp>
        <stp>체결시간</stp>
        <stp/>
        <stp/>
        <tr r="S250" s="1"/>
        <tr r="S199" s="3"/>
      </tp>
      <tp t="e">
        <v>#N/A</v>
        <stp/>
        <stp>P</stp>
        <stp>0</stp>
        <stp>STK</stp>
        <stp>N017810</stp>
        <stp>체결시간</stp>
        <stp/>
        <stp/>
        <tr r="S479" s="1"/>
        <tr r="S301" s="3"/>
      </tp>
      <tp t="e">
        <v>#N/A</v>
        <stp/>
        <stp>P</stp>
        <stp>0</stp>
        <stp>STK</stp>
        <stp>N047810</stp>
        <stp>체결시간</stp>
        <stp/>
        <stp/>
        <tr r="S52" s="3"/>
        <tr r="S53" s="1"/>
      </tp>
      <tp t="e">
        <v>#N/A</v>
        <stp/>
        <stp>P</stp>
        <stp>0</stp>
        <stp>STK</stp>
        <stp>N017800</stp>
        <stp>체결시간</stp>
        <stp/>
        <stp/>
        <tr r="S137" s="1"/>
        <tr r="S121" s="3"/>
      </tp>
      <tp t="e">
        <v>#N/A</v>
        <stp/>
        <stp>P</stp>
        <stp>0</stp>
        <stp>STK</stp>
        <stp>N217590</stp>
        <stp>체결시간</stp>
        <stp/>
        <stp/>
        <tr r="S542" s="1"/>
        <tr r="S326" s="3"/>
      </tp>
      <tp t="e">
        <v>#N/A</v>
        <stp/>
        <stp>P</stp>
        <stp>0</stp>
        <stp>STK</stp>
        <stp>N247540</stp>
        <stp>체결시간</stp>
        <stp/>
        <stp/>
        <tr r="S54" s="1"/>
      </tp>
      <tp t="e">
        <v>#N/A</v>
        <stp/>
        <stp>P</stp>
        <stp>0</stp>
        <stp>STK</stp>
        <stp>N357550</stp>
        <stp>체결시간</stp>
        <stp/>
        <stp/>
        <tr r="S609" s="1"/>
      </tp>
      <tp t="e">
        <v>#N/A</v>
        <stp/>
        <stp>P</stp>
        <stp>0</stp>
        <stp>STK</stp>
        <stp>N097520</stp>
        <stp>체결시간</stp>
        <stp/>
        <stp/>
        <tr r="S287" s="3"/>
        <tr r="S447" s="1"/>
      </tp>
      <tp t="e">
        <v>#N/A</v>
        <stp/>
        <stp>P</stp>
        <stp>0</stp>
        <stp>STK</stp>
        <stp>N317450</stp>
        <stp>체결시간</stp>
        <stp/>
        <stp/>
        <tr r="S339" s="1"/>
        <tr r="S238" s="3"/>
      </tp>
      <tp t="e">
        <v>#N/A</v>
        <stp/>
        <stp>P</stp>
        <stp>0</stp>
        <stp>STK</stp>
        <stp>N137400</stp>
        <stp>체결시간</stp>
        <stp/>
        <stp/>
        <tr r="S322" s="1"/>
      </tp>
      <tp t="e">
        <v>#N/A</v>
        <stp/>
        <stp>P</stp>
        <stp>0</stp>
        <stp>STK</stp>
        <stp>N357780</stp>
        <stp>체결시간</stp>
        <stp/>
        <stp/>
        <tr r="S167" s="1"/>
      </tp>
      <tp t="e">
        <v>#N/A</v>
        <stp/>
        <stp>P</stp>
        <stp>0</stp>
        <stp>STK</stp>
        <stp>N437730</stp>
        <stp>체결시간</stp>
        <stp/>
        <stp/>
        <tr r="S192" s="1"/>
      </tp>
      <tp t="e">
        <v>#N/A</v>
        <stp/>
        <stp>P</stp>
        <stp>0</stp>
        <stp>STK</stp>
        <stp>N117730</stp>
        <stp>체결시간</stp>
        <stp/>
        <stp/>
        <tr r="S411" s="1"/>
      </tp>
      <tp t="e">
        <v>#N/A</v>
        <stp/>
        <stp>P</stp>
        <stp>0</stp>
        <stp>STK</stp>
        <stp>N037710</stp>
        <stp>체결시간</stp>
        <stp/>
        <stp/>
        <tr r="S673" s="1"/>
        <tr r="S374" s="3"/>
      </tp>
      <tp t="e">
        <v>#N/A</v>
        <stp/>
        <stp>P</stp>
        <stp>0</stp>
        <stp>STK</stp>
        <stp>N007700</stp>
        <stp>체결시간</stp>
        <stp/>
        <stp/>
        <tr r="S249" s="3"/>
        <tr r="S362" s="1"/>
      </tp>
      <tp t="e">
        <v>#N/A</v>
        <stp/>
        <stp>P</stp>
        <stp>0</stp>
        <stp>STK</stp>
        <stp>N257720</stp>
        <stp>체결시간</stp>
        <stp/>
        <stp/>
        <tr r="S156" s="1"/>
      </tp>
      <tp t="e">
        <v>#N/A</v>
        <stp/>
        <stp>P</stp>
        <stp>0</stp>
        <stp>STK</stp>
        <stp>N237690</stp>
        <stp>체결시간</stp>
        <stp/>
        <stp/>
        <tr r="S182" s="1"/>
      </tp>
      <tp t="e">
        <v>#N/A</v>
        <stp/>
        <stp>P</stp>
        <stp>0</stp>
        <stp>STK</stp>
        <stp>N007690</stp>
        <stp>체결시간</stp>
        <stp/>
        <stp/>
        <tr r="S586" s="1"/>
        <tr r="S339" s="3"/>
      </tp>
      <tp t="e">
        <v>#N/A</v>
        <stp/>
        <stp>P</stp>
        <stp>0</stp>
        <stp>STK</stp>
        <stp>N017670</stp>
        <stp>체결시간</stp>
        <stp/>
        <stp/>
        <tr r="S63" s="1"/>
        <tr r="S61" s="3"/>
      </tp>
      <tp t="e">
        <v>#N/A</v>
        <stp/>
        <stp>P</stp>
        <stp>0</stp>
        <stp>STK</stp>
        <stp>N007660</stp>
        <stp>체결시간</stp>
        <stp/>
        <stp/>
        <tr r="S81" s="3"/>
        <tr r="S86" s="1"/>
      </tp>
      <tp t="e">
        <v>#N/A</v>
        <stp/>
        <stp>P</stp>
        <stp>0</stp>
        <stp>STK</stp>
        <stp>N107640</stp>
        <stp>체결시간</stp>
        <stp/>
        <stp/>
        <tr r="S524" s="1"/>
      </tp>
      <tp t="e">
        <v>#N/A</v>
        <stp/>
        <stp>P</stp>
        <stp>0</stp>
        <stp>STK</stp>
        <stp>N457190</stp>
        <stp>체결시간</stp>
        <stp/>
        <stp/>
        <tr r="S159" s="1"/>
        <tr r="S127" s="3"/>
      </tp>
      <tp t="e">
        <v>#N/A</v>
        <stp/>
        <stp>P</stp>
        <stp>0</stp>
        <stp>STK</stp>
        <stp>N007160</stp>
        <stp>체결시간</stp>
        <stp/>
        <stp/>
        <tr r="S362" s="3"/>
        <tr r="S649" s="1"/>
      </tp>
      <tp t="e">
        <v>#N/A</v>
        <stp/>
        <stp>P</stp>
        <stp>0</stp>
        <stp>STK</stp>
        <stp>N067160</stp>
        <stp>체결시간</stp>
        <stp/>
        <stp/>
        <tr r="S370" s="1"/>
      </tp>
      <tp t="e">
        <v>#N/A</v>
        <stp/>
        <stp>P</stp>
        <stp>0</stp>
        <stp>STK</stp>
        <stp>N127120</stp>
        <stp>체결시간</stp>
        <stp/>
        <stp/>
        <tr r="S402" s="1"/>
      </tp>
      <tp t="e">
        <v>#N/A</v>
        <stp/>
        <stp>P</stp>
        <stp>0</stp>
        <stp>STK</stp>
        <stp>N067080</stp>
        <stp>체결시간</stp>
        <stp/>
        <stp/>
        <tr r="S620" s="1"/>
      </tp>
      <tp t="e">
        <v>#N/A</v>
        <stp/>
        <stp>P</stp>
        <stp>0</stp>
        <stp>STK</stp>
        <stp>N007070</stp>
        <stp>체결시간</stp>
        <stp/>
        <stp/>
        <tr r="S183" s="3"/>
        <tr r="S232" s="1"/>
      </tp>
      <tp t="e">
        <v>#N/A</v>
        <stp/>
        <stp>P</stp>
        <stp>0</stp>
        <stp>STK</stp>
        <stp>N047050</stp>
        <stp>체결시간</stp>
        <stp/>
        <stp/>
        <tr r="S68" s="1"/>
        <tr r="S65" s="3"/>
      </tp>
      <tp t="e">
        <v>#N/A</v>
        <stp/>
        <stp>P</stp>
        <stp>0</stp>
        <stp>STK</stp>
        <stp>N057050</stp>
        <stp>체결시간</stp>
        <stp/>
        <stp/>
        <tr r="S268" s="3"/>
        <tr r="S410" s="1"/>
      </tp>
      <tp t="e">
        <v>#N/A</v>
        <stp/>
        <stp>P</stp>
        <stp>0</stp>
        <stp>STK</stp>
        <stp>N047040</stp>
        <stp>체결시간</stp>
        <stp/>
        <stp/>
        <tr r="S173" s="3"/>
        <tr r="S208" s="1"/>
      </tp>
      <tp t="e">
        <v>#N/A</v>
        <stp/>
        <stp>P</stp>
        <stp>0</stp>
        <stp>STK</stp>
        <stp>N087010</stp>
        <stp>체결시간</stp>
        <stp/>
        <stp/>
        <tr r="S108" s="1"/>
      </tp>
      <tp t="e">
        <v>#N/A</v>
        <stp/>
        <stp>P</stp>
        <stp>0</stp>
        <stp>STK</stp>
        <stp>N397030</stp>
        <stp>체결시간</stp>
        <stp/>
        <stp/>
        <tr r="S293" s="1"/>
      </tp>
      <tp t="e">
        <v>#N/A</v>
        <stp/>
        <stp>P</stp>
        <stp>0</stp>
        <stp>STK</stp>
        <stp>N007390</stp>
        <stp>체결시간</stp>
        <stp/>
        <stp/>
        <tr r="S272" s="1"/>
      </tp>
      <tp t="e">
        <v>#N/A</v>
        <stp/>
        <stp>P</stp>
        <stp>0</stp>
        <stp>STK</stp>
        <stp>N017390</stp>
        <stp>체결시간</stp>
        <stp/>
        <stp/>
        <tr r="S350" s="3"/>
        <tr r="S601" s="1"/>
      </tp>
      <tp t="e">
        <v>#N/A</v>
        <stp/>
        <stp>P</stp>
        <stp>0</stp>
        <stp>STK</stp>
        <stp>N007340</stp>
        <stp>체결시간</stp>
        <stp/>
        <stp/>
        <tr r="S198" s="3"/>
        <tr r="S251" s="1"/>
      </tp>
      <tp t="e">
        <v>#N/A</v>
        <stp/>
        <stp>P</stp>
        <stp>0</stp>
        <stp>STK</stp>
        <stp>N377300</stp>
        <stp>체결시간</stp>
        <stp/>
        <stp/>
        <tr r="S86" s="3"/>
        <tr r="S92" s="1"/>
      </tp>
      <tp t="e">
        <v>#N/A</v>
        <stp/>
        <stp>P</stp>
        <stp>0</stp>
        <stp>STK</stp>
        <stp>N007310</stp>
        <stp>체결시간</stp>
        <stp/>
        <stp/>
        <tr r="S244" s="1"/>
        <tr r="S194" s="3"/>
      </tp>
      <tp t="e">
        <v>#N/A</v>
        <stp/>
        <stp>P</stp>
        <stp>0</stp>
        <stp>STK</stp>
        <stp>N067310</stp>
        <stp>체결시간</stp>
        <stp/>
        <stp/>
        <tr r="S230" s="1"/>
      </tp>
      <tp t="e">
        <v>#N/A</v>
        <stp/>
        <stp>P</stp>
        <stp>0</stp>
        <stp>STK</stp>
        <stp>N317330</stp>
        <stp>체결시간</stp>
        <stp/>
        <stp/>
        <tr r="S574" s="1"/>
      </tp>
      <tp t="e">
        <v>#N/A</v>
        <stp/>
        <stp>P</stp>
        <stp>0</stp>
        <stp>STK</stp>
        <stp>N137310</stp>
        <stp>체결시간</stp>
        <stp/>
        <stp/>
        <tr r="S312" s="1"/>
        <tr r="S227" s="3"/>
      </tp>
      <tp t="e">
        <v>#N/A</v>
        <stp/>
        <stp>P</stp>
        <stp>0</stp>
        <stp>STK</stp>
        <stp>N267250</stp>
        <stp>체결시간</stp>
        <stp/>
        <stp/>
        <tr r="S41" s="1"/>
        <tr r="S41" s="3"/>
      </tp>
      <tp t="e">
        <v>#N/A</v>
        <stp/>
        <stp>P</stp>
        <stp>0</stp>
        <stp>STK</stp>
        <stp>N267270</stp>
        <stp>체결시간</stp>
        <stp/>
        <stp/>
        <tr r="S213" s="1"/>
        <tr r="S174" s="3"/>
      </tp>
      <tp t="e">
        <v>#N/A</v>
        <stp/>
        <stp>P</stp>
        <stp>0</stp>
        <stp>STK</stp>
        <stp>N417200</stp>
        <stp>체결시간</stp>
        <stp/>
        <stp/>
        <tr r="S333" s="1"/>
      </tp>
      <tp t="e">
        <v>#N/A</v>
        <stp/>
        <stp>P</stp>
        <stp>0</stp>
        <stp>STK</stp>
        <stp>N267260</stp>
        <stp>체결시간</stp>
        <stp/>
        <stp/>
        <tr r="S26" s="3"/>
        <tr r="S26" s="1"/>
      </tp>
      <tp t="e">
        <v>#N/A</v>
        <stp/>
        <stp>P</stp>
        <stp>0</stp>
        <stp>STK</stp>
        <stp>N097230</stp>
        <stp>체결시간</stp>
        <stp/>
        <stp/>
        <tr r="S164" s="3"/>
        <tr r="S195" s="1"/>
      </tp>
      <tp t="e">
        <v>#N/A</v>
        <stp/>
        <stp>P</stp>
        <stp>0</stp>
        <stp>STK</stp>
        <stp>N486990</stp>
        <stp>체결시간</stp>
        <stp/>
        <stp/>
        <tr r="S315" s="1"/>
      </tp>
      <tp t="e">
        <v>#N/A</v>
        <stp/>
        <stp>P</stp>
        <stp>0</stp>
        <stp>STK</stp>
        <stp>N226950</stp>
        <stp>체결시간</stp>
        <stp/>
        <stp/>
        <tr r="S186" s="1"/>
      </tp>
      <tp t="e">
        <v>#N/A</v>
        <stp/>
        <stp>P</stp>
        <stp>0</stp>
        <stp>STK</stp>
        <stp>N066970</stp>
        <stp>체결시간</stp>
        <stp/>
        <stp/>
        <tr r="S102" s="3"/>
        <tr r="S115" s="1"/>
      </tp>
      <tp t="e">
        <v>#N/A</v>
        <stp/>
        <stp>P</stp>
        <stp>0</stp>
        <stp>STK</stp>
        <stp>N286940</stp>
        <stp>체결시간</stp>
        <stp/>
        <stp/>
        <tr r="S349" s="3"/>
        <tr r="S593" s="1"/>
      </tp>
      <tp t="e">
        <v>#N/A</v>
        <stp/>
        <stp>P</stp>
        <stp>0</stp>
        <stp>STK</stp>
        <stp>N026960</stp>
        <stp>체결시간</stp>
        <stp/>
        <stp/>
        <tr r="S144" s="3"/>
        <tr r="S172" s="1"/>
      </tp>
      <tp t="e">
        <v>#N/A</v>
        <stp/>
        <stp>P</stp>
        <stp>0</stp>
        <stp>STK</stp>
        <stp>N036930</stp>
        <stp>체결시간</stp>
        <stp/>
        <stp/>
        <tr r="S248" s="1"/>
      </tp>
      <tp t="e">
        <v>#N/A</v>
        <stp/>
        <stp>P</stp>
        <stp>0</stp>
        <stp>STK</stp>
        <stp>N376900</stp>
        <stp>체결시간</stp>
        <stp/>
        <stp/>
        <tr r="S310" s="1"/>
      </tp>
      <tp t="e">
        <v>#N/A</v>
        <stp/>
        <stp>P</stp>
        <stp>0</stp>
        <stp>STK</stp>
        <stp>N086900</stp>
        <stp>체결시간</stp>
        <stp/>
        <stp/>
        <tr r="S338" s="1"/>
      </tp>
      <tp t="e">
        <v>#N/A</v>
        <stp/>
        <stp>P</stp>
        <stp>0</stp>
        <stp>STK</stp>
        <stp>N026890</stp>
        <stp>체결시간</stp>
        <stp/>
        <stp/>
        <tr r="S318" s="3"/>
        <tr r="S530" s="1"/>
      </tp>
      <tp t="e">
        <v>#N/A</v>
        <stp/>
        <stp>P</stp>
        <stp>0</stp>
        <stp>STK</stp>
        <stp>N036890</stp>
        <stp>체결시간</stp>
        <stp/>
        <stp/>
        <tr r="S621" s="1"/>
      </tp>
      <tp t="e">
        <v>#N/A</v>
        <stp/>
        <stp>P</stp>
        <stp>0</stp>
        <stp>STK</stp>
        <stp>N046890</stp>
        <stp>체결시간</stp>
        <stp/>
        <stp/>
        <tr r="S576" s="1"/>
      </tp>
      <tp t="e">
        <v>#N/A</v>
        <stp/>
        <stp>P</stp>
        <stp>0</stp>
        <stp>STK</stp>
        <stp>N476830</stp>
        <stp>체결시간</stp>
        <stp/>
        <stp/>
        <tr r="S209" s="1"/>
      </tp>
      <tp t="e">
        <v>#N/A</v>
        <stp/>
        <stp>P</stp>
        <stp>0</stp>
        <stp>STK</stp>
        <stp>N356860</stp>
        <stp>체결시간</stp>
        <stp/>
        <stp/>
        <tr r="S453" s="1"/>
      </tp>
      <tp t="e">
        <v>#N/A</v>
        <stp/>
        <stp>P</stp>
        <stp>0</stp>
        <stp>STK</stp>
        <stp>N036830</stp>
        <stp>체결시간</stp>
        <stp/>
        <stp/>
        <tr r="S349" s="1"/>
      </tp>
      <tp t="e">
        <v>#N/A</v>
        <stp/>
        <stp>P</stp>
        <stp>0</stp>
        <stp>STK</stp>
        <stp>N036810</stp>
        <stp>체결시간</stp>
        <stp/>
        <stp/>
        <tr r="S379" s="1"/>
      </tp>
      <tp t="e">
        <v>#N/A</v>
        <stp/>
        <stp>P</stp>
        <stp>0</stp>
        <stp>STK</stp>
        <stp>N006800</stp>
        <stp>체결시간</stp>
        <stp/>
        <stp/>
        <tr r="S47" s="3"/>
        <tr r="S48" s="1"/>
      </tp>
      <tp t="e">
        <v>#N/A</v>
        <stp/>
        <stp>P</stp>
        <stp>0</stp>
        <stp>STK</stp>
        <stp>N016800</stp>
        <stp>체결시간</stp>
        <stp/>
        <stp/>
        <tr r="S475" s="1"/>
        <tr r="S296" s="3"/>
      </tp>
      <tp t="e">
        <v>#N/A</v>
        <stp/>
        <stp>P</stp>
        <stp>0</stp>
        <stp>STK</stp>
        <stp>N036800</stp>
        <stp>체결시간</stp>
        <stp/>
        <stp/>
        <tr r="S688" s="1"/>
      </tp>
      <tp t="e">
        <v>#N/A</v>
        <stp/>
        <stp>P</stp>
        <stp>0</stp>
        <stp>STK</stp>
        <stp>N016590</stp>
        <stp>체결시간</stp>
        <stp/>
        <stp/>
        <tr r="S462" s="1"/>
        <tr r="S294" s="3"/>
      </tp>
      <tp t="e">
        <v>#N/A</v>
        <stp/>
        <stp>P</stp>
        <stp>0</stp>
        <stp>STK</stp>
        <stp>N036570</stp>
        <stp>체결시간</stp>
        <stp/>
        <stp/>
        <tr r="S100" s="3"/>
        <tr r="S111" s="1"/>
      </tp>
      <tp t="e">
        <v>#N/A</v>
        <stp/>
        <stp>P</stp>
        <stp>0</stp>
        <stp>STK</stp>
        <stp>N066570</stp>
        <stp>체결시간</stp>
        <stp/>
        <stp/>
        <tr r="S45" s="1"/>
        <tr r="S46" s="3"/>
      </tp>
      <tp t="e">
        <v>#N/A</v>
        <stp/>
        <stp>P</stp>
        <stp>0</stp>
        <stp>STK</stp>
        <stp>N036540</stp>
        <stp>체결시간</stp>
        <stp/>
        <stp/>
        <tr r="S331" s="1"/>
      </tp>
      <tp t="e">
        <v>#N/A</v>
        <stp/>
        <stp>P</stp>
        <stp>0</stp>
        <stp>STK</stp>
        <stp>N336570</stp>
        <stp>체결시간</stp>
        <stp/>
        <stp/>
        <tr r="S372" s="1"/>
      </tp>
      <tp t="e">
        <v>#N/A</v>
        <stp/>
        <stp>P</stp>
        <stp>0</stp>
        <stp>STK</stp>
        <stp>N096530</stp>
        <stp>체결시간</stp>
        <stp/>
        <stp/>
        <tr r="S275" s="1"/>
      </tp>
      <tp t="e">
        <v>#N/A</v>
        <stp/>
        <stp>P</stp>
        <stp>0</stp>
        <stp>STK</stp>
        <stp>N036530</stp>
        <stp>체결시간</stp>
        <stp/>
        <stp/>
        <tr r="S325" s="1"/>
        <tr r="S234" s="3"/>
      </tp>
      <tp t="e">
        <v>#N/A</v>
        <stp/>
        <stp>P</stp>
        <stp>0</stp>
        <stp>STK</stp>
        <stp>N086520</stp>
        <stp>체결시간</stp>
        <stp/>
        <stp/>
        <tr r="S64" s="1"/>
      </tp>
      <tp t="e">
        <v>#N/A</v>
        <stp/>
        <stp>P</stp>
        <stp>0</stp>
        <stp>STK</stp>
        <stp>N036460</stp>
        <stp>체결시간</stp>
        <stp/>
        <stp/>
        <tr r="S134" s="1"/>
        <tr r="S119" s="3"/>
      </tp>
      <tp t="e">
        <v>#N/A</v>
        <stp/>
        <stp>P</stp>
        <stp>0</stp>
        <stp>STK</stp>
        <stp>N086450</stp>
        <stp>체결시간</stp>
        <stp/>
        <stp/>
        <tr r="S368" s="1"/>
      </tp>
      <tp t="e">
        <v>#N/A</v>
        <stp/>
        <stp>P</stp>
        <stp>0</stp>
        <stp>STK</stp>
        <stp>N006400</stp>
        <stp>체결시간</stp>
        <stp/>
        <stp/>
        <tr r="S31" s="1"/>
        <tr r="S28" s="3"/>
      </tp>
      <tp t="e">
        <v>#N/A</v>
        <stp/>
        <stp>P</stp>
        <stp>0</stp>
        <stp>STK</stp>
        <stp>N086790</stp>
        <stp>체결시간</stp>
        <stp/>
        <stp/>
        <tr r="S29" s="1"/>
        <tr r="S30" s="3"/>
      </tp>
      <tp t="e">
        <v>#N/A</v>
        <stp/>
        <stp>P</stp>
        <stp>0</stp>
        <stp>STK</stp>
        <stp>N096770</stp>
        <stp>체결시간</stp>
        <stp/>
        <stp/>
        <tr r="S45" s="3"/>
        <tr r="S47" s="1"/>
      </tp>
      <tp t="e">
        <v>#N/A</v>
        <stp/>
        <stp>P</stp>
        <stp>0</stp>
        <stp>STK</stp>
        <stp>N176750</stp>
        <stp>체결시간</stp>
        <stp/>
        <stp/>
        <tr r="S675" s="1"/>
      </tp>
      <tp t="e">
        <v>#N/A</v>
        <stp/>
        <stp>P</stp>
        <stp>0</stp>
        <stp>STK</stp>
        <stp>N006730</stp>
        <stp>체결시간</stp>
        <stp/>
        <stp/>
        <tr r="S323" s="1"/>
      </tp>
      <tp t="e">
        <v>#N/A</v>
        <stp/>
        <stp>P</stp>
        <stp>0</stp>
        <stp>STK</stp>
        <stp>N126720</stp>
        <stp>체결시간</stp>
        <stp/>
        <stp/>
        <tr r="S544" s="1"/>
        <tr r="S327" s="3"/>
      </tp>
      <tp t="e">
        <v>#N/A</v>
        <stp/>
        <stp>P</stp>
        <stp>0</stp>
        <stp>STK</stp>
        <stp>N356680</stp>
        <stp>체결시간</stp>
        <stp/>
        <stp/>
        <tr r="S694" s="1"/>
      </tp>
      <tp t="e">
        <v>#N/A</v>
        <stp/>
        <stp>P</stp>
        <stp>0</stp>
        <stp>STK</stp>
        <stp>N206650</stp>
        <stp>체결시간</stp>
        <stp/>
        <stp/>
        <tr r="S531" s="1"/>
      </tp>
      <tp t="e">
        <v>#N/A</v>
        <stp/>
        <stp>P</stp>
        <stp>0</stp>
        <stp>STK</stp>
        <stp>N206640</stp>
        <stp>체결시간</stp>
        <stp/>
        <stp/>
        <tr r="S629" s="1"/>
      </tp>
      <tp t="e">
        <v>#N/A</v>
        <stp/>
        <stp>P</stp>
        <stp>0</stp>
        <stp>STK</stp>
        <stp>N006650</stp>
        <stp>체결시간</stp>
        <stp/>
        <stp/>
        <tr r="S225" s="3"/>
        <tr r="S306" s="1"/>
      </tp>
      <tp t="e">
        <v>#N/A</v>
        <stp/>
        <stp>P</stp>
        <stp>0</stp>
        <stp>STK</stp>
        <stp>N036620</stp>
        <stp>체결시간</stp>
        <stp/>
        <stp/>
        <tr r="S478" s="1"/>
      </tp>
      <tp t="e">
        <v>#N/A</v>
        <stp/>
        <stp>P</stp>
        <stp>0</stp>
        <stp>STK</stp>
        <stp>N016610</stp>
        <stp>체결시간</stp>
        <stp/>
        <stp/>
        <tr r="S483" s="1"/>
        <tr r="S302" s="3"/>
      </tp>
      <tp t="e">
        <v>#N/A</v>
        <stp/>
        <stp>P</stp>
        <stp>0</stp>
        <stp>STK</stp>
        <stp>N416180</stp>
        <stp>체결시간</stp>
        <stp/>
        <stp/>
        <tr r="S634" s="1"/>
      </tp>
      <tp t="e">
        <v>#N/A</v>
        <stp/>
        <stp>P</stp>
        <stp>0</stp>
        <stp>STK</stp>
        <stp>N056190</stp>
        <stp>체결시간</stp>
        <stp/>
        <stp/>
        <tr r="S327" s="1"/>
      </tp>
      <tp t="e">
        <v>#N/A</v>
        <stp/>
        <stp>P</stp>
        <stp>0</stp>
        <stp>STK</stp>
        <stp>N316140</stp>
        <stp>체결시간</stp>
        <stp/>
        <stp/>
        <tr r="S38" s="3"/>
        <tr r="S40" s="1"/>
      </tp>
      <tp t="e">
        <v>#N/A</v>
        <stp/>
        <stp>P</stp>
        <stp>0</stp>
        <stp>STK</stp>
        <stp>N196170</stp>
        <stp>체결시간</stp>
        <stp/>
        <stp/>
        <tr r="S42" s="1"/>
      </tp>
      <tp t="e">
        <v>#N/A</v>
        <stp/>
        <stp>P</stp>
        <stp>0</stp>
        <stp>STK</stp>
        <stp>N466100</stp>
        <stp>체결시간</stp>
        <stp/>
        <stp/>
        <tr r="S216" s="1"/>
      </tp>
      <tp t="e">
        <v>#N/A</v>
        <stp/>
        <stp>P</stp>
        <stp>0</stp>
        <stp>STK</stp>
        <stp>N006120</stp>
        <stp>체결시간</stp>
        <stp/>
        <stp/>
        <tr r="S291" s="1"/>
        <tr r="S219" s="3"/>
      </tp>
      <tp t="e">
        <v>#N/A</v>
        <stp/>
        <stp>P</stp>
        <stp>0</stp>
        <stp>STK</stp>
        <stp>N456160</stp>
        <stp>체결시간</stp>
        <stp/>
        <stp/>
        <tr r="S278" s="1"/>
      </tp>
      <tp t="e">
        <v>#N/A</v>
        <stp/>
        <stp>P</stp>
        <stp>0</stp>
        <stp>STK</stp>
        <stp>N006110</stp>
        <stp>체결시간</stp>
        <stp/>
        <stp/>
        <tr r="S331" s="3"/>
        <tr r="S568" s="1"/>
      </tp>
      <tp t="e">
        <v>#N/A</v>
        <stp/>
        <stp>P</stp>
        <stp>0</stp>
        <stp>STK</stp>
        <stp>N166090</stp>
        <stp>체결시간</stp>
        <stp/>
        <stp/>
        <tr r="S300" s="1"/>
      </tp>
      <tp t="e">
        <v>#N/A</v>
        <stp/>
        <stp>P</stp>
        <stp>0</stp>
        <stp>STK</stp>
        <stp>N006040</stp>
        <stp>체결시간</stp>
        <stp/>
        <stp/>
        <tr r="S181" s="3"/>
        <tr r="S227" s="1"/>
      </tp>
      <tp t="e">
        <v>#N/A</v>
        <stp/>
        <stp>P</stp>
        <stp>0</stp>
        <stp>STK</stp>
        <stp>N476060</stp>
        <stp>체결시간</stp>
        <stp/>
        <stp/>
        <tr r="S340" s="1"/>
      </tp>
      <tp t="e">
        <v>#N/A</v>
        <stp/>
        <stp>P</stp>
        <stp>0</stp>
        <stp>STK</stp>
        <stp>N326030</stp>
        <stp>체결시간</stp>
        <stp/>
        <stp/>
        <tr r="S78" s="1"/>
        <tr r="S72" s="3"/>
      </tp>
      <tp t="e">
        <v>#N/A</v>
        <stp/>
        <stp>P</stp>
        <stp>0</stp>
        <stp>STK</stp>
        <stp>N456040</stp>
        <stp>체결시간</stp>
        <stp/>
        <stp/>
        <tr r="S409" s="1"/>
        <tr r="S270" s="3"/>
      </tp>
      <tp t="e">
        <v>#N/A</v>
        <stp/>
        <stp>P</stp>
        <stp>0</stp>
        <stp>STK</stp>
        <stp>N086390</stp>
        <stp>체결시간</stp>
        <stp/>
        <stp/>
        <tr r="S674" s="1"/>
      </tp>
      <tp t="e">
        <v>#N/A</v>
        <stp/>
        <stp>P</stp>
        <stp>0</stp>
        <stp>STK</stp>
        <stp>N006360</stp>
        <stp>체결시간</stp>
        <stp/>
        <stp/>
        <tr r="S191" s="3"/>
        <tr r="S240" s="1"/>
      </tp>
      <tp t="e">
        <v>#N/A</v>
        <stp/>
        <stp>P</stp>
        <stp>0</stp>
        <stp>STK</stp>
        <stp>N016360</stp>
        <stp>체결시간</stp>
        <stp/>
        <stp/>
        <tr r="S83" s="3"/>
        <tr r="S88" s="1"/>
      </tp>
      <tp t="e">
        <v>#N/A</v>
        <stp/>
        <stp>P</stp>
        <stp>0</stp>
        <stp>STK</stp>
        <stp>N126340</stp>
        <stp>체결시간</stp>
        <stp/>
        <stp/>
        <tr r="S431" s="1"/>
      </tp>
      <tp t="e">
        <v>#N/A</v>
        <stp/>
        <stp>P</stp>
        <stp>0</stp>
        <stp>STK</stp>
        <stp>N336370</stp>
        <stp>체결시간</stp>
        <stp/>
        <stp/>
        <tr r="S457" s="1"/>
        <tr r="S286" s="3"/>
      </tp>
      <tp t="e">
        <v>#N/A</v>
        <stp/>
        <stp>P</stp>
        <stp>0</stp>
        <stp>STK</stp>
        <stp>N376300</stp>
        <stp>체결시간</stp>
        <stp/>
        <stp/>
        <tr r="S364" s="1"/>
      </tp>
      <tp t="e">
        <v>#N/A</v>
        <stp/>
        <stp>P</stp>
        <stp>0</stp>
        <stp>STK</stp>
        <stp>N226320</stp>
        <stp>체결시간</stp>
        <stp/>
        <stp/>
        <tr r="S676" s="1"/>
        <tr r="S373" s="3"/>
      </tp>
      <tp t="e">
        <v>#N/A</v>
        <stp/>
        <stp>P</stp>
        <stp>0</stp>
        <stp>STK</stp>
        <stp>N086280</stp>
        <stp>체결시간</stp>
        <stp/>
        <stp/>
        <tr r="S36" s="1"/>
        <tr r="S40" s="3"/>
      </tp>
      <tp t="e">
        <v>#N/A</v>
        <stp/>
        <stp>P</stp>
        <stp>0</stp>
        <stp>STK</stp>
        <stp>N006280</stp>
        <stp>체결시간</stp>
        <stp/>
        <stp/>
        <tr r="S184" s="3"/>
        <tr r="S229" s="1"/>
      </tp>
      <tp t="e">
        <v>#N/A</v>
        <stp/>
        <stp>P</stp>
        <stp>0</stp>
        <stp>STK</stp>
        <stp>N006260</stp>
        <stp>체결시간</stp>
        <stp/>
        <stp/>
        <tr r="S89" s="1"/>
        <tr r="S85" s="3"/>
      </tp>
      <tp t="e">
        <v>#N/A</v>
        <stp/>
        <stp>P</stp>
        <stp>0</stp>
        <stp>STK</stp>
        <stp>N336260</stp>
        <stp>체결시간</stp>
        <stp/>
        <stp/>
        <tr r="S183" s="1"/>
        <tr r="S150" s="3"/>
      </tp>
      <tp t="e">
        <v>#N/A</v>
        <stp/>
        <stp>P</stp>
        <stp>0</stp>
        <stp>STK</stp>
        <stp>N376270</stp>
        <stp>체결시간</stp>
        <stp/>
        <stp/>
        <tr r="S552" s="1"/>
      </tp>
      <tp t="e">
        <v>#N/A</v>
        <stp/>
        <stp>P</stp>
        <stp>0</stp>
        <stp>STK</stp>
        <stp>N306200</stp>
        <stp>체결시간</stp>
        <stp/>
        <stp/>
        <tr r="S589" s="1"/>
        <tr r="S341" s="3"/>
      </tp>
      <tp t="e">
        <v>#N/A</v>
        <stp/>
        <stp>P</stp>
        <stp>0</stp>
        <stp>STK</stp>
        <stp>N006220</stp>
        <stp>체결시간</stp>
        <stp/>
        <stp/>
        <tr r="S512" s="1"/>
        <tr r="S315" s="3"/>
      </tp>
      <tp t="e">
        <v>#N/A</v>
        <stp/>
        <stp>P</stp>
        <stp>0</stp>
        <stp>STK</stp>
        <stp>N236200</stp>
        <stp>체결시간</stp>
        <stp/>
        <stp/>
        <tr r="S664" s="1"/>
      </tp>
      <tp t="e">
        <v>#N/A</v>
        <stp/>
        <stp>P</stp>
        <stp>0</stp>
        <stp>STK</stp>
        <stp>N036200</stp>
        <stp>체결시간</stp>
        <stp/>
        <stp/>
        <tr r="S626" s="1"/>
      </tp>
      <tp>
        <v>1964177600</v>
        <stp/>
        <stp>P</stp>
        <stp>0</stp>
        <stp>STK</stp>
        <stp>N0009K0</stp>
        <stp>누적거래대금</stp>
        <stp/>
        <stp/>
        <tr r="M143" s="1"/>
      </tp>
      <tp t="e">
        <v>#N/A</v>
        <stp/>
        <stp>P</stp>
        <stp>0</stp>
        <stp>STK</stp>
        <stp>N031980</stp>
        <stp>체결시간</stp>
        <stp/>
        <stp/>
        <tr r="S258" s="1"/>
      </tp>
      <tp t="e">
        <v>#N/A</v>
        <stp/>
        <stp>P</stp>
        <stp>0</stp>
        <stp>STK</stp>
        <stp>N071970</stp>
        <stp>체결시간</stp>
        <stp/>
        <stp/>
        <tr r="S148" s="1"/>
        <tr r="S130" s="3"/>
      </tp>
      <tp t="e">
        <v>#N/A</v>
        <stp/>
        <stp>P</stp>
        <stp>0</stp>
        <stp>STK</stp>
        <stp>N131970</stp>
        <stp>체결시간</stp>
        <stp/>
        <stp/>
        <tr r="S308" s="1"/>
      </tp>
      <tp t="e">
        <v>#N/A</v>
        <stp/>
        <stp>P</stp>
        <stp>0</stp>
        <stp>STK</stp>
        <stp>N271940</stp>
        <stp>체결시간</stp>
        <stp/>
        <stp/>
        <tr r="S481" s="1"/>
        <tr r="S298" s="3"/>
      </tp>
      <tp t="e">
        <v>#N/A</v>
        <stp/>
        <stp>P</stp>
        <stp>0</stp>
        <stp>STK</stp>
        <stp>N251970</stp>
        <stp>체결시간</stp>
        <stp/>
        <stp/>
        <tr r="S393" s="1"/>
      </tp>
      <tp t="e">
        <v>#N/A</v>
        <stp/>
        <stp>P</stp>
        <stp>0</stp>
        <stp>STK</stp>
        <stp>N381970</stp>
        <stp>체결시간</stp>
        <stp/>
        <stp/>
        <tr r="S255" s="3"/>
        <tr r="S376" s="1"/>
      </tp>
      <tp t="e">
        <v>#N/A</v>
        <stp/>
        <stp>P</stp>
        <stp>0</stp>
        <stp>STK</stp>
        <stp>N001940</stp>
        <stp>체결시간</stp>
        <stp/>
        <stp/>
        <tr r="S328" s="3"/>
        <tr r="S551" s="1"/>
      </tp>
      <tp t="e">
        <v>#N/A</v>
        <stp/>
        <stp>P</stp>
        <stp>0</stp>
        <stp>STK</stp>
        <stp>N101930</stp>
        <stp>체결시간</stp>
        <stp/>
        <stp/>
        <tr r="S522" s="1"/>
      </tp>
      <tp t="e">
        <v>#N/A</v>
        <stp/>
        <stp>P</stp>
        <stp>0</stp>
        <stp>STK</stp>
        <stp>N051910</stp>
        <stp>체결시간</stp>
        <stp/>
        <stp/>
        <tr r="S33" s="3"/>
        <tr r="S33" s="1"/>
      </tp>
      <tp t="e">
        <v>#N/A</v>
        <stp/>
        <stp>P</stp>
        <stp>0</stp>
        <stp>STK</stp>
        <stp>N051900</stp>
        <stp>체결시간</stp>
        <stp/>
        <stp/>
        <tr r="S124" s="1"/>
        <tr r="S114" s="3"/>
      </tp>
      <tp t="e">
        <v>#N/A</v>
        <stp/>
        <stp>P</stp>
        <stp>0</stp>
        <stp>STK</stp>
        <stp>N161890</stp>
        <stp>체결시간</stp>
        <stp/>
        <stp/>
        <tr r="S193" s="3"/>
        <tr r="S245" s="1"/>
      </tp>
      <tp t="e">
        <v>#N/A</v>
        <stp/>
        <stp>P</stp>
        <stp>0</stp>
        <stp>STK</stp>
        <stp>N041830</stp>
        <stp>체결시간</stp>
        <stp/>
        <stp/>
        <tr r="S543" s="1"/>
      </tp>
      <tp t="e">
        <v>#N/A</v>
        <stp/>
        <stp>P</stp>
        <stp>0</stp>
        <stp>STK</stp>
        <stp>N001820</stp>
        <stp>체결시간</stp>
        <stp/>
        <stp/>
        <tr r="S344" s="3"/>
        <tr r="S595" s="1"/>
      </tp>
      <tp t="e">
        <v>#N/A</v>
        <stp/>
        <stp>P</stp>
        <stp>0</stp>
        <stp>STK</stp>
        <stp>N281820</stp>
        <stp>체결시간</stp>
        <stp/>
        <stp/>
        <tr r="S247" s="3"/>
        <tr r="S350" s="1"/>
      </tp>
      <tp t="e">
        <v>#N/A</v>
        <stp/>
        <stp>P</stp>
        <stp>0</stp>
        <stp>STK</stp>
        <stp>N001800</stp>
        <stp>체결시간</stp>
        <stp/>
        <stp/>
        <tr r="S267" s="1"/>
        <tr r="S205" s="3"/>
      </tp>
      <tp t="e">
        <v>#N/A</v>
        <stp/>
        <stp>P</stp>
        <stp>0</stp>
        <stp>STK</stp>
        <stp>N161580</stp>
        <stp>체결시간</stp>
        <stp/>
        <stp/>
        <tr r="S311" s="1"/>
      </tp>
      <tp t="e">
        <v>#N/A</v>
        <stp/>
        <stp>P</stp>
        <stp>0</stp>
        <stp>STK</stp>
        <stp>N241560</stp>
        <stp>체결시간</stp>
        <stp/>
        <stp/>
        <tr r="S100" s="1"/>
        <tr r="S93" s="3"/>
      </tp>
      <tp t="e">
        <v>#N/A</v>
        <stp/>
        <stp>P</stp>
        <stp>0</stp>
        <stp>STK</stp>
        <stp>N271560</stp>
        <stp>체결시간</stp>
        <stp/>
        <stp/>
        <tr r="S114" s="1"/>
        <tr r="S106" s="3"/>
      </tp>
      <tp t="e">
        <v>#N/A</v>
        <stp/>
        <stp>P</stp>
        <stp>0</stp>
        <stp>STK</stp>
        <stp>N001530</stp>
        <stp>체결시간</stp>
        <stp/>
        <stp/>
        <tr r="S546" s="1"/>
        <tr r="S325" s="3"/>
      </tp>
      <tp t="e">
        <v>#N/A</v>
        <stp/>
        <stp>P</stp>
        <stp>0</stp>
        <stp>STK</stp>
        <stp>N041510</stp>
        <stp>체결시간</stp>
        <stp/>
        <stp/>
        <tr r="S177" s="1"/>
      </tp>
      <tp t="e">
        <v>#N/A</v>
        <stp/>
        <stp>P</stp>
        <stp>0</stp>
        <stp>STK</stp>
        <stp>N001500</stp>
        <stp>체결시간</stp>
        <stp/>
        <stp/>
        <tr r="S459" s="1"/>
        <tr r="S289" s="3"/>
      </tp>
      <tp t="e">
        <v>#N/A</v>
        <stp/>
        <stp>P</stp>
        <stp>0</stp>
        <stp>STK</stp>
        <stp>N011500</stp>
        <stp>체결시간</stp>
        <stp/>
        <stp/>
        <tr r="S631" s="1"/>
        <tr r="S333" s="3"/>
      </tp>
      <tp t="e">
        <v>#N/A</v>
        <stp/>
        <stp>P</stp>
        <stp>0</stp>
        <stp>STK</stp>
        <stp>N051500</stp>
        <stp>체결시간</stp>
        <stp/>
        <stp/>
        <tr r="S605" s="1"/>
      </tp>
      <tp t="e">
        <v>#N/A</v>
        <stp/>
        <stp>P</stp>
        <stp>0</stp>
        <stp>STK</stp>
        <stp>N101490</stp>
        <stp>체결시간</stp>
        <stp/>
        <stp/>
        <tr r="S254" s="1"/>
      </tp>
      <tp t="e">
        <v>#N/A</v>
        <stp/>
        <stp>P</stp>
        <stp>0</stp>
        <stp>STK</stp>
        <stp>N001460</stp>
        <stp>체결시간</stp>
        <stp/>
        <stp/>
        <tr r="S657" s="1"/>
        <tr r="S366" s="3"/>
      </tp>
      <tp t="e">
        <v>#N/A</v>
        <stp/>
        <stp>P</stp>
        <stp>0</stp>
        <stp>STK</stp>
        <stp>N001450</stp>
        <stp>체결시간</stp>
        <stp/>
        <stp/>
        <tr r="S180" s="1"/>
        <tr r="S151" s="3"/>
      </tp>
      <tp t="e">
        <v>#N/A</v>
        <stp/>
        <stp>P</stp>
        <stp>0</stp>
        <stp>STK</stp>
        <stp>N001440</stp>
        <stp>체결시간</stp>
        <stp/>
        <stp/>
        <tr r="S97" s="3"/>
        <tr r="S107" s="1"/>
      </tp>
      <tp t="e">
        <v>#N/A</v>
        <stp/>
        <stp>P</stp>
        <stp>0</stp>
        <stp>STK</stp>
        <stp>N001430</stp>
        <stp>체결시간</stp>
        <stp/>
        <stp/>
        <tr r="S141" s="3"/>
        <tr r="S163" s="1"/>
      </tp>
      <tp t="e">
        <v>#N/A</v>
        <stp/>
        <stp>P</stp>
        <stp>0</stp>
        <stp>STK</stp>
        <stp>N031430</stp>
        <stp>체결시간</stp>
        <stp/>
        <stp/>
        <tr r="S323" s="3"/>
        <tr r="S547" s="1"/>
      </tp>
      <tp t="e">
        <v>#N/A</v>
        <stp/>
        <stp>P</stp>
        <stp>0</stp>
        <stp>STK</stp>
        <stp>N011790</stp>
        <stp>체결시간</stp>
        <stp/>
        <stp/>
        <tr r="S123" s="1"/>
        <tr r="S111" s="3"/>
      </tp>
      <tp t="e">
        <v>#N/A</v>
        <stp/>
        <stp>P</stp>
        <stp>0</stp>
        <stp>STK</stp>
        <stp>N011780</stp>
        <stp>체결시간</stp>
        <stp/>
        <stp/>
        <tr r="S117" s="3"/>
        <tr r="S133" s="1"/>
      </tp>
      <tp t="e">
        <v>#N/A</v>
        <stp/>
        <stp>P</stp>
        <stp>0</stp>
        <stp>STK</stp>
        <stp>N281740</stp>
        <stp>체결시간</stp>
        <stp/>
        <stp/>
        <tr r="S288" s="1"/>
      </tp>
      <tp t="e">
        <v>#N/A</v>
        <stp/>
        <stp>P</stp>
        <stp>0</stp>
        <stp>STK</stp>
        <stp>N011760</stp>
        <stp>체결시간</stp>
        <stp/>
        <stp/>
        <tr r="S636" s="1"/>
        <tr r="S361" s="3"/>
      </tp>
      <tp t="e">
        <v>#N/A</v>
        <stp/>
        <stp>P</stp>
        <stp>0</stp>
        <stp>STK</stp>
        <stp>N111770</stp>
        <stp>체결시간</stp>
        <stp/>
        <stp/>
        <tr r="S135" s="1"/>
        <tr r="S120" s="3"/>
      </tp>
      <tp t="e">
        <v>#N/A</v>
        <stp/>
        <stp>P</stp>
        <stp>0</stp>
        <stp>STK</stp>
        <stp>N001750</stp>
        <stp>체결시간</stp>
        <stp/>
        <stp/>
        <tr r="S377" s="3"/>
        <tr r="S682" s="1"/>
      </tp>
      <tp t="e">
        <v>#N/A</v>
        <stp/>
        <stp>P</stp>
        <stp>0</stp>
        <stp>STK</stp>
        <stp>N241770</stp>
        <stp>체결시간</stp>
        <stp/>
        <stp/>
        <tr r="S683" s="1"/>
      </tp>
      <tp t="e">
        <v>#N/A</v>
        <stp/>
        <stp>P</stp>
        <stp>0</stp>
        <stp>STK</stp>
        <stp>N241710</stp>
        <stp>체결시간</stp>
        <stp/>
        <stp/>
        <tr r="S357" s="1"/>
      </tp>
      <tp t="e">
        <v>#N/A</v>
        <stp/>
        <stp>P</stp>
        <stp>0</stp>
        <stp>STK</stp>
        <stp>N001720</stp>
        <stp>체결시간</stp>
        <stp/>
        <stp/>
        <tr r="S181" s="1"/>
        <tr r="S155" s="3"/>
      </tp>
      <tp t="e">
        <v>#N/A</v>
        <stp/>
        <stp>P</stp>
        <stp>0</stp>
        <stp>STK</stp>
        <stp>N101730</stp>
        <stp>체결시간</stp>
        <stp/>
        <stp/>
        <tr r="S472" s="1"/>
      </tp>
      <tp t="e">
        <v>#N/A</v>
        <stp/>
        <stp>P</stp>
        <stp>0</stp>
        <stp>STK</stp>
        <stp>N181710</stp>
        <stp>체결시간</stp>
        <stp/>
        <stp/>
        <tr r="S316" s="1"/>
        <tr r="S230" s="3"/>
      </tp>
      <tp t="e">
        <v>#N/A</v>
        <stp/>
        <stp>P</stp>
        <stp>0</stp>
        <stp>STK</stp>
        <stp>N001680</stp>
        <stp>체결시간</stp>
        <stp/>
        <stp/>
        <tr r="S371" s="1"/>
        <tr r="S253" s="3"/>
      </tp>
      <tp t="e">
        <v>#N/A</v>
        <stp/>
        <stp>P</stp>
        <stp>0</stp>
        <stp>STK</stp>
        <stp>N081660</stp>
        <stp>체결시간</stp>
        <stp/>
        <stp/>
        <tr r="S154" s="3"/>
        <tr r="S189" s="1"/>
      </tp>
      <tp t="e">
        <v>#N/A</v>
        <stp/>
        <stp>P</stp>
        <stp>0</stp>
        <stp>STK</stp>
        <stp>N001630</stp>
        <stp>체결시간</stp>
        <stp/>
        <stp/>
        <tr r="S376" s="3"/>
        <tr r="S681" s="1"/>
      </tp>
      <tp t="e">
        <v>#N/A</v>
        <stp/>
        <stp>P</stp>
        <stp>0</stp>
        <stp>STK</stp>
        <stp>N361610</stp>
        <stp>체결시간</stp>
        <stp/>
        <stp/>
        <tr r="S168" s="3"/>
        <tr r="S211" s="1"/>
      </tp>
      <tp t="e">
        <v>#N/A</v>
        <stp/>
        <stp>P</stp>
        <stp>0</stp>
        <stp>STK</stp>
        <stp>N121600</stp>
        <stp>체결시간</stp>
        <stp/>
        <stp/>
        <tr r="S416" s="1"/>
      </tp>
      <tp t="e">
        <v>#N/A</v>
        <stp/>
        <stp>P</stp>
        <stp>0</stp>
        <stp>STK</stp>
        <stp>N051600</stp>
        <stp>체결시간</stp>
        <stp/>
        <stp/>
        <tr r="S142" s="3"/>
        <tr r="S166" s="1"/>
      </tp>
      <tp t="e">
        <v>#N/A</v>
        <stp/>
        <stp>P</stp>
        <stp>0</stp>
        <stp>STK</stp>
        <stp>N041190</stp>
        <stp>체결시간</stp>
        <stp/>
        <stp/>
        <tr r="S425" s="1"/>
      </tp>
      <tp t="e">
        <v>#N/A</v>
        <stp/>
        <stp>P</stp>
        <stp>0</stp>
        <stp>STK</stp>
        <stp>N101160</stp>
        <stp>체결시간</stp>
        <stp/>
        <stp/>
        <tr r="S558" s="1"/>
      </tp>
      <tp t="e">
        <v>#N/A</v>
        <stp/>
        <stp>P</stp>
        <stp>0</stp>
        <stp>STK</stp>
        <stp>N011170</stp>
        <stp>체결시간</stp>
        <stp/>
        <stp/>
        <tr r="S149" s="1"/>
        <tr r="S126" s="3"/>
      </tp>
      <tp t="e">
        <v>#N/A</v>
        <stp/>
        <stp>P</stp>
        <stp>0</stp>
        <stp>STK</stp>
        <stp>N001130</stp>
        <stp>체결시간</stp>
        <stp/>
        <stp/>
        <tr r="S680" s="1"/>
        <tr r="S375" s="3"/>
      </tp>
      <tp t="e">
        <v>#N/A</v>
        <stp/>
        <stp>P</stp>
        <stp>0</stp>
        <stp>STK</stp>
        <stp>N001120</stp>
        <stp>체결시간</stp>
        <stp/>
        <stp/>
        <tr r="S257" s="1"/>
        <tr r="S201" s="3"/>
      </tp>
      <tp t="e">
        <v>#N/A</v>
        <stp/>
        <stp>P</stp>
        <stp>0</stp>
        <stp>STK</stp>
        <stp>N141080</stp>
        <stp>체결시간</stp>
        <stp/>
        <stp/>
        <tr r="S105" s="1"/>
      </tp>
      <tp t="e">
        <v>#N/A</v>
        <stp/>
        <stp>P</stp>
        <stp>0</stp>
        <stp>STK</stp>
        <stp>N061090</stp>
        <stp>체결시간</stp>
        <stp/>
        <stp/>
        <tr r="S679" s="1"/>
      </tp>
      <tp t="e">
        <v>#N/A</v>
        <stp/>
        <stp>P</stp>
        <stp>0</stp>
        <stp>STK</stp>
        <stp>N171090</stp>
        <stp>체결시간</stp>
        <stp/>
        <stp/>
        <tr r="S456" s="1"/>
      </tp>
      <tp t="e">
        <v>#N/A</v>
        <stp/>
        <stp>P</stp>
        <stp>0</stp>
        <stp>STK</stp>
        <stp>N011070</stp>
        <stp>체결시간</stp>
        <stp/>
        <stp/>
        <tr r="S88" s="3"/>
        <tr r="S94" s="1"/>
      </tp>
      <tp t="e">
        <v>#N/A</v>
        <stp/>
        <stp>P</stp>
        <stp>0</stp>
        <stp>STK</stp>
        <stp>N211050</stp>
        <stp>체결시간</stp>
        <stp/>
        <stp/>
        <tr r="S421" s="1"/>
      </tp>
      <tp t="e">
        <v>#N/A</v>
        <stp/>
        <stp>P</stp>
        <stp>0</stp>
        <stp>STK</stp>
        <stp>N001060</stp>
        <stp>체결시간</stp>
        <stp/>
        <stp/>
        <tr r="S407" s="1"/>
        <tr r="S271" s="3"/>
      </tp>
      <tp t="e">
        <v>#N/A</v>
        <stp/>
        <stp>P</stp>
        <stp>0</stp>
        <stp>STK</stp>
        <stp>N071050</stp>
        <stp>체결시간</stp>
        <stp/>
        <stp/>
        <tr r="S70" s="1"/>
        <tr r="S68" s="3"/>
      </tp>
      <tp t="e">
        <v>#N/A</v>
        <stp/>
        <stp>P</stp>
        <stp>0</stp>
        <stp>STK</stp>
        <stp>N001040</stp>
        <stp>체결시간</stp>
        <stp/>
        <stp/>
        <tr r="S102" s="1"/>
        <tr r="S96" s="3"/>
      </tp>
      <tp t="e">
        <v>#N/A</v>
        <stp/>
        <stp>P</stp>
        <stp>0</stp>
        <stp>STK</stp>
        <stp>N481070</stp>
        <stp>체결시간</stp>
        <stp/>
        <stp/>
        <tr r="S588" s="1"/>
      </tp>
      <tp t="e">
        <v>#N/A</v>
        <stp/>
        <stp>P</stp>
        <stp>0</stp>
        <stp>STK</stp>
        <stp>N161000</stp>
        <stp>체결시간</stp>
        <stp/>
        <stp/>
        <tr r="S308" s="3"/>
        <tr r="S521" s="1"/>
      </tp>
      <tp t="e">
        <v>#N/A</v>
        <stp/>
        <stp>P</stp>
        <stp>0</stp>
        <stp>STK</stp>
        <stp>N161390</stp>
        <stp>체결시간</stp>
        <stp/>
        <stp/>
        <tr r="S81" s="1"/>
        <tr r="S77" s="3"/>
      </tp>
      <tp t="e">
        <v>#N/A</v>
        <stp/>
        <stp>P</stp>
        <stp>0</stp>
        <stp>STK</stp>
        <stp>N101360</stp>
        <stp>체결시간</stp>
        <stp/>
        <stp/>
        <tr r="S597" s="1"/>
      </tp>
      <tp t="e">
        <v>#N/A</v>
        <stp/>
        <stp>P</stp>
        <stp>0</stp>
        <stp>STK</stp>
        <stp>N051360</stp>
        <stp>체결시간</stp>
        <stp/>
        <stp/>
        <tr r="S672" s="1"/>
      </tp>
      <tp t="e">
        <v>#N/A</v>
        <stp/>
        <stp>P</stp>
        <stp>0</stp>
        <stp>STK</stp>
        <stp>N071320</stp>
        <stp>체결시간</stp>
        <stp/>
        <stp/>
        <tr r="S271" s="1"/>
        <tr r="S209" s="3"/>
      </tp>
      <tp t="e">
        <v>#N/A</v>
        <stp/>
        <stp>P</stp>
        <stp>0</stp>
        <stp>STK</stp>
        <stp>N131290</stp>
        <stp>체결시간</stp>
        <stp/>
        <stp/>
        <tr r="S343" s="1"/>
      </tp>
      <tp t="e">
        <v>#N/A</v>
        <stp/>
        <stp>P</stp>
        <stp>0</stp>
        <stp>STK</stp>
        <stp>N001270</stp>
        <stp>체결시간</stp>
        <stp/>
        <stp/>
        <tr r="S274" s="3"/>
        <tr r="S412" s="1"/>
      </tp>
      <tp t="e">
        <v>#N/A</v>
        <stp/>
        <stp>P</stp>
        <stp>0</stp>
        <stp>STK</stp>
        <stp>N251270</stp>
        <stp>체결시간</stp>
        <stp/>
        <stp/>
        <tr r="S120" s="1"/>
        <tr r="S108" s="3"/>
      </tp>
      <tp t="e">
        <v>#N/A</v>
        <stp/>
        <stp>P</stp>
        <stp>0</stp>
        <stp>STK</stp>
        <stp>N021240</stp>
        <stp>체결시간</stp>
        <stp/>
        <stp/>
        <tr r="S95" s="3"/>
        <tr r="S103" s="1"/>
      </tp>
      <tp t="e">
        <v>#N/A</v>
        <stp/>
        <stp>P</stp>
        <stp>0</stp>
        <stp>STK</stp>
        <stp>N441270</stp>
        <stp>체결시간</stp>
        <stp/>
        <stp/>
        <tr r="S569" s="1"/>
      </tp>
      <tp t="e">
        <v>#N/A</v>
        <stp/>
        <stp>P</stp>
        <stp>0</stp>
        <stp>STK</stp>
        <stp>N011210</stp>
        <stp>체결시간</stp>
        <stp/>
        <stp/>
        <tr r="S164" s="1"/>
        <tr r="S146" s="3"/>
      </tp>
      <tp t="e">
        <v>#N/A</v>
        <stp/>
        <stp>P</stp>
        <stp>0</stp>
        <stp>STK</stp>
        <stp>N031210</stp>
        <stp>체결시간</stp>
        <stp/>
        <stp/>
        <tr r="S123" s="3"/>
        <tr r="S140" s="1"/>
      </tp>
      <tp t="e">
        <v>#N/A</v>
        <stp/>
        <stp>P</stp>
        <stp>0</stp>
        <stp>STK</stp>
        <stp>N011200</stp>
        <stp>체결시간</stp>
        <stp/>
        <stp/>
        <tr r="S43" s="1"/>
        <tr r="S42" s="3"/>
      </tp>
      <tp t="e">
        <v>#N/A</v>
        <stp/>
        <stp>P</stp>
        <stp>0</stp>
        <stp>STK</stp>
        <stp>N199800</stp>
        <stp>세션명</stp>
        <stp/>
        <stp/>
        <tr r="R471" s="1"/>
      </tp>
      <tp t="e">
        <v>#N/A</v>
        <stp/>
        <stp>P</stp>
        <stp>0</stp>
        <stp>STK</stp>
        <stp>N199430</stp>
        <stp>세션명</stp>
        <stp/>
        <stp/>
        <tr r="R485" s="1"/>
      </tp>
      <tp t="e">
        <v>#N/A</v>
        <stp/>
        <stp>P</stp>
        <stp>0</stp>
        <stp>STK</stp>
        <stp>N499790</stp>
        <stp>세션명</stp>
        <stp/>
        <stp/>
        <tr r="R237" s="3"/>
        <tr r="R359" s="1"/>
      </tp>
      <tp t="e">
        <v>#N/A</v>
        <stp/>
        <stp>P</stp>
        <stp>0</stp>
        <stp>STK</stp>
        <stp>N399720</stp>
        <stp>세션명</stp>
        <stp/>
        <stp/>
        <tr r="R383" s="1"/>
      </tp>
      <tp t="e">
        <v>#N/A</v>
        <stp/>
        <stp>P</stp>
        <stp>0</stp>
        <stp>STK</stp>
        <stp>N299030</stp>
        <stp>세션명</stp>
        <stp/>
        <stp/>
        <tr r="R691" s="1"/>
      </tp>
      <tp t="e">
        <v>#N/A</v>
        <stp/>
        <stp>P</stp>
        <stp>0</stp>
        <stp>STK</stp>
        <stp>N099190</stp>
        <stp>세션명</stp>
        <stp/>
        <stp/>
        <tr r="R529" s="1"/>
      </tp>
      <tp t="e">
        <v>#N/A</v>
        <stp/>
        <stp>P</stp>
        <stp>0</stp>
        <stp>STK</stp>
        <stp>N098460</stp>
        <stp>세션명</stp>
        <stp/>
        <stp/>
        <tr r="R202" s="1"/>
      </tp>
      <tp t="e">
        <v>#N/A</v>
        <stp/>
        <stp>P</stp>
        <stp>0</stp>
        <stp>STK</stp>
        <stp>N098070</stp>
        <stp>세션명</stp>
        <stp/>
        <stp/>
        <tr r="R510" s="1"/>
      </tp>
      <tp t="e">
        <v>#N/A</v>
        <stp/>
        <stp>P</stp>
        <stp>0</stp>
        <stp>STK</stp>
        <stp>N298050</stp>
        <stp>세션명</stp>
        <stp/>
        <stp/>
        <tr r="R233" s="3"/>
        <tr r="R318" s="1"/>
      </tp>
      <tp t="e">
        <v>#N/A</v>
        <stp/>
        <stp>P</stp>
        <stp>0</stp>
        <stp>STK</stp>
        <stp>N298040</stp>
        <stp>세션명</stp>
        <stp/>
        <stp/>
        <tr r="R36" s="3"/>
        <tr r="R37" s="1"/>
      </tp>
      <tp t="e">
        <v>#N/A</v>
        <stp/>
        <stp>P</stp>
        <stp>0</stp>
        <stp>STK</stp>
        <stp>N298020</stp>
        <stp>세션명</stp>
        <stp/>
        <stp/>
        <tr r="R231" s="1"/>
        <tr r="R188" s="3"/>
      </tp>
      <tp t="e">
        <v>#N/A</v>
        <stp/>
        <stp>P</stp>
        <stp>0</stp>
        <stp>STK</stp>
        <stp>N298380</stp>
        <stp>세션명</stp>
        <stp/>
        <stp/>
        <tr r="R73" s="1"/>
      </tp>
      <tp t="e">
        <v>#N/A</v>
        <stp/>
        <stp>P</stp>
        <stp>0</stp>
        <stp>STK</stp>
        <stp>N293490</stp>
        <stp>세션명</stp>
        <stp/>
        <stp/>
        <tr r="R273" s="1"/>
      </tp>
      <tp t="e">
        <v>#N/A</v>
        <stp/>
        <stp>P</stp>
        <stp>0</stp>
        <stp>STK</stp>
        <stp>N093520</stp>
        <stp>세션명</stp>
        <stp/>
        <stp/>
        <tr r="R627" s="1"/>
      </tp>
      <tp t="e">
        <v>#N/A</v>
        <stp/>
        <stp>P</stp>
        <stp>0</stp>
        <stp>STK</stp>
        <stp>N093050</stp>
        <stp>세션명</stp>
        <stp/>
        <stp/>
        <tr r="R293" s="3"/>
        <tr r="R468" s="1"/>
      </tp>
      <tp t="e">
        <v>#N/A</v>
        <stp/>
        <stp>P</stp>
        <stp>0</stp>
        <stp>STK</stp>
        <stp>N093370</stp>
        <stp>세션명</stp>
        <stp/>
        <stp/>
        <tr r="R355" s="1"/>
        <tr r="R240" s="3"/>
      </tp>
      <tp t="e">
        <v>#N/A</v>
        <stp/>
        <stp>P</stp>
        <stp>0</stp>
        <stp>STK</stp>
        <stp>N093320</stp>
        <stp>세션명</stp>
        <stp/>
        <stp/>
        <tr r="R429" s="1"/>
      </tp>
      <tp t="e">
        <v>#N/A</v>
        <stp/>
        <stp>P</stp>
        <stp>0</stp>
        <stp>STK</stp>
        <stp>N192820</stp>
        <stp>세션명</stp>
        <stp/>
        <stp/>
        <tr r="R205" s="1"/>
        <tr r="R161" s="3"/>
      </tp>
      <tp t="e">
        <v>#N/A</v>
        <stp/>
        <stp>P</stp>
        <stp>0</stp>
        <stp>STK</stp>
        <stp>N092460</stp>
        <stp>세션명</stp>
        <stp/>
        <stp/>
        <tr r="R640" s="1"/>
      </tp>
      <tp t="e">
        <v>#N/A</v>
        <stp/>
        <stp>P</stp>
        <stp>0</stp>
        <stp>STK</stp>
        <stp>N192400</stp>
        <stp>세션명</stp>
        <stp/>
        <stp/>
        <tr r="R232" s="3"/>
        <tr r="R320" s="1"/>
      </tp>
      <tp t="e">
        <v>#N/A</v>
        <stp/>
        <stp>P</stp>
        <stp>0</stp>
        <stp>STK</stp>
        <stp>N092790</stp>
        <stp>세션명</stp>
        <stp/>
        <stp/>
        <tr r="R351" s="3"/>
        <tr r="R607" s="1"/>
      </tp>
      <tp t="e">
        <v>#N/A</v>
        <stp/>
        <stp>P</stp>
        <stp>0</stp>
        <stp>STK</stp>
        <stp>N092730</stp>
        <stp>세션명</stp>
        <stp/>
        <stp/>
        <tr r="R645" s="1"/>
      </tp>
      <tp t="e">
        <v>#N/A</v>
        <stp/>
        <stp>P</stp>
        <stp>0</stp>
        <stp>STK</stp>
        <stp>N192080</stp>
        <stp>세션명</stp>
        <stp/>
        <stp/>
        <tr r="R221" s="3"/>
        <tr r="R298" s="1"/>
      </tp>
      <tp t="e">
        <v>#N/A</v>
        <stp/>
        <stp>P</stp>
        <stp>0</stp>
        <stp>STK</stp>
        <stp>N092230</stp>
        <stp>세션명</stp>
        <stp/>
        <stp/>
        <tr r="R615" s="1"/>
        <tr r="R352" s="3"/>
      </tp>
      <tp t="e">
        <v>#N/A</v>
        <stp/>
        <stp>P</stp>
        <stp>0</stp>
        <stp>STK</stp>
        <stp>N090460</stp>
        <stp>세션명</stp>
        <stp/>
        <stp/>
        <tr r="R283" s="3"/>
        <tr r="R455" s="1"/>
      </tp>
      <tp t="e">
        <v>#N/A</v>
        <stp/>
        <stp>P</stp>
        <stp>0</stp>
        <stp>STK</stp>
        <stp>N090430</stp>
        <stp>세션명</stp>
        <stp/>
        <stp/>
        <tr r="R84" s="3"/>
        <tr r="R90" s="1"/>
      </tp>
      <tp t="e">
        <v>#N/A</v>
        <stp/>
        <stp>P</stp>
        <stp>0</stp>
        <stp>STK</stp>
        <stp>N190510</stp>
        <stp>세션명</stp>
        <stp/>
        <stp/>
        <tr r="R579" s="1"/>
      </tp>
      <tp t="e">
        <v>#N/A</v>
        <stp/>
        <stp>P</stp>
        <stp>0</stp>
        <stp>STK</stp>
        <stp>N290650</stp>
        <stp>세션명</stp>
        <stp/>
        <stp/>
        <tr r="R266" s="1"/>
      </tp>
      <tp t="e">
        <v>#N/A</v>
        <stp/>
        <stp>P</stp>
        <stp>0</stp>
        <stp>STK</stp>
        <stp>N090360</stp>
        <stp>세션명</stp>
        <stp/>
        <stp/>
        <tr r="R329" s="1"/>
      </tp>
      <tp t="e">
        <v>#N/A</v>
        <stp/>
        <stp>P</stp>
        <stp>0</stp>
        <stp>STK</stp>
        <stp>N097950</stp>
        <stp>세션명</stp>
        <stp/>
        <stp/>
        <tr r="R128" s="3"/>
        <tr r="R147" s="1"/>
      </tp>
      <tp t="e">
        <v>#N/A</v>
        <stp/>
        <stp>P</stp>
        <stp>0</stp>
        <stp>STK</stp>
        <stp>N097520</stp>
        <stp>세션명</stp>
        <stp/>
        <stp/>
        <tr r="R287" s="3"/>
        <tr r="R447" s="1"/>
      </tp>
      <tp t="e">
        <v>#N/A</v>
        <stp/>
        <stp>P</stp>
        <stp>0</stp>
        <stp>STK</stp>
        <stp>N397030</stp>
        <stp>세션명</stp>
        <stp/>
        <stp/>
        <tr r="R293" s="1"/>
      </tp>
      <tp t="e">
        <v>#N/A</v>
        <stp/>
        <stp>P</stp>
        <stp>0</stp>
        <stp>STK</stp>
        <stp>N097230</stp>
        <stp>세션명</stp>
        <stp/>
        <stp/>
        <tr r="R164" s="3"/>
        <tr r="R195" s="1"/>
      </tp>
      <tp t="e">
        <v>#N/A</v>
        <stp/>
        <stp>P</stp>
        <stp>0</stp>
        <stp>STK</stp>
        <stp>N096530</stp>
        <stp>세션명</stp>
        <stp/>
        <stp/>
        <tr r="R275" s="1"/>
      </tp>
      <tp t="e">
        <v>#N/A</v>
        <stp/>
        <stp>P</stp>
        <stp>0</stp>
        <stp>STK</stp>
        <stp>N096770</stp>
        <stp>세션명</stp>
        <stp/>
        <stp/>
        <tr r="R47" s="1"/>
        <tr r="R45" s="3"/>
      </tp>
      <tp t="e">
        <v>#N/A</v>
        <stp/>
        <stp>P</stp>
        <stp>0</stp>
        <stp>STK</stp>
        <stp>N196170</stp>
        <stp>세션명</stp>
        <stp/>
        <stp/>
        <tr r="R42" s="1"/>
      </tp>
      <tp t="e">
        <v>#N/A</v>
        <stp/>
        <stp>P</stp>
        <stp>0</stp>
        <stp>STK</stp>
        <stp>N195870</stp>
        <stp>세션명</stp>
        <stp/>
        <stp/>
        <tr r="R332" s="1"/>
        <tr r="R236" s="3"/>
      </tp>
      <tp t="e">
        <v>#N/A</v>
        <stp/>
        <stp>P</stp>
        <stp>0</stp>
        <stp>STK</stp>
        <stp>N195940</stp>
        <stp>세션명</stp>
        <stp/>
        <stp/>
        <tr r="R262" s="1"/>
      </tp>
      <tp t="e">
        <v>#N/A</v>
        <stp/>
        <stp>P</stp>
        <stp>0</stp>
        <stp>STK</stp>
        <stp>N095500</stp>
        <stp>세션명</stp>
        <stp/>
        <stp/>
        <tr r="R596" s="1"/>
      </tp>
      <tp t="e">
        <v>#N/A</v>
        <stp/>
        <stp>P</stp>
        <stp>0</stp>
        <stp>STK</stp>
        <stp>N095660</stp>
        <stp>세션명</stp>
        <stp/>
        <stp/>
        <tr r="R445" s="1"/>
      </tp>
      <tp t="e">
        <v>#N/A</v>
        <stp/>
        <stp>P</stp>
        <stp>0</stp>
        <stp>STK</stp>
        <stp>N095610</stp>
        <stp>세션명</stp>
        <stp/>
        <stp/>
        <tr r="R319" s="1"/>
      </tp>
      <tp t="e">
        <v>#N/A</v>
        <stp/>
        <stp>P</stp>
        <stp>0</stp>
        <stp>STK</stp>
        <stp>N095340</stp>
        <stp>세션명</stp>
        <stp/>
        <stp/>
        <tr r="R198" s="1"/>
      </tp>
      <tp t="e">
        <v>#N/A</v>
        <stp/>
        <stp>P</stp>
        <stp>0</stp>
        <stp>STK</stp>
        <stp>N295310</stp>
        <stp>세션명</stp>
        <stp/>
        <stp/>
        <tr r="R305" s="1"/>
      </tp>
      <tp t="e">
        <v>#N/A</v>
        <stp/>
        <stp>P</stp>
        <stp>0</stp>
        <stp>STK</stp>
        <stp>N294870</stp>
        <stp>세션명</stp>
        <stp/>
        <stp/>
        <tr r="R202" s="3"/>
        <tr r="R264" s="1"/>
      </tp>
      <tp t="e">
        <v>#N/A</v>
        <stp/>
        <stp>P</stp>
        <stp>0</stp>
        <stp>STK</stp>
        <stp>N394800</stp>
        <stp>세션명</stp>
        <stp/>
        <stp/>
        <tr r="R495" s="1"/>
      </tp>
      <tp t="e">
        <v>#N/A</v>
        <stp/>
        <stp>P</stp>
        <stp>0</stp>
        <stp>STK</stp>
        <stp>N194480</stp>
        <stp>세션명</stp>
        <stp/>
        <stp/>
        <tr r="R534" s="1"/>
      </tp>
      <tp t="e">
        <v>#N/A</v>
        <stp/>
        <stp>P</stp>
        <stp>0</stp>
        <stp>STK</stp>
        <stp>N094480</stp>
        <stp>세션명</stp>
        <stp/>
        <stp/>
        <tr r="R564" s="1"/>
      </tp>
      <tp t="e">
        <v>#N/A</v>
        <stp/>
        <stp>P</stp>
        <stp>0</stp>
        <stp>STK</stp>
        <stp>N294570</stp>
        <stp>세션명</stp>
        <stp/>
        <stp/>
        <tr r="R647" s="1"/>
      </tp>
      <tp t="e">
        <v>#N/A</v>
        <stp/>
        <stp>P</stp>
        <stp>0</stp>
        <stp>STK</stp>
        <stp>N194700</stp>
        <stp>세션명</stp>
        <stp/>
        <stp/>
        <tr r="R668" s="1"/>
      </tp>
      <tp t="e">
        <v>#N/A</v>
        <stp/>
        <stp>P</stp>
        <stp>0</stp>
        <stp>STK</stp>
        <stp>N094170</stp>
        <stp>세션명</stp>
        <stp/>
        <stp/>
        <tr r="R436" s="1"/>
      </tp>
      <tp t="e">
        <v>#N/A</v>
        <stp/>
        <stp>P</stp>
        <stp>0</stp>
        <stp>STK</stp>
        <stp>N494120</stp>
        <stp>세션명</stp>
        <stp/>
        <stp/>
        <tr r="R526" s="1"/>
      </tp>
      <tp t="e">
        <v>#N/A</v>
        <stp/>
        <stp>P</stp>
        <stp>0</stp>
        <stp>STK</stp>
        <stp>N394280</stp>
        <stp>세션명</stp>
        <stp/>
        <stp/>
        <tr r="R624" s="1"/>
      </tp>
      <tp t="e">
        <v>#N/A</v>
        <stp/>
        <stp>P</stp>
        <stp>0</stp>
        <stp>STK</stp>
        <stp>N094360</stp>
        <stp>세션명</stp>
        <stp/>
        <stp/>
        <tr r="R556" s="1"/>
      </tp>
      <tp t="e">
        <v>#N/A</v>
        <stp/>
        <stp>P</stp>
        <stp>0</stp>
        <stp>STK</stp>
        <stp>N194370</stp>
        <stp>세션명</stp>
        <stp/>
        <stp/>
        <tr r="R599" s="1"/>
        <tr r="R347" s="3"/>
      </tp>
      <tp t="e">
        <v>#N/A</v>
        <stp/>
        <stp>P</stp>
        <stp>0</stp>
        <stp>STK</stp>
        <stp>N000990</stp>
        <stp>체결시간</stp>
        <stp/>
        <stp/>
        <tr r="S125" s="1"/>
        <tr r="S113" s="3"/>
      </tp>
      <tp t="e">
        <v>#N/A</v>
        <stp/>
        <stp>P</stp>
        <stp>0</stp>
        <stp>STK</stp>
        <stp>N110990</stp>
        <stp>체결시간</stp>
        <stp/>
        <stp/>
        <tr r="S583" s="1"/>
      </tp>
      <tp t="e">
        <v>#N/A</v>
        <stp/>
        <stp>P</stp>
        <stp>0</stp>
        <stp>STK</stp>
        <stp>N060980</stp>
        <stp>체결시간</stp>
        <stp/>
        <stp/>
        <tr r="S312" s="3"/>
        <tr r="S505" s="1"/>
      </tp>
      <tp t="e">
        <v>#N/A</v>
        <stp/>
        <stp>P</stp>
        <stp>0</stp>
        <stp>STK</stp>
        <stp>N460930</stp>
        <stp>체결시간</stp>
        <stp/>
        <stp/>
        <tr r="S396" s="1"/>
      </tp>
      <tp t="e">
        <v>#N/A</v>
        <stp/>
        <stp>P</stp>
        <stp>0</stp>
        <stp>STK</stp>
        <stp>N010950</stp>
        <stp>체결시간</stp>
        <stp/>
        <stp/>
        <tr r="S66" s="3"/>
        <tr r="S69" s="1"/>
      </tp>
      <tp t="e">
        <v>#N/A</v>
        <stp/>
        <stp>P</stp>
        <stp>0</stp>
        <stp>STK</stp>
        <stp>N450950</stp>
        <stp>체결시간</stp>
        <stp/>
        <stp/>
        <tr r="S498" s="1"/>
      </tp>
      <tp t="e">
        <v>#N/A</v>
        <stp/>
        <stp>P</stp>
        <stp>0</stp>
        <stp>STK</stp>
        <stp>N170900</stp>
        <stp>체결시간</stp>
        <stp/>
        <stp/>
        <tr r="S496" s="1"/>
        <tr r="S310" s="3"/>
      </tp>
      <tp t="e">
        <v>#N/A</v>
        <stp/>
        <stp>P</stp>
        <stp>0</stp>
        <stp>STK</stp>
        <stp>N0009K0</stp>
        <stp>체결시간</stp>
        <stp/>
        <stp/>
        <tr r="S143" s="1"/>
      </tp>
      <tp t="e">
        <v>#N/A</v>
        <stp/>
        <stp>P</stp>
        <stp>0</stp>
        <stp>STK</stp>
        <stp>N200880</stp>
        <stp>체결시간</stp>
        <stp/>
        <stp/>
        <tr r="S503" s="1"/>
        <tr r="S317" s="3"/>
      </tp>
      <tp t="e">
        <v>#N/A</v>
        <stp/>
        <stp>P</stp>
        <stp>0</stp>
        <stp>STK</stp>
        <stp>N050890</stp>
        <stp>체결시간</stp>
        <stp/>
        <stp/>
        <tr r="S493" s="1"/>
      </tp>
      <tp t="e">
        <v>#N/A</v>
        <stp/>
        <stp>P</stp>
        <stp>0</stp>
        <stp>STK</stp>
        <stp>N000880</stp>
        <stp>체결시간</stp>
        <stp/>
        <stp/>
        <tr r="S76" s="1"/>
        <tr r="S74" s="3"/>
      </tp>
      <tp t="e">
        <v>#N/A</v>
        <stp/>
        <stp>P</stp>
        <stp>0</stp>
        <stp>STK</stp>
        <stp>N140860</stp>
        <stp>체결시간</stp>
        <stp/>
        <stp/>
        <tr r="S238" s="1"/>
      </tp>
      <tp t="e">
        <v>#N/A</v>
        <stp/>
        <stp>P</stp>
        <stp>0</stp>
        <stp>STK</stp>
        <stp>N100840</stp>
        <stp>체결시간</stp>
        <stp/>
        <stp/>
        <tr r="S245" s="3"/>
        <tr r="S347" s="1"/>
      </tp>
      <tp t="e">
        <v>#N/A</v>
        <stp/>
        <stp>P</stp>
        <stp>0</stp>
        <stp>STK</stp>
        <stp>N240810</stp>
        <stp>체결시간</stp>
        <stp/>
        <stp/>
        <tr r="S130" s="1"/>
      </tp>
      <tp t="e">
        <v>#N/A</v>
        <stp/>
        <stp>P</stp>
        <stp>0</stp>
        <stp>STK</stp>
        <stp>N460860</stp>
        <stp>체결시간</stp>
        <stp/>
        <stp/>
        <tr r="S533" s="1"/>
        <tr r="S319" s="3"/>
      </tp>
      <tp t="e">
        <v>#N/A</v>
        <stp/>
        <stp>P</stp>
        <stp>0</stp>
        <stp>STK</stp>
        <stp>N000810</stp>
        <stp>체결시간</stp>
        <stp/>
        <stp/>
        <tr r="S35" s="3"/>
        <tr r="S35" s="1"/>
      </tp>
      <tp t="e">
        <v>#N/A</v>
        <stp/>
        <stp>P</stp>
        <stp>0</stp>
        <stp>STK</stp>
        <stp>N0008Z0</stp>
        <stp>체결시간</stp>
        <stp/>
        <stp/>
        <tr r="S610" s="1"/>
      </tp>
      <tp t="e">
        <v>#N/A</v>
        <stp/>
        <stp>P</stp>
        <stp>0</stp>
        <stp>STK</stp>
        <stp>N380550</stp>
        <stp>체결시간</stp>
        <stp/>
        <stp/>
        <tr r="S660" s="1"/>
      </tp>
      <tp t="e">
        <v>#N/A</v>
        <stp/>
        <stp>P</stp>
        <stp>0</stp>
        <stp>STK</stp>
        <stp>N020560</stp>
        <stp>체결시간</stp>
        <stp/>
        <stp/>
        <tr r="S192" s="3"/>
        <tr r="S243" s="1"/>
      </tp>
      <tp t="e">
        <v>#N/A</v>
        <stp/>
        <stp>P</stp>
        <stp>0</stp>
        <stp>STK</stp>
        <stp>N340570</stp>
        <stp>체결시간</stp>
        <stp/>
        <stp/>
        <tr r="S572" s="1"/>
      </tp>
      <tp t="e">
        <v>#N/A</v>
        <stp/>
        <stp>P</stp>
        <stp>0</stp>
        <stp>STK</stp>
        <stp>N030530</stp>
        <stp>체결시간</stp>
        <stp/>
        <stp/>
        <tr r="S146" s="1"/>
      </tp>
      <tp t="e">
        <v>#N/A</v>
        <stp/>
        <stp>P</stp>
        <stp>0</stp>
        <stp>STK</stp>
        <stp>N030520</stp>
        <stp>체결시간</stp>
        <stp/>
        <stp/>
        <tr r="S454" s="1"/>
      </tp>
      <tp t="e">
        <v>#N/A</v>
        <stp/>
        <stp>P</stp>
        <stp>0</stp>
        <stp>STK</stp>
        <stp>N190510</stp>
        <stp>체결시간</stp>
        <stp/>
        <stp/>
        <tr r="S579" s="1"/>
      </tp>
      <tp t="e">
        <v>#N/A</v>
        <stp/>
        <stp>P</stp>
        <stp>0</stp>
        <stp>STK</stp>
        <stp>N000500</stp>
        <stp>체결시간</stp>
        <stp/>
        <stp/>
        <tr r="S249" s="1"/>
        <tr r="S196" s="3"/>
      </tp>
      <tp t="e">
        <v>#N/A</v>
        <stp/>
        <stp>P</stp>
        <stp>0</stp>
        <stp>STK</stp>
        <stp>N000490</stp>
        <stp>체결시간</stp>
        <stp/>
        <stp/>
        <tr r="S628" s="1"/>
        <tr r="S360" s="3"/>
      </tp>
      <tp t="e">
        <v>#N/A</v>
        <stp/>
        <stp>P</stp>
        <stp>0</stp>
        <stp>STK</stp>
        <stp>N090460</stp>
        <stp>체결시간</stp>
        <stp/>
        <stp/>
        <tr r="S283" s="3"/>
        <tr r="S455" s="1"/>
      </tp>
      <tp t="e">
        <v>#N/A</v>
        <stp/>
        <stp>P</stp>
        <stp>0</stp>
        <stp>STK</stp>
        <stp>N090430</stp>
        <stp>체결시간</stp>
        <stp/>
        <stp/>
        <tr r="S84" s="3"/>
        <tr r="S90" s="1"/>
      </tp>
      <tp t="e">
        <v>#N/A</v>
        <stp/>
        <stp>P</stp>
        <stp>0</stp>
        <stp>STK</stp>
        <stp>N140410</stp>
        <stp>체결시간</stp>
        <stp/>
        <stp/>
        <tr r="S151" s="1"/>
      </tp>
      <tp t="e">
        <v>#N/A</v>
        <stp/>
        <stp>P</stp>
        <stp>0</stp>
        <stp>STK</stp>
        <stp>N100790</stp>
        <stp>체결시간</stp>
        <stp/>
        <stp/>
        <tr r="S390" s="1"/>
      </tp>
      <tp t="e">
        <v>#N/A</v>
        <stp/>
        <stp>P</stp>
        <stp>0</stp>
        <stp>STK</stp>
        <stp>N010780</stp>
        <stp>체결시간</stp>
        <stp/>
        <stp/>
        <tr r="S395" s="1"/>
        <tr r="S266" s="3"/>
      </tp>
      <tp t="e">
        <v>#N/A</v>
        <stp/>
        <stp>P</stp>
        <stp>0</stp>
        <stp>STK</stp>
        <stp>N200710</stp>
        <stp>체결시간</stp>
        <stp/>
        <stp/>
        <tr r="S491" s="1"/>
      </tp>
      <tp t="e">
        <v>#N/A</v>
        <stp/>
        <stp>P</stp>
        <stp>0</stp>
        <stp>STK</stp>
        <stp>N420770</stp>
        <stp>체결시간</stp>
        <stp/>
        <stp/>
        <tr r="S384" s="1"/>
      </tp>
      <tp t="e">
        <v>#N/A</v>
        <stp/>
        <stp>P</stp>
        <stp>0</stp>
        <stp>STK</stp>
        <stp>N000720</stp>
        <stp>체결시간</stp>
        <stp/>
        <stp/>
        <tr r="S65" s="1"/>
        <tr r="S63" s="3"/>
      </tp>
      <tp t="e">
        <v>#N/A</v>
        <stp/>
        <stp>P</stp>
        <stp>0</stp>
        <stp>STK</stp>
        <stp>N060720</stp>
        <stp>체결시간</stp>
        <stp/>
        <stp/>
        <tr r="S570" s="1"/>
      </tp>
      <tp t="e">
        <v>#N/A</v>
        <stp/>
        <stp>P</stp>
        <stp>0</stp>
        <stp>STK</stp>
        <stp>N300720</stp>
        <stp>체결시간</stp>
        <stp/>
        <stp/>
        <tr r="S279" s="1"/>
        <tr r="S211" s="3"/>
      </tp>
      <tp t="e">
        <v>#N/A</v>
        <stp/>
        <stp>P</stp>
        <stp>0</stp>
        <stp>STK</stp>
        <stp>N0007C0</stp>
        <stp>체결시간</stp>
        <stp/>
        <stp/>
        <tr r="S685" s="1"/>
      </tp>
      <tp t="e">
        <v>#N/A</v>
        <stp/>
        <stp>P</stp>
        <stp>0</stp>
        <stp>STK</stp>
        <stp>N010690</stp>
        <stp>체결시간</stp>
        <stp/>
        <stp/>
        <tr r="S560" s="1"/>
        <tr r="S335" s="3"/>
      </tp>
      <tp t="e">
        <v>#N/A</v>
        <stp/>
        <stp>P</stp>
        <stp>0</stp>
        <stp>STK</stp>
        <stp>N290650</stp>
        <stp>체결시간</stp>
        <stp/>
        <stp/>
        <tr r="S266" s="1"/>
      </tp>
      <tp t="e">
        <v>#N/A</v>
        <stp/>
        <stp>P</stp>
        <stp>0</stp>
        <stp>STK</stp>
        <stp>N000670</stp>
        <stp>체결시간</stp>
        <stp/>
        <stp/>
        <tr r="S231" s="3"/>
        <tr r="S321" s="1"/>
      </tp>
      <tp t="e">
        <v>#N/A</v>
        <stp/>
        <stp>P</stp>
        <stp>0</stp>
        <stp>STK</stp>
        <stp>N130660</stp>
        <stp>체결시간</stp>
        <stp/>
        <stp/>
        <tr r="S518" s="1"/>
        <tr r="S321" s="3"/>
      </tp>
      <tp t="e">
        <v>#N/A</v>
        <stp/>
        <stp>P</stp>
        <stp>0</stp>
        <stp>STK</stp>
        <stp>N000660</stp>
        <stp>체결시간</stp>
        <stp/>
        <stp/>
        <tr r="S7" s="1"/>
        <tr r="S7" s="3"/>
      </tp>
      <tp t="e">
        <v>#N/A</v>
        <stp/>
        <stp>P</stp>
        <stp>0</stp>
        <stp>STK</stp>
        <stp>N180640</stp>
        <stp>체결시간</stp>
        <stp/>
        <stp/>
        <tr r="S80" s="1"/>
        <tr r="S76" s="3"/>
      </tp>
      <tp t="e">
        <v>#N/A</v>
        <stp/>
        <stp>P</stp>
        <stp>0</stp>
        <stp>STK</stp>
        <stp>N200670</stp>
        <stp>체결시간</stp>
        <stp/>
        <stp/>
        <tr r="S507" s="1"/>
      </tp>
      <tp t="e">
        <v>#N/A</v>
        <stp/>
        <stp>P</stp>
        <stp>0</stp>
        <stp>STK</stp>
        <stp>N000640</stp>
        <stp>체결시간</stp>
        <stp/>
        <stp/>
        <tr r="S394" s="1"/>
        <tr r="S264" s="3"/>
      </tp>
      <tp t="e">
        <v>#N/A</v>
        <stp/>
        <stp>P</stp>
        <stp>0</stp>
        <stp>STK</stp>
        <stp>N270660</stp>
        <stp>체결시간</stp>
        <stp/>
        <stp/>
        <tr r="S539" s="1"/>
      </tp>
      <tp t="e">
        <v>#N/A</v>
        <stp/>
        <stp>P</stp>
        <stp>0</stp>
        <stp>STK</stp>
        <stp>N030610</stp>
        <stp>체결시간</stp>
        <stp/>
        <stp/>
        <tr r="S213" s="3"/>
        <tr r="S286" s="1"/>
      </tp>
      <tp t="e">
        <v>#N/A</v>
        <stp/>
        <stp>P</stp>
        <stp>0</stp>
        <stp>STK</stp>
        <stp>N030190</stp>
        <stp>체결시간</stp>
        <stp/>
        <stp/>
        <tr r="S314" s="1"/>
        <tr r="S229" s="3"/>
      </tp>
      <tp t="e">
        <v>#N/A</v>
        <stp/>
        <stp>P</stp>
        <stp>0</stp>
        <stp>STK</stp>
        <stp>N160190</stp>
        <stp>체결시간</stp>
        <stp/>
        <stp/>
        <tr r="S190" s="1"/>
      </tp>
      <tp t="e">
        <v>#N/A</v>
        <stp/>
        <stp>P</stp>
        <stp>0</stp>
        <stp>STK</stp>
        <stp>N000150</stp>
        <stp>체결시간</stp>
        <stp/>
        <stp/>
        <tr r="S56" s="3"/>
        <tr r="S61" s="1"/>
      </tp>
      <tp t="e">
        <v>#N/A</v>
        <stp/>
        <stp>P</stp>
        <stp>0</stp>
        <stp>STK</stp>
        <stp>N020150</stp>
        <stp>체결시간</stp>
        <stp/>
        <stp/>
        <tr r="S225" s="1"/>
        <tr r="S170" s="3"/>
      </tp>
      <tp t="e">
        <v>#N/A</v>
        <stp/>
        <stp>P</stp>
        <stp>0</stp>
        <stp>STK</stp>
        <stp>N010140</stp>
        <stp>체결시간</stp>
        <stp/>
        <stp/>
        <tr r="S30" s="1"/>
        <tr r="S31" s="3"/>
      </tp>
      <tp t="e">
        <v>#N/A</v>
        <stp/>
        <stp>P</stp>
        <stp>0</stp>
        <stp>STK</stp>
        <stp>N010130</stp>
        <stp>체결시간</stp>
        <stp/>
        <stp/>
        <tr r="S25" s="1"/>
        <tr r="S25" s="3"/>
      </tp>
      <tp t="e">
        <v>#N/A</v>
        <stp/>
        <stp>P</stp>
        <stp>0</stp>
        <stp>STK</stp>
        <stp>N000120</stp>
        <stp>체결시간</stp>
        <stp/>
        <stp/>
        <tr r="S194" s="1"/>
        <tr r="S159" s="3"/>
      </tp>
      <tp t="e">
        <v>#N/A</v>
        <stp/>
        <stp>P</stp>
        <stp>0</stp>
        <stp>STK</stp>
        <stp>N010120</stp>
        <stp>체결시간</stp>
        <stp/>
        <stp/>
        <tr r="S55" s="3"/>
        <tr r="S55" s="1"/>
      </tp>
      <tp t="e">
        <v>#N/A</v>
        <stp/>
        <stp>P</stp>
        <stp>0</stp>
        <stp>STK</stp>
        <stp>N220100</stp>
        <stp>체결시간</stp>
        <stp/>
        <stp/>
        <tr r="S458" s="1"/>
      </tp>
      <tp t="e">
        <v>#N/A</v>
        <stp/>
        <stp>P</stp>
        <stp>0</stp>
        <stp>STK</stp>
        <stp>N200130</stp>
        <stp>체결시간</stp>
        <stp/>
        <stp/>
        <tr r="S562" s="1"/>
      </tp>
      <tp t="e">
        <v>#N/A</v>
        <stp/>
        <stp>P</stp>
        <stp>0</stp>
        <stp>STK</stp>
        <stp>N000100</stp>
        <stp>체결시간</stp>
        <stp/>
        <stp/>
        <tr r="S84" s="1"/>
        <tr r="S78" s="3"/>
      </tp>
      <tp t="e">
        <v>#N/A</v>
        <stp/>
        <stp>P</stp>
        <stp>0</stp>
        <stp>STK</stp>
        <stp>N120110</stp>
        <stp>체결시간</stp>
        <stp/>
        <stp/>
        <tr r="S277" s="1"/>
        <tr r="S207" s="3"/>
      </tp>
      <tp t="e">
        <v>#N/A</v>
        <stp/>
        <stp>P</stp>
        <stp>0</stp>
        <stp>STK</stp>
        <stp>N450080</stp>
        <stp>체결시간</stp>
        <stp/>
        <stp/>
        <tr r="S121" s="1"/>
        <tr r="S109" s="3"/>
      </tp>
      <tp t="e">
        <v>#N/A</v>
        <stp/>
        <stp>P</stp>
        <stp>0</stp>
        <stp>STK</stp>
        <stp>N300080</stp>
        <stp>체결시간</stp>
        <stp/>
        <stp/>
        <tr r="S662" s="1"/>
      </tp>
      <tp t="e">
        <v>#N/A</v>
        <stp/>
        <stp>P</stp>
        <stp>0</stp>
        <stp>STK</stp>
        <stp>N000080</stp>
        <stp>체결시간</stp>
        <stp/>
        <stp/>
        <tr r="S208" s="3"/>
        <tr r="S274" s="1"/>
      </tp>
      <tp t="e">
        <v>#N/A</v>
        <stp/>
        <stp>P</stp>
        <stp>0</stp>
        <stp>STK</stp>
        <stp>N100090</stp>
        <stp>체결시간</stp>
        <stp/>
        <stp/>
        <tr r="S212" s="3"/>
        <tr r="S282" s="1"/>
      </tp>
      <tp t="e">
        <v>#N/A</v>
        <stp/>
        <stp>P</stp>
        <stp>0</stp>
        <stp>STK</stp>
        <stp>N000070</stp>
        <stp>체결시간</stp>
        <stp/>
        <stp/>
        <tr r="S311" s="3"/>
        <tr r="S502" s="1"/>
      </tp>
      <tp t="e">
        <v>#N/A</v>
        <stp/>
        <stp>P</stp>
        <stp>0</stp>
        <stp>STK</stp>
        <stp>N010060</stp>
        <stp>체결시간</stp>
        <stp/>
        <stp/>
        <tr r="S199" s="1"/>
        <tr r="S165" s="3"/>
      </tp>
      <tp t="e">
        <v>#N/A</v>
        <stp/>
        <stp>P</stp>
        <stp>0</stp>
        <stp>STK</stp>
        <stp>N020000</stp>
        <stp>체결시간</stp>
        <stp/>
        <stp/>
        <tr r="S584" s="1"/>
        <tr r="S337" s="3"/>
      </tp>
      <tp t="e">
        <v>#N/A</v>
        <stp/>
        <stp>P</stp>
        <stp>0</stp>
        <stp>STK</stp>
        <stp>N030000</stp>
        <stp>체결시간</stp>
        <stp/>
        <stp/>
        <tr r="S184" s="1"/>
        <tr r="S156" s="3"/>
      </tp>
      <tp t="e">
        <v>#N/A</v>
        <stp/>
        <stp>P</stp>
        <stp>0</stp>
        <stp>STK</stp>
        <stp>N060370</stp>
        <stp>체결시간</stp>
        <stp/>
        <stp/>
        <tr r="S253" s="1"/>
      </tp>
      <tp t="e">
        <v>#N/A</v>
        <stp/>
        <stp>P</stp>
        <stp>0</stp>
        <stp>STK</stp>
        <stp>N090360</stp>
        <stp>체결시간</stp>
        <stp/>
        <stp/>
        <tr r="S329" s="1"/>
      </tp>
      <tp t="e">
        <v>#N/A</v>
        <stp/>
        <stp>P</stp>
        <stp>0</stp>
        <stp>STK</stp>
        <stp>N280360</stp>
        <stp>체결시간</stp>
        <stp/>
        <stp/>
        <tr r="S307" s="1"/>
        <tr r="S224" s="3"/>
      </tp>
      <tp t="e">
        <v>#N/A</v>
        <stp/>
        <stp>P</stp>
        <stp>0</stp>
        <stp>STK</stp>
        <stp>N230360</stp>
        <stp>체결시간</stp>
        <stp/>
        <stp/>
        <tr r="S482" s="1"/>
      </tp>
      <tp t="e">
        <v>#N/A</v>
        <stp/>
        <stp>P</stp>
        <stp>0</stp>
        <stp>STK</stp>
        <stp>N000320</stp>
        <stp>체결시간</stp>
        <stp/>
        <stp/>
        <tr r="S365" s="3"/>
        <tr r="S654" s="1"/>
      </tp>
      <tp t="e">
        <v>#N/A</v>
        <stp/>
        <stp>P</stp>
        <stp>0</stp>
        <stp>STK</stp>
        <stp>N060280</stp>
        <stp>체결시간</stp>
        <stp/>
        <stp/>
        <tr r="S346" s="1"/>
      </tp>
      <tp t="e">
        <v>#N/A</v>
        <stp/>
        <stp>P</stp>
        <stp>0</stp>
        <stp>STK</stp>
        <stp>N000270</stp>
        <stp>체결시간</stp>
        <stp/>
        <stp/>
        <tr r="S12" s="3"/>
        <tr r="S11" s="1"/>
      </tp>
      <tp t="e">
        <v>#N/A</v>
        <stp/>
        <stp>P</stp>
        <stp>0</stp>
        <stp>STK</stp>
        <stp>N000250</stp>
        <stp>체결시간</stp>
        <stp/>
        <stp/>
        <tr r="S97" s="1"/>
      </tp>
      <tp t="e">
        <v>#N/A</v>
        <stp/>
        <stp>P</stp>
        <stp>0</stp>
        <stp>STK</stp>
        <stp>N060250</stp>
        <stp>체결시간</stp>
        <stp/>
        <stp/>
        <tr r="S437" s="1"/>
      </tp>
      <tp t="e">
        <v>#N/A</v>
        <stp/>
        <stp>P</stp>
        <stp>0</stp>
        <stp>STK</stp>
        <stp>N000240</stp>
        <stp>체결시간</stp>
        <stp/>
        <stp/>
        <tr r="S171" s="1"/>
        <tr r="S145" s="3"/>
      </tp>
      <tp t="e">
        <v>#N/A</v>
        <stp/>
        <stp>P</stp>
        <stp>0</stp>
        <stp>STK</stp>
        <stp>N080220</stp>
        <stp>체결시간</stp>
        <stp/>
        <stp/>
        <tr r="S304" s="1"/>
      </tp>
      <tp t="e">
        <v>#N/A</v>
        <stp/>
        <stp>P</stp>
        <stp>0</stp>
        <stp>STK</stp>
        <stp>N310210</stp>
        <stp>체결시간</stp>
        <stp/>
        <stp/>
        <tr r="S145" s="1"/>
      </tp>
      <tp t="e">
        <v>#N/A</v>
        <stp/>
        <stp>P</stp>
        <stp>0</stp>
        <stp>STK</stp>
        <stp>N000210</stp>
        <stp>체결시간</stp>
        <stp/>
        <stp/>
        <tr r="S365" s="1"/>
        <tr r="S250" s="3"/>
      </tp>
      <tp t="e">
        <v>#N/A</v>
        <stp/>
        <stp>P</stp>
        <stp>0</stp>
        <stp>STK</stp>
        <stp>N030200</stp>
        <stp>체결시간</stp>
        <stp/>
        <stp/>
        <tr r="S59" s="1"/>
        <tr r="S57" s="3"/>
      </tp>
      <tp t="e">
        <v>#N/A</v>
        <stp/>
        <stp>P</stp>
        <stp>0</stp>
        <stp>STK</stp>
        <stp>N089890</stp>
        <stp>세션명</stp>
        <stp/>
        <stp/>
        <tr r="R520" s="1"/>
      </tp>
      <tp t="e">
        <v>#N/A</v>
        <stp/>
        <stp>P</stp>
        <stp>0</stp>
        <stp>STK</stp>
        <stp>N089860</stp>
        <stp>세션명</stp>
        <stp/>
        <stp/>
        <tr r="R297" s="1"/>
        <tr r="R220" s="3"/>
      </tp>
      <tp t="e">
        <v>#N/A</v>
        <stp/>
        <stp>P</stp>
        <stp>0</stp>
        <stp>STK</stp>
        <stp>N089980</stp>
        <stp>세션명</stp>
        <stp/>
        <stp/>
        <tr r="R678" s="1"/>
      </tp>
      <tp t="e">
        <v>#N/A</v>
        <stp/>
        <stp>P</stp>
        <stp>0</stp>
        <stp>STK</stp>
        <stp>N089970</stp>
        <stp>세션명</stp>
        <stp/>
        <stp/>
        <tr r="R406" s="1"/>
      </tp>
      <tp t="e">
        <v>#N/A</v>
        <stp/>
        <stp>P</stp>
        <stp>0</stp>
        <stp>STK</stp>
        <stp>N389470</stp>
        <stp>세션명</stp>
        <stp/>
        <stp/>
        <tr r="R326" s="1"/>
      </tp>
      <tp t="e">
        <v>#N/A</v>
        <stp/>
        <stp>P</stp>
        <stp>0</stp>
        <stp>STK</stp>
        <stp>N389650</stp>
        <stp>세션명</stp>
        <stp/>
        <stp/>
        <tr r="R427" s="1"/>
      </tp>
      <tp t="e">
        <v>#N/A</v>
        <stp/>
        <stp>P</stp>
        <stp>0</stp>
        <stp>STK</stp>
        <stp>N489790</stp>
        <stp>세션명</stp>
        <stp/>
        <stp/>
        <tr r="R139" s="3"/>
        <tr r="R170" s="1"/>
      </tp>
      <tp t="e">
        <v>#N/A</v>
        <stp/>
        <stp>P</stp>
        <stp>0</stp>
        <stp>STK</stp>
        <stp>N089030</stp>
        <stp>세션명</stp>
        <stp/>
        <stp/>
        <tr r="R247" s="1"/>
      </tp>
      <tp t="e">
        <v>#N/A</v>
        <stp/>
        <stp>P</stp>
        <stp>0</stp>
        <stp>STK</stp>
        <stp>N089010</stp>
        <stp>세션명</stp>
        <stp/>
        <stp/>
        <tr r="R463" s="1"/>
      </tp>
      <tp t="e">
        <v>#N/A</v>
        <stp/>
        <stp>P</stp>
        <stp>0</stp>
        <stp>STK</stp>
        <stp>N389260</stp>
        <stp>세션명</stp>
        <stp/>
        <stp/>
        <tr r="R612" s="1"/>
      </tp>
      <tp t="e">
        <v>#N/A</v>
        <stp/>
        <stp>P</stp>
        <stp>0</stp>
        <stp>STK</stp>
        <stp>N189300</stp>
        <stp>세션명</stp>
        <stp/>
        <stp/>
        <tr r="R356" s="1"/>
      </tp>
      <tp t="e">
        <v>#N/A</v>
        <stp/>
        <stp>P</stp>
        <stp>0</stp>
        <stp>STK</stp>
        <stp>N388720</stp>
        <stp>세션명</stp>
        <stp/>
        <stp/>
        <tr r="R283" s="1"/>
      </tp>
      <tp t="e">
        <v>#N/A</v>
        <stp/>
        <stp>P</stp>
        <stp>0</stp>
        <stp>STK</stp>
        <stp>N488280</stp>
        <stp>세션명</stp>
        <stp/>
        <stp/>
        <tr r="R687" s="1"/>
      </tp>
      <tp t="e">
        <v>#N/A</v>
        <stp/>
        <stp>P</stp>
        <stp>0</stp>
        <stp>STK</stp>
        <stp>N388210</stp>
        <stp>세션명</stp>
        <stp/>
        <stp/>
        <tr r="R302" s="1"/>
      </tp>
      <tp t="e">
        <v>#N/A</v>
        <stp/>
        <stp>P</stp>
        <stp>0</stp>
        <stp>STK</stp>
        <stp>N088350</stp>
        <stp>세션명</stp>
        <stp/>
        <stp/>
        <tr r="R137" s="3"/>
        <tr r="R161" s="1"/>
      </tp>
      <tp t="e">
        <v>#N/A</v>
        <stp/>
        <stp>P</stp>
        <stp>0</stp>
        <stp>STK</stp>
        <stp>N383800</stp>
        <stp>세션명</stp>
        <stp/>
        <stp/>
        <tr r="R417" s="1"/>
        <tr r="R272" s="3"/>
      </tp>
      <tp t="e">
        <v>#N/A</v>
        <stp/>
        <stp>P</stp>
        <stp>0</stp>
        <stp>STK</stp>
        <stp>N083450</stp>
        <stp>세션명</stp>
        <stp/>
        <stp/>
        <tr r="R477" s="1"/>
      </tp>
      <tp t="e">
        <v>#N/A</v>
        <stp/>
        <stp>P</stp>
        <stp>0</stp>
        <stp>STK</stp>
        <stp>N083650</stp>
        <stp>세션명</stp>
        <stp/>
        <stp/>
        <tr r="R212" s="1"/>
      </tp>
      <tp t="e">
        <v>#N/A</v>
        <stp/>
        <stp>P</stp>
        <stp>0</stp>
        <stp>STK</stp>
        <stp>N483650</stp>
        <stp>세션명</stp>
        <stp/>
        <stp/>
        <tr r="R233" s="1"/>
        <tr r="R177" s="3"/>
      </tp>
      <tp t="e">
        <v>#N/A</v>
        <stp/>
        <stp>P</stp>
        <stp>0</stp>
        <stp>STK</stp>
        <stp>N183190</stp>
        <stp>세션명</stp>
        <stp/>
        <stp/>
        <tr r="R513" s="1"/>
        <tr r="R314" s="3"/>
      </tp>
      <tp t="e">
        <v>#N/A</v>
        <stp/>
        <stp>P</stp>
        <stp>0</stp>
        <stp>STK</stp>
        <stp>N383220</stp>
        <stp>세션명</stp>
        <stp/>
        <stp/>
        <tr r="R147" s="3"/>
        <tr r="R175" s="1"/>
      </tp>
      <tp t="e">
        <v>#N/A</v>
        <stp/>
        <stp>P</stp>
        <stp>0</stp>
        <stp>STK</stp>
        <stp>N383310</stp>
        <stp>세션명</stp>
        <stp/>
        <stp/>
        <tr r="R476" s="1"/>
      </tp>
      <tp t="e">
        <v>#N/A</v>
        <stp/>
        <stp>P</stp>
        <stp>0</stp>
        <stp>STK</stp>
        <stp>N183300</stp>
        <stp>세션명</stp>
        <stp/>
        <stp/>
        <tr r="R303" s="1"/>
      </tp>
      <tp t="e">
        <v>#N/A</v>
        <stp/>
        <stp>P</stp>
        <stp>0</stp>
        <stp>STK</stp>
        <stp>N382900</stp>
        <stp>세션명</stp>
        <stp/>
        <stp/>
        <tr r="R651" s="1"/>
      </tp>
      <tp t="e">
        <v>#N/A</v>
        <stp/>
        <stp>P</stp>
        <stp>0</stp>
        <stp>STK</stp>
        <stp>N082920</stp>
        <stp>세션명</stp>
        <stp/>
        <stp/>
        <tr r="R328" s="1"/>
      </tp>
      <tp t="e">
        <v>#N/A</v>
        <stp/>
        <stp>P</stp>
        <stp>0</stp>
        <stp>STK</stp>
        <stp>N082740</stp>
        <stp>세션명</stp>
        <stp/>
        <stp/>
        <tr r="R116" s="1"/>
        <tr r="R110" s="3"/>
      </tp>
      <tp t="e">
        <v>#N/A</v>
        <stp/>
        <stp>P</stp>
        <stp>0</stp>
        <stp>STK</stp>
        <stp>N082270</stp>
        <stp>세션명</stp>
        <stp/>
        <stp/>
        <tr r="R313" s="1"/>
      </tp>
      <tp t="e">
        <v>#N/A</v>
        <stp/>
        <stp>P</stp>
        <stp>0</stp>
        <stp>STK</stp>
        <stp>N282330</stp>
        <stp>세션명</stp>
        <stp/>
        <stp/>
        <tr r="R171" s="3"/>
        <tr r="R210" s="1"/>
      </tp>
      <tp t="e">
        <v>#N/A</v>
        <stp/>
        <stp>P</stp>
        <stp>0</stp>
        <stp>STK</stp>
        <stp>N281820</stp>
        <stp>세션명</stp>
        <stp/>
        <stp/>
        <tr r="R247" s="3"/>
        <tr r="R350" s="1"/>
      </tp>
      <tp t="e">
        <v>#N/A</v>
        <stp/>
        <stp>P</stp>
        <stp>0</stp>
        <stp>STK</stp>
        <stp>N381970</stp>
        <stp>세션명</stp>
        <stp/>
        <stp/>
        <tr r="R255" s="3"/>
        <tr r="R376" s="1"/>
      </tp>
      <tp t="e">
        <v>#N/A</v>
        <stp/>
        <stp>P</stp>
        <stp>0</stp>
        <stp>STK</stp>
        <stp>N081660</stp>
        <stp>세션명</stp>
        <stp/>
        <stp/>
        <tr r="R154" s="3"/>
        <tr r="R189" s="1"/>
      </tp>
      <tp t="e">
        <v>#N/A</v>
        <stp/>
        <stp>P</stp>
        <stp>0</stp>
        <stp>STK</stp>
        <stp>N281740</stp>
        <stp>세션명</stp>
        <stp/>
        <stp/>
        <tr r="R288" s="1"/>
      </tp>
      <tp t="e">
        <v>#N/A</v>
        <stp/>
        <stp>P</stp>
        <stp>0</stp>
        <stp>STK</stp>
        <stp>N181710</stp>
        <stp>세션명</stp>
        <stp/>
        <stp/>
        <tr r="R316" s="1"/>
        <tr r="R230" s="3"/>
      </tp>
      <tp t="e">
        <v>#N/A</v>
        <stp/>
        <stp>P</stp>
        <stp>0</stp>
        <stp>STK</stp>
        <stp>N481070</stp>
        <stp>세션명</stp>
        <stp/>
        <stp/>
        <tr r="R588" s="1"/>
      </tp>
      <tp t="e">
        <v>#N/A</v>
        <stp/>
        <stp>P</stp>
        <stp>0</stp>
        <stp>STK</stp>
        <stp>N380550</stp>
        <stp>세션명</stp>
        <stp/>
        <stp/>
        <tr r="R660" s="1"/>
      </tp>
      <tp t="e">
        <v>#N/A</v>
        <stp/>
        <stp>P</stp>
        <stp>0</stp>
        <stp>STK</stp>
        <stp>N180640</stp>
        <stp>세션명</stp>
        <stp/>
        <stp/>
        <tr r="R80" s="1"/>
        <tr r="R76" s="3"/>
      </tp>
      <tp t="e">
        <v>#N/A</v>
        <stp/>
        <stp>P</stp>
        <stp>0</stp>
        <stp>STK</stp>
        <stp>N080220</stp>
        <stp>세션명</stp>
        <stp/>
        <stp/>
        <tr r="R304" s="1"/>
      </tp>
      <tp t="e">
        <v>#N/A</v>
        <stp/>
        <stp>P</stp>
        <stp>0</stp>
        <stp>STK</stp>
        <stp>N280360</stp>
        <stp>세션명</stp>
        <stp/>
        <stp/>
        <tr r="R307" s="1"/>
        <tr r="R224" s="3"/>
      </tp>
      <tp t="e">
        <v>#N/A</v>
        <stp/>
        <stp>P</stp>
        <stp>0</stp>
        <stp>STK</stp>
        <stp>N287840</stp>
        <stp>세션명</stp>
        <stp/>
        <stp/>
        <tr r="R380" s="1"/>
      </tp>
      <tp t="e">
        <v>#N/A</v>
        <stp/>
        <stp>P</stp>
        <stp>0</stp>
        <stp>STK</stp>
        <stp>N087010</stp>
        <stp>세션명</stp>
        <stp/>
        <stp/>
        <tr r="R108" s="1"/>
      </tp>
      <tp t="e">
        <v>#N/A</v>
        <stp/>
        <stp>P</stp>
        <stp>0</stp>
        <stp>STK</stp>
        <stp>N486990</stp>
        <stp>세션명</stp>
        <stp/>
        <stp/>
        <tr r="R315" s="1"/>
      </tp>
      <tp t="e">
        <v>#N/A</v>
        <stp/>
        <stp>P</stp>
        <stp>0</stp>
        <stp>STK</stp>
        <stp>N286940</stp>
        <stp>세션명</stp>
        <stp/>
        <stp/>
        <tr r="R349" s="3"/>
        <tr r="R593" s="1"/>
      </tp>
      <tp t="e">
        <v>#N/A</v>
        <stp/>
        <stp>P</stp>
        <stp>0</stp>
        <stp>STK</stp>
        <stp>N086900</stp>
        <stp>세션명</stp>
        <stp/>
        <stp/>
        <tr r="R338" s="1"/>
      </tp>
      <tp t="e">
        <v>#N/A</v>
        <stp/>
        <stp>P</stp>
        <stp>0</stp>
        <stp>STK</stp>
        <stp>N086450</stp>
        <stp>세션명</stp>
        <stp/>
        <stp/>
        <tr r="R368" s="1"/>
      </tp>
      <tp t="e">
        <v>#N/A</v>
        <stp/>
        <stp>P</stp>
        <stp>0</stp>
        <stp>STK</stp>
        <stp>N086520</stp>
        <stp>세션명</stp>
        <stp/>
        <stp/>
        <tr r="R64" s="1"/>
      </tp>
      <tp t="e">
        <v>#N/A</v>
        <stp/>
        <stp>P</stp>
        <stp>0</stp>
        <stp>STK</stp>
        <stp>N086790</stp>
        <stp>세션명</stp>
        <stp/>
        <stp/>
        <tr r="R29" s="1"/>
        <tr r="R30" s="3"/>
      </tp>
      <tp t="e">
        <v>#N/A</v>
        <stp/>
        <stp>P</stp>
        <stp>0</stp>
        <stp>STK</stp>
        <stp>N086280</stp>
        <stp>세션명</stp>
        <stp/>
        <stp/>
        <tr r="R36" s="1"/>
        <tr r="R40" s="3"/>
      </tp>
      <tp t="e">
        <v>#N/A</v>
        <stp/>
        <stp>P</stp>
        <stp>0</stp>
        <stp>STK</stp>
        <stp>N086390</stp>
        <stp>세션명</stp>
        <stp/>
        <stp/>
        <tr r="R674" s="1"/>
      </tp>
      <tp t="e">
        <v>#N/A</v>
        <stp/>
        <stp>P</stp>
        <stp>0</stp>
        <stp>STK</stp>
        <stp>N085660</stp>
        <stp>세션명</stp>
        <stp/>
        <stp/>
        <tr r="R268" s="1"/>
      </tp>
      <tp t="e">
        <v>#N/A</v>
        <stp/>
        <stp>P</stp>
        <stp>0</stp>
        <stp>STK</stp>
        <stp>N085620</stp>
        <stp>세션명</stp>
        <stp/>
        <stp/>
        <tr r="R241" s="1"/>
        <tr r="R190" s="3"/>
      </tp>
      <tp t="e">
        <v>#N/A</v>
        <stp/>
        <stp>P</stp>
        <stp>0</stp>
        <stp>STK</stp>
        <stp>N185750</stp>
        <stp>세션명</stp>
        <stp/>
        <stp/>
        <tr r="R218" s="3"/>
        <tr r="R290" s="1"/>
      </tp>
      <tp t="e">
        <v>#N/A</v>
        <stp/>
        <stp>P</stp>
        <stp>0</stp>
        <stp>STK</stp>
        <stp>N285130</stp>
        <stp>세션명</stp>
        <stp/>
        <stp/>
        <tr r="R292" s="1"/>
        <tr r="R215" s="3"/>
      </tp>
      <tp t="e">
        <v>#N/A</v>
        <stp/>
        <stp>P</stp>
        <stp>0</stp>
        <stp>STK</stp>
        <stp>N084850</stp>
        <stp>세션명</stp>
        <stp/>
        <stp/>
        <tr r="R695" s="1"/>
      </tp>
      <tp t="e">
        <v>#N/A</v>
        <stp/>
        <stp>P</stp>
        <stp>0</stp>
        <stp>STK</stp>
        <stp>N484810</stp>
        <stp>세션명</stp>
        <stp/>
        <stp/>
        <tr r="R559" s="1"/>
      </tp>
      <tp t="e">
        <v>#N/A</v>
        <stp/>
        <stp>P</stp>
        <stp>0</stp>
        <stp>STK</stp>
        <stp>N484870</stp>
        <stp>세션명</stp>
        <stp/>
        <stp/>
        <tr r="R256" s="1"/>
        <tr r="R203" s="3"/>
      </tp>
      <tp t="e">
        <v>#N/A</v>
        <stp/>
        <stp>P</stp>
        <stp>0</stp>
        <stp>STK</stp>
        <stp>N484590</stp>
        <stp>세션명</stp>
        <stp/>
        <stp/>
        <tr r="R450" s="1"/>
      </tp>
      <tp t="e">
        <v>#N/A</v>
        <stp/>
        <stp>P</stp>
        <stp>0</stp>
        <stp>STK</stp>
        <stp>N084690</stp>
        <stp>세션명</stp>
        <stp/>
        <stp/>
        <tr r="R587" s="1"/>
        <tr r="R342" s="3"/>
      </tp>
      <tp t="e">
        <v>#N/A</v>
        <stp/>
        <stp>P</stp>
        <stp>0</stp>
        <stp>STK</stp>
        <stp>N284740</stp>
        <stp>세션명</stp>
        <stp/>
        <stp/>
        <tr r="R470" s="1"/>
        <tr r="R292" s="3"/>
      </tp>
      <tp t="e">
        <v>#N/A</v>
        <stp/>
        <stp>P</stp>
        <stp>0</stp>
        <stp>STK</stp>
        <stp>N084010</stp>
        <stp>세션명</stp>
        <stp/>
        <stp/>
        <tr r="R684" s="1"/>
        <tr r="R378" s="3"/>
      </tp>
      <tp t="e">
        <v>#N/A</v>
        <stp/>
        <stp>P</stp>
        <stp>0</stp>
        <stp>STK</stp>
        <stp>N484120</stp>
        <stp>세션명</stp>
        <stp/>
        <stp/>
        <tr r="R671" s="1"/>
      </tp>
      <tp t="e">
        <v>#N/A</v>
        <stp/>
        <stp>P</stp>
        <stp>0</stp>
        <stp>STK</stp>
        <stp>N084110</stp>
        <stp>세션명</stp>
        <stp/>
        <stp/>
        <tr r="R423" s="1"/>
      </tp>
      <tp t="e">
        <v>#N/A</v>
        <stp/>
        <stp>P</stp>
        <stp>0</stp>
        <stp>STK</stp>
        <stp>N084370</stp>
        <stp>세션명</stp>
        <stp/>
        <stp/>
        <tr r="R219" s="1"/>
      </tp>
      <tp t="e">
        <v>#N/A</v>
        <stp/>
        <stp>P</stp>
        <stp>0</stp>
        <stp>STK</stp>
        <stp>N473980</stp>
        <stp>체결시간</stp>
        <stp/>
        <stp/>
        <tr r="S646" s="1"/>
      </tp>
      <tp t="e">
        <v>#N/A</v>
        <stp/>
        <stp>P</stp>
        <stp>0</stp>
        <stp>STK</stp>
        <stp>N003960</stp>
        <stp>체결시간</stp>
        <stp/>
        <stp/>
        <tr r="S346" s="3"/>
        <tr r="S598" s="1"/>
      </tp>
      <tp t="e">
        <v>#N/A</v>
        <stp/>
        <stp>P</stp>
        <stp>0</stp>
        <stp>STK</stp>
        <stp>N003920</stp>
        <stp>체결시간</stp>
        <stp/>
        <stp/>
        <tr r="S355" s="3"/>
        <tr r="S617" s="1"/>
      </tp>
      <tp t="e">
        <v>#N/A</v>
        <stp/>
        <stp>P</stp>
        <stp>0</stp>
        <stp>STK</stp>
        <stp>N013890</stp>
        <stp>체결시간</stp>
        <stp/>
        <stp/>
        <tr r="S653" s="1"/>
        <tr r="S364" s="3"/>
      </tp>
      <tp t="e">
        <v>#N/A</v>
        <stp/>
        <stp>P</stp>
        <stp>0</stp>
        <stp>STK</stp>
        <stp>N003850</stp>
        <stp>체결시간</stp>
        <stp/>
        <stp/>
        <tr r="S366" s="1"/>
        <tr r="S254" s="3"/>
      </tp>
      <tp t="e">
        <v>#N/A</v>
        <stp/>
        <stp>P</stp>
        <stp>0</stp>
        <stp>STK</stp>
        <stp>N383800</stp>
        <stp>체결시간</stp>
        <stp/>
        <stp/>
        <tr r="S417" s="1"/>
        <tr r="S272" s="3"/>
      </tp>
      <tp t="e">
        <v>#N/A</v>
        <stp/>
        <stp>P</stp>
        <stp>0</stp>
        <stp>STK</stp>
        <stp>N403870</stp>
        <stp>체결시간</stp>
        <stp/>
        <stp/>
        <tr r="S157" s="1"/>
      </tp>
      <tp t="e">
        <v>#N/A</v>
        <stp/>
        <stp>P</stp>
        <stp>0</stp>
        <stp>STK</stp>
        <stp>N403850</stp>
        <stp>체결시간</stp>
        <stp/>
        <stp/>
        <tr r="S578" s="1"/>
      </tp>
      <tp t="e">
        <v>#N/A</v>
        <stp/>
        <stp>P</stp>
        <stp>0</stp>
        <stp>STK</stp>
        <stp>N053800</stp>
        <stp>체결시간</stp>
        <stp/>
        <stp/>
        <tr r="S401" s="1"/>
      </tp>
      <tp t="e">
        <v>#N/A</v>
        <stp/>
        <stp>P</stp>
        <stp>0</stp>
        <stp>STK</stp>
        <stp>N253590</stp>
        <stp>체결시간</stp>
        <stp/>
        <stp/>
        <tr r="S474" s="1"/>
      </tp>
      <tp t="e">
        <v>#N/A</v>
        <stp/>
        <stp>P</stp>
        <stp>0</stp>
        <stp>STK</stp>
        <stp>N023590</stp>
        <stp>체결시간</stp>
        <stp/>
        <stp/>
        <tr r="S222" s="1"/>
        <tr r="S182" s="3"/>
      </tp>
      <tp t="e">
        <v>#N/A</v>
        <stp/>
        <stp>P</stp>
        <stp>0</stp>
        <stp>STK</stp>
        <stp>N103590</stp>
        <stp>체결시간</stp>
        <stp/>
        <stp/>
        <tr r="S134" s="3"/>
        <tr r="S154" s="1"/>
      </tp>
      <tp t="e">
        <v>#N/A</v>
        <stp/>
        <stp>P</stp>
        <stp>0</stp>
        <stp>STK</stp>
        <stp>N003570</stp>
        <stp>체결시간</stp>
        <stp/>
        <stp/>
        <tr r="S234" s="1"/>
        <tr r="S186" s="3"/>
      </tp>
      <tp t="e">
        <v>#N/A</v>
        <stp/>
        <stp>P</stp>
        <stp>0</stp>
        <stp>STK</stp>
        <stp>N003550</stp>
        <stp>체결시간</stp>
        <stp/>
        <stp/>
        <tr r="S62" s="1"/>
        <tr r="S58" s="3"/>
      </tp>
      <tp t="e">
        <v>#N/A</v>
        <stp/>
        <stp>P</stp>
        <stp>0</stp>
        <stp>STK</stp>
        <stp>N003540</stp>
        <stp>체결시간</stp>
        <stp/>
        <stp/>
        <tr r="S200" s="3"/>
        <tr r="S259" s="1"/>
      </tp>
      <tp t="e">
        <v>#N/A</v>
        <stp/>
        <stp>P</stp>
        <stp>0</stp>
        <stp>STK</stp>
        <stp>N023530</stp>
        <stp>체결시간</stp>
        <stp/>
        <stp/>
        <tr r="S163" s="3"/>
        <tr r="S200" s="1"/>
      </tp>
      <tp t="e">
        <v>#N/A</v>
        <stp/>
        <stp>P</stp>
        <stp>0</stp>
        <stp>STK</stp>
        <stp>N093520</stp>
        <stp>체결시간</stp>
        <stp/>
        <stp/>
        <tr r="S627" s="1"/>
      </tp>
      <tp t="e">
        <v>#N/A</v>
        <stp/>
        <stp>P</stp>
        <stp>0</stp>
        <stp>STK</stp>
        <stp>N403550</stp>
        <stp>체결시간</stp>
        <stp/>
        <stp/>
        <tr r="S322" s="3"/>
        <tr r="S537" s="1"/>
      </tp>
      <tp t="e">
        <v>#N/A</v>
        <stp/>
        <stp>P</stp>
        <stp>0</stp>
        <stp>STK</stp>
        <stp>N033500</stp>
        <stp>체결시간</stp>
        <stp/>
        <stp/>
        <tr r="S344" s="1"/>
      </tp>
      <tp t="e">
        <v>#N/A</v>
        <stp/>
        <stp>P</stp>
        <stp>0</stp>
        <stp>STK</stp>
        <stp>N293490</stp>
        <stp>체결시간</stp>
        <stp/>
        <stp/>
        <tr r="S273" s="1"/>
      </tp>
      <tp t="e">
        <v>#N/A</v>
        <stp/>
        <stp>P</stp>
        <stp>0</stp>
        <stp>STK</stp>
        <stp>N003490</stp>
        <stp>체결시간</stp>
        <stp/>
        <stp/>
        <tr r="S73" s="3"/>
        <tr r="S79" s="1"/>
      </tp>
      <tp t="e">
        <v>#N/A</v>
        <stp/>
        <stp>P</stp>
        <stp>0</stp>
        <stp>STK</stp>
        <stp>N253450</stp>
        <stp>체결시간</stp>
        <stp/>
        <stp/>
        <tr r="S261" s="1"/>
      </tp>
      <tp t="e">
        <v>#N/A</v>
        <stp/>
        <stp>P</stp>
        <stp>0</stp>
        <stp>STK</stp>
        <stp>N083450</stp>
        <stp>체결시간</stp>
        <stp/>
        <stp/>
        <tr r="S477" s="1"/>
      </tp>
      <tp t="e">
        <v>#N/A</v>
        <stp/>
        <stp>P</stp>
        <stp>0</stp>
        <stp>STK</stp>
        <stp>N323410</stp>
        <stp>체결시간</stp>
        <stp/>
        <stp/>
        <tr r="S69" s="3"/>
        <tr r="S72" s="1"/>
      </tp>
      <tp t="e">
        <v>#N/A</v>
        <stp/>
        <stp>P</stp>
        <stp>0</stp>
        <stp>STK</stp>
        <stp>N213420</stp>
        <stp>체결시간</stp>
        <stp/>
        <stp/>
        <tr r="S335" s="1"/>
      </tp>
      <tp t="e">
        <v>#N/A</v>
        <stp/>
        <stp>P</stp>
        <stp>0</stp>
        <stp>STK</stp>
        <stp>N033780</stp>
        <stp>체결시간</stp>
        <stp/>
        <stp/>
        <tr r="S49" s="1"/>
        <tr r="S48" s="3"/>
      </tp>
      <tp t="e">
        <v>#N/A</v>
        <stp/>
        <stp>P</stp>
        <stp>0</stp>
        <stp>STK</stp>
        <stp>N263750</stp>
        <stp>체결시간</stp>
        <stp/>
        <stp/>
        <tr r="S162" s="1"/>
      </tp>
      <tp t="e">
        <v>#N/A</v>
        <stp/>
        <stp>P</stp>
        <stp>0</stp>
        <stp>STK</stp>
        <stp>N003690</stp>
        <stp>체결시간</stp>
        <stp/>
        <stp/>
        <tr r="S162" s="3"/>
        <tr r="S196" s="1"/>
      </tp>
      <tp t="e">
        <v>#N/A</v>
        <stp/>
        <stp>P</stp>
        <stp>0</stp>
        <stp>STK</stp>
        <stp>N003670</stp>
        <stp>체결시간</stp>
        <stp/>
        <stp/>
        <tr r="S46" s="1"/>
        <tr r="S43" s="3"/>
      </tp>
      <tp t="e">
        <v>#N/A</v>
        <stp/>
        <stp>P</stp>
        <stp>0</stp>
        <stp>STK</stp>
        <stp>N083650</stp>
        <stp>체결시간</stp>
        <stp/>
        <stp/>
        <tr r="S212" s="1"/>
      </tp>
      <tp t="e">
        <v>#N/A</v>
        <stp/>
        <stp>P</stp>
        <stp>0</stp>
        <stp>STK</stp>
        <stp>N033640</stp>
        <stp>체결시간</stp>
        <stp/>
        <stp/>
        <tr r="S561" s="1"/>
      </tp>
      <tp t="e">
        <v>#N/A</v>
        <stp/>
        <stp>P</stp>
        <stp>0</stp>
        <stp>STK</stp>
        <stp>N483650</stp>
        <stp>체결시간</stp>
        <stp/>
        <stp/>
        <tr r="S233" s="1"/>
        <tr r="S177" s="3"/>
      </tp>
      <tp t="e">
        <v>#N/A</v>
        <stp/>
        <stp>P</stp>
        <stp>0</stp>
        <stp>STK</stp>
        <stp>N053610</stp>
        <stp>체결시간</stp>
        <stp/>
        <stp/>
        <tr r="S538" s="1"/>
      </tp>
      <tp t="e">
        <v>#N/A</v>
        <stp/>
        <stp>P</stp>
        <stp>0</stp>
        <stp>STK</stp>
        <stp>N183190</stp>
        <stp>체결시간</stp>
        <stp/>
        <stp/>
        <tr r="S314" s="3"/>
        <tr r="S513" s="1"/>
      </tp>
      <tp t="e">
        <v>#N/A</v>
        <stp/>
        <stp>P</stp>
        <stp>0</stp>
        <stp>STK</stp>
        <stp>N003160</stp>
        <stp>체결시간</stp>
        <stp/>
        <stp/>
        <tr r="S342" s="1"/>
        <tr r="S242" s="3"/>
      </tp>
      <tp t="e">
        <v>#N/A</v>
        <stp/>
        <stp>P</stp>
        <stp>0</stp>
        <stp>STK</stp>
        <stp>N023160</stp>
        <stp>체결시간</stp>
        <stp/>
        <stp/>
        <tr r="S386" s="1"/>
      </tp>
      <tp t="e">
        <v>#N/A</v>
        <stp/>
        <stp>P</stp>
        <stp>0</stp>
        <stp>STK</stp>
        <stp>N103140</stp>
        <stp>체결시간</stp>
        <stp/>
        <stp/>
        <tr r="S124" s="3"/>
        <tr r="S141" s="1"/>
      </tp>
      <tp t="e">
        <v>#N/A</v>
        <stp/>
        <stp>P</stp>
        <stp>0</stp>
        <stp>STK</stp>
        <stp>N043150</stp>
        <stp>체결시간</stp>
        <stp/>
        <stp/>
        <tr r="S642" s="1"/>
      </tp>
      <tp t="e">
        <v>#N/A</v>
        <stp/>
        <stp>P</stp>
        <stp>0</stp>
        <stp>STK</stp>
        <stp>N003120</stp>
        <stp>체결시간</stp>
        <stp/>
        <stp/>
        <tr r="S363" s="3"/>
        <tr r="S630" s="1"/>
      </tp>
      <tp t="e">
        <v>#N/A</v>
        <stp/>
        <stp>P</stp>
        <stp>0</stp>
        <stp>STK</stp>
        <stp>N033100</stp>
        <stp>체결시간</stp>
        <stp/>
        <stp/>
        <tr r="S403" s="1"/>
      </tp>
      <tp t="e">
        <v>#N/A</v>
        <stp/>
        <stp>P</stp>
        <stp>0</stp>
        <stp>STK</stp>
        <stp>N003090</stp>
        <stp>체결시간</stp>
        <stp/>
        <stp/>
        <tr r="S206" s="3"/>
        <tr r="S269" s="1"/>
      </tp>
      <tp t="e">
        <v>#N/A</v>
        <stp/>
        <stp>P</stp>
        <stp>0</stp>
        <stp>STK</stp>
        <stp>N093050</stp>
        <stp>체결시간</stp>
        <stp/>
        <stp/>
        <tr r="S293" s="3"/>
        <tr r="S468" s="1"/>
      </tp>
      <tp t="e">
        <v>#N/A</v>
        <stp/>
        <stp>P</stp>
        <stp>0</stp>
        <stp>STK</stp>
        <stp>N243070</stp>
        <stp>체결시간</stp>
        <stp/>
        <stp/>
        <tr r="S611" s="1"/>
      </tp>
      <tp t="e">
        <v>#N/A</v>
        <stp/>
        <stp>P</stp>
        <stp>0</stp>
        <stp>STK</stp>
        <stp>N003030</stp>
        <stp>체결시간</stp>
        <stp/>
        <stp/>
        <tr r="S285" s="3"/>
        <tr r="S466" s="1"/>
      </tp>
      <tp t="e">
        <v>#N/A</v>
        <stp/>
        <stp>P</stp>
        <stp>0</stp>
        <stp>STK</stp>
        <stp>N013030</stp>
        <stp>체결시간</stp>
        <stp/>
        <stp/>
        <tr r="S555" s="1"/>
      </tp>
      <tp t="e">
        <v>#N/A</v>
        <stp/>
        <stp>P</stp>
        <stp>0</stp>
        <stp>STK</stp>
        <stp>N053030</stp>
        <stp>체결시간</stp>
        <stp/>
        <stp/>
        <tr r="S506" s="1"/>
      </tp>
      <tp t="e">
        <v>#N/A</v>
        <stp/>
        <stp>P</stp>
        <stp>0</stp>
        <stp>STK</stp>
        <stp>N443060</stp>
        <stp>체결시간</stp>
        <stp/>
        <stp/>
        <tr r="S83" s="1"/>
        <tr r="S79" s="3"/>
      </tp>
      <tp t="e">
        <v>#N/A</v>
        <stp/>
        <stp>P</stp>
        <stp>0</stp>
        <stp>STK</stp>
        <stp>N003380</stp>
        <stp>체결시간</stp>
        <stp/>
        <stp/>
        <tr r="S276" s="1"/>
      </tp>
      <tp t="e">
        <v>#N/A</v>
        <stp/>
        <stp>P</stp>
        <stp>0</stp>
        <stp>STK</stp>
        <stp>N093370</stp>
        <stp>체결시간</stp>
        <stp/>
        <stp/>
        <tr r="S355" s="1"/>
        <tr r="S240" s="3"/>
      </tp>
      <tp t="e">
        <v>#N/A</v>
        <stp/>
        <stp>P</stp>
        <stp>0</stp>
        <stp>STK</stp>
        <stp>N043370</stp>
        <stp>체결시간</stp>
        <stp/>
        <stp/>
        <tr r="S650" s="1"/>
      </tp>
      <tp t="e">
        <v>#N/A</v>
        <stp/>
        <stp>P</stp>
        <stp>0</stp>
        <stp>STK</stp>
        <stp>N383310</stp>
        <stp>체결시간</stp>
        <stp/>
        <stp/>
        <tr r="S476" s="1"/>
      </tp>
      <tp t="e">
        <v>#N/A</v>
        <stp/>
        <stp>P</stp>
        <stp>0</stp>
        <stp>STK</stp>
        <stp>N093320</stp>
        <stp>체결시간</stp>
        <stp/>
        <stp/>
        <tr r="S429" s="1"/>
      </tp>
      <tp t="e">
        <v>#N/A</v>
        <stp/>
        <stp>P</stp>
        <stp>0</stp>
        <stp>STK</stp>
        <stp>N183300</stp>
        <stp>체결시간</stp>
        <stp/>
        <stp/>
        <tr r="S303" s="1"/>
      </tp>
      <tp t="e">
        <v>#N/A</v>
        <stp/>
        <stp>P</stp>
        <stp>0</stp>
        <stp>STK</stp>
        <stp>N003300</stp>
        <stp>체결시간</stp>
        <stp/>
        <stp/>
        <tr r="S303" s="3"/>
        <tr r="S489" s="1"/>
      </tp>
      <tp t="e">
        <v>#N/A</v>
        <stp/>
        <stp>P</stp>
        <stp>0</stp>
        <stp>STK</stp>
        <stp>N453340</stp>
        <stp>체결시간</stp>
        <stp/>
        <stp/>
        <tr r="S300" s="3"/>
        <tr r="S480" s="1"/>
      </tp>
      <tp t="e">
        <v>#N/A</v>
        <stp/>
        <stp>P</stp>
        <stp>0</stp>
        <stp>STK</stp>
        <stp>N323280</stp>
        <stp>체결시간</stp>
        <stp/>
        <stp/>
        <tr r="S255" s="1"/>
      </tp>
      <tp t="e">
        <v>#N/A</v>
        <stp/>
        <stp>P</stp>
        <stp>0</stp>
        <stp>STK</stp>
        <stp>N033270</stp>
        <stp>체결시간</stp>
        <stp/>
        <stp/>
        <tr r="S356" s="3"/>
        <tr r="S625" s="1"/>
      </tp>
      <tp t="e">
        <v>#N/A</v>
        <stp/>
        <stp>P</stp>
        <stp>0</stp>
        <stp>STK</stp>
        <stp>N003240</stp>
        <stp>체결시간</stp>
        <stp/>
        <stp/>
        <tr r="S341" s="1"/>
        <tr r="S239" s="3"/>
      </tp>
      <tp t="e">
        <v>#N/A</v>
        <stp/>
        <stp>P</stp>
        <stp>0</stp>
        <stp>STK</stp>
        <stp>N033240</stp>
        <stp>체결시간</stp>
        <stp/>
        <stp/>
        <tr r="S461" s="1"/>
        <tr r="S297" s="3"/>
      </tp>
      <tp t="e">
        <v>#N/A</v>
        <stp/>
        <stp>P</stp>
        <stp>0</stp>
        <stp>STK</stp>
        <stp>N073240</stp>
        <stp>체결시간</stp>
        <stp/>
        <stp/>
        <tr r="S180" s="3"/>
        <tr r="S224" s="1"/>
      </tp>
      <tp t="e">
        <v>#N/A</v>
        <stp/>
        <stp>P</stp>
        <stp>0</stp>
        <stp>STK</stp>
        <stp>N003230</stp>
        <stp>체결시간</stp>
        <stp/>
        <stp/>
        <tr r="S71" s="3"/>
        <tr r="S77" s="1"/>
      </tp>
      <tp t="e">
        <v>#N/A</v>
        <stp/>
        <stp>P</stp>
        <stp>0</stp>
        <stp>STK</stp>
        <stp>N353200</stp>
        <stp>체결시간</stp>
        <stp/>
        <stp/>
        <tr r="S176" s="1"/>
        <tr r="S153" s="3"/>
      </tp>
      <tp t="e">
        <v>#N/A</v>
        <stp/>
        <stp>P</stp>
        <stp>0</stp>
        <stp>STK</stp>
        <stp>N003220</stp>
        <stp>체결시간</stp>
        <stp/>
        <stp/>
        <tr r="S667" s="1"/>
        <tr r="S370" s="3"/>
      </tp>
      <tp t="e">
        <v>#N/A</v>
        <stp/>
        <stp>P</stp>
        <stp>0</stp>
        <stp>STK</stp>
        <stp>N383220</stp>
        <stp>체결시간</stp>
        <stp/>
        <stp/>
        <tr r="S147" s="3"/>
        <tr r="S175" s="1"/>
      </tp>
      <tp t="e">
        <v>#N/A</v>
        <stp/>
        <stp>P</stp>
        <stp>0</stp>
        <stp>STK</stp>
        <stp>N373220</stp>
        <stp>체결시간</stp>
        <stp/>
        <stp/>
        <tr r="S9" s="1"/>
        <tr r="S9" s="3"/>
      </tp>
      <tp t="e">
        <v>#N/A</v>
        <stp/>
        <stp>P</stp>
        <stp>0</stp>
        <stp>STK</stp>
        <stp>N003200</stp>
        <stp>체결시간</stp>
        <stp/>
        <stp/>
        <tr r="S618" s="1"/>
        <tr r="S358" s="3"/>
      </tp>
      <tp t="e">
        <v>#N/A</v>
        <stp/>
        <stp>P</stp>
        <stp>0</stp>
        <stp>STK</stp>
        <stp>N002960</stp>
        <stp>체결시간</stp>
        <stp/>
        <stp/>
        <tr r="S281" s="3"/>
        <tr r="S442" s="1"/>
      </tp>
      <tp t="e">
        <v>#N/A</v>
        <stp/>
        <stp>P</stp>
        <stp>0</stp>
        <stp>STK</stp>
        <stp>N102940</stp>
        <stp>체결시간</stp>
        <stp/>
        <stp/>
        <tr r="S424" s="1"/>
      </tp>
      <tp t="e">
        <v>#N/A</v>
        <stp/>
        <stp>P</stp>
        <stp>0</stp>
        <stp>STK</stp>
        <stp>N382900</stp>
        <stp>체결시간</stp>
        <stp/>
        <stp/>
        <tr r="S651" s="1"/>
      </tp>
      <tp t="e">
        <v>#N/A</v>
        <stp/>
        <stp>P</stp>
        <stp>0</stp>
        <stp>STK</stp>
        <stp>N082920</stp>
        <stp>체결시간</stp>
        <stp/>
        <stp/>
        <tr r="S328" s="1"/>
      </tp>
      <tp t="e">
        <v>#N/A</v>
        <stp/>
        <stp>P</stp>
        <stp>0</stp>
        <stp>STK</stp>
        <stp>N122870</stp>
        <stp>체결시간</stp>
        <stp/>
        <stp/>
        <tr r="S270" s="1"/>
      </tp>
      <tp t="e">
        <v>#N/A</v>
        <stp/>
        <stp>P</stp>
        <stp>0</stp>
        <stp>STK</stp>
        <stp>N002840</stp>
        <stp>체결시간</stp>
        <stp/>
        <stp/>
        <tr r="S261" s="3"/>
        <tr r="S392" s="1"/>
      </tp>
      <tp t="e">
        <v>#N/A</v>
        <stp/>
        <stp>P</stp>
        <stp>0</stp>
        <stp>STK</stp>
        <stp>N192820</stp>
        <stp>체결시간</stp>
        <stp/>
        <stp/>
        <tr r="S205" s="1"/>
        <tr r="S161" s="3"/>
      </tp>
      <tp t="e">
        <v>#N/A</v>
        <stp/>
        <stp>P</stp>
        <stp>0</stp>
        <stp>STK</stp>
        <stp>N032830</stp>
        <stp>체결시간</stp>
        <stp/>
        <stp/>
        <tr r="S24" s="1"/>
        <tr r="S24" s="3"/>
      </tp>
      <tp t="e">
        <v>#N/A</v>
        <stp/>
        <stp>P</stp>
        <stp>0</stp>
        <stp>STK</stp>
        <stp>N462870</stp>
        <stp>체결시간</stp>
        <stp/>
        <stp/>
        <tr r="S214" s="1"/>
        <tr r="S172" s="3"/>
      </tp>
      <tp t="e">
        <v>#N/A</v>
        <stp/>
        <stp>P</stp>
        <stp>0</stp>
        <stp>STK</stp>
        <stp>N222800</stp>
        <stp>체결시간</stp>
        <stp/>
        <stp/>
        <tr r="S220" s="1"/>
      </tp>
      <tp t="e">
        <v>#N/A</v>
        <stp/>
        <stp>P</stp>
        <stp>0</stp>
        <stp>STK</stp>
        <stp>N002810</stp>
        <stp>체결시간</stp>
        <stp/>
        <stp/>
        <tr r="S616" s="1"/>
        <tr r="S354" s="3"/>
      </tp>
      <tp t="e">
        <v>#N/A</v>
        <stp/>
        <stp>P</stp>
        <stp>0</stp>
        <stp>STK</stp>
        <stp>N352820</stp>
        <stp>체결시간</stp>
        <stp/>
        <stp/>
        <tr r="S56" s="1"/>
        <tr r="S53" s="3"/>
      </tp>
      <tp t="e">
        <v>#N/A</v>
        <stp/>
        <stp>P</stp>
        <stp>0</stp>
        <stp>STK</stp>
        <stp>N472850</stp>
        <stp>체결시간</stp>
        <stp/>
        <stp/>
        <tr r="S637" s="1"/>
      </tp>
      <tp t="e">
        <v>#N/A</v>
        <stp/>
        <stp>P</stp>
        <stp>0</stp>
        <stp>STK</stp>
        <stp>N042520</stp>
        <stp>체결시간</stp>
        <stp/>
        <stp/>
        <tr r="S604" s="1"/>
      </tp>
      <tp t="e">
        <v>#N/A</v>
        <stp/>
        <stp>P</stp>
        <stp>0</stp>
        <stp>STK</stp>
        <stp>N012510</stp>
        <stp>체결시간</stp>
        <stp/>
        <stp/>
        <tr r="S155" s="1"/>
        <tr r="S133" s="3"/>
      </tp>
      <tp t="e">
        <v>#N/A</v>
        <stp/>
        <stp>P</stp>
        <stp>0</stp>
        <stp>STK</stp>
        <stp>N032500</stp>
        <stp>체결시간</stp>
        <stp/>
        <stp/>
        <tr r="S413" s="1"/>
      </tp>
      <tp t="e">
        <v>#N/A</v>
        <stp/>
        <stp>P</stp>
        <stp>0</stp>
        <stp>STK</stp>
        <stp>N352480</stp>
        <stp>체결시간</stp>
        <stp/>
        <stp/>
        <tr r="S528" s="1"/>
      </tp>
      <tp t="e">
        <v>#N/A</v>
        <stp/>
        <stp>P</stp>
        <stp>0</stp>
        <stp>STK</stp>
        <stp>N302440</stp>
        <stp>체결시간</stp>
        <stp/>
        <stp/>
        <tr r="S131" s="1"/>
        <tr r="S116" s="3"/>
      </tp>
      <tp t="e">
        <v>#N/A</v>
        <stp/>
        <stp>P</stp>
        <stp>0</stp>
        <stp>STK</stp>
        <stp>N452430</stp>
        <stp>체결시간</stp>
        <stp/>
        <stp/>
        <tr r="S658" s="1"/>
      </tp>
      <tp t="e">
        <v>#N/A</v>
        <stp/>
        <stp>P</stp>
        <stp>0</stp>
        <stp>STK</stp>
        <stp>N092460</stp>
        <stp>체결시간</stp>
        <stp/>
        <stp/>
        <tr r="S640" s="1"/>
      </tp>
      <tp t="e">
        <v>#N/A</v>
        <stp/>
        <stp>P</stp>
        <stp>0</stp>
        <stp>STK</stp>
        <stp>N012450</stp>
        <stp>체결시간</stp>
        <stp/>
        <stp/>
        <tr r="S12" s="1"/>
        <tr r="S11" s="3"/>
      </tp>
      <tp t="e">
        <v>#N/A</v>
        <stp/>
        <stp>P</stp>
        <stp>0</stp>
        <stp>STK</stp>
        <stp>N192400</stp>
        <stp>체결시간</stp>
        <stp/>
        <stp/>
        <tr r="S320" s="1"/>
        <tr r="S232" s="3"/>
      </tp>
      <tp t="e">
        <v>#N/A</v>
        <stp/>
        <stp>P</stp>
        <stp>0</stp>
        <stp>STK</stp>
        <stp>N052400</stp>
        <stp>체결시간</stp>
        <stp/>
        <stp/>
        <tr r="S418" s="1"/>
      </tp>
      <tp t="e">
        <v>#N/A</v>
        <stp/>
        <stp>P</stp>
        <stp>0</stp>
        <stp>STK</stp>
        <stp>N092790</stp>
        <stp>체결시간</stp>
        <stp/>
        <stp/>
        <tr r="S351" s="3"/>
        <tr r="S607" s="1"/>
      </tp>
      <tp t="e">
        <v>#N/A</v>
        <stp/>
        <stp>P</stp>
        <stp>0</stp>
        <stp>STK</stp>
        <stp>N002790</stp>
        <stp>체결시간</stp>
        <stp/>
        <stp/>
        <tr r="S207" s="1"/>
        <tr r="S166" s="3"/>
      </tp>
      <tp t="e">
        <v>#N/A</v>
        <stp/>
        <stp>P</stp>
        <stp>0</stp>
        <stp>STK</stp>
        <stp>N012750</stp>
        <stp>체결시간</stp>
        <stp/>
        <stp/>
        <tr r="S153" s="1"/>
        <tr r="S132" s="3"/>
      </tp>
      <tp t="e">
        <v>#N/A</v>
        <stp/>
        <stp>P</stp>
        <stp>0</stp>
        <stp>STK</stp>
        <stp>N082740</stp>
        <stp>체결시간</stp>
        <stp/>
        <stp/>
        <tr r="S116" s="1"/>
        <tr r="S110" s="3"/>
      </tp>
      <tp t="e">
        <v>#N/A</v>
        <stp/>
        <stp>P</stp>
        <stp>0</stp>
        <stp>STK</stp>
        <stp>N092730</stp>
        <stp>체결시간</stp>
        <stp/>
        <stp/>
        <tr r="S645" s="1"/>
      </tp>
      <tp t="e">
        <v>#N/A</v>
        <stp/>
        <stp>P</stp>
        <stp>0</stp>
        <stp>STK</stp>
        <stp>N002710</stp>
        <stp>체결시간</stp>
        <stp/>
        <stp/>
        <tr r="S324" s="3"/>
        <tr r="S567" s="1"/>
      </tp>
      <tp t="e">
        <v>#N/A</v>
        <stp/>
        <stp>P</stp>
        <stp>0</stp>
        <stp>STK</stp>
        <stp>N072710</stp>
        <stp>체결시간</stp>
        <stp/>
        <stp/>
        <tr r="S320" s="3"/>
        <tr r="S536" s="1"/>
      </tp>
      <tp t="e">
        <v>#N/A</v>
        <stp/>
        <stp>P</stp>
        <stp>0</stp>
        <stp>STK</stp>
        <stp>N102710</stp>
        <stp>체결시간</stp>
        <stp/>
        <stp/>
        <tr r="S398" s="1"/>
      </tp>
      <tp t="e">
        <v>#N/A</v>
        <stp/>
        <stp>P</stp>
        <stp>0</stp>
        <stp>STK</stp>
        <stp>N042700</stp>
        <stp>체결시간</stp>
        <stp/>
        <stp/>
        <tr r="S51" s="3"/>
        <tr r="S51" s="1"/>
      </tp>
      <tp t="e">
        <v>#N/A</v>
        <stp/>
        <stp>P</stp>
        <stp>0</stp>
        <stp>STK</stp>
        <stp>N052690</stp>
        <stp>체결시간</stp>
        <stp/>
        <stp/>
        <tr r="S99" s="3"/>
        <tr r="S104" s="1"/>
      </tp>
      <tp t="e">
        <v>#N/A</v>
        <stp/>
        <stp>P</stp>
        <stp>0</stp>
        <stp>STK</stp>
        <stp>N042660</stp>
        <stp>체결시간</stp>
        <stp/>
        <stp/>
        <tr r="S20" s="1"/>
        <tr r="S19" s="3"/>
      </tp>
      <tp t="e">
        <v>#N/A</v>
        <stp/>
        <stp>P</stp>
        <stp>0</stp>
        <stp>STK</stp>
        <stp>N122640</stp>
        <stp>체결시간</stp>
        <stp/>
        <stp/>
        <tr r="S541" s="1"/>
      </tp>
      <tp t="e">
        <v>#N/A</v>
        <stp/>
        <stp>P</stp>
        <stp>0</stp>
        <stp>STK</stp>
        <stp>N032640</stp>
        <stp>체결시간</stp>
        <stp/>
        <stp/>
        <tr r="S87" s="3"/>
        <tr r="S96" s="1"/>
      </tp>
      <tp t="e">
        <v>#N/A</v>
        <stp/>
        <stp>P</stp>
        <stp>0</stp>
        <stp>STK</stp>
        <stp>N012630</stp>
        <stp>체결시간</stp>
        <stp/>
        <stp/>
        <tr r="S228" s="3"/>
        <tr r="S309" s="1"/>
      </tp>
      <tp t="e">
        <v>#N/A</v>
        <stp/>
        <stp>P</stp>
        <stp>0</stp>
        <stp>STK</stp>
        <stp>N112610</stp>
        <stp>체결시간</stp>
        <stp/>
        <stp/>
        <tr r="S185" s="3"/>
        <tr r="S237" s="1"/>
      </tp>
      <tp t="e">
        <v>#N/A</v>
        <stp/>
        <stp>P</stp>
        <stp>0</stp>
        <stp>STK</stp>
        <stp>N0126Z0</stp>
        <stp>체결시간</stp>
        <stp/>
        <stp/>
        <tr r="S57" s="1"/>
        <tr r="S54" s="3"/>
      </tp>
      <tp t="e">
        <v>#N/A</v>
        <stp/>
        <stp>P</stp>
        <stp>0</stp>
        <stp>STK</stp>
        <stp>N032190</stp>
        <stp>체결시간</stp>
        <stp/>
        <stp/>
        <tr r="S387" s="1"/>
      </tp>
      <tp t="e">
        <v>#N/A</v>
        <stp/>
        <stp>P</stp>
        <stp>0</stp>
        <stp>STK</stp>
        <stp>N232140</stp>
        <stp>체결시간</stp>
        <stp/>
        <stp/>
        <tr r="S280" s="1"/>
      </tp>
      <tp t="e">
        <v>#N/A</v>
        <stp/>
        <stp>P</stp>
        <stp>0</stp>
        <stp>STK</stp>
        <stp>N372170</stp>
        <stp>체결시간</stp>
        <stp/>
        <stp/>
        <tr r="S677" s="1"/>
      </tp>
      <tp t="e">
        <v>#N/A</v>
        <stp/>
        <stp>P</stp>
        <stp>0</stp>
        <stp>STK</stp>
        <stp>N022100</stp>
        <stp>체결시간</stp>
        <stp/>
        <stp/>
        <tr r="S90" s="3"/>
        <tr r="S95" s="1"/>
      </tp>
      <tp t="e">
        <v>#N/A</v>
        <stp/>
        <stp>P</stp>
        <stp>0</stp>
        <stp>STK</stp>
        <stp>N222080</stp>
        <stp>체결시간</stp>
        <stp/>
        <stp/>
        <tr r="S438" s="1"/>
      </tp>
      <tp t="e">
        <v>#N/A</v>
        <stp/>
        <stp>P</stp>
        <stp>0</stp>
        <stp>STK</stp>
        <stp>N192080</stp>
        <stp>체결시간</stp>
        <stp/>
        <stp/>
        <tr r="S221" s="3"/>
        <tr r="S298" s="1"/>
      </tp>
      <tp t="e">
        <v>#N/A</v>
        <stp/>
        <stp>P</stp>
        <stp>0</stp>
        <stp>STK</stp>
        <stp>N402030</stp>
        <stp>체결시간</stp>
        <stp/>
        <stp/>
        <tr r="S641" s="1"/>
      </tp>
      <tp t="e">
        <v>#N/A</v>
        <stp/>
        <stp>P</stp>
        <stp>0</stp>
        <stp>STK</stp>
        <stp>N112040</stp>
        <stp>체결시간</stp>
        <stp/>
        <stp/>
        <tr r="S334" s="1"/>
      </tp>
      <tp t="e">
        <v>#N/A</v>
        <stp/>
        <stp>P</stp>
        <stp>0</stp>
        <stp>STK</stp>
        <stp>N062040</stp>
        <stp>체결시간</stp>
        <stp/>
        <stp/>
        <tr r="S112" s="3"/>
        <tr r="S119" s="1"/>
      </tp>
      <tp t="e">
        <v>#N/A</v>
        <stp/>
        <stp>P</stp>
        <stp>0</stp>
        <stp>STK</stp>
        <stp>N002030</stp>
        <stp>체결시간</stp>
        <stp/>
        <stp/>
        <tr r="S430" s="1"/>
        <tr r="S278" s="3"/>
      </tp>
      <tp t="e">
        <v>#N/A</v>
        <stp/>
        <stp>P</stp>
        <stp>0</stp>
        <stp>STK</stp>
        <stp>N322000</stp>
        <stp>체결시간</stp>
        <stp/>
        <stp/>
        <tr r="S273" s="3"/>
        <tr r="S420" s="1"/>
      </tp>
      <tp t="e">
        <v>#N/A</v>
        <stp/>
        <stp>P</stp>
        <stp>0</stp>
        <stp>STK</stp>
        <stp>N002020</stp>
        <stp>체결시간</stp>
        <stp/>
        <stp/>
        <tr r="S279" s="3"/>
        <tr r="S440" s="1"/>
      </tp>
      <tp t="e">
        <v>#N/A</v>
        <stp/>
        <stp>P</stp>
        <stp>0</stp>
        <stp>STK</stp>
        <stp>N042000</stp>
        <stp>체결시간</stp>
        <stp/>
        <stp/>
        <tr r="S367" s="1"/>
      </tp>
      <tp t="e">
        <v>#N/A</v>
        <stp/>
        <stp>P</stp>
        <stp>0</stp>
        <stp>STK</stp>
        <stp>N0120G0</stp>
        <stp>체결시간</stp>
        <stp/>
        <stp/>
        <tr r="S275" s="3"/>
        <tr r="S433" s="1"/>
      </tp>
      <tp t="e">
        <v>#N/A</v>
        <stp/>
        <stp>P</stp>
        <stp>0</stp>
        <stp>STK</stp>
        <stp>N002380</stp>
        <stp>체결시간</stp>
        <stp/>
        <stp/>
        <tr r="S115" s="3"/>
        <tr r="S127" s="1"/>
      </tp>
      <tp t="e">
        <v>#N/A</v>
        <stp/>
        <stp>P</stp>
        <stp>0</stp>
        <stp>STK</stp>
        <stp>N032350</stp>
        <stp>체결시간</stp>
        <stp/>
        <stp/>
        <tr r="S223" s="1"/>
        <tr r="S176" s="3"/>
      </tp>
      <tp t="e">
        <v>#N/A</v>
        <stp/>
        <stp>P</stp>
        <stp>0</stp>
        <stp>STK</stp>
        <stp>N012330</stp>
        <stp>체결시간</stp>
        <stp/>
        <stp/>
        <tr r="S21" s="3"/>
        <tr r="S19" s="1"/>
      </tp>
      <tp t="e">
        <v>#N/A</v>
        <stp/>
        <stp>P</stp>
        <stp>0</stp>
        <stp>STK</stp>
        <stp>N002320</stp>
        <stp>체결시간</stp>
        <stp/>
        <stp/>
        <tr r="S619" s="1"/>
        <tr r="S357" s="3"/>
      </tp>
      <tp t="e">
        <v>#N/A</v>
        <stp/>
        <stp>P</stp>
        <stp>0</stp>
        <stp>STK</stp>
        <stp>N282330</stp>
        <stp>체결시간</stp>
        <stp/>
        <stp/>
        <tr r="S171" s="3"/>
        <tr r="S210" s="1"/>
      </tp>
      <tp t="e">
        <v>#N/A</v>
        <stp/>
        <stp>P</stp>
        <stp>0</stp>
        <stp>STK</stp>
        <stp>N372320</stp>
        <stp>체결시간</stp>
        <stp/>
        <stp/>
        <tr r="S400" s="1"/>
      </tp>
      <tp t="e">
        <v>#N/A</v>
        <stp/>
        <stp>P</stp>
        <stp>0</stp>
        <stp>STK</stp>
        <stp>N402340</stp>
        <stp>체결시간</stp>
        <stp/>
        <stp/>
        <tr r="S15" s="1"/>
        <tr r="S15" s="3"/>
      </tp>
      <tp t="e">
        <v>#N/A</v>
        <stp/>
        <stp>P</stp>
        <stp>0</stp>
        <stp>STK</stp>
        <stp>N272290</stp>
        <stp>체결시간</stp>
        <stp/>
        <stp/>
        <tr r="S469" s="1"/>
      </tp>
      <tp t="e">
        <v>#N/A</v>
        <stp/>
        <stp>P</stp>
        <stp>0</stp>
        <stp>STK</stp>
        <stp>N082270</stp>
        <stp>체결시간</stp>
        <stp/>
        <stp/>
        <tr r="S313" s="1"/>
      </tp>
      <tp t="e">
        <v>#N/A</v>
        <stp/>
        <stp>P</stp>
        <stp>0</stp>
        <stp>STK</stp>
        <stp>N002240</stp>
        <stp>체결시간</stp>
        <stp/>
        <stp/>
        <tr r="S426" s="1"/>
        <tr r="S277" s="3"/>
      </tp>
      <tp t="e">
        <v>#N/A</v>
        <stp/>
        <stp>P</stp>
        <stp>0</stp>
        <stp>STK</stp>
        <stp>N092230</stp>
        <stp>체결시간</stp>
        <stp/>
        <stp/>
        <tr r="S615" s="1"/>
        <tr r="S352" s="3"/>
      </tp>
      <tp t="e">
        <v>#N/A</v>
        <stp/>
        <stp>P</stp>
        <stp>0</stp>
        <stp>STK</stp>
        <stp>N272210</stp>
        <stp>체결시간</stp>
        <stp/>
        <stp/>
        <tr r="S50" s="1"/>
        <tr r="S49" s="3"/>
      </tp>
      <tp t="e">
        <v>#N/A</v>
        <stp/>
        <stp>P</stp>
        <stp>0</stp>
        <stp>STK</stp>
        <stp>N259960</stp>
        <stp>세션명</stp>
        <stp/>
        <stp/>
        <tr r="R67" s="1"/>
        <tr r="R64" s="3"/>
      </tp>
      <tp t="e">
        <v>#N/A</v>
        <stp/>
        <stp>P</stp>
        <stp>0</stp>
        <stp>STK</stp>
        <stp>N459510</stp>
        <stp>세션명</stp>
        <stp/>
        <stp/>
        <tr r="R490" s="1"/>
      </tp>
      <tp t="e">
        <v>#N/A</v>
        <stp/>
        <stp>P</stp>
        <stp>0</stp>
        <stp>STK</stp>
        <stp>N059090</stp>
        <stp>세션명</stp>
        <stp/>
        <stp/>
        <tr r="R515" s="1"/>
      </tp>
      <tp t="e">
        <v>#N/A</v>
        <stp/>
        <stp>P</stp>
        <stp>0</stp>
        <stp>STK</stp>
        <stp>N458870</stp>
        <stp>세션명</stp>
        <stp/>
        <stp/>
        <tr r="R221" s="1"/>
      </tp>
      <tp t="e">
        <v>#N/A</v>
        <stp/>
        <stp>P</stp>
        <stp>0</stp>
        <stp>STK</stp>
        <stp>N058970</stp>
        <stp>세션명</stp>
        <stp/>
        <stp/>
        <tr r="R509" s="1"/>
      </tp>
      <tp t="e">
        <v>#N/A</v>
        <stp/>
        <stp>P</stp>
        <stp>0</stp>
        <stp>STK</stp>
        <stp>N058470</stp>
        <stp>세션명</stp>
        <stp/>
        <stp/>
        <tr r="R109" s="1"/>
      </tp>
      <tp t="e">
        <v>#N/A</v>
        <stp/>
        <stp>P</stp>
        <stp>0</stp>
        <stp>STK</stp>
        <stp>N358570</stp>
        <stp>세션명</stp>
        <stp/>
        <stp/>
        <tr r="R336" s="1"/>
      </tp>
      <tp t="e">
        <v>#N/A</v>
        <stp/>
        <stp>P</stp>
        <stp>0</stp>
        <stp>STK</stp>
        <stp>N058610</stp>
        <stp>세션명</stp>
        <stp/>
        <stp/>
        <tr r="R178" s="1"/>
      </tp>
      <tp t="e">
        <v>#N/A</v>
        <stp/>
        <stp>P</stp>
        <stp>0</stp>
        <stp>STK</stp>
        <stp>N053800</stp>
        <stp>세션명</stp>
        <stp/>
        <stp/>
        <tr r="R401" s="1"/>
      </tp>
      <tp t="e">
        <v>#N/A</v>
        <stp/>
        <stp>P</stp>
        <stp>0</stp>
        <stp>STK</stp>
        <stp>N253450</stp>
        <stp>세션명</stp>
        <stp/>
        <stp/>
        <tr r="R261" s="1"/>
      </tp>
      <tp t="e">
        <v>#N/A</v>
        <stp/>
        <stp>P</stp>
        <stp>0</stp>
        <stp>STK</stp>
        <stp>N253590</stp>
        <stp>세션명</stp>
        <stp/>
        <stp/>
        <tr r="R474" s="1"/>
      </tp>
      <tp t="e">
        <v>#N/A</v>
        <stp/>
        <stp>P</stp>
        <stp>0</stp>
        <stp>STK</stp>
        <stp>N053610</stp>
        <stp>세션명</stp>
        <stp/>
        <stp/>
        <tr r="R538" s="1"/>
      </tp>
      <tp t="e">
        <v>#N/A</v>
        <stp/>
        <stp>P</stp>
        <stp>0</stp>
        <stp>STK</stp>
        <stp>N053030</stp>
        <stp>세션명</stp>
        <stp/>
        <stp/>
        <tr r="R506" s="1"/>
      </tp>
      <tp t="e">
        <v>#N/A</v>
        <stp/>
        <stp>P</stp>
        <stp>0</stp>
        <stp>STK</stp>
        <stp>N353200</stp>
        <stp>세션명</stp>
        <stp/>
        <stp/>
        <tr r="R153" s="3"/>
        <tr r="R176" s="1"/>
      </tp>
      <tp t="e">
        <v>#N/A</v>
        <stp/>
        <stp>P</stp>
        <stp>0</stp>
        <stp>STK</stp>
        <stp>N453340</stp>
        <stp>세션명</stp>
        <stp/>
        <stp/>
        <tr r="R300" s="3"/>
        <tr r="R480" s="1"/>
      </tp>
      <tp t="e">
        <v>#N/A</v>
        <stp/>
        <stp>P</stp>
        <stp>0</stp>
        <stp>STK</stp>
        <stp>N352820</stp>
        <stp>세션명</stp>
        <stp/>
        <stp/>
        <tr r="R56" s="1"/>
        <tr r="R53" s="3"/>
      </tp>
      <tp t="e">
        <v>#N/A</v>
        <stp/>
        <stp>P</stp>
        <stp>0</stp>
        <stp>STK</stp>
        <stp>N352480</stp>
        <stp>세션명</stp>
        <stp/>
        <stp/>
        <tr r="R528" s="1"/>
      </tp>
      <tp t="e">
        <v>#N/A</v>
        <stp/>
        <stp>P</stp>
        <stp>0</stp>
        <stp>STK</stp>
        <stp>N452430</stp>
        <stp>세션명</stp>
        <stp/>
        <stp/>
        <tr r="R658" s="1"/>
      </tp>
      <tp t="e">
        <v>#N/A</v>
        <stp/>
        <stp>P</stp>
        <stp>0</stp>
        <stp>STK</stp>
        <stp>N052400</stp>
        <stp>세션명</stp>
        <stp/>
        <stp/>
        <tr r="R418" s="1"/>
      </tp>
      <tp t="e">
        <v>#N/A</v>
        <stp/>
        <stp>P</stp>
        <stp>0</stp>
        <stp>STK</stp>
        <stp>N052690</stp>
        <stp>세션명</stp>
        <stp/>
        <stp/>
        <tr r="R99" s="3"/>
        <tr r="R104" s="1"/>
      </tp>
      <tp t="e">
        <v>#N/A</v>
        <stp/>
        <stp>P</stp>
        <stp>0</stp>
        <stp>STK</stp>
        <stp>N251970</stp>
        <stp>세션명</stp>
        <stp/>
        <stp/>
        <tr r="R393" s="1"/>
      </tp>
      <tp t="e">
        <v>#N/A</v>
        <stp/>
        <stp>P</stp>
        <stp>0</stp>
        <stp>STK</stp>
        <stp>N051910</stp>
        <stp>세션명</stp>
        <stp/>
        <stp/>
        <tr r="R33" s="3"/>
        <tr r="R33" s="1"/>
      </tp>
      <tp t="e">
        <v>#N/A</v>
        <stp/>
        <stp>P</stp>
        <stp>0</stp>
        <stp>STK</stp>
        <stp>N051900</stp>
        <stp>세션명</stp>
        <stp/>
        <stp/>
        <tr r="R124" s="1"/>
        <tr r="R114" s="3"/>
      </tp>
      <tp t="e">
        <v>#N/A</v>
        <stp/>
        <stp>P</stp>
        <stp>0</stp>
        <stp>STK</stp>
        <stp>N051500</stp>
        <stp>세션명</stp>
        <stp/>
        <stp/>
        <tr r="R605" s="1"/>
      </tp>
      <tp t="e">
        <v>#N/A</v>
        <stp/>
        <stp>P</stp>
        <stp>0</stp>
        <stp>STK</stp>
        <stp>N051600</stp>
        <stp>세션명</stp>
        <stp/>
        <stp/>
        <tr r="R142" s="3"/>
        <tr r="R166" s="1"/>
      </tp>
      <tp t="e">
        <v>#N/A</v>
        <stp/>
        <stp>P</stp>
        <stp>0</stp>
        <stp>STK</stp>
        <stp>N251270</stp>
        <stp>세션명</stp>
        <stp/>
        <stp/>
        <tr r="R120" s="1"/>
        <tr r="R108" s="3"/>
      </tp>
      <tp t="e">
        <v>#N/A</v>
        <stp/>
        <stp>P</stp>
        <stp>0</stp>
        <stp>STK</stp>
        <stp>N051360</stp>
        <stp>세션명</stp>
        <stp/>
        <stp/>
        <tr r="R672" s="1"/>
      </tp>
      <tp t="e">
        <v>#N/A</v>
        <stp/>
        <stp>P</stp>
        <stp>0</stp>
        <stp>STK</stp>
        <stp>N050890</stp>
        <stp>세션명</stp>
        <stp/>
        <stp/>
        <tr r="R493" s="1"/>
      </tp>
      <tp t="e">
        <v>#N/A</v>
        <stp/>
        <stp>P</stp>
        <stp>0</stp>
        <stp>STK</stp>
        <stp>N450950</stp>
        <stp>세션명</stp>
        <stp/>
        <stp/>
        <tr r="R498" s="1"/>
      </tp>
      <tp t="e">
        <v>#N/A</v>
        <stp/>
        <stp>P</stp>
        <stp>0</stp>
        <stp>STK</stp>
        <stp>N450080</stp>
        <stp>세션명</stp>
        <stp/>
        <stp/>
        <tr r="R121" s="1"/>
        <tr r="R109" s="3"/>
      </tp>
      <tp t="e">
        <v>#N/A</v>
        <stp/>
        <stp>P</stp>
        <stp>0</stp>
        <stp>STK</stp>
        <stp>N357550</stp>
        <stp>세션명</stp>
        <stp/>
        <stp/>
        <tr r="R609" s="1"/>
      </tp>
      <tp t="e">
        <v>#N/A</v>
        <stp/>
        <stp>P</stp>
        <stp>0</stp>
        <stp>STK</stp>
        <stp>N357780</stp>
        <stp>세션명</stp>
        <stp/>
        <stp/>
        <tr r="R167" s="1"/>
      </tp>
      <tp t="e">
        <v>#N/A</v>
        <stp/>
        <stp>P</stp>
        <stp>0</stp>
        <stp>STK</stp>
        <stp>N257720</stp>
        <stp>세션명</stp>
        <stp/>
        <stp/>
        <tr r="R156" s="1"/>
      </tp>
      <tp t="e">
        <v>#N/A</v>
        <stp/>
        <stp>P</stp>
        <stp>0</stp>
        <stp>STK</stp>
        <stp>N057050</stp>
        <stp>세션명</stp>
        <stp/>
        <stp/>
        <tr r="R268" s="3"/>
        <tr r="R410" s="1"/>
      </tp>
      <tp t="e">
        <v>#N/A</v>
        <stp/>
        <stp>P</stp>
        <stp>0</stp>
        <stp>STK</stp>
        <stp>N457190</stp>
        <stp>세션명</stp>
        <stp/>
        <stp/>
        <tr r="R127" s="3"/>
        <tr r="R159" s="1"/>
      </tp>
      <tp t="e">
        <v>#N/A</v>
        <stp/>
        <stp>P</stp>
        <stp>0</stp>
        <stp>STK</stp>
        <stp>N356860</stp>
        <stp>세션명</stp>
        <stp/>
        <stp/>
        <tr r="R453" s="1"/>
      </tp>
      <tp t="e">
        <v>#N/A</v>
        <stp/>
        <stp>P</stp>
        <stp>0</stp>
        <stp>STK</stp>
        <stp>N356680</stp>
        <stp>세션명</stp>
        <stp/>
        <stp/>
        <tr r="R694" s="1"/>
      </tp>
      <tp t="e">
        <v>#N/A</v>
        <stp/>
        <stp>P</stp>
        <stp>0</stp>
        <stp>STK</stp>
        <stp>N456040</stp>
        <stp>세션명</stp>
        <stp/>
        <stp/>
        <tr r="R409" s="1"/>
        <tr r="R270" s="3"/>
      </tp>
      <tp t="e">
        <v>#N/A</v>
        <stp/>
        <stp>P</stp>
        <stp>0</stp>
        <stp>STK</stp>
        <stp>N056190</stp>
        <stp>세션명</stp>
        <stp/>
        <stp/>
        <tr r="R327" s="1"/>
      </tp>
      <tp t="e">
        <v>#N/A</v>
        <stp/>
        <stp>P</stp>
        <stp>0</stp>
        <stp>STK</stp>
        <stp>N456160</stp>
        <stp>세션명</stp>
        <stp/>
        <stp/>
        <tr r="R278" s="1"/>
      </tp>
      <tp t="e">
        <v>#N/A</v>
        <stp/>
        <stp>P</stp>
        <stp>0</stp>
        <stp>STK</stp>
        <stp>N455900</stp>
        <stp>세션명</stp>
        <stp/>
        <stp/>
        <tr r="R415" s="1"/>
      </tp>
      <tp t="e">
        <v>#N/A</v>
        <stp/>
        <stp>P</stp>
        <stp>0</stp>
        <stp>STK</stp>
        <stp>N055550</stp>
        <stp>세션명</stp>
        <stp/>
        <stp/>
        <tr r="R22" s="1"/>
        <tr r="R22" s="3"/>
      </tp>
      <tp t="e">
        <v>#N/A</v>
        <stp/>
        <stp>P</stp>
        <stp>0</stp>
        <stp>STK</stp>
        <stp>N054950</stp>
        <stp>세션명</stp>
        <stp/>
        <stp/>
        <tr r="R614" s="1"/>
      </tp>
      <tp t="e">
        <v>#N/A</v>
        <stp/>
        <stp>P</stp>
        <stp>0</stp>
        <stp>STK</stp>
        <stp>N454910</stp>
        <stp>세션명</stp>
        <stp/>
        <stp/>
        <tr r="R82" s="3"/>
        <tr r="R87" s="1"/>
      </tp>
      <tp t="e">
        <v>#N/A</v>
        <stp/>
        <stp>P</stp>
        <stp>0</stp>
        <stp>STK</stp>
        <stp>N249420</stp>
        <stp>세션명</stp>
        <stp/>
        <stp/>
        <tr r="R285" s="1"/>
        <tr r="R217" s="3"/>
      </tp>
      <tp t="e">
        <v>#N/A</v>
        <stp/>
        <stp>P</stp>
        <stp>0</stp>
        <stp>STK</stp>
        <stp>N049070</stp>
        <stp>세션명</stp>
        <stp/>
        <stp/>
        <tr r="R519" s="1"/>
      </tp>
      <tp t="e">
        <v>#N/A</v>
        <stp/>
        <stp>P</stp>
        <stp>0</stp>
        <stp>STK</stp>
        <stp>N448900</stp>
        <stp>세션명</stp>
        <stp/>
        <stp/>
        <tr r="R486" s="1"/>
      </tp>
      <tp t="e">
        <v>#N/A</v>
        <stp/>
        <stp>P</stp>
        <stp>0</stp>
        <stp>STK</stp>
        <stp>N048410</stp>
        <stp>세션명</stp>
        <stp/>
        <stp/>
        <tr r="R452" s="1"/>
      </tp>
      <tp t="e">
        <v>#N/A</v>
        <stp/>
        <stp>P</stp>
        <stp>0</stp>
        <stp>STK</stp>
        <stp>N248070</stp>
        <stp>세션명</stp>
        <stp/>
        <stp/>
        <tr r="R377" s="1"/>
        <tr r="R258" s="3"/>
      </tp>
      <tp t="e">
        <v>#N/A</v>
        <stp/>
        <stp>P</stp>
        <stp>0</stp>
        <stp>STK</stp>
        <stp>N448280</stp>
        <stp>세션명</stp>
        <stp/>
        <stp/>
        <tr r="R638" s="1"/>
      </tp>
      <tp t="e">
        <v>#N/A</v>
        <stp/>
        <stp>P</stp>
        <stp>0</stp>
        <stp>STK</stp>
        <stp>N348210</stp>
        <stp>세션명</stp>
        <stp/>
        <stp/>
        <tr r="R360" s="1"/>
      </tp>
      <tp t="e">
        <v>#N/A</v>
        <stp/>
        <stp>P</stp>
        <stp>0</stp>
        <stp>STK</stp>
        <stp>N348370</stp>
        <stp>세션명</stp>
        <stp/>
        <stp/>
        <tr r="R263" s="1"/>
      </tp>
      <tp t="e">
        <v>#N/A</v>
        <stp/>
        <stp>P</stp>
        <stp>0</stp>
        <stp>STK</stp>
        <stp>N243070</stp>
        <stp>세션명</stp>
        <stp/>
        <stp/>
        <tr r="R611" s="1"/>
      </tp>
      <tp t="e">
        <v>#N/A</v>
        <stp/>
        <stp>P</stp>
        <stp>0</stp>
        <stp>STK</stp>
        <stp>N443060</stp>
        <stp>세션명</stp>
        <stp/>
        <stp/>
        <tr r="R79" s="3"/>
        <tr r="R83" s="1"/>
      </tp>
      <tp t="e">
        <v>#N/A</v>
        <stp/>
        <stp>P</stp>
        <stp>0</stp>
        <stp>STK</stp>
        <stp>N043150</stp>
        <stp>세션명</stp>
        <stp/>
        <stp/>
        <tr r="R642" s="1"/>
      </tp>
      <tp t="e">
        <v>#N/A</v>
        <stp/>
        <stp>P</stp>
        <stp>0</stp>
        <stp>STK</stp>
        <stp>N043370</stp>
        <stp>세션명</stp>
        <stp/>
        <stp/>
        <tr r="R650" s="1"/>
      </tp>
      <tp t="e">
        <v>#N/A</v>
        <stp/>
        <stp>P</stp>
        <stp>0</stp>
        <stp>STK</stp>
        <stp>N042520</stp>
        <stp>세션명</stp>
        <stp/>
        <stp/>
        <tr r="R604" s="1"/>
      </tp>
      <tp t="e">
        <v>#N/A</v>
        <stp/>
        <stp>P</stp>
        <stp>0</stp>
        <stp>STK</stp>
        <stp>N042660</stp>
        <stp>세션명</stp>
        <stp/>
        <stp/>
        <tr r="R20" s="1"/>
        <tr r="R19" s="3"/>
      </tp>
      <tp t="e">
        <v>#N/A</v>
        <stp/>
        <stp>P</stp>
        <stp>0</stp>
        <stp>STK</stp>
        <stp>N042700</stp>
        <stp>세션명</stp>
        <stp/>
        <stp/>
        <tr r="R51" s="3"/>
        <tr r="R51" s="1"/>
      </tp>
      <tp t="e">
        <v>#N/A</v>
        <stp/>
        <stp>P</stp>
        <stp>0</stp>
        <stp>STK</stp>
        <stp>N042000</stp>
        <stp>세션명</stp>
        <stp/>
        <stp/>
        <tr r="R367" s="1"/>
      </tp>
      <tp t="e">
        <v>#N/A</v>
        <stp/>
        <stp>P</stp>
        <stp>0</stp>
        <stp>STK</stp>
        <stp>N041830</stp>
        <stp>세션명</stp>
        <stp/>
        <stp/>
        <tr r="R543" s="1"/>
      </tp>
      <tp t="e">
        <v>#N/A</v>
        <stp/>
        <stp>P</stp>
        <stp>0</stp>
        <stp>STK</stp>
        <stp>N241560</stp>
        <stp>세션명</stp>
        <stp/>
        <stp/>
        <tr r="R100" s="1"/>
        <tr r="R93" s="3"/>
      </tp>
      <tp t="e">
        <v>#N/A</v>
        <stp/>
        <stp>P</stp>
        <stp>0</stp>
        <stp>STK</stp>
        <stp>N041510</stp>
        <stp>세션명</stp>
        <stp/>
        <stp/>
        <tr r="R177" s="1"/>
      </tp>
      <tp t="e">
        <v>#N/A</v>
        <stp/>
        <stp>P</stp>
        <stp>0</stp>
        <stp>STK</stp>
        <stp>N241770</stp>
        <stp>세션명</stp>
        <stp/>
        <stp/>
        <tr r="R683" s="1"/>
      </tp>
      <tp t="e">
        <v>#N/A</v>
        <stp/>
        <stp>P</stp>
        <stp>0</stp>
        <stp>STK</stp>
        <stp>N241710</stp>
        <stp>세션명</stp>
        <stp/>
        <stp/>
        <tr r="R357" s="1"/>
      </tp>
      <tp t="e">
        <v>#N/A</v>
        <stp/>
        <stp>P</stp>
        <stp>0</stp>
        <stp>STK</stp>
        <stp>N141080</stp>
        <stp>세션명</stp>
        <stp/>
        <stp/>
        <tr r="R105" s="1"/>
      </tp>
      <tp t="e">
        <v>#N/A</v>
        <stp/>
        <stp>P</stp>
        <stp>0</stp>
        <stp>STK</stp>
        <stp>N041190</stp>
        <stp>세션명</stp>
        <stp/>
        <stp/>
        <tr r="R425" s="1"/>
      </tp>
      <tp t="e">
        <v>#N/A</v>
        <stp/>
        <stp>P</stp>
        <stp>0</stp>
        <stp>STK</stp>
        <stp>N441270</stp>
        <stp>세션명</stp>
        <stp/>
        <stp/>
        <tr r="R569" s="1"/>
      </tp>
      <tp t="e">
        <v>#N/A</v>
        <stp/>
        <stp>P</stp>
        <stp>0</stp>
        <stp>STK</stp>
        <stp>N140860</stp>
        <stp>세션명</stp>
        <stp/>
        <stp/>
        <tr r="R238" s="1"/>
      </tp>
      <tp t="e">
        <v>#N/A</v>
        <stp/>
        <stp>P</stp>
        <stp>0</stp>
        <stp>STK</stp>
        <stp>N240810</stp>
        <stp>세션명</stp>
        <stp/>
        <stp/>
        <tr r="R130" s="1"/>
      </tp>
      <tp t="e">
        <v>#N/A</v>
        <stp/>
        <stp>P</stp>
        <stp>0</stp>
        <stp>STK</stp>
        <stp>N140410</stp>
        <stp>세션명</stp>
        <stp/>
        <stp/>
        <tr r="R151" s="1"/>
      </tp>
      <tp t="e">
        <v>#N/A</v>
        <stp/>
        <stp>P</stp>
        <stp>0</stp>
        <stp>STK</stp>
        <stp>N340570</stp>
        <stp>세션명</stp>
        <stp/>
        <stp/>
        <tr r="R572" s="1"/>
      </tp>
      <tp t="e">
        <v>#N/A</v>
        <stp/>
        <stp>P</stp>
        <stp>0</stp>
        <stp>STK</stp>
        <stp>N347850</stp>
        <stp>세션명</stp>
        <stp/>
        <stp/>
        <tr r="R138" s="1"/>
      </tp>
      <tp t="e">
        <v>#N/A</v>
        <stp/>
        <stp>P</stp>
        <stp>0</stp>
        <stp>STK</stp>
        <stp>N047810</stp>
        <stp>세션명</stp>
        <stp/>
        <stp/>
        <tr r="R52" s="3"/>
        <tr r="R53" s="1"/>
      </tp>
      <tp t="e">
        <v>#N/A</v>
        <stp/>
        <stp>P</stp>
        <stp>0</stp>
        <stp>STK</stp>
        <stp>N047920</stp>
        <stp>세션명</stp>
        <stp/>
        <stp/>
        <tr r="R448" s="1"/>
      </tp>
      <tp t="e">
        <v>#N/A</v>
        <stp/>
        <stp>P</stp>
        <stp>0</stp>
        <stp>STK</stp>
        <stp>N247540</stp>
        <stp>세션명</stp>
        <stp/>
        <stp/>
        <tr r="R54" s="1"/>
      </tp>
      <tp t="e">
        <v>#N/A</v>
        <stp/>
        <stp>P</stp>
        <stp>0</stp>
        <stp>STK</stp>
        <stp>N047050</stp>
        <stp>세션명</stp>
        <stp/>
        <stp/>
        <tr r="R68" s="1"/>
        <tr r="R65" s="3"/>
      </tp>
      <tp t="e">
        <v>#N/A</v>
        <stp/>
        <stp>P</stp>
        <stp>0</stp>
        <stp>STK</stp>
        <stp>N047040</stp>
        <stp>세션명</stp>
        <stp/>
        <stp/>
        <tr r="R173" s="3"/>
        <tr r="R208" s="1"/>
      </tp>
      <tp t="e">
        <v>#N/A</v>
        <stp/>
        <stp>P</stp>
        <stp>0</stp>
        <stp>STK</stp>
        <stp>N046890</stp>
        <stp>세션명</stp>
        <stp/>
        <stp/>
        <tr r="R576" s="1"/>
      </tp>
      <tp t="e">
        <v>#N/A</v>
        <stp/>
        <stp>P</stp>
        <stp>0</stp>
        <stp>STK</stp>
        <stp>N145990</stp>
        <stp>세션명</stp>
        <stp/>
        <stp/>
        <tr r="R305" s="3"/>
        <tr r="R492" s="1"/>
      </tp>
      <tp t="e">
        <v>#N/A</v>
        <stp/>
        <stp>P</stp>
        <stp>0</stp>
        <stp>STK</stp>
        <stp>N445680</stp>
        <stp>세션명</stp>
        <stp/>
        <stp/>
        <tr r="R204" s="1"/>
      </tp>
      <tp t="e">
        <v>#N/A</v>
        <stp/>
        <stp>P</stp>
        <stp>0</stp>
        <stp>STK</stp>
        <stp>N145720</stp>
        <stp>세션명</stp>
        <stp/>
        <stp/>
        <tr r="R467" s="1"/>
        <tr r="R290" s="3"/>
      </tp>
      <tp t="e">
        <v>#N/A</v>
        <stp/>
        <stp>P</stp>
        <stp>0</stp>
        <stp>STK</stp>
        <stp>N445090</stp>
        <stp>세션명</stp>
        <stp/>
        <stp/>
        <tr r="R606" s="1"/>
      </tp>
      <tp t="e">
        <v>#N/A</v>
        <stp/>
        <stp>P</stp>
        <stp>0</stp>
        <stp>STK</stp>
        <stp>N145020</stp>
        <stp>세션명</stp>
        <stp/>
        <stp/>
        <tr r="R158" s="1"/>
      </tp>
      <tp t="e">
        <v>#N/A</v>
        <stp/>
        <stp>P</stp>
        <stp>0</stp>
        <stp>STK</stp>
        <stp>N045100</stp>
        <stp>세션명</stp>
        <stp/>
        <stp/>
        <tr r="R500" s="1"/>
      </tp>
      <tp t="e">
        <v>#N/A</v>
        <stp/>
        <stp>P</stp>
        <stp>0</stp>
        <stp>STK</stp>
        <stp>N344820</stp>
        <stp>세션명</stp>
        <stp/>
        <stp/>
        <tr r="R316" s="3"/>
        <tr r="R516" s="1"/>
      </tp>
      <tp t="e">
        <v>#N/A</v>
        <stp/>
        <stp>P</stp>
        <stp>0</stp>
        <stp>STK</stp>
        <stp>N044490</stp>
        <stp>세션명</stp>
        <stp/>
        <stp/>
        <tr r="R391" s="1"/>
      </tp>
      <tp t="e">
        <v>#N/A</v>
        <stp/>
        <stp>P</stp>
        <stp>0</stp>
        <stp>STK</stp>
        <stp>N144510</stp>
        <stp>세션명</stp>
        <stp/>
        <stp/>
        <tr r="R575" s="1"/>
      </tp>
      <tp t="e">
        <v>#N/A</v>
        <stp/>
        <stp>P</stp>
        <stp>0</stp>
        <stp>STK</stp>
        <stp>N079940</stp>
        <stp>세션명</stp>
        <stp/>
        <stp/>
        <tr r="R517" s="1"/>
      </tp>
      <tp t="e">
        <v>#N/A</v>
        <stp/>
        <stp>P</stp>
        <stp>0</stp>
        <stp>STK</stp>
        <stp>N179900</stp>
        <stp>세션명</stp>
        <stp/>
        <stp/>
        <tr r="R525" s="1"/>
      </tp>
      <tp t="e">
        <v>#N/A</v>
        <stp/>
        <stp>P</stp>
        <stp>0</stp>
        <stp>STK</stp>
        <stp>N079900</stp>
        <stp>세션명</stp>
        <stp/>
        <stp/>
        <tr r="R259" s="3"/>
        <tr r="R382" s="1"/>
      </tp>
      <tp t="e">
        <v>#N/A</v>
        <stp/>
        <stp>P</stp>
        <stp>0</stp>
        <stp>STK</stp>
        <stp>N079550</stp>
        <stp>세션명</stp>
        <stp/>
        <stp/>
        <tr r="R62" s="3"/>
        <tr r="R66" s="1"/>
      </tp>
      <tp t="e">
        <v>#N/A</v>
        <stp/>
        <stp>P</stp>
        <stp>0</stp>
        <stp>STK</stp>
        <stp>N079370</stp>
        <stp>세션명</stp>
        <stp/>
        <stp/>
        <tr r="R487" s="1"/>
      </tp>
      <tp t="e">
        <v>#N/A</v>
        <stp/>
        <stp>P</stp>
        <stp>0</stp>
        <stp>STK</stp>
        <stp>N078930</stp>
        <stp>세션명</stp>
        <stp/>
        <stp/>
        <tr r="R101" s="1"/>
        <tr r="R94" s="3"/>
      </tp>
      <tp t="e">
        <v>#N/A</v>
        <stp/>
        <stp>P</stp>
        <stp>0</stp>
        <stp>STK</stp>
        <stp>N178920</stp>
        <stp>세션명</stp>
        <stp/>
        <stp/>
        <tr r="R307" s="3"/>
        <tr r="R501" s="1"/>
      </tp>
      <tp t="e">
        <v>#N/A</v>
        <stp/>
        <stp>P</stp>
        <stp>0</stp>
        <stp>STK</stp>
        <stp>N278470</stp>
        <stp>세션명</stp>
        <stp/>
        <stp/>
        <tr r="R67" s="3"/>
        <tr r="R74" s="1"/>
      </tp>
      <tp t="e">
        <v>#N/A</v>
        <stp/>
        <stp>P</stp>
        <stp>0</stp>
        <stp>STK</stp>
        <stp>N078520</stp>
        <stp>세션명</stp>
        <stp/>
        <stp/>
        <tr r="R670" s="1"/>
        <tr r="R368" s="3"/>
      </tp>
      <tp t="e">
        <v>#N/A</v>
        <stp/>
        <stp>P</stp>
        <stp>0</stp>
        <stp>STK</stp>
        <stp>N078600</stp>
        <stp>세션명</stp>
        <stp/>
        <stp/>
        <tr r="R317" s="1"/>
      </tp>
      <tp t="e">
        <v>#N/A</v>
        <stp/>
        <stp>P</stp>
        <stp>0</stp>
        <stp>STK</stp>
        <stp>N078160</stp>
        <stp>세션명</stp>
        <stp/>
        <stp/>
        <tr r="R435" s="1"/>
      </tp>
      <tp t="e">
        <v>#N/A</v>
        <stp/>
        <stp>P</stp>
        <stp>0</stp>
        <stp>STK</stp>
        <stp>N278280</stp>
        <stp>세션명</stp>
        <stp/>
        <stp/>
        <tr r="R434" s="1"/>
      </tp>
      <tp t="e">
        <v>#N/A</v>
        <stp/>
        <stp>P</stp>
        <stp>0</stp>
        <stp>STK</stp>
        <stp>N378340</stp>
        <stp>세션명</stp>
        <stp/>
        <stp/>
        <tr r="R648" s="1"/>
      </tp>
      <tp t="e">
        <v>#N/A</v>
        <stp/>
        <stp>P</stp>
        <stp>0</stp>
        <stp>STK</stp>
        <stp>N078350</stp>
        <stp>세션명</stp>
        <stp/>
        <stp/>
        <tr r="R566" s="1"/>
      </tp>
      <tp t="e">
        <v>#N/A</v>
        <stp/>
        <stp>P</stp>
        <stp>0</stp>
        <stp>STK</stp>
        <stp>N078340</stp>
        <stp>세션명</stp>
        <stp/>
        <stp/>
        <tr r="R540" s="1"/>
      </tp>
      <tp t="e">
        <v>#N/A</v>
        <stp/>
        <stp>P</stp>
        <stp>0</stp>
        <stp>STK</stp>
        <stp>N178320</stp>
        <stp>세션명</stp>
        <stp/>
        <stp/>
        <tr r="R228" s="1"/>
      </tp>
      <tp t="e">
        <v>#N/A</v>
        <stp/>
        <stp>P</stp>
        <stp>0</stp>
        <stp>STK</stp>
        <stp>N478340</stp>
        <stp>세션명</stp>
        <stp/>
        <stp/>
        <tr r="R422" s="1"/>
      </tp>
      <tp t="e">
        <v>#N/A</v>
        <stp/>
        <stp>P</stp>
        <stp>0</stp>
        <stp>STK</stp>
        <stp>N473980</stp>
        <stp>세션명</stp>
        <stp/>
        <stp/>
        <tr r="R646" s="1"/>
      </tp>
      <tp t="e">
        <v>#N/A</v>
        <stp/>
        <stp>P</stp>
        <stp>0</stp>
        <stp>STK</stp>
        <stp>N073240</stp>
        <stp>세션명</stp>
        <stp/>
        <stp/>
        <tr r="R180" s="3"/>
        <tr r="R224" s="1"/>
      </tp>
      <tp t="e">
        <v>#N/A</v>
        <stp/>
        <stp>P</stp>
        <stp>0</stp>
        <stp>STK</stp>
        <stp>N373220</stp>
        <stp>세션명</stp>
        <stp/>
        <stp/>
        <tr r="R9" s="1"/>
        <tr r="R9" s="3"/>
      </tp>
      <tp t="e">
        <v>#N/A</v>
        <stp/>
        <stp>P</stp>
        <stp>0</stp>
        <stp>STK</stp>
        <stp>N472850</stp>
        <stp>세션명</stp>
        <stp/>
        <stp/>
        <tr r="R637" s="1"/>
      </tp>
      <tp t="e">
        <v>#N/A</v>
        <stp/>
        <stp>P</stp>
        <stp>0</stp>
        <stp>STK</stp>
        <stp>N072710</stp>
        <stp>세션명</stp>
        <stp/>
        <stp/>
        <tr r="R320" s="3"/>
        <tr r="R536" s="1"/>
      </tp>
      <tp t="e">
        <v>#N/A</v>
        <stp/>
        <stp>P</stp>
        <stp>0</stp>
        <stp>STK</stp>
        <stp>N372170</stp>
        <stp>세션명</stp>
        <stp/>
        <stp/>
        <tr r="R677" s="1"/>
      </tp>
      <tp t="e">
        <v>#N/A</v>
        <stp/>
        <stp>P</stp>
        <stp>0</stp>
        <stp>STK</stp>
        <stp>N272290</stp>
        <stp>세션명</stp>
        <stp/>
        <stp/>
        <tr r="R469" s="1"/>
      </tp>
      <tp t="e">
        <v>#N/A</v>
        <stp/>
        <stp>P</stp>
        <stp>0</stp>
        <stp>STK</stp>
        <stp>N272210</stp>
        <stp>세션명</stp>
        <stp/>
        <stp/>
        <tr r="R50" s="1"/>
        <tr r="R49" s="3"/>
      </tp>
      <tp t="e">
        <v>#N/A</v>
        <stp/>
        <stp>P</stp>
        <stp>0</stp>
        <stp>STK</stp>
        <stp>N372320</stp>
        <stp>세션명</stp>
        <stp/>
        <stp/>
        <tr r="R400" s="1"/>
      </tp>
      <tp t="e">
        <v>#N/A</v>
        <stp/>
        <stp>P</stp>
        <stp>0</stp>
        <stp>STK</stp>
        <stp>N071970</stp>
        <stp>세션명</stp>
        <stp/>
        <stp/>
        <tr r="R148" s="1"/>
        <tr r="R130" s="3"/>
      </tp>
      <tp t="e">
        <v>#N/A</v>
        <stp/>
        <stp>P</stp>
        <stp>0</stp>
        <stp>STK</stp>
        <stp>N271940</stp>
        <stp>세션명</stp>
        <stp/>
        <stp/>
        <tr r="R481" s="1"/>
        <tr r="R298" s="3"/>
      </tp>
      <tp t="e">
        <v>#N/A</v>
        <stp/>
        <stp>P</stp>
        <stp>0</stp>
        <stp>STK</stp>
        <stp>N271560</stp>
        <stp>세션명</stp>
        <stp/>
        <stp/>
        <tr r="R114" s="1"/>
        <tr r="R106" s="3"/>
      </tp>
      <tp t="e">
        <v>#N/A</v>
        <stp/>
        <stp>P</stp>
        <stp>0</stp>
        <stp>STK</stp>
        <stp>N171090</stp>
        <stp>세션명</stp>
        <stp/>
        <stp/>
        <tr r="R456" s="1"/>
      </tp>
      <tp t="e">
        <v>#N/A</v>
        <stp/>
        <stp>P</stp>
        <stp>0</stp>
        <stp>STK</stp>
        <stp>N071050</stp>
        <stp>세션명</stp>
        <stp/>
        <stp/>
        <tr r="R70" s="1"/>
        <tr r="R68" s="3"/>
      </tp>
      <tp t="e">
        <v>#N/A</v>
        <stp/>
        <stp>P</stp>
        <stp>0</stp>
        <stp>STK</stp>
        <stp>N071320</stp>
        <stp>세션명</stp>
        <stp/>
        <stp/>
        <tr r="R271" s="1"/>
        <tr r="R209" s="3"/>
      </tp>
      <tp t="e">
        <v>#N/A</v>
        <stp/>
        <stp>P</stp>
        <stp>0</stp>
        <stp>STK</stp>
        <stp>N170900</stp>
        <stp>세션명</stp>
        <stp/>
        <stp/>
        <tr r="R496" s="1"/>
        <tr r="R310" s="3"/>
      </tp>
      <tp t="e">
        <v>#N/A</v>
        <stp/>
        <stp>P</stp>
        <stp>0</stp>
        <stp>STK</stp>
        <stp>N270660</stp>
        <stp>세션명</stp>
        <stp/>
        <stp/>
        <tr r="R539" s="1"/>
      </tp>
      <tp t="e">
        <v>#N/A</v>
        <stp/>
        <stp>P</stp>
        <stp>0</stp>
        <stp>STK</stp>
        <stp>N277810</stp>
        <stp>세션명</stp>
        <stp/>
        <stp/>
        <tr r="R71" s="1"/>
      </tp>
      <tp t="e">
        <v>#N/A</v>
        <stp/>
        <stp>P</stp>
        <stp>0</stp>
        <stp>STK</stp>
        <stp>N077970</stp>
        <stp>세션명</stp>
        <stp/>
        <stp/>
        <tr r="R246" s="1"/>
        <tr r="R197" s="3"/>
      </tp>
      <tp t="e">
        <v>#N/A</v>
        <stp/>
        <stp>P</stp>
        <stp>0</stp>
        <stp>STK</stp>
        <stp>N377300</stp>
        <stp>세션명</stp>
        <stp/>
        <stp/>
        <tr r="R86" s="3"/>
        <tr r="R92" s="1"/>
      </tp>
      <tp t="e">
        <v>#N/A</v>
        <stp/>
        <stp>P</stp>
        <stp>0</stp>
        <stp>STK</stp>
        <stp>N476830</stp>
        <stp>세션명</stp>
        <stp/>
        <stp/>
        <tr r="R209" s="1"/>
      </tp>
      <tp t="e">
        <v>#N/A</v>
        <stp/>
        <stp>P</stp>
        <stp>0</stp>
        <stp>STK</stp>
        <stp>N376900</stp>
        <stp>세션명</stp>
        <stp/>
        <stp/>
        <tr r="R310" s="1"/>
      </tp>
      <tp t="e">
        <v>#N/A</v>
        <stp/>
        <stp>P</stp>
        <stp>0</stp>
        <stp>STK</stp>
        <stp>N176750</stp>
        <stp>세션명</stp>
        <stp/>
        <stp/>
        <tr r="R675" s="1"/>
      </tp>
      <tp t="e">
        <v>#N/A</v>
        <stp/>
        <stp>P</stp>
        <stp>0</stp>
        <stp>STK</stp>
        <stp>N476060</stp>
        <stp>세션명</stp>
        <stp/>
        <stp/>
        <tr r="R340" s="1"/>
      </tp>
      <tp t="e">
        <v>#N/A</v>
        <stp/>
        <stp>P</stp>
        <stp>0</stp>
        <stp>STK</stp>
        <stp>N376270</stp>
        <stp>세션명</stp>
        <stp/>
        <stp/>
        <tr r="R552" s="1"/>
      </tp>
      <tp t="e">
        <v>#N/A</v>
        <stp/>
        <stp>P</stp>
        <stp>0</stp>
        <stp>STK</stp>
        <stp>N376300</stp>
        <stp>세션명</stp>
        <stp/>
        <stp/>
        <tr r="R364" s="1"/>
      </tp>
      <tp t="e">
        <v>#N/A</v>
        <stp/>
        <stp>P</stp>
        <stp>0</stp>
        <stp>STK</stp>
        <stp>N475830</stp>
        <stp>세션명</stp>
        <stp/>
        <stp/>
        <tr r="R197" s="1"/>
      </tp>
      <tp t="e">
        <v>#N/A</v>
        <stp/>
        <stp>P</stp>
        <stp>0</stp>
        <stp>STK</stp>
        <stp>N475960</stp>
        <stp>세션명</stp>
        <stp/>
        <stp/>
        <tr r="R428" s="1"/>
      </tp>
      <tp t="e">
        <v>#N/A</v>
        <stp/>
        <stp>P</stp>
        <stp>0</stp>
        <stp>STK</stp>
        <stp>N475400</stp>
        <stp>세션명</stp>
        <stp/>
        <stp/>
        <tr r="R460" s="1"/>
      </tp>
      <tp t="e">
        <v>#N/A</v>
        <stp/>
        <stp>P</stp>
        <stp>0</stp>
        <stp>STK</stp>
        <stp>N075580</stp>
        <stp>세션명</stp>
        <stp/>
        <stp/>
        <tr r="R296" s="1"/>
        <tr r="R222" s="3"/>
      </tp>
      <tp t="e">
        <v>#N/A</v>
        <stp/>
        <stp>P</stp>
        <stp>0</stp>
        <stp>STK</stp>
        <stp>N375500</stp>
        <stp>세션명</stp>
        <stp/>
        <stp/>
        <tr r="R235" s="1"/>
        <tr r="R187" s="3"/>
      </tp>
      <tp t="e">
        <v>#N/A</v>
        <stp/>
        <stp>P</stp>
        <stp>0</stp>
        <stp>STK</stp>
        <stp>N475560</stp>
        <stp>세션명</stp>
        <stp/>
        <stp/>
        <tr r="R334" s="3"/>
        <tr r="R571" s="1"/>
      </tp>
      <tp t="e">
        <v>#N/A</v>
        <stp/>
        <stp>P</stp>
        <stp>0</stp>
        <stp>STK</stp>
        <stp>N475150</stp>
        <stp>세션명</stp>
        <stp/>
        <stp/>
        <tr r="R267" s="3"/>
        <tr r="R399" s="1"/>
      </tp>
      <tp t="e">
        <v>#N/A</v>
        <stp/>
        <stp>P</stp>
        <stp>0</stp>
        <stp>STK</stp>
        <stp>N175330</stp>
        <stp>세션명</stp>
        <stp/>
        <stp/>
        <tr r="R107" s="3"/>
        <tr r="R118" s="1"/>
      </tp>
      <tp t="e">
        <v>#N/A</v>
        <stp/>
        <stp>P</stp>
        <stp>0</stp>
        <stp>STK</stp>
        <stp>N074600</stp>
        <stp>세션명</stp>
        <stp/>
        <stp/>
        <tr r="R405" s="1"/>
      </tp>
      <tp t="e">
        <v>#N/A</v>
        <stp/>
        <stp>P</stp>
        <stp>0</stp>
        <stp>STK</stp>
        <stp>N069960</stp>
        <stp>세션명</stp>
        <stp/>
        <stp/>
        <tr r="R203" s="1"/>
        <tr r="R169" s="3"/>
      </tp>
      <tp t="e">
        <v>#N/A</v>
        <stp/>
        <stp>P</stp>
        <stp>0</stp>
        <stp>STK</stp>
        <stp>N469610</stp>
        <stp>세션명</stp>
        <stp/>
        <stp/>
        <tr r="R696" s="1"/>
      </tp>
      <tp t="e">
        <v>#N/A</v>
        <stp/>
        <stp>P</stp>
        <stp>0</stp>
        <stp>STK</stp>
        <stp>N069620</stp>
        <stp>세션명</stp>
        <stp/>
        <stp/>
        <tr r="R217" s="1"/>
        <tr r="R175" s="3"/>
      </tp>
      <tp t="e">
        <v>#N/A</v>
        <stp/>
        <stp>P</stp>
        <stp>0</stp>
        <stp>STK</stp>
        <stp>N069080</stp>
        <stp>세션명</stp>
        <stp/>
        <stp/>
        <tr r="R523" s="1"/>
      </tp>
      <tp t="e">
        <v>#N/A</v>
        <stp/>
        <stp>P</stp>
        <stp>0</stp>
        <stp>STK</stp>
        <stp>N069260</stp>
        <stp>세션명</stp>
        <stp/>
        <stp/>
        <tr r="R369" s="1"/>
        <tr r="R251" s="3"/>
      </tp>
      <tp t="e">
        <v>#N/A</v>
        <stp/>
        <stp>P</stp>
        <stp>0</stp>
        <stp>STK</stp>
        <stp>N468530</stp>
        <stp>세션명</stp>
        <stp/>
        <stp/>
        <tr r="R337" s="1"/>
      </tp>
      <tp t="e">
        <v>#N/A</v>
        <stp/>
        <stp>P</stp>
        <stp>0</stp>
        <stp>STK</stp>
        <stp>N068760</stp>
        <stp>세션명</stp>
        <stp/>
        <stp/>
        <tr r="R168" s="1"/>
      </tp>
      <tp t="e">
        <v>#N/A</v>
        <stp/>
        <stp>P</stp>
        <stp>0</stp>
        <stp>STK</stp>
        <stp>N268280</stp>
        <stp>세션명</stp>
        <stp/>
        <stp/>
        <tr r="R388" s="1"/>
        <tr r="R265" s="3"/>
      </tp>
      <tp t="e">
        <v>#N/A</v>
        <stp/>
        <stp>P</stp>
        <stp>0</stp>
        <stp>STK</stp>
        <stp>N068270</stp>
        <stp>세션명</stp>
        <stp/>
        <stp/>
        <tr r="R18" s="1"/>
        <tr r="R18" s="3"/>
      </tp>
      <tp t="e">
        <v>#N/A</v>
        <stp/>
        <stp>P</stp>
        <stp>0</stp>
        <stp>STK</stp>
        <stp>N168360</stp>
        <stp>세션명</stp>
        <stp/>
        <stp/>
        <tr r="R582" s="1"/>
      </tp>
      <tp t="e">
        <v>#N/A</v>
        <stp/>
        <stp>P</stp>
        <stp>0</stp>
        <stp>STK</stp>
        <stp>N263750</stp>
        <stp>세션명</stp>
        <stp/>
        <stp/>
        <tr r="R162" s="1"/>
      </tp>
      <tp t="e">
        <v>#N/A</v>
        <stp/>
        <stp>P</stp>
        <stp>0</stp>
        <stp>STK</stp>
        <stp>N462870</stp>
        <stp>세션명</stp>
        <stp/>
        <stp/>
        <tr r="R214" s="1"/>
        <tr r="R172" s="3"/>
      </tp>
      <tp t="e">
        <v>#N/A</v>
        <stp/>
        <stp>P</stp>
        <stp>0</stp>
        <stp>STK</stp>
        <stp>N062040</stp>
        <stp>세션명</stp>
        <stp/>
        <stp/>
        <tr r="R112" s="3"/>
        <tr r="R119" s="1"/>
      </tp>
      <tp t="e">
        <v>#N/A</v>
        <stp/>
        <stp>P</stp>
        <stp>0</stp>
        <stp>STK</stp>
        <stp>N161890</stp>
        <stp>세션명</stp>
        <stp/>
        <stp/>
        <tr r="R245" s="1"/>
        <tr r="R193" s="3"/>
      </tp>
      <tp t="e">
        <v>#N/A</v>
        <stp/>
        <stp>P</stp>
        <stp>0</stp>
        <stp>STK</stp>
        <stp>N161580</stp>
        <stp>세션명</stp>
        <stp/>
        <stp/>
        <tr r="R311" s="1"/>
      </tp>
      <tp t="e">
        <v>#N/A</v>
        <stp/>
        <stp>P</stp>
        <stp>0</stp>
        <stp>STK</stp>
        <stp>N361610</stp>
        <stp>세션명</stp>
        <stp/>
        <stp/>
        <tr r="R211" s="1"/>
        <tr r="R168" s="3"/>
      </tp>
      <tp t="e">
        <v>#N/A</v>
        <stp/>
        <stp>P</stp>
        <stp>0</stp>
        <stp>STK</stp>
        <stp>N061090</stp>
        <stp>세션명</stp>
        <stp/>
        <stp/>
        <tr r="R679" s="1"/>
      </tp>
      <tp t="e">
        <v>#N/A</v>
        <stp/>
        <stp>P</stp>
        <stp>0</stp>
        <stp>STK</stp>
        <stp>N161000</stp>
        <stp>세션명</stp>
        <stp/>
        <stp/>
        <tr r="R308" s="3"/>
        <tr r="R521" s="1"/>
      </tp>
      <tp t="e">
        <v>#N/A</v>
        <stp/>
        <stp>P</stp>
        <stp>0</stp>
        <stp>STK</stp>
        <stp>N161390</stp>
        <stp>세션명</stp>
        <stp/>
        <stp/>
        <tr r="R81" s="1"/>
        <tr r="R77" s="3"/>
      </tp>
      <tp t="e">
        <v>#N/A</v>
        <stp/>
        <stp>P</stp>
        <stp>0</stp>
        <stp>STK</stp>
        <stp>N460860</stp>
        <stp>세션명</stp>
        <stp/>
        <stp/>
        <tr r="R533" s="1"/>
        <tr r="R319" s="3"/>
      </tp>
      <tp t="e">
        <v>#N/A</v>
        <stp/>
        <stp>P</stp>
        <stp>0</stp>
        <stp>STK</stp>
        <stp>N060980</stp>
        <stp>세션명</stp>
        <stp/>
        <stp/>
        <tr r="R312" s="3"/>
        <tr r="R505" s="1"/>
      </tp>
      <tp t="e">
        <v>#N/A</v>
        <stp/>
        <stp>P</stp>
        <stp>0</stp>
        <stp>STK</stp>
        <stp>N460930</stp>
        <stp>세션명</stp>
        <stp/>
        <stp/>
        <tr r="R396" s="1"/>
      </tp>
      <tp t="e">
        <v>#N/A</v>
        <stp/>
        <stp>P</stp>
        <stp>0</stp>
        <stp>STK</stp>
        <stp>N060720</stp>
        <stp>세션명</stp>
        <stp/>
        <stp/>
        <tr r="R570" s="1"/>
      </tp>
      <tp t="e">
        <v>#N/A</v>
        <stp/>
        <stp>P</stp>
        <stp>0</stp>
        <stp>STK</stp>
        <stp>N160190</stp>
        <stp>세션명</stp>
        <stp/>
        <stp/>
        <tr r="R190" s="1"/>
      </tp>
      <tp t="e">
        <v>#N/A</v>
        <stp/>
        <stp>P</stp>
        <stp>0</stp>
        <stp>STK</stp>
        <stp>N060280</stp>
        <stp>세션명</stp>
        <stp/>
        <stp/>
        <tr r="R346" s="1"/>
      </tp>
      <tp t="e">
        <v>#N/A</v>
        <stp/>
        <stp>P</stp>
        <stp>0</stp>
        <stp>STK</stp>
        <stp>N060250</stp>
        <stp>세션명</stp>
        <stp/>
        <stp/>
        <tr r="R437" s="1"/>
      </tp>
      <tp t="e">
        <v>#N/A</v>
        <stp/>
        <stp>P</stp>
        <stp>0</stp>
        <stp>STK</stp>
        <stp>N060370</stp>
        <stp>세션명</stp>
        <stp/>
        <stp/>
        <tr r="R253" s="1"/>
      </tp>
      <tp t="e">
        <v>#N/A</v>
        <stp/>
        <stp>P</stp>
        <stp>0</stp>
        <stp>STK</stp>
        <stp>N267980</stp>
        <stp>세션명</stp>
        <stp/>
        <stp/>
        <tr r="R655" s="1"/>
      </tp>
      <tp t="e">
        <v>#N/A</v>
        <stp/>
        <stp>P</stp>
        <stp>0</stp>
        <stp>STK</stp>
        <stp>N067080</stp>
        <stp>세션명</stp>
        <stp/>
        <stp/>
        <tr r="R620" s="1"/>
      </tp>
      <tp t="e">
        <v>#N/A</v>
        <stp/>
        <stp>P</stp>
        <stp>0</stp>
        <stp>STK</stp>
        <stp>N067160</stp>
        <stp>세션명</stp>
        <stp/>
        <stp/>
        <tr r="R370" s="1"/>
      </tp>
      <tp t="e">
        <v>#N/A</v>
        <stp/>
        <stp>P</stp>
        <stp>0</stp>
        <stp>STK</stp>
        <stp>N267250</stp>
        <stp>세션명</stp>
        <stp/>
        <stp/>
        <tr r="R41" s="1"/>
        <tr r="R41" s="3"/>
      </tp>
      <tp t="e">
        <v>#N/A</v>
        <stp/>
        <stp>P</stp>
        <stp>0</stp>
        <stp>STK</stp>
        <stp>N267270</stp>
        <stp>세션명</stp>
        <stp/>
        <stp/>
        <tr r="R213" s="1"/>
        <tr r="R174" s="3"/>
      </tp>
      <tp t="e">
        <v>#N/A</v>
        <stp/>
        <stp>P</stp>
        <stp>0</stp>
        <stp>STK</stp>
        <stp>N267260</stp>
        <stp>세션명</stp>
        <stp/>
        <stp/>
        <tr r="R26" s="3"/>
        <tr r="R26" s="1"/>
      </tp>
      <tp t="e">
        <v>#N/A</v>
        <stp/>
        <stp>P</stp>
        <stp>0</stp>
        <stp>STK</stp>
        <stp>N067310</stp>
        <stp>세션명</stp>
        <stp/>
        <stp/>
        <tr r="R230" s="1"/>
      </tp>
      <tp t="e">
        <v>#N/A</v>
        <stp/>
        <stp>P</stp>
        <stp>0</stp>
        <stp>STK</stp>
        <stp>N066970</stp>
        <stp>세션명</stp>
        <stp/>
        <stp/>
        <tr r="R115" s="1"/>
        <tr r="R102" s="3"/>
      </tp>
      <tp t="e">
        <v>#N/A</v>
        <stp/>
        <stp>P</stp>
        <stp>0</stp>
        <stp>STK</stp>
        <stp>N066570</stp>
        <stp>세션명</stp>
        <stp/>
        <stp/>
        <tr r="R45" s="1"/>
        <tr r="R46" s="3"/>
      </tp>
      <tp t="e">
        <v>#N/A</v>
        <stp/>
        <stp>P</stp>
        <stp>0</stp>
        <stp>STK</stp>
        <stp>N166090</stp>
        <stp>세션명</stp>
        <stp/>
        <stp/>
        <tr r="R300" s="1"/>
      </tp>
      <tp t="e">
        <v>#N/A</v>
        <stp/>
        <stp>P</stp>
        <stp>0</stp>
        <stp>STK</stp>
        <stp>N466100</stp>
        <stp>세션명</stp>
        <stp/>
        <stp/>
        <tr r="R216" s="1"/>
      </tp>
      <tp t="e">
        <v>#N/A</v>
        <stp/>
        <stp>P</stp>
        <stp>0</stp>
        <stp>STK</stp>
        <stp>N265520</stp>
        <stp>세션명</stp>
        <stp/>
        <stp/>
        <tr r="R639" s="1"/>
      </tp>
      <tp t="e">
        <v>#N/A</v>
        <stp/>
        <stp>P</stp>
        <stp>0</stp>
        <stp>STK</stp>
        <stp>N065680</stp>
        <stp>세션명</stp>
        <stp/>
        <stp/>
        <tr r="R635" s="1"/>
      </tp>
      <tp t="e">
        <v>#N/A</v>
        <stp/>
        <stp>P</stp>
        <stp>0</stp>
        <stp>STK</stp>
        <stp>N065660</stp>
        <stp>세션명</stp>
        <stp/>
        <stp/>
        <tr r="R553" s="1"/>
      </tp>
      <tp t="e">
        <v>#N/A</v>
        <stp/>
        <stp>P</stp>
        <stp>0</stp>
        <stp>STK</stp>
        <stp>N365340</stp>
        <stp>세션명</stp>
        <stp/>
        <stp/>
        <tr r="R419" s="1"/>
      </tp>
      <tp t="e">
        <v>#N/A</v>
        <stp/>
        <stp>P</stp>
        <stp>0</stp>
        <stp>STK</stp>
        <stp>N065350</stp>
        <stp>세션명</stp>
        <stp/>
        <stp/>
        <tr r="R239" s="1"/>
      </tp>
      <tp t="e">
        <v>#N/A</v>
        <stp/>
        <stp>P</stp>
        <stp>0</stp>
        <stp>STK</stp>
        <stp>N064820</stp>
        <stp>세션명</stp>
        <stp/>
        <stp/>
        <tr r="R548" s="1"/>
      </tp>
      <tp t="e">
        <v>#N/A</v>
        <stp/>
        <stp>P</stp>
        <stp>0</stp>
        <stp>STK</stp>
        <stp>N064960</stp>
        <stp>세션명</stp>
        <stp/>
        <stp/>
        <tr r="R299" s="1"/>
        <tr r="R226" s="3"/>
      </tp>
      <tp t="e">
        <v>#N/A</v>
        <stp/>
        <stp>P</stp>
        <stp>0</stp>
        <stp>STK</stp>
        <stp>N064400</stp>
        <stp>세션명</stp>
        <stp/>
        <stp/>
        <tr r="R89" s="3"/>
        <tr r="R91" s="1"/>
      </tp>
      <tp t="e">
        <v>#N/A</v>
        <stp/>
        <stp>P</stp>
        <stp>0</stp>
        <stp>STK</stp>
        <stp>N064550</stp>
        <stp>세션명</stp>
        <stp/>
        <stp/>
        <tr r="R613" s="1"/>
      </tp>
      <tp t="e">
        <v>#N/A</v>
        <stp/>
        <stp>P</stp>
        <stp>0</stp>
        <stp>STK</stp>
        <stp>N064760</stp>
        <stp>세션명</stp>
        <stp/>
        <stp/>
        <tr r="R215" s="1"/>
      </tp>
      <tp t="e">
        <v>#N/A</v>
        <stp/>
        <stp>P</stp>
        <stp>0</stp>
        <stp>STK</stp>
        <stp>N064350</stp>
        <stp>세션명</stp>
        <stp/>
        <stp/>
        <tr r="R34" s="1"/>
        <tr r="R34" s="3"/>
      </tp>
      <tp>
        <v>26220755425</v>
        <stp/>
        <stp>P</stp>
        <stp>0</stp>
        <stp>STK</stp>
        <stp>N0007C0</stp>
        <stp>누적거래대금</stp>
        <stp/>
        <stp/>
        <tr r="M685" s="1"/>
      </tp>
      <tp t="e">
        <v>#N/A</v>
        <stp/>
        <stp>P</stp>
        <stp>0</stp>
        <stp>STK</stp>
        <stp>N089980</stp>
        <stp>체결시간</stp>
        <stp/>
        <stp/>
        <tr r="S678" s="1"/>
      </tp>
      <tp t="e">
        <v>#N/A</v>
        <stp/>
        <stp>P</stp>
        <stp>0</stp>
        <stp>STK</stp>
        <stp>N089970</stp>
        <stp>체결시간</stp>
        <stp/>
        <stp/>
        <tr r="S406" s="1"/>
      </tp>
      <tp t="e">
        <v>#N/A</v>
        <stp/>
        <stp>P</stp>
        <stp>0</stp>
        <stp>STK</stp>
        <stp>N009970</stp>
        <stp>체결시간</stp>
        <stp/>
        <stp/>
        <tr r="S173" s="1"/>
        <tr r="S138" s="3"/>
      </tp>
      <tp t="e">
        <v>#N/A</v>
        <stp/>
        <stp>P</stp>
        <stp>0</stp>
        <stp>STK</stp>
        <stp>N069960</stp>
        <stp>체결시간</stp>
        <stp/>
        <stp/>
        <tr r="S203" s="1"/>
        <tr r="S169" s="3"/>
      </tp>
      <tp t="e">
        <v>#N/A</v>
        <stp/>
        <stp>P</stp>
        <stp>0</stp>
        <stp>STK</stp>
        <stp>N259960</stp>
        <stp>체결시간</stp>
        <stp/>
        <stp/>
        <tr r="S67" s="1"/>
        <tr r="S64" s="3"/>
      </tp>
      <tp t="e">
        <v>#N/A</v>
        <stp/>
        <stp>P</stp>
        <stp>0</stp>
        <stp>STK</stp>
        <stp>N079940</stp>
        <stp>체결시간</stp>
        <stp/>
        <stp/>
        <tr r="S517" s="1"/>
      </tp>
      <tp t="e">
        <v>#N/A</v>
        <stp/>
        <stp>P</stp>
        <stp>0</stp>
        <stp>STK</stp>
        <stp>N179900</stp>
        <stp>체결시간</stp>
        <stp/>
        <stp/>
        <tr r="S525" s="1"/>
      </tp>
      <tp t="e">
        <v>#N/A</v>
        <stp/>
        <stp>P</stp>
        <stp>0</stp>
        <stp>STK</stp>
        <stp>N009900</stp>
        <stp>체결시간</stp>
        <stp/>
        <stp/>
        <tr r="S464" s="1"/>
        <tr r="S295" s="3"/>
      </tp>
      <tp t="e">
        <v>#N/A</v>
        <stp/>
        <stp>P</stp>
        <stp>0</stp>
        <stp>STK</stp>
        <stp>N079900</stp>
        <stp>체결시간</stp>
        <stp/>
        <stp/>
        <tr r="S259" s="3"/>
        <tr r="S382" s="1"/>
      </tp>
      <tp t="e">
        <v>#N/A</v>
        <stp/>
        <stp>P</stp>
        <stp>0</stp>
        <stp>STK</stp>
        <stp>N089890</stp>
        <stp>체결시간</stp>
        <stp/>
        <stp/>
        <tr r="S520" s="1"/>
      </tp>
      <tp t="e">
        <v>#N/A</v>
        <stp/>
        <stp>P</stp>
        <stp>0</stp>
        <stp>STK</stp>
        <stp>N089860</stp>
        <stp>체결시간</stp>
        <stp/>
        <stp/>
        <tr r="S297" s="1"/>
        <tr r="S220" s="3"/>
      </tp>
      <tp t="e">
        <v>#N/A</v>
        <stp/>
        <stp>P</stp>
        <stp>0</stp>
        <stp>STK</stp>
        <stp>N119850</stp>
        <stp>체결시간</stp>
        <stp/>
        <stp/>
        <tr r="S432" s="1"/>
      </tp>
      <tp t="e">
        <v>#N/A</v>
        <stp/>
        <stp>P</stp>
        <stp>0</stp>
        <stp>STK</stp>
        <stp>N039840</stp>
        <stp>체결시간</stp>
        <stp/>
        <stp/>
        <tr r="S693" s="1"/>
      </tp>
      <tp t="e">
        <v>#N/A</v>
        <stp/>
        <stp>P</stp>
        <stp>0</stp>
        <stp>STK</stp>
        <stp>N009830</stp>
        <stp>체결시간</stp>
        <stp/>
        <stp/>
        <tr r="S103" s="3"/>
        <tr r="S113" s="1"/>
      </tp>
      <tp t="e">
        <v>#N/A</v>
        <stp/>
        <stp>P</stp>
        <stp>0</stp>
        <stp>STK</stp>
        <stp>N199800</stp>
        <stp>체결시간</stp>
        <stp/>
        <stp/>
        <tr r="S471" s="1"/>
      </tp>
      <tp t="e">
        <v>#N/A</v>
        <stp/>
        <stp>P</stp>
        <stp>0</stp>
        <stp>STK</stp>
        <stp>N419530</stp>
        <stp>체결시간</stp>
        <stp/>
        <stp/>
        <tr r="S577" s="1"/>
      </tp>
      <tp t="e">
        <v>#N/A</v>
        <stp/>
        <stp>P</stp>
        <stp>0</stp>
        <stp>STK</stp>
        <stp>N459510</stp>
        <stp>체결시간</stp>
        <stp/>
        <stp/>
        <tr r="S490" s="1"/>
      </tp>
      <tp t="e">
        <v>#N/A</v>
        <stp/>
        <stp>P</stp>
        <stp>0</stp>
        <stp>STK</stp>
        <stp>N079550</stp>
        <stp>체결시간</stp>
        <stp/>
        <stp/>
        <tr r="S62" s="3"/>
        <tr r="S66" s="1"/>
      </tp>
      <tp t="e">
        <v>#N/A</v>
        <stp/>
        <stp>P</stp>
        <stp>0</stp>
        <stp>STK</stp>
        <stp>N009540</stp>
        <stp>체결시간</stp>
        <stp/>
        <stp/>
        <tr r="S27" s="3"/>
        <tr r="S27" s="1"/>
      </tp>
      <tp t="e">
        <v>#N/A</v>
        <stp/>
        <stp>P</stp>
        <stp>0</stp>
        <stp>STK</stp>
        <stp>N029530</stp>
        <stp>체결시간</stp>
        <stp/>
        <stp/>
        <tr r="S499" s="1"/>
        <tr r="S309" s="3"/>
      </tp>
      <tp t="e">
        <v>#N/A</v>
        <stp/>
        <stp>P</stp>
        <stp>0</stp>
        <stp>STK</stp>
        <stp>N009520</stp>
        <stp>체결시간</stp>
        <stp/>
        <stp/>
        <tr r="S363" s="1"/>
      </tp>
      <tp t="e">
        <v>#N/A</v>
        <stp/>
        <stp>P</stp>
        <stp>0</stp>
        <stp>STK</stp>
        <stp>N039490</stp>
        <stp>체결시간</stp>
        <stp/>
        <stp/>
        <tr r="S75" s="3"/>
        <tr r="S82" s="1"/>
      </tp>
      <tp t="e">
        <v>#N/A</v>
        <stp/>
        <stp>P</stp>
        <stp>0</stp>
        <stp>STK</stp>
        <stp>N139480</stp>
        <stp>체결시간</stp>
        <stp/>
        <stp/>
        <tr r="S158" s="3"/>
        <tr r="S191" s="1"/>
      </tp>
      <tp t="e">
        <v>#N/A</v>
        <stp/>
        <stp>P</stp>
        <stp>0</stp>
        <stp>STK</stp>
        <stp>N029460</stp>
        <stp>체결시간</stp>
        <stp/>
        <stp/>
        <tr r="S554" s="1"/>
        <tr r="S329" s="3"/>
      </tp>
      <tp t="e">
        <v>#N/A</v>
        <stp/>
        <stp>P</stp>
        <stp>0</stp>
        <stp>STK</stp>
        <stp>N009450</stp>
        <stp>체결시간</stp>
        <stp/>
        <stp/>
        <tr r="S243" s="3"/>
        <tr r="S348" s="1"/>
      </tp>
      <tp t="e">
        <v>#N/A</v>
        <stp/>
        <stp>P</stp>
        <stp>0</stp>
        <stp>STK</stp>
        <stp>N389470</stp>
        <stp>체결시간</stp>
        <stp/>
        <stp/>
        <tr r="S326" s="1"/>
      </tp>
      <tp t="e">
        <v>#N/A</v>
        <stp/>
        <stp>P</stp>
        <stp>0</stp>
        <stp>STK</stp>
        <stp>N039440</stp>
        <stp>체결시간</stp>
        <stp/>
        <stp/>
        <tr r="S494" s="1"/>
      </tp>
      <tp t="e">
        <v>#N/A</v>
        <stp/>
        <stp>P</stp>
        <stp>0</stp>
        <stp>STK</stp>
        <stp>N199430</stp>
        <stp>체결시간</stp>
        <stp/>
        <stp/>
        <tr r="S485" s="1"/>
      </tp>
      <tp t="e">
        <v>#N/A</v>
        <stp/>
        <stp>P</stp>
        <stp>0</stp>
        <stp>STK</stp>
        <stp>N009420</stp>
        <stp>체결시간</stp>
        <stp/>
        <stp/>
        <tr r="S187" s="1"/>
        <tr r="S152" s="3"/>
      </tp>
      <tp t="e">
        <v>#N/A</v>
        <stp/>
        <stp>P</stp>
        <stp>0</stp>
        <stp>STK</stp>
        <stp>N249420</stp>
        <stp>체결시간</stp>
        <stp/>
        <stp/>
        <tr r="S285" s="1"/>
        <tr r="S217" s="3"/>
      </tp>
      <tp t="e">
        <v>#N/A</v>
        <stp/>
        <stp>P</stp>
        <stp>0</stp>
        <stp>STK</stp>
        <stp>N489790</stp>
        <stp>체결시간</stp>
        <stp/>
        <stp/>
        <tr r="S139" s="3"/>
        <tr r="S170" s="1"/>
      </tp>
      <tp t="e">
        <v>#N/A</v>
        <stp/>
        <stp>P</stp>
        <stp>0</stp>
        <stp>STK</stp>
        <stp>N499790</stp>
        <stp>체결시간</stp>
        <stp/>
        <stp/>
        <tr r="S237" s="3"/>
        <tr r="S359" s="1"/>
      </tp>
      <tp t="e">
        <v>#N/A</v>
        <stp/>
        <stp>P</stp>
        <stp>0</stp>
        <stp>STK</stp>
        <stp>N029780</stp>
        <stp>체결시간</stp>
        <stp/>
        <stp/>
        <tr r="S98" s="1"/>
        <tr r="S92" s="3"/>
      </tp>
      <tp t="e">
        <v>#N/A</v>
        <stp/>
        <stp>P</stp>
        <stp>0</stp>
        <stp>STK</stp>
        <stp>N309710</stp>
        <stp>체결시간</stp>
        <stp/>
        <stp/>
        <tr r="S514" s="1"/>
      </tp>
      <tp t="e">
        <v>#N/A</v>
        <stp/>
        <stp>P</stp>
        <stp>0</stp>
        <stp>STK</stp>
        <stp>N399720</stp>
        <stp>체결시간</stp>
        <stp/>
        <stp/>
        <tr r="S383" s="1"/>
      </tp>
      <tp t="e">
        <v>#N/A</v>
        <stp/>
        <stp>P</stp>
        <stp>0</stp>
        <stp>STK</stp>
        <stp>N009680</stp>
        <stp>체결시간</stp>
        <stp/>
        <stp/>
        <tr r="S359" s="3"/>
        <tr r="S632" s="1"/>
      </tp>
      <tp t="e">
        <v>#N/A</v>
        <stp/>
        <stp>P</stp>
        <stp>0</stp>
        <stp>STK</stp>
        <stp>N389650</stp>
        <stp>체결시간</stp>
        <stp/>
        <stp/>
        <tr r="S427" s="1"/>
      </tp>
      <tp t="e">
        <v>#N/A</v>
        <stp/>
        <stp>P</stp>
        <stp>0</stp>
        <stp>STK</stp>
        <stp>N229640</stp>
        <stp>체결시간</stp>
        <stp/>
        <stp/>
        <tr r="S289" s="1"/>
        <tr r="S214" s="3"/>
      </tp>
      <tp t="e">
        <v>#N/A</v>
        <stp/>
        <stp>P</stp>
        <stp>0</stp>
        <stp>STK</stp>
        <stp>N319660</stp>
        <stp>체결시간</stp>
        <stp/>
        <stp/>
        <tr r="S284" s="1"/>
      </tp>
      <tp t="e">
        <v>#N/A</v>
        <stp/>
        <stp>P</stp>
        <stp>0</stp>
        <stp>STK</stp>
        <stp>N469610</stp>
        <stp>체결시간</stp>
        <stp/>
        <stp/>
        <tr r="S696" s="1"/>
      </tp>
      <tp t="e">
        <v>#N/A</v>
        <stp/>
        <stp>P</stp>
        <stp>0</stp>
        <stp>STK</stp>
        <stp>N069620</stp>
        <stp>체결시간</stp>
        <stp/>
        <stp/>
        <tr r="S217" s="1"/>
        <tr r="S175" s="3"/>
      </tp>
      <tp t="e">
        <v>#N/A</v>
        <stp/>
        <stp>P</stp>
        <stp>0</stp>
        <stp>STK</stp>
        <stp>N329180</stp>
        <stp>체결시간</stp>
        <stp/>
        <stp/>
        <tr r="S13" s="3"/>
        <tr r="S13" s="1"/>
      </tp>
      <tp t="e">
        <v>#N/A</v>
        <stp/>
        <stp>P</stp>
        <stp>0</stp>
        <stp>STK</stp>
        <stp>N099190</stp>
        <stp>체결시간</stp>
        <stp/>
        <stp/>
        <tr r="S529" s="1"/>
      </tp>
      <tp t="e">
        <v>#N/A</v>
        <stp/>
        <stp>P</stp>
        <stp>0</stp>
        <stp>STK</stp>
        <stp>N019170</stp>
        <stp>체결시간</stp>
        <stp/>
        <stp/>
        <tr r="S269" s="3"/>
        <tr r="S408" s="1"/>
      </tp>
      <tp t="e">
        <v>#N/A</v>
        <stp/>
        <stp>P</stp>
        <stp>0</stp>
        <stp>STK</stp>
        <stp>N009150</stp>
        <stp>체결시간</stp>
        <stp/>
        <stp/>
        <tr r="S39" s="3"/>
        <tr r="S39" s="1"/>
      </tp>
      <tp t="e">
        <v>#N/A</v>
        <stp/>
        <stp>P</stp>
        <stp>0</stp>
        <stp>STK</stp>
        <stp>N039130</stp>
        <stp>체결시간</stp>
        <stp/>
        <stp/>
        <tr r="S260" s="3"/>
        <tr r="S385" s="1"/>
      </tp>
      <tp t="e">
        <v>#N/A</v>
        <stp/>
        <stp>P</stp>
        <stp>0</stp>
        <stp>STK</stp>
        <stp>N139130</stp>
        <stp>체결시간</stp>
        <stp/>
        <stp/>
        <tr r="S193" s="1"/>
        <tr r="S160" s="3"/>
      </tp>
      <tp t="e">
        <v>#N/A</v>
        <stp/>
        <stp>P</stp>
        <stp>0</stp>
        <stp>STK</stp>
        <stp>N439090</stp>
        <stp>체결시간</stp>
        <stp/>
        <stp/>
        <tr r="S692" s="1"/>
      </tp>
      <tp t="e">
        <v>#N/A</v>
        <stp/>
        <stp>P</stp>
        <stp>0</stp>
        <stp>STK</stp>
        <stp>N059090</stp>
        <stp>체결시간</stp>
        <stp/>
        <stp/>
        <tr r="S515" s="1"/>
      </tp>
      <tp t="e">
        <v>#N/A</v>
        <stp/>
        <stp>P</stp>
        <stp>0</stp>
        <stp>STK</stp>
        <stp>N069080</stp>
        <stp>체결시간</stp>
        <stp/>
        <stp/>
        <tr r="S523" s="1"/>
      </tp>
      <tp t="e">
        <v>#N/A</v>
        <stp/>
        <stp>P</stp>
        <stp>0</stp>
        <stp>STK</stp>
        <stp>N049070</stp>
        <stp>체결시간</stp>
        <stp/>
        <stp/>
        <tr r="S519" s="1"/>
      </tp>
      <tp t="e">
        <v>#N/A</v>
        <stp/>
        <stp>P</stp>
        <stp>0</stp>
        <stp>STK</stp>
        <stp>N089030</stp>
        <stp>체결시간</stp>
        <stp/>
        <stp/>
        <tr r="S247" s="1"/>
      </tp>
      <tp t="e">
        <v>#N/A</v>
        <stp/>
        <stp>P</stp>
        <stp>0</stp>
        <stp>STK</stp>
        <stp>N039030</stp>
        <stp>체결시간</stp>
        <stp/>
        <stp/>
        <tr r="S136" s="1"/>
      </tp>
      <tp t="e">
        <v>#N/A</v>
        <stp/>
        <stp>P</stp>
        <stp>0</stp>
        <stp>STK</stp>
        <stp>N089010</stp>
        <stp>체결시간</stp>
        <stp/>
        <stp/>
        <tr r="S463" s="1"/>
      </tp>
      <tp t="e">
        <v>#N/A</v>
        <stp/>
        <stp>P</stp>
        <stp>0</stp>
        <stp>STK</stp>
        <stp>N299030</stp>
        <stp>체결시간</stp>
        <stp/>
        <stp/>
        <tr r="S691" s="1"/>
      </tp>
      <tp t="e">
        <v>#N/A</v>
        <stp/>
        <stp>P</stp>
        <stp>0</stp>
        <stp>STK</stp>
        <stp>N079370</stp>
        <stp>체결시간</stp>
        <stp/>
        <stp/>
        <tr r="S487" s="1"/>
      </tp>
      <tp t="e">
        <v>#N/A</v>
        <stp/>
        <stp>P</stp>
        <stp>0</stp>
        <stp>STK</stp>
        <stp>N189300</stp>
        <stp>체결시간</stp>
        <stp/>
        <stp/>
        <tr r="S356" s="1"/>
      </tp>
      <tp t="e">
        <v>#N/A</v>
        <stp/>
        <stp>P</stp>
        <stp>0</stp>
        <stp>STK</stp>
        <stp>N069260</stp>
        <stp>체결시간</stp>
        <stp/>
        <stp/>
        <tr r="S369" s="1"/>
        <tr r="S251" s="3"/>
      </tp>
      <tp t="e">
        <v>#N/A</v>
        <stp/>
        <stp>P</stp>
        <stp>0</stp>
        <stp>STK</stp>
        <stp>N389260</stp>
        <stp>체결시간</stp>
        <stp/>
        <stp/>
        <tr r="S612" s="1"/>
      </tp>
      <tp t="e">
        <v>#N/A</v>
        <stp/>
        <stp>P</stp>
        <stp>0</stp>
        <stp>STK</stp>
        <stp>N009240</stp>
        <stp>체결시간</stp>
        <stp/>
        <stp/>
        <tr r="S223" s="3"/>
        <tr r="S301" s="1"/>
      </tp>
      <tp t="e">
        <v>#N/A</v>
        <stp/>
        <stp>P</stp>
        <stp>0</stp>
        <stp>STK</stp>
        <stp>N439260</stp>
        <stp>체결시간</stp>
        <stp/>
        <stp/>
        <tr r="S143" s="3"/>
        <tr r="S169" s="1"/>
      </tp>
      <tp t="e">
        <v>#N/A</v>
        <stp/>
        <stp>P</stp>
        <stp>0</stp>
        <stp>STK</stp>
        <stp>N039200</stp>
        <stp>체결시간</stp>
        <stp/>
        <stp/>
        <tr r="S236" s="1"/>
      </tp>
      <tp t="e">
        <v>#N/A</v>
        <stp/>
        <stp>P</stp>
        <stp>0</stp>
        <stp>STK</stp>
        <stp>N119850</stp>
        <stp>세션명</stp>
        <stp/>
        <stp/>
        <tr r="R432" s="1"/>
      </tp>
      <tp t="e">
        <v>#N/A</v>
        <stp/>
        <stp>P</stp>
        <stp>0</stp>
        <stp>STK</stp>
        <stp>N419530</stp>
        <stp>세션명</stp>
        <stp/>
        <stp/>
        <tr r="R577" s="1"/>
      </tp>
      <tp t="e">
        <v>#N/A</v>
        <stp/>
        <stp>P</stp>
        <stp>0</stp>
        <stp>STK</stp>
        <stp>N319660</stp>
        <stp>세션명</stp>
        <stp/>
        <stp/>
        <tr r="R284" s="1"/>
      </tp>
      <tp t="e">
        <v>#N/A</v>
        <stp/>
        <stp>P</stp>
        <stp>0</stp>
        <stp>STK</stp>
        <stp>N019170</stp>
        <stp>세션명</stp>
        <stp/>
        <stp/>
        <tr r="R269" s="3"/>
        <tr r="R408" s="1"/>
      </tp>
      <tp t="e">
        <v>#N/A</v>
        <stp/>
        <stp>P</stp>
        <stp>0</stp>
        <stp>STK</stp>
        <stp>N018880</stp>
        <stp>세션명</stp>
        <stp/>
        <stp/>
        <tr r="R142" s="1"/>
        <tr r="R122" s="3"/>
      </tp>
      <tp t="e">
        <v>#N/A</v>
        <stp/>
        <stp>P</stp>
        <stp>0</stp>
        <stp>STK</stp>
        <stp>N218410</stp>
        <stp>세션명</stp>
        <stp/>
        <stp/>
        <tr r="R324" s="1"/>
      </tp>
      <tp t="e">
        <v>#N/A</v>
        <stp/>
        <stp>P</stp>
        <stp>0</stp>
        <stp>STK</stp>
        <stp>N018670</stp>
        <stp>세션명</stp>
        <stp/>
        <stp/>
        <tr r="R167" s="3"/>
        <tr r="R206" s="1"/>
      </tp>
      <tp t="e">
        <v>#N/A</v>
        <stp/>
        <stp>P</stp>
        <stp>0</stp>
        <stp>STK</stp>
        <stp>N018290</stp>
        <stp>세션명</stp>
        <stp/>
        <stp/>
        <tr r="R439" s="1"/>
      </tp>
      <tp t="e">
        <v>#N/A</v>
        <stp/>
        <stp>P</stp>
        <stp>0</stp>
        <stp>STK</stp>
        <stp>N018260</stp>
        <stp>세션명</stp>
        <stp/>
        <stp/>
        <tr r="R59" s="3"/>
        <tr r="R60" s="1"/>
      </tp>
      <tp t="e">
        <v>#N/A</v>
        <stp/>
        <stp>P</stp>
        <stp>0</stp>
        <stp>STK</stp>
        <stp>N018250</stp>
        <stp>세션명</stp>
        <stp/>
        <stp/>
        <tr r="R343" s="3"/>
        <tr r="R590" s="1"/>
      </tp>
      <tp t="e">
        <v>#N/A</v>
        <stp/>
        <stp>P</stp>
        <stp>0</stp>
        <stp>STK</stp>
        <stp>N018310</stp>
        <stp>세션명</stp>
        <stp/>
        <stp/>
        <tr r="R644" s="1"/>
      </tp>
      <tp t="e">
        <v>#N/A</v>
        <stp/>
        <stp>P</stp>
        <stp>0</stp>
        <stp>STK</stp>
        <stp>N013890</stp>
        <stp>세션명</stp>
        <stp/>
        <stp/>
        <tr r="R653" s="1"/>
        <tr r="R364" s="3"/>
      </tp>
      <tp t="e">
        <v>#N/A</v>
        <stp/>
        <stp>P</stp>
        <stp>0</stp>
        <stp>STK</stp>
        <stp>N213420</stp>
        <stp>세션명</stp>
        <stp/>
        <stp/>
        <tr r="R335" s="1"/>
      </tp>
      <tp t="e">
        <v>#N/A</v>
        <stp/>
        <stp>P</stp>
        <stp>0</stp>
        <stp>STK</stp>
        <stp>N013030</stp>
        <stp>세션명</stp>
        <stp/>
        <stp/>
        <tr r="R555" s="1"/>
      </tp>
      <tp t="e">
        <v>#N/A</v>
        <stp/>
        <stp>P</stp>
        <stp>0</stp>
        <stp>STK</stp>
        <stp>N012450</stp>
        <stp>세션명</stp>
        <stp/>
        <stp/>
        <tr r="R12" s="1"/>
        <tr r="R11" s="3"/>
      </tp>
      <tp t="e">
        <v>#N/A</v>
        <stp/>
        <stp>P</stp>
        <stp>0</stp>
        <stp>STK</stp>
        <stp>N012510</stp>
        <stp>세션명</stp>
        <stp/>
        <stp/>
        <tr r="R155" s="1"/>
        <tr r="R133" s="3"/>
      </tp>
      <tp t="e">
        <v>#N/A</v>
        <stp/>
        <stp>P</stp>
        <stp>0</stp>
        <stp>STK</stp>
        <stp>N012630</stp>
        <stp>세션명</stp>
        <stp/>
        <stp/>
        <tr r="R228" s="3"/>
        <tr r="R309" s="1"/>
      </tp>
      <tp t="e">
        <v>#N/A</v>
        <stp/>
        <stp>P</stp>
        <stp>0</stp>
        <stp>STK</stp>
        <stp>N112610</stp>
        <stp>세션명</stp>
        <stp/>
        <stp/>
        <tr r="R185" s="3"/>
        <tr r="R237" s="1"/>
      </tp>
      <tp t="e">
        <v>#N/A</v>
        <stp/>
        <stp>P</stp>
        <stp>0</stp>
        <stp>STK</stp>
        <stp>N0126Z0</stp>
        <stp>세션명</stp>
        <stp/>
        <stp/>
        <tr r="R57" s="1"/>
        <tr r="R54" s="3"/>
      </tp>
      <tp t="e">
        <v>#N/A</v>
        <stp/>
        <stp>P</stp>
        <stp>0</stp>
        <stp>STK</stp>
        <stp>N012750</stp>
        <stp>세션명</stp>
        <stp/>
        <stp/>
        <tr r="R153" s="1"/>
        <tr r="R132" s="3"/>
      </tp>
      <tp t="e">
        <v>#N/A</v>
        <stp/>
        <stp>P</stp>
        <stp>0</stp>
        <stp>STK</stp>
        <stp>N112040</stp>
        <stp>세션명</stp>
        <stp/>
        <stp/>
        <tr r="R334" s="1"/>
      </tp>
      <tp t="e">
        <v>#N/A</v>
        <stp/>
        <stp>P</stp>
        <stp>0</stp>
        <stp>STK</stp>
        <stp>N0120G0</stp>
        <stp>세션명</stp>
        <stp/>
        <stp/>
        <tr r="R275" s="3"/>
        <tr r="R433" s="1"/>
      </tp>
      <tp t="e">
        <v>#N/A</v>
        <stp/>
        <stp>P</stp>
        <stp>0</stp>
        <stp>STK</stp>
        <stp>N012330</stp>
        <stp>세션명</stp>
        <stp/>
        <stp/>
        <tr r="R21" s="3"/>
        <tr r="R19" s="1"/>
      </tp>
      <tp t="e">
        <v>#N/A</v>
        <stp/>
        <stp>P</stp>
        <stp>0</stp>
        <stp>STK</stp>
        <stp>N011500</stp>
        <stp>세션명</stp>
        <stp/>
        <stp/>
        <tr r="R631" s="1"/>
        <tr r="R333" s="3"/>
      </tp>
      <tp t="e">
        <v>#N/A</v>
        <stp/>
        <stp>P</stp>
        <stp>0</stp>
        <stp>STK</stp>
        <stp>N011790</stp>
        <stp>세션명</stp>
        <stp/>
        <stp/>
        <tr r="R123" s="1"/>
        <tr r="R111" s="3"/>
      </tp>
      <tp t="e">
        <v>#N/A</v>
        <stp/>
        <stp>P</stp>
        <stp>0</stp>
        <stp>STK</stp>
        <stp>N011780</stp>
        <stp>세션명</stp>
        <stp/>
        <stp/>
        <tr r="R117" s="3"/>
        <tr r="R133" s="1"/>
      </tp>
      <tp t="e">
        <v>#N/A</v>
        <stp/>
        <stp>P</stp>
        <stp>0</stp>
        <stp>STK</stp>
        <stp>N011760</stp>
        <stp>세션명</stp>
        <stp/>
        <stp/>
        <tr r="R636" s="1"/>
        <tr r="R361" s="3"/>
      </tp>
      <tp t="e">
        <v>#N/A</v>
        <stp/>
        <stp>P</stp>
        <stp>0</stp>
        <stp>STK</stp>
        <stp>N111770</stp>
        <stp>세션명</stp>
        <stp/>
        <stp/>
        <tr r="R120" s="3"/>
        <tr r="R135" s="1"/>
      </tp>
      <tp t="e">
        <v>#N/A</v>
        <stp/>
        <stp>P</stp>
        <stp>0</stp>
        <stp>STK</stp>
        <stp>N011070</stp>
        <stp>세션명</stp>
        <stp/>
        <stp/>
        <tr r="R88" s="3"/>
        <tr r="R94" s="1"/>
      </tp>
      <tp t="e">
        <v>#N/A</v>
        <stp/>
        <stp>P</stp>
        <stp>0</stp>
        <stp>STK</stp>
        <stp>N211050</stp>
        <stp>세션명</stp>
        <stp/>
        <stp/>
        <tr r="R421" s="1"/>
      </tp>
      <tp t="e">
        <v>#N/A</v>
        <stp/>
        <stp>P</stp>
        <stp>0</stp>
        <stp>STK</stp>
        <stp>N011170</stp>
        <stp>세션명</stp>
        <stp/>
        <stp/>
        <tr r="R149" s="1"/>
        <tr r="R126" s="3"/>
      </tp>
      <tp t="e">
        <v>#N/A</v>
        <stp/>
        <stp>P</stp>
        <stp>0</stp>
        <stp>STK</stp>
        <stp>N011210</stp>
        <stp>세션명</stp>
        <stp/>
        <stp/>
        <tr r="R164" s="1"/>
        <tr r="R146" s="3"/>
      </tp>
      <tp t="e">
        <v>#N/A</v>
        <stp/>
        <stp>P</stp>
        <stp>0</stp>
        <stp>STK</stp>
        <stp>N011200</stp>
        <stp>세션명</stp>
        <stp/>
        <stp/>
        <tr r="R43" s="1"/>
        <tr r="R42" s="3"/>
      </tp>
      <tp t="e">
        <v>#N/A</v>
        <stp/>
        <stp>P</stp>
        <stp>0</stp>
        <stp>STK</stp>
        <stp>N110990</stp>
        <stp>세션명</stp>
        <stp/>
        <stp/>
        <tr r="R583" s="1"/>
      </tp>
      <tp t="e">
        <v>#N/A</v>
        <stp/>
        <stp>P</stp>
        <stp>0</stp>
        <stp>STK</stp>
        <stp>N010950</stp>
        <stp>세션명</stp>
        <stp/>
        <stp/>
        <tr r="R66" s="3"/>
        <tr r="R69" s="1"/>
      </tp>
      <tp t="e">
        <v>#N/A</v>
        <stp/>
        <stp>P</stp>
        <stp>0</stp>
        <stp>STK</stp>
        <stp>N010690</stp>
        <stp>세션명</stp>
        <stp/>
        <stp/>
        <tr r="R560" s="1"/>
        <tr r="R335" s="3"/>
      </tp>
      <tp t="e">
        <v>#N/A</v>
        <stp/>
        <stp>P</stp>
        <stp>0</stp>
        <stp>STK</stp>
        <stp>N010780</stp>
        <stp>세션명</stp>
        <stp/>
        <stp/>
        <tr r="R395" s="1"/>
        <tr r="R266" s="3"/>
      </tp>
      <tp t="e">
        <v>#N/A</v>
        <stp/>
        <stp>P</stp>
        <stp>0</stp>
        <stp>STK</stp>
        <stp>N010060</stp>
        <stp>세션명</stp>
        <stp/>
        <stp/>
        <tr r="R199" s="1"/>
        <tr r="R165" s="3"/>
      </tp>
      <tp t="e">
        <v>#N/A</v>
        <stp/>
        <stp>P</stp>
        <stp>0</stp>
        <stp>STK</stp>
        <stp>N010140</stp>
        <stp>세션명</stp>
        <stp/>
        <stp/>
        <tr r="R31" s="3"/>
        <tr r="R30" s="1"/>
      </tp>
      <tp t="e">
        <v>#N/A</v>
        <stp/>
        <stp>P</stp>
        <stp>0</stp>
        <stp>STK</stp>
        <stp>N010130</stp>
        <stp>세션명</stp>
        <stp/>
        <stp/>
        <tr r="R25" s="1"/>
        <tr r="R25" s="3"/>
      </tp>
      <tp t="e">
        <v>#N/A</v>
        <stp/>
        <stp>P</stp>
        <stp>0</stp>
        <stp>STK</stp>
        <stp>N010120</stp>
        <stp>세션명</stp>
        <stp/>
        <stp/>
        <tr r="R55" s="3"/>
        <tr r="R55" s="1"/>
      </tp>
      <tp t="e">
        <v>#N/A</v>
        <stp/>
        <stp>P</stp>
        <stp>0</stp>
        <stp>STK</stp>
        <stp>N310210</stp>
        <stp>세션명</stp>
        <stp/>
        <stp/>
        <tr r="R145" s="1"/>
      </tp>
      <tp t="e">
        <v>#N/A</v>
        <stp/>
        <stp>P</stp>
        <stp>0</stp>
        <stp>STK</stp>
        <stp>N017860</stp>
        <stp>세션명</stp>
        <stp/>
        <stp/>
        <tr r="R594" s="1"/>
        <tr r="R338" s="3"/>
      </tp>
      <tp t="e">
        <v>#N/A</v>
        <stp/>
        <stp>P</stp>
        <stp>0</stp>
        <stp>STK</stp>
        <stp>N017810</stp>
        <stp>세션명</stp>
        <stp/>
        <stp/>
        <tr r="R479" s="1"/>
        <tr r="R301" s="3"/>
      </tp>
      <tp t="e">
        <v>#N/A</v>
        <stp/>
        <stp>P</stp>
        <stp>0</stp>
        <stp>STK</stp>
        <stp>N017800</stp>
        <stp>세션명</stp>
        <stp/>
        <stp/>
        <tr r="R137" s="1"/>
        <tr r="R121" s="3"/>
      </tp>
      <tp t="e">
        <v>#N/A</v>
        <stp/>
        <stp>P</stp>
        <stp>0</stp>
        <stp>STK</stp>
        <stp>N017960</stp>
        <stp>세션명</stp>
        <stp/>
        <stp/>
        <tr r="R178" s="3"/>
        <tr r="R218" s="1"/>
      </tp>
      <tp t="e">
        <v>#N/A</v>
        <stp/>
        <stp>P</stp>
        <stp>0</stp>
        <stp>STK</stp>
        <stp>N017940</stp>
        <stp>세션명</stp>
        <stp/>
        <stp/>
        <tr r="R282" s="3"/>
        <tr r="R444" s="1"/>
      </tp>
      <tp t="e">
        <v>#N/A</v>
        <stp/>
        <stp>P</stp>
        <stp>0</stp>
        <stp>STK</stp>
        <stp>N317450</stp>
        <stp>세션명</stp>
        <stp/>
        <stp/>
        <tr r="R339" s="1"/>
        <tr r="R238" s="3"/>
      </tp>
      <tp t="e">
        <v>#N/A</v>
        <stp/>
        <stp>P</stp>
        <stp>0</stp>
        <stp>STK</stp>
        <stp>N217590</stp>
        <stp>세션명</stp>
        <stp/>
        <stp/>
        <tr r="R542" s="1"/>
        <tr r="R326" s="3"/>
      </tp>
      <tp t="e">
        <v>#N/A</v>
        <stp/>
        <stp>P</stp>
        <stp>0</stp>
        <stp>STK</stp>
        <stp>N017670</stp>
        <stp>세션명</stp>
        <stp/>
        <stp/>
        <tr r="R63" s="1"/>
        <tr r="R61" s="3"/>
      </tp>
      <tp t="e">
        <v>#N/A</v>
        <stp/>
        <stp>P</stp>
        <stp>0</stp>
        <stp>STK</stp>
        <stp>N117730</stp>
        <stp>세션명</stp>
        <stp/>
        <stp/>
        <tr r="R411" s="1"/>
      </tp>
      <tp t="e">
        <v>#N/A</v>
        <stp/>
        <stp>P</stp>
        <stp>0</stp>
        <stp>STK</stp>
        <stp>N417200</stp>
        <stp>세션명</stp>
        <stp/>
        <stp/>
        <tr r="R333" s="1"/>
      </tp>
      <tp t="e">
        <v>#N/A</v>
        <stp/>
        <stp>P</stp>
        <stp>0</stp>
        <stp>STK</stp>
        <stp>N017390</stp>
        <stp>세션명</stp>
        <stp/>
        <stp/>
        <tr r="R350" s="3"/>
        <tr r="R601" s="1"/>
      </tp>
      <tp t="e">
        <v>#N/A</v>
        <stp/>
        <stp>P</stp>
        <stp>0</stp>
        <stp>STK</stp>
        <stp>N317330</stp>
        <stp>세션명</stp>
        <stp/>
        <stp/>
        <tr r="R574" s="1"/>
      </tp>
      <tp t="e">
        <v>#N/A</v>
        <stp/>
        <stp>P</stp>
        <stp>0</stp>
        <stp>STK</stp>
        <stp>N016800</stp>
        <stp>세션명</stp>
        <stp/>
        <stp/>
        <tr r="R475" s="1"/>
        <tr r="R296" s="3"/>
      </tp>
      <tp t="e">
        <v>#N/A</v>
        <stp/>
        <stp>P</stp>
        <stp>0</stp>
        <stp>STK</stp>
        <stp>N016590</stp>
        <stp>세션명</stp>
        <stp/>
        <stp/>
        <tr r="R294" s="3"/>
        <tr r="R462" s="1"/>
      </tp>
      <tp t="e">
        <v>#N/A</v>
        <stp/>
        <stp>P</stp>
        <stp>0</stp>
        <stp>STK</stp>
        <stp>N016610</stp>
        <stp>세션명</stp>
        <stp/>
        <stp/>
        <tr r="R483" s="1"/>
        <tr r="R302" s="3"/>
      </tp>
      <tp t="e">
        <v>#N/A</v>
        <stp/>
        <stp>P</stp>
        <stp>0</stp>
        <stp>STK</stp>
        <stp>N416180</stp>
        <stp>세션명</stp>
        <stp/>
        <stp/>
        <tr r="R634" s="1"/>
      </tp>
      <tp t="e">
        <v>#N/A</v>
        <stp/>
        <stp>P</stp>
        <stp>0</stp>
        <stp>STK</stp>
        <stp>N316140</stp>
        <stp>세션명</stp>
        <stp/>
        <stp/>
        <tr r="R38" s="3"/>
        <tr r="R40" s="1"/>
      </tp>
      <tp t="e">
        <v>#N/A</v>
        <stp/>
        <stp>P</stp>
        <stp>0</stp>
        <stp>STK</stp>
        <stp>N016360</stp>
        <stp>세션명</stp>
        <stp/>
        <stp/>
        <tr r="R88" s="1"/>
        <tr r="R83" s="3"/>
      </tp>
      <tp t="e">
        <v>#N/A</v>
        <stp/>
        <stp>P</stp>
        <stp>0</stp>
        <stp>STK</stp>
        <stp>N015760</stp>
        <stp>세션명</stp>
        <stp/>
        <stp/>
        <tr r="R21" s="1"/>
        <tr r="R20" s="3"/>
      </tp>
      <tp t="e">
        <v>#N/A</v>
        <stp/>
        <stp>P</stp>
        <stp>0</stp>
        <stp>STK</stp>
        <stp>N015750</stp>
        <stp>세션명</stp>
        <stp/>
        <stp/>
        <tr r="R404" s="1"/>
      </tp>
      <tp t="e">
        <v>#N/A</v>
        <stp/>
        <stp>P</stp>
        <stp>0</stp>
        <stp>STK</stp>
        <stp>N215000</stp>
        <stp>세션명</stp>
        <stp/>
        <stp/>
        <tr r="R592" s="1"/>
      </tp>
      <tp t="e">
        <v>#N/A</v>
        <stp/>
        <stp>P</stp>
        <stp>0</stp>
        <stp>STK</stp>
        <stp>N215200</stp>
        <stp>세션명</stp>
        <stp/>
        <stp/>
        <tr r="R535" s="1"/>
      </tp>
      <tp t="e">
        <v>#N/A</v>
        <stp/>
        <stp>P</stp>
        <stp>0</stp>
        <stp>STK</stp>
        <stp>N015360</stp>
        <stp>세션명</stp>
        <stp/>
        <stp/>
        <tr r="R549" s="1"/>
        <tr r="R330" s="3"/>
      </tp>
      <tp t="e">
        <v>#N/A</v>
        <stp/>
        <stp>P</stp>
        <stp>0</stp>
        <stp>STK</stp>
        <stp>N114840</stp>
        <stp>세션명</stp>
        <stp/>
        <stp/>
        <tr r="R661" s="1"/>
      </tp>
      <tp t="e">
        <v>#N/A</v>
        <stp/>
        <stp>P</stp>
        <stp>0</stp>
        <stp>STK</stp>
        <stp>N014830</stp>
        <stp>세션명</stp>
        <stp/>
        <stp/>
        <tr r="R484" s="1"/>
        <tr r="R299" s="3"/>
      </tp>
      <tp t="e">
        <v>#N/A</v>
        <stp/>
        <stp>P</stp>
        <stp>0</stp>
        <stp>STK</stp>
        <stp>N014820</stp>
        <stp>세션명</stp>
        <stp/>
        <stp/>
        <tr r="R252" s="3"/>
        <tr r="R381" s="1"/>
      </tp>
      <tp t="e">
        <v>#N/A</v>
        <stp/>
        <stp>P</stp>
        <stp>0</stp>
        <stp>STK</stp>
        <stp>N114810</stp>
        <stp>세션명</stp>
        <stp/>
        <stp/>
        <tr r="R603" s="1"/>
      </tp>
      <tp t="e">
        <v>#N/A</v>
        <stp/>
        <stp>P</stp>
        <stp>0</stp>
        <stp>STK</stp>
        <stp>N014940</stp>
        <stp>세션명</stp>
        <stp/>
        <stp/>
        <tr r="R550" s="1"/>
      </tp>
      <tp t="e">
        <v>#N/A</v>
        <stp/>
        <stp>P</stp>
        <stp>0</stp>
        <stp>STK</stp>
        <stp>N314930</stp>
        <stp>세션명</stp>
        <stp/>
        <stp/>
        <tr r="R573" s="1"/>
      </tp>
      <tp t="e">
        <v>#N/A</v>
        <stp/>
        <stp>P</stp>
        <stp>0</stp>
        <stp>STK</stp>
        <stp>N214450</stp>
        <stp>세션명</stp>
        <stp/>
        <stp/>
        <tr r="R117" s="1"/>
      </tp>
      <tp t="e">
        <v>#N/A</v>
        <stp/>
        <stp>P</stp>
        <stp>0</stp>
        <stp>STK</stp>
        <stp>N214430</stp>
        <stp>세션명</stp>
        <stp/>
        <stp/>
        <tr r="R414" s="1"/>
      </tp>
      <tp t="e">
        <v>#N/A</v>
        <stp/>
        <stp>P</stp>
        <stp>0</stp>
        <stp>STK</stp>
        <stp>N014680</stp>
        <stp>세션명</stp>
        <stp/>
        <stp/>
        <tr r="R152" s="1"/>
        <tr r="R129" s="3"/>
      </tp>
      <tp t="e">
        <v>#N/A</v>
        <stp/>
        <stp>P</stp>
        <stp>0</stp>
        <stp>STK</stp>
        <stp>N014620</stp>
        <stp>세션명</stp>
        <stp/>
        <stp/>
        <tr r="R361" s="1"/>
      </tp>
      <tp t="e">
        <v>#N/A</v>
        <stp/>
        <stp>P</stp>
        <stp>0</stp>
        <stp>STK</stp>
        <stp>N114090</stp>
        <stp>세션명</stp>
        <stp/>
        <stp/>
        <tr r="R351" s="1"/>
        <tr r="R244" s="3"/>
      </tp>
      <tp t="e">
        <v>#N/A</v>
        <stp/>
        <stp>P</stp>
        <stp>0</stp>
        <stp>STK</stp>
        <stp>N114190</stp>
        <stp>세션명</stp>
        <stp/>
        <stp/>
        <tr r="R563" s="1"/>
      </tp>
      <tp t="e">
        <v>#N/A</v>
        <stp/>
        <stp>P</stp>
        <stp>0</stp>
        <stp>STK</stp>
        <stp>N214150</stp>
        <stp>세션명</stp>
        <stp/>
        <stp/>
        <tr r="R129" s="1"/>
      </tp>
      <tp t="e">
        <v>#N/A</v>
        <stp/>
        <stp>P</stp>
        <stp>0</stp>
        <stp>STK</stp>
        <stp>N214370</stp>
        <stp>세션명</stp>
        <stp/>
        <stp/>
        <tr r="R126" s="1"/>
      </tp>
      <tp t="e">
        <v>#N/A</v>
        <stp/>
        <stp>P</stp>
        <stp>0</stp>
        <stp>STK</stp>
        <stp>N214320</stp>
        <stp>세션명</stp>
        <stp/>
        <stp/>
        <tr r="R256" s="3"/>
        <tr r="R375" s="1"/>
      </tp>
      <tp t="e">
        <v>#N/A</v>
        <stp/>
        <stp>P</stp>
        <stp>0</stp>
        <stp>STK</stp>
        <stp>N058970</stp>
        <stp>체결시간</stp>
        <stp/>
        <stp/>
        <tr r="S509" s="1"/>
      </tp>
      <tp t="e">
        <v>#N/A</v>
        <stp/>
        <stp>P</stp>
        <stp>0</stp>
        <stp>STK</stp>
        <stp>N128940</stp>
        <stp>체결시간</stp>
        <stp/>
        <stp/>
        <tr r="S98" s="3"/>
        <tr r="S106" s="1"/>
      </tp>
      <tp t="e">
        <v>#N/A</v>
        <stp/>
        <stp>P</stp>
        <stp>0</stp>
        <stp>STK</stp>
        <stp>N448900</stp>
        <stp>체결시간</stp>
        <stp/>
        <stp/>
        <tr r="S486" s="1"/>
      </tp>
      <tp t="e">
        <v>#N/A</v>
        <stp/>
        <stp>P</stp>
        <stp>0</stp>
        <stp>STK</stp>
        <stp>N008930</stp>
        <stp>체결시간</stp>
        <stp/>
        <stp/>
        <tr r="S165" s="1"/>
        <tr r="S140" s="3"/>
      </tp>
      <tp t="e">
        <v>#N/A</v>
        <stp/>
        <stp>P</stp>
        <stp>0</stp>
        <stp>STK</stp>
        <stp>N078930</stp>
        <stp>체결시간</stp>
        <stp/>
        <stp/>
        <tr r="S101" s="1"/>
        <tr r="S94" s="3"/>
      </tp>
      <tp t="e">
        <v>#N/A</v>
        <stp/>
        <stp>P</stp>
        <stp>0</stp>
        <stp>STK</stp>
        <stp>N178920</stp>
        <stp>체결시간</stp>
        <stp/>
        <stp/>
        <tr r="S307" s="3"/>
        <tr r="S501" s="1"/>
      </tp>
      <tp t="e">
        <v>#N/A</v>
        <stp/>
        <stp>P</stp>
        <stp>0</stp>
        <stp>STK</stp>
        <stp>N138930</stp>
        <stp>체결시간</stp>
        <stp/>
        <stp/>
        <tr r="S104" s="3"/>
        <tr r="S112" s="1"/>
      </tp>
      <tp t="e">
        <v>#N/A</v>
        <stp/>
        <stp>P</stp>
        <stp>0</stp>
        <stp>STK</stp>
        <stp>N018880</stp>
        <stp>체결시간</stp>
        <stp/>
        <stp/>
        <tr r="S142" s="1"/>
        <tr r="S122" s="3"/>
      </tp>
      <tp t="e">
        <v>#N/A</v>
        <stp/>
        <stp>P</stp>
        <stp>0</stp>
        <stp>STK</stp>
        <stp>N108860</stp>
        <stp>체결시간</stp>
        <stp/>
        <stp/>
        <tr r="S600" s="1"/>
      </tp>
      <tp t="e">
        <v>#N/A</v>
        <stp/>
        <stp>P</stp>
        <stp>0</stp>
        <stp>STK</stp>
        <stp>N338840</stp>
        <stp>체결시간</stp>
        <stp/>
        <stp/>
        <tr r="S580" s="1"/>
      </tp>
      <tp t="e">
        <v>#N/A</v>
        <stp/>
        <stp>P</stp>
        <stp>0</stp>
        <stp>STK</stp>
        <stp>N458870</stp>
        <stp>체결시간</stp>
        <stp/>
        <stp/>
        <tr r="S221" s="1"/>
      </tp>
      <tp t="e">
        <v>#N/A</v>
        <stp/>
        <stp>P</stp>
        <stp>0</stp>
        <stp>STK</stp>
        <stp>N468530</stp>
        <stp>체결시간</stp>
        <stp/>
        <stp/>
        <tr r="S337" s="1"/>
      </tp>
      <tp t="e">
        <v>#N/A</v>
        <stp/>
        <stp>P</stp>
        <stp>0</stp>
        <stp>STK</stp>
        <stp>N358570</stp>
        <stp>체결시간</stp>
        <stp/>
        <stp/>
        <tr r="S336" s="1"/>
      </tp>
      <tp t="e">
        <v>#N/A</v>
        <stp/>
        <stp>P</stp>
        <stp>0</stp>
        <stp>STK</stp>
        <stp>N078520</stp>
        <stp>체결시간</stp>
        <stp/>
        <stp/>
        <tr r="S670" s="1"/>
        <tr r="S368" s="3"/>
      </tp>
      <tp t="e">
        <v>#N/A</v>
        <stp/>
        <stp>P</stp>
        <stp>0</stp>
        <stp>STK</stp>
        <stp>N008490</stp>
        <stp>체결시간</stp>
        <stp/>
        <stp/>
        <tr r="S379" s="3"/>
        <tr r="S686" s="1"/>
      </tp>
      <tp t="e">
        <v>#N/A</v>
        <stp/>
        <stp>P</stp>
        <stp>0</stp>
        <stp>STK</stp>
        <stp>N108490</stp>
        <stp>체결시간</stp>
        <stp/>
        <stp/>
        <tr r="S132" s="1"/>
      </tp>
      <tp t="e">
        <v>#N/A</v>
        <stp/>
        <stp>P</stp>
        <stp>0</stp>
        <stp>STK</stp>
        <stp>N138490</stp>
        <stp>체결시간</stp>
        <stp/>
        <stp/>
        <tr r="S608" s="1"/>
        <tr r="S345" s="3"/>
      </tp>
      <tp t="e">
        <v>#N/A</v>
        <stp/>
        <stp>P</stp>
        <stp>0</stp>
        <stp>STK</stp>
        <stp>N058470</stp>
        <stp>체결시간</stp>
        <stp/>
        <stp/>
        <tr r="S109" s="1"/>
      </tp>
      <tp t="e">
        <v>#N/A</v>
        <stp/>
        <stp>P</stp>
        <stp>0</stp>
        <stp>STK</stp>
        <stp>N098460</stp>
        <stp>체결시간</stp>
        <stp/>
        <stp/>
        <tr r="S202" s="1"/>
      </tp>
      <tp t="e">
        <v>#N/A</v>
        <stp/>
        <stp>P</stp>
        <stp>0</stp>
        <stp>STK</stp>
        <stp>N278470</stp>
        <stp>체결시간</stp>
        <stp/>
        <stp/>
        <tr r="S67" s="3"/>
        <tr r="S74" s="1"/>
      </tp>
      <tp t="e">
        <v>#N/A</v>
        <stp/>
        <stp>P</stp>
        <stp>0</stp>
        <stp>STK</stp>
        <stp>N218410</stp>
        <stp>체결시간</stp>
        <stp/>
        <stp/>
        <tr r="S324" s="1"/>
      </tp>
      <tp t="e">
        <v>#N/A</v>
        <stp/>
        <stp>P</stp>
        <stp>0</stp>
        <stp>STK</stp>
        <stp>N048410</stp>
        <stp>체결시간</stp>
        <stp/>
        <stp/>
        <tr r="S452" s="1"/>
      </tp>
      <tp t="e">
        <v>#N/A</v>
        <stp/>
        <stp>P</stp>
        <stp>0</stp>
        <stp>STK</stp>
        <stp>N308430</stp>
        <stp>체결시간</stp>
        <stp/>
        <stp/>
        <tr r="S622" s="1"/>
      </tp>
      <tp t="e">
        <v>#N/A</v>
        <stp/>
        <stp>P</stp>
        <stp>0</stp>
        <stp>STK</stp>
        <stp>N008770</stp>
        <stp>체결시간</stp>
        <stp/>
        <stp/>
        <tr r="S226" s="1"/>
        <tr r="S179" s="3"/>
      </tp>
      <tp t="e">
        <v>#N/A</v>
        <stp/>
        <stp>P</stp>
        <stp>0</stp>
        <stp>STK</stp>
        <stp>N068760</stp>
        <stp>체결시간</stp>
        <stp/>
        <stp/>
        <tr r="S168" s="1"/>
      </tp>
      <tp t="e">
        <v>#N/A</v>
        <stp/>
        <stp>P</stp>
        <stp>0</stp>
        <stp>STK</stp>
        <stp>N228760</stp>
        <stp>체결시간</stp>
        <stp/>
        <stp/>
        <tr r="S449" s="1"/>
      </tp>
      <tp t="e">
        <v>#N/A</v>
        <stp/>
        <stp>P</stp>
        <stp>0</stp>
        <stp>STK</stp>
        <stp>N008730</stp>
        <stp>체결시간</stp>
        <stp/>
        <stp/>
        <tr r="S397" s="1"/>
        <tr r="S262" s="3"/>
      </tp>
      <tp t="e">
        <v>#N/A</v>
        <stp/>
        <stp>P</stp>
        <stp>0</stp>
        <stp>STK</stp>
        <stp>N388720</stp>
        <stp>체결시간</stp>
        <stp/>
        <stp/>
        <tr r="S283" s="1"/>
      </tp>
      <tp t="e">
        <v>#N/A</v>
        <stp/>
        <stp>P</stp>
        <stp>0</stp>
        <stp>STK</stp>
        <stp>N018670</stp>
        <stp>체결시간</stp>
        <stp/>
        <stp/>
        <tr r="S167" s="3"/>
        <tr r="S206" s="1"/>
      </tp>
      <tp t="e">
        <v>#N/A</v>
        <stp/>
        <stp>P</stp>
        <stp>0</stp>
        <stp>STK</stp>
        <stp>N028670</stp>
        <stp>체결시간</stp>
        <stp/>
        <stp/>
        <tr r="S157" s="3"/>
        <tr r="S188" s="1"/>
      </tp>
      <tp t="e">
        <v>#N/A</v>
        <stp/>
        <stp>P</stp>
        <stp>0</stp>
        <stp>STK</stp>
        <stp>N108670</stp>
        <stp>체결시간</stp>
        <stp/>
        <stp/>
        <tr r="S369" s="3"/>
        <tr r="S665" s="1"/>
      </tp>
      <tp t="e">
        <v>#N/A</v>
        <stp/>
        <stp>P</stp>
        <stp>0</stp>
        <stp>STK</stp>
        <stp>N058610</stp>
        <stp>체결시간</stp>
        <stp/>
        <stp/>
        <tr r="S178" s="1"/>
      </tp>
      <tp t="e">
        <v>#N/A</v>
        <stp/>
        <stp>P</stp>
        <stp>0</stp>
        <stp>STK</stp>
        <stp>N138610</stp>
        <stp>체결시간</stp>
        <stp/>
        <stp/>
        <tr r="S545" s="1"/>
      </tp>
      <tp t="e">
        <v>#N/A</v>
        <stp/>
        <stp>P</stp>
        <stp>0</stp>
        <stp>STK</stp>
        <stp>N078600</stp>
        <stp>체결시간</stp>
        <stp/>
        <stp/>
        <tr r="S317" s="1"/>
      </tp>
      <tp t="e">
        <v>#N/A</v>
        <stp/>
        <stp>P</stp>
        <stp>0</stp>
        <stp>STK</stp>
        <stp>N078160</stp>
        <stp>체결시간</stp>
        <stp/>
        <stp/>
        <tr r="S435" s="1"/>
      </tp>
      <tp t="e">
        <v>#N/A</v>
        <stp/>
        <stp>P</stp>
        <stp>0</stp>
        <stp>STK</stp>
        <stp>N328130</stp>
        <stp>체결시간</stp>
        <stp/>
        <stp/>
        <tr r="S295" s="1"/>
      </tp>
      <tp t="e">
        <v>#N/A</v>
        <stp/>
        <stp>P</stp>
        <stp>0</stp>
        <stp>STK</stp>
        <stp>N098070</stp>
        <stp>체결시간</stp>
        <stp/>
        <stp/>
        <tr r="S510" s="1"/>
      </tp>
      <tp t="e">
        <v>#N/A</v>
        <stp/>
        <stp>P</stp>
        <stp>0</stp>
        <stp>STK</stp>
        <stp>N298050</stp>
        <stp>체결시간</stp>
        <stp/>
        <stp/>
        <tr r="S318" s="1"/>
        <tr r="S233" s="3"/>
      </tp>
      <tp t="e">
        <v>#N/A</v>
        <stp/>
        <stp>P</stp>
        <stp>0</stp>
        <stp>STK</stp>
        <stp>N298040</stp>
        <stp>체결시간</stp>
        <stp/>
        <stp/>
        <tr r="S36" s="3"/>
        <tr r="S37" s="1"/>
      </tp>
      <tp t="e">
        <v>#N/A</v>
        <stp/>
        <stp>P</stp>
        <stp>0</stp>
        <stp>STK</stp>
        <stp>N008060</stp>
        <stp>체결시간</stp>
        <stp/>
        <stp/>
        <tr r="S340" s="3"/>
        <tr r="S585" s="1"/>
      </tp>
      <tp t="e">
        <v>#N/A</v>
        <stp/>
        <stp>P</stp>
        <stp>0</stp>
        <stp>STK</stp>
        <stp>N028050</stp>
        <stp>체결시간</stp>
        <stp/>
        <stp/>
        <tr r="S110" s="1"/>
        <tr r="S101" s="3"/>
      </tp>
      <tp t="e">
        <v>#N/A</v>
        <stp/>
        <stp>P</stp>
        <stp>0</stp>
        <stp>STK</stp>
        <stp>N138040</stp>
        <stp>체결시간</stp>
        <stp/>
        <stp/>
        <tr r="S44" s="1"/>
        <tr r="S44" s="3"/>
      </tp>
      <tp t="e">
        <v>#N/A</v>
        <stp/>
        <stp>P</stp>
        <stp>0</stp>
        <stp>STK</stp>
        <stp>N248070</stp>
        <stp>체결시간</stp>
        <stp/>
        <stp/>
        <tr r="S377" s="1"/>
        <tr r="S258" s="3"/>
      </tp>
      <tp t="e">
        <v>#N/A</v>
        <stp/>
        <stp>P</stp>
        <stp>0</stp>
        <stp>STK</stp>
        <stp>N298020</stp>
        <stp>체결시간</stp>
        <stp/>
        <stp/>
        <tr r="S231" s="1"/>
        <tr r="S188" s="3"/>
      </tp>
      <tp t="e">
        <v>#N/A</v>
        <stp/>
        <stp>P</stp>
        <stp>0</stp>
        <stp>STK</stp>
        <stp>N298380</stp>
        <stp>체결시간</stp>
        <stp/>
        <stp/>
        <tr r="S73" s="1"/>
      </tp>
      <tp t="e">
        <v>#N/A</v>
        <stp/>
        <stp>P</stp>
        <stp>0</stp>
        <stp>STK</stp>
        <stp>N108380</stp>
        <stp>체결시간</stp>
        <stp/>
        <stp/>
        <tr r="S669" s="1"/>
      </tp>
      <tp t="e">
        <v>#N/A</v>
        <stp/>
        <stp>P</stp>
        <stp>0</stp>
        <stp>STK</stp>
        <stp>N168360</stp>
        <stp>체결시간</stp>
        <stp/>
        <stp/>
        <tr r="S582" s="1"/>
      </tp>
      <tp t="e">
        <v>#N/A</v>
        <stp/>
        <stp>P</stp>
        <stp>0</stp>
        <stp>STK</stp>
        <stp>N378340</stp>
        <stp>체결시간</stp>
        <stp/>
        <stp/>
        <tr r="S648" s="1"/>
      </tp>
      <tp t="e">
        <v>#N/A</v>
        <stp/>
        <stp>P</stp>
        <stp>0</stp>
        <stp>STK</stp>
        <stp>N088350</stp>
        <stp>체결시간</stp>
        <stp/>
        <stp/>
        <tr r="S137" s="3"/>
        <tr r="S161" s="1"/>
      </tp>
      <tp t="e">
        <v>#N/A</v>
        <stp/>
        <stp>P</stp>
        <stp>0</stp>
        <stp>STK</stp>
        <stp>N078350</stp>
        <stp>체결시간</stp>
        <stp/>
        <stp/>
        <tr r="S566" s="1"/>
      </tp>
      <tp t="e">
        <v>#N/A</v>
        <stp/>
        <stp>P</stp>
        <stp>0</stp>
        <stp>STK</stp>
        <stp>N348370</stp>
        <stp>체결시간</stp>
        <stp/>
        <stp/>
        <tr r="S263" s="1"/>
      </tp>
      <tp t="e">
        <v>#N/A</v>
        <stp/>
        <stp>P</stp>
        <stp>0</stp>
        <stp>STK</stp>
        <stp>N078340</stp>
        <stp>체결시간</stp>
        <stp/>
        <stp/>
        <tr r="S540" s="1"/>
      </tp>
      <tp t="e">
        <v>#N/A</v>
        <stp/>
        <stp>P</stp>
        <stp>0</stp>
        <stp>STK</stp>
        <stp>N108320</stp>
        <stp>체결시간</stp>
        <stp/>
        <stp/>
        <tr r="S241" s="3"/>
        <tr r="S345" s="1"/>
      </tp>
      <tp t="e">
        <v>#N/A</v>
        <stp/>
        <stp>P</stp>
        <stp>0</stp>
        <stp>STK</stp>
        <stp>N178320</stp>
        <stp>체결시간</stp>
        <stp/>
        <stp/>
        <tr r="S228" s="1"/>
      </tp>
      <tp t="e">
        <v>#N/A</v>
        <stp/>
        <stp>P</stp>
        <stp>0</stp>
        <stp>STK</stp>
        <stp>N018310</stp>
        <stp>체결시간</stp>
        <stp/>
        <stp/>
        <tr r="S644" s="1"/>
      </tp>
      <tp t="e">
        <v>#N/A</v>
        <stp/>
        <stp>P</stp>
        <stp>0</stp>
        <stp>STK</stp>
        <stp>N028300</stp>
        <stp>체결시간</stp>
        <stp/>
        <stp/>
        <tr r="S93" s="1"/>
      </tp>
      <tp t="e">
        <v>#N/A</v>
        <stp/>
        <stp>P</stp>
        <stp>0</stp>
        <stp>STK</stp>
        <stp>N478340</stp>
        <stp>체결시간</stp>
        <stp/>
        <stp/>
        <tr r="S422" s="1"/>
      </tp>
      <tp t="e">
        <v>#N/A</v>
        <stp/>
        <stp>P</stp>
        <stp>0</stp>
        <stp>STK</stp>
        <stp>N488280</stp>
        <stp>체결시간</stp>
        <stp/>
        <stp/>
        <tr r="S687" s="1"/>
      </tp>
      <tp t="e">
        <v>#N/A</v>
        <stp/>
        <stp>P</stp>
        <stp>0</stp>
        <stp>STK</stp>
        <stp>N448280</stp>
        <stp>체결시간</stp>
        <stp/>
        <stp/>
        <tr r="S638" s="1"/>
      </tp>
      <tp t="e">
        <v>#N/A</v>
        <stp/>
        <stp>P</stp>
        <stp>0</stp>
        <stp>STK</stp>
        <stp>N268280</stp>
        <stp>체결시간</stp>
        <stp/>
        <stp/>
        <tr r="S388" s="1"/>
        <tr r="S265" s="3"/>
      </tp>
      <tp t="e">
        <v>#N/A</v>
        <stp/>
        <stp>P</stp>
        <stp>0</stp>
        <stp>STK</stp>
        <stp>N278280</stp>
        <stp>체결시간</stp>
        <stp/>
        <stp/>
        <tr r="S434" s="1"/>
      </tp>
      <tp t="e">
        <v>#N/A</v>
        <stp/>
        <stp>P</stp>
        <stp>0</stp>
        <stp>STK</stp>
        <stp>N018290</stp>
        <stp>체결시간</stp>
        <stp/>
        <stp/>
        <tr r="S439" s="1"/>
      </tp>
      <tp t="e">
        <v>#N/A</v>
        <stp/>
        <stp>P</stp>
        <stp>0</stp>
        <stp>STK</stp>
        <stp>N068270</stp>
        <stp>체결시간</stp>
        <stp/>
        <stp/>
        <tr r="S18" s="3"/>
        <tr r="S18" s="1"/>
      </tp>
      <tp t="e">
        <v>#N/A</v>
        <stp/>
        <stp>P</stp>
        <stp>0</stp>
        <stp>STK</stp>
        <stp>N018260</stp>
        <stp>체결시간</stp>
        <stp/>
        <stp/>
        <tr r="S59" s="3"/>
        <tr r="S60" s="1"/>
      </tp>
      <tp t="e">
        <v>#N/A</v>
        <stp/>
        <stp>P</stp>
        <stp>0</stp>
        <stp>STK</stp>
        <stp>N028260</stp>
        <stp>체결시간</stp>
        <stp/>
        <stp/>
        <tr r="S17" s="1"/>
        <tr r="S17" s="3"/>
      </tp>
      <tp t="e">
        <v>#N/A</v>
        <stp/>
        <stp>P</stp>
        <stp>0</stp>
        <stp>STK</stp>
        <stp>N018250</stp>
        <stp>체결시간</stp>
        <stp/>
        <stp/>
        <tr r="S343" s="3"/>
        <tr r="S590" s="1"/>
      </tp>
      <tp t="e">
        <v>#N/A</v>
        <stp/>
        <stp>P</stp>
        <stp>0</stp>
        <stp>STK</stp>
        <stp>N388210</stp>
        <stp>체결시간</stp>
        <stp/>
        <stp/>
        <tr r="S302" s="1"/>
      </tp>
      <tp t="e">
        <v>#N/A</v>
        <stp/>
        <stp>P</stp>
        <stp>0</stp>
        <stp>STK</stp>
        <stp>N348210</stp>
        <stp>체결시간</stp>
        <stp/>
        <stp/>
        <tr r="S360" s="1"/>
      </tp>
      <tp t="e">
        <v>#N/A</v>
        <stp/>
        <stp>P</stp>
        <stp>0</stp>
        <stp>STK</stp>
        <stp>N338220</stp>
        <stp>체결시간</stp>
        <stp/>
        <stp/>
        <tr r="S643" s="1"/>
      </tp>
      <tp t="e">
        <v>#N/A</v>
        <stp/>
        <stp>P</stp>
        <stp>0</stp>
        <stp>STK</stp>
        <stp>N009830</stp>
        <stp>세션명</stp>
        <stp/>
        <stp/>
        <tr r="R113" s="1"/>
        <tr r="R103" s="3"/>
      </tp>
      <tp t="e">
        <v>#N/A</v>
        <stp/>
        <stp>P</stp>
        <stp>0</stp>
        <stp>STK</stp>
        <stp>N009970</stp>
        <stp>세션명</stp>
        <stp/>
        <stp/>
        <tr r="R173" s="1"/>
        <tr r="R138" s="3"/>
      </tp>
      <tp t="e">
        <v>#N/A</v>
        <stp/>
        <stp>P</stp>
        <stp>0</stp>
        <stp>STK</stp>
        <stp>N009900</stp>
        <stp>세션명</stp>
        <stp/>
        <stp/>
        <tr r="R464" s="1"/>
        <tr r="R295" s="3"/>
      </tp>
      <tp t="e">
        <v>#N/A</v>
        <stp/>
        <stp>P</stp>
        <stp>0</stp>
        <stp>STK</stp>
        <stp>N009450</stp>
        <stp>세션명</stp>
        <stp/>
        <stp/>
        <tr r="R243" s="3"/>
        <tr r="R348" s="1"/>
      </tp>
      <tp t="e">
        <v>#N/A</v>
        <stp/>
        <stp>P</stp>
        <stp>0</stp>
        <stp>STK</stp>
        <stp>N009420</stp>
        <stp>세션명</stp>
        <stp/>
        <stp/>
        <tr r="R187" s="1"/>
        <tr r="R152" s="3"/>
      </tp>
      <tp t="e">
        <v>#N/A</v>
        <stp/>
        <stp>P</stp>
        <stp>0</stp>
        <stp>STK</stp>
        <stp>N009540</stp>
        <stp>세션명</stp>
        <stp/>
        <stp/>
        <tr r="R27" s="1"/>
        <tr r="R27" s="3"/>
      </tp>
      <tp t="e">
        <v>#N/A</v>
        <stp/>
        <stp>P</stp>
        <stp>0</stp>
        <stp>STK</stp>
        <stp>N009520</stp>
        <stp>세션명</stp>
        <stp/>
        <stp/>
        <tr r="R363" s="1"/>
      </tp>
      <tp t="e">
        <v>#N/A</v>
        <stp/>
        <stp>P</stp>
        <stp>0</stp>
        <stp>STK</stp>
        <stp>N009680</stp>
        <stp>세션명</stp>
        <stp/>
        <stp/>
        <tr r="R359" s="3"/>
        <tr r="R632" s="1"/>
      </tp>
      <tp t="e">
        <v>#N/A</v>
        <stp/>
        <stp>P</stp>
        <stp>0</stp>
        <stp>STK</stp>
        <stp>N309710</stp>
        <stp>세션명</stp>
        <stp/>
        <stp/>
        <tr r="R514" s="1"/>
      </tp>
      <tp t="e">
        <v>#N/A</v>
        <stp/>
        <stp>P</stp>
        <stp>0</stp>
        <stp>STK</stp>
        <stp>N009150</stp>
        <stp>세션명</stp>
        <stp/>
        <stp/>
        <tr r="R39" s="1"/>
        <tr r="R39" s="3"/>
      </tp>
      <tp t="e">
        <v>#N/A</v>
        <stp/>
        <stp>P</stp>
        <stp>0</stp>
        <stp>STK</stp>
        <stp>N009240</stp>
        <stp>세션명</stp>
        <stp/>
        <stp/>
        <tr r="R223" s="3"/>
        <tr r="R301" s="1"/>
      </tp>
      <tp t="e">
        <v>#N/A</v>
        <stp/>
        <stp>P</stp>
        <stp>0</stp>
        <stp>STK</stp>
        <stp>N108860</stp>
        <stp>세션명</stp>
        <stp/>
        <stp/>
        <tr r="R600" s="1"/>
      </tp>
      <tp t="e">
        <v>#N/A</v>
        <stp/>
        <stp>P</stp>
        <stp>0</stp>
        <stp>STK</stp>
        <stp>N008930</stp>
        <stp>세션명</stp>
        <stp/>
        <stp/>
        <tr r="R165" s="1"/>
        <tr r="R140" s="3"/>
      </tp>
      <tp t="e">
        <v>#N/A</v>
        <stp/>
        <stp>P</stp>
        <stp>0</stp>
        <stp>STK</stp>
        <stp>N008490</stp>
        <stp>세션명</stp>
        <stp/>
        <stp/>
        <tr r="R379" s="3"/>
        <tr r="R686" s="1"/>
      </tp>
      <tp t="e">
        <v>#N/A</v>
        <stp/>
        <stp>P</stp>
        <stp>0</stp>
        <stp>STK</stp>
        <stp>N108490</stp>
        <stp>세션명</stp>
        <stp/>
        <stp/>
        <tr r="R132" s="1"/>
      </tp>
      <tp t="e">
        <v>#N/A</v>
        <stp/>
        <stp>P</stp>
        <stp>0</stp>
        <stp>STK</stp>
        <stp>N308430</stp>
        <stp>세션명</stp>
        <stp/>
        <stp/>
        <tr r="R622" s="1"/>
      </tp>
      <tp t="e">
        <v>#N/A</v>
        <stp/>
        <stp>P</stp>
        <stp>0</stp>
        <stp>STK</stp>
        <stp>N108670</stp>
        <stp>세션명</stp>
        <stp/>
        <stp/>
        <tr r="R369" s="3"/>
        <tr r="R665" s="1"/>
      </tp>
      <tp t="e">
        <v>#N/A</v>
        <stp/>
        <stp>P</stp>
        <stp>0</stp>
        <stp>STK</stp>
        <stp>N008770</stp>
        <stp>세션명</stp>
        <stp/>
        <stp/>
        <tr r="R179" s="3"/>
        <tr r="R226" s="1"/>
      </tp>
      <tp t="e">
        <v>#N/A</v>
        <stp/>
        <stp>P</stp>
        <stp>0</stp>
        <stp>STK</stp>
        <stp>N008730</stp>
        <stp>세션명</stp>
        <stp/>
        <stp/>
        <tr r="R397" s="1"/>
        <tr r="R262" s="3"/>
      </tp>
      <tp t="e">
        <v>#N/A</v>
        <stp/>
        <stp>P</stp>
        <stp>0</stp>
        <stp>STK</stp>
        <stp>N008060</stp>
        <stp>세션명</stp>
        <stp/>
        <stp/>
        <tr r="R340" s="3"/>
        <tr r="R585" s="1"/>
      </tp>
      <tp t="e">
        <v>#N/A</v>
        <stp/>
        <stp>P</stp>
        <stp>0</stp>
        <stp>STK</stp>
        <stp>N108380</stp>
        <stp>세션명</stp>
        <stp/>
        <stp/>
        <tr r="R669" s="1"/>
      </tp>
      <tp t="e">
        <v>#N/A</v>
        <stp/>
        <stp>P</stp>
        <stp>0</stp>
        <stp>STK</stp>
        <stp>N108320</stp>
        <stp>세션명</stp>
        <stp/>
        <stp/>
        <tr r="R345" s="1"/>
        <tr r="R241" s="3"/>
      </tp>
      <tp t="e">
        <v>#N/A</v>
        <stp/>
        <stp>P</stp>
        <stp>0</stp>
        <stp>STK</stp>
        <stp>N003850</stp>
        <stp>세션명</stp>
        <stp/>
        <stp/>
        <tr r="R366" s="1"/>
        <tr r="R254" s="3"/>
      </tp>
      <tp t="e">
        <v>#N/A</v>
        <stp/>
        <stp>P</stp>
        <stp>0</stp>
        <stp>STK</stp>
        <stp>N403870</stp>
        <stp>세션명</stp>
        <stp/>
        <stp/>
        <tr r="R157" s="1"/>
      </tp>
      <tp t="e">
        <v>#N/A</v>
        <stp/>
        <stp>P</stp>
        <stp>0</stp>
        <stp>STK</stp>
        <stp>N403850</stp>
        <stp>세션명</stp>
        <stp/>
        <stp/>
        <tr r="R578" s="1"/>
      </tp>
      <tp t="e">
        <v>#N/A</v>
        <stp/>
        <stp>P</stp>
        <stp>0</stp>
        <stp>STK</stp>
        <stp>N003960</stp>
        <stp>세션명</stp>
        <stp/>
        <stp/>
        <tr r="R346" s="3"/>
        <tr r="R598" s="1"/>
      </tp>
      <tp t="e">
        <v>#N/A</v>
        <stp/>
        <stp>P</stp>
        <stp>0</stp>
        <stp>STK</stp>
        <stp>N003920</stp>
        <stp>세션명</stp>
        <stp/>
        <stp/>
        <tr r="R355" s="3"/>
        <tr r="R617" s="1"/>
      </tp>
      <tp t="e">
        <v>#N/A</v>
        <stp/>
        <stp>P</stp>
        <stp>0</stp>
        <stp>STK</stp>
        <stp>N003490</stp>
        <stp>세션명</stp>
        <stp/>
        <stp/>
        <tr r="R73" s="3"/>
        <tr r="R79" s="1"/>
      </tp>
      <tp t="e">
        <v>#N/A</v>
        <stp/>
        <stp>P</stp>
        <stp>0</stp>
        <stp>STK</stp>
        <stp>N103590</stp>
        <stp>세션명</stp>
        <stp/>
        <stp/>
        <tr r="R134" s="3"/>
        <tr r="R154" s="1"/>
      </tp>
      <tp t="e">
        <v>#N/A</v>
        <stp/>
        <stp>P</stp>
        <stp>0</stp>
        <stp>STK</stp>
        <stp>N003570</stp>
        <stp>세션명</stp>
        <stp/>
        <stp/>
        <tr r="R186" s="3"/>
        <tr r="R234" s="1"/>
      </tp>
      <tp t="e">
        <v>#N/A</v>
        <stp/>
        <stp>P</stp>
        <stp>0</stp>
        <stp>STK</stp>
        <stp>N003550</stp>
        <stp>세션명</stp>
        <stp/>
        <stp/>
        <tr r="R62" s="1"/>
        <tr r="R58" s="3"/>
      </tp>
      <tp t="e">
        <v>#N/A</v>
        <stp/>
        <stp>P</stp>
        <stp>0</stp>
        <stp>STK</stp>
        <stp>N003540</stp>
        <stp>세션명</stp>
        <stp/>
        <stp/>
        <tr r="R200" s="3"/>
        <tr r="R259" s="1"/>
      </tp>
      <tp t="e">
        <v>#N/A</v>
        <stp/>
        <stp>P</stp>
        <stp>0</stp>
        <stp>STK</stp>
        <stp>N403550</stp>
        <stp>세션명</stp>
        <stp/>
        <stp/>
        <tr r="R322" s="3"/>
        <tr r="R537" s="1"/>
      </tp>
      <tp t="e">
        <v>#N/A</v>
        <stp/>
        <stp>P</stp>
        <stp>0</stp>
        <stp>STK</stp>
        <stp>N003690</stp>
        <stp>세션명</stp>
        <stp/>
        <stp/>
        <tr r="R162" s="3"/>
        <tr r="R196" s="1"/>
      </tp>
      <tp t="e">
        <v>#N/A</v>
        <stp/>
        <stp>P</stp>
        <stp>0</stp>
        <stp>STK</stp>
        <stp>N003670</stp>
        <stp>세션명</stp>
        <stp/>
        <stp/>
        <tr r="R46" s="1"/>
        <tr r="R43" s="3"/>
      </tp>
      <tp t="e">
        <v>#N/A</v>
        <stp/>
        <stp>P</stp>
        <stp>0</stp>
        <stp>STK</stp>
        <stp>N003090</stp>
        <stp>세션명</stp>
        <stp/>
        <stp/>
        <tr r="R206" s="3"/>
        <tr r="R269" s="1"/>
      </tp>
      <tp t="e">
        <v>#N/A</v>
        <stp/>
        <stp>P</stp>
        <stp>0</stp>
        <stp>STK</stp>
        <stp>N003030</stp>
        <stp>세션명</stp>
        <stp/>
        <stp/>
        <tr r="R285" s="3"/>
        <tr r="R466" s="1"/>
      </tp>
      <tp t="e">
        <v>#N/A</v>
        <stp/>
        <stp>P</stp>
        <stp>0</stp>
        <stp>STK</stp>
        <stp>N003160</stp>
        <stp>세션명</stp>
        <stp/>
        <stp/>
        <tr r="R342" s="1"/>
        <tr r="R242" s="3"/>
      </tp>
      <tp t="e">
        <v>#N/A</v>
        <stp/>
        <stp>P</stp>
        <stp>0</stp>
        <stp>STK</stp>
        <stp>N103140</stp>
        <stp>세션명</stp>
        <stp/>
        <stp/>
        <tr r="R124" s="3"/>
        <tr r="R141" s="1"/>
      </tp>
      <tp t="e">
        <v>#N/A</v>
        <stp/>
        <stp>P</stp>
        <stp>0</stp>
        <stp>STK</stp>
        <stp>N003120</stp>
        <stp>세션명</stp>
        <stp/>
        <stp/>
        <tr r="R363" s="3"/>
        <tr r="R630" s="1"/>
      </tp>
      <tp t="e">
        <v>#N/A</v>
        <stp/>
        <stp>P</stp>
        <stp>0</stp>
        <stp>STK</stp>
        <stp>N003240</stp>
        <stp>세션명</stp>
        <stp/>
        <stp/>
        <tr r="R341" s="1"/>
        <tr r="R239" s="3"/>
      </tp>
      <tp t="e">
        <v>#N/A</v>
        <stp/>
        <stp>P</stp>
        <stp>0</stp>
        <stp>STK</stp>
        <stp>N003230</stp>
        <stp>세션명</stp>
        <stp/>
        <stp/>
        <tr r="R71" s="3"/>
        <tr r="R77" s="1"/>
      </tp>
      <tp t="e">
        <v>#N/A</v>
        <stp/>
        <stp>P</stp>
        <stp>0</stp>
        <stp>STK</stp>
        <stp>N003220</stp>
        <stp>세션명</stp>
        <stp/>
        <stp/>
        <tr r="R667" s="1"/>
        <tr r="R370" s="3"/>
      </tp>
      <tp t="e">
        <v>#N/A</v>
        <stp/>
        <stp>P</stp>
        <stp>0</stp>
        <stp>STK</stp>
        <stp>N003200</stp>
        <stp>세션명</stp>
        <stp/>
        <stp/>
        <tr r="R618" s="1"/>
        <tr r="R358" s="3"/>
      </tp>
      <tp t="e">
        <v>#N/A</v>
        <stp/>
        <stp>P</stp>
        <stp>0</stp>
        <stp>STK</stp>
        <stp>N003380</stp>
        <stp>세션명</stp>
        <stp/>
        <stp/>
        <tr r="R276" s="1"/>
      </tp>
      <tp t="e">
        <v>#N/A</v>
        <stp/>
        <stp>P</stp>
        <stp>0</stp>
        <stp>STK</stp>
        <stp>N003300</stp>
        <stp>세션명</stp>
        <stp/>
        <stp/>
        <tr r="R303" s="3"/>
        <tr r="R489" s="1"/>
      </tp>
      <tp t="e">
        <v>#N/A</v>
        <stp/>
        <stp>P</stp>
        <stp>0</stp>
        <stp>STK</stp>
        <stp>N002840</stp>
        <stp>세션명</stp>
        <stp/>
        <stp/>
        <tr r="R261" s="3"/>
        <tr r="R392" s="1"/>
      </tp>
      <tp t="e">
        <v>#N/A</v>
        <stp/>
        <stp>P</stp>
        <stp>0</stp>
        <stp>STK</stp>
        <stp>N002810</stp>
        <stp>세션명</stp>
        <stp/>
        <stp/>
        <tr r="R616" s="1"/>
        <tr r="R354" s="3"/>
      </tp>
      <tp t="e">
        <v>#N/A</v>
        <stp/>
        <stp>P</stp>
        <stp>0</stp>
        <stp>STK</stp>
        <stp>N002960</stp>
        <stp>세션명</stp>
        <stp/>
        <stp/>
        <tr r="R281" s="3"/>
        <tr r="R442" s="1"/>
      </tp>
      <tp t="e">
        <v>#N/A</v>
        <stp/>
        <stp>P</stp>
        <stp>0</stp>
        <stp>STK</stp>
        <stp>N102940</stp>
        <stp>세션명</stp>
        <stp/>
        <stp/>
        <tr r="R424" s="1"/>
      </tp>
      <tp t="e">
        <v>#N/A</v>
        <stp/>
        <stp>P</stp>
        <stp>0</stp>
        <stp>STK</stp>
        <stp>N302440</stp>
        <stp>세션명</stp>
        <stp/>
        <stp/>
        <tr r="R131" s="1"/>
        <tr r="R116" s="3"/>
      </tp>
      <tp t="e">
        <v>#N/A</v>
        <stp/>
        <stp>P</stp>
        <stp>0</stp>
        <stp>STK</stp>
        <stp>N002790</stp>
        <stp>세션명</stp>
        <stp/>
        <stp/>
        <tr r="R207" s="1"/>
        <tr r="R166" s="3"/>
      </tp>
      <tp t="e">
        <v>#N/A</v>
        <stp/>
        <stp>P</stp>
        <stp>0</stp>
        <stp>STK</stp>
        <stp>N002710</stp>
        <stp>세션명</stp>
        <stp/>
        <stp/>
        <tr r="R324" s="3"/>
        <tr r="R567" s="1"/>
      </tp>
      <tp t="e">
        <v>#N/A</v>
        <stp/>
        <stp>P</stp>
        <stp>0</stp>
        <stp>STK</stp>
        <stp>N102710</stp>
        <stp>세션명</stp>
        <stp/>
        <stp/>
        <tr r="R398" s="1"/>
      </tp>
      <tp t="e">
        <v>#N/A</v>
        <stp/>
        <stp>P</stp>
        <stp>0</stp>
        <stp>STK</stp>
        <stp>N402030</stp>
        <stp>세션명</stp>
        <stp/>
        <stp/>
        <tr r="R641" s="1"/>
      </tp>
      <tp t="e">
        <v>#N/A</v>
        <stp/>
        <stp>P</stp>
        <stp>0</stp>
        <stp>STK</stp>
        <stp>N002030</stp>
        <stp>세션명</stp>
        <stp/>
        <stp/>
        <tr r="R430" s="1"/>
        <tr r="R278" s="3"/>
      </tp>
      <tp t="e">
        <v>#N/A</v>
        <stp/>
        <stp>P</stp>
        <stp>0</stp>
        <stp>STK</stp>
        <stp>N002020</stp>
        <stp>세션명</stp>
        <stp/>
        <stp/>
        <tr r="R279" s="3"/>
        <tr r="R440" s="1"/>
      </tp>
      <tp t="e">
        <v>#N/A</v>
        <stp/>
        <stp>P</stp>
        <stp>0</stp>
        <stp>STK</stp>
        <stp>N002240</stp>
        <stp>세션명</stp>
        <stp/>
        <stp/>
        <tr r="R426" s="1"/>
        <tr r="R277" s="3"/>
      </tp>
      <tp t="e">
        <v>#N/A</v>
        <stp/>
        <stp>P</stp>
        <stp>0</stp>
        <stp>STK</stp>
        <stp>N002380</stp>
        <stp>세션명</stp>
        <stp/>
        <stp/>
        <tr r="R115" s="3"/>
        <tr r="R127" s="1"/>
      </tp>
      <tp t="e">
        <v>#N/A</v>
        <stp/>
        <stp>P</stp>
        <stp>0</stp>
        <stp>STK</stp>
        <stp>N002320</stp>
        <stp>세션명</stp>
        <stp/>
        <stp/>
        <tr r="R357" s="3"/>
        <tr r="R619" s="1"/>
      </tp>
      <tp t="e">
        <v>#N/A</v>
        <stp/>
        <stp>P</stp>
        <stp>0</stp>
        <stp>STK</stp>
        <stp>N402340</stp>
        <stp>세션명</stp>
        <stp/>
        <stp/>
        <tr r="R15" s="3"/>
        <tr r="R15" s="1"/>
      </tp>
      <tp t="e">
        <v>#N/A</v>
        <stp/>
        <stp>P</stp>
        <stp>0</stp>
        <stp>STK</stp>
        <stp>N001820</stp>
        <stp>세션명</stp>
        <stp/>
        <stp/>
        <tr r="R344" s="3"/>
        <tr r="R595" s="1"/>
      </tp>
      <tp t="e">
        <v>#N/A</v>
        <stp/>
        <stp>P</stp>
        <stp>0</stp>
        <stp>STK</stp>
        <stp>N001800</stp>
        <stp>세션명</stp>
        <stp/>
        <stp/>
        <tr r="R267" s="1"/>
        <tr r="R205" s="3"/>
      </tp>
      <tp t="e">
        <v>#N/A</v>
        <stp/>
        <stp>P</stp>
        <stp>0</stp>
        <stp>STK</stp>
        <stp>N001940</stp>
        <stp>세션명</stp>
        <stp/>
        <stp/>
        <tr r="R328" s="3"/>
        <tr r="R551" s="1"/>
      </tp>
      <tp t="e">
        <v>#N/A</v>
        <stp/>
        <stp>P</stp>
        <stp>0</stp>
        <stp>STK</stp>
        <stp>N101930</stp>
        <stp>세션명</stp>
        <stp/>
        <stp/>
        <tr r="R522" s="1"/>
      </tp>
      <tp t="e">
        <v>#N/A</v>
        <stp/>
        <stp>P</stp>
        <stp>0</stp>
        <stp>STK</stp>
        <stp>N101490</stp>
        <stp>세션명</stp>
        <stp/>
        <stp/>
        <tr r="R254" s="1"/>
      </tp>
      <tp t="e">
        <v>#N/A</v>
        <stp/>
        <stp>P</stp>
        <stp>0</stp>
        <stp>STK</stp>
        <stp>N001460</stp>
        <stp>세션명</stp>
        <stp/>
        <stp/>
        <tr r="R657" s="1"/>
        <tr r="R366" s="3"/>
      </tp>
      <tp t="e">
        <v>#N/A</v>
        <stp/>
        <stp>P</stp>
        <stp>0</stp>
        <stp>STK</stp>
        <stp>N001450</stp>
        <stp>세션명</stp>
        <stp/>
        <stp/>
        <tr r="R180" s="1"/>
        <tr r="R151" s="3"/>
      </tp>
      <tp t="e">
        <v>#N/A</v>
        <stp/>
        <stp>P</stp>
        <stp>0</stp>
        <stp>STK</stp>
        <stp>N001440</stp>
        <stp>세션명</stp>
        <stp/>
        <stp/>
        <tr r="R97" s="3"/>
        <tr r="R107" s="1"/>
      </tp>
      <tp t="e">
        <v>#N/A</v>
        <stp/>
        <stp>P</stp>
        <stp>0</stp>
        <stp>STK</stp>
        <stp>N001430</stp>
        <stp>세션명</stp>
        <stp/>
        <stp/>
        <tr r="R141" s="3"/>
        <tr r="R163" s="1"/>
      </tp>
      <tp t="e">
        <v>#N/A</v>
        <stp/>
        <stp>P</stp>
        <stp>0</stp>
        <stp>STK</stp>
        <stp>N001530</stp>
        <stp>세션명</stp>
        <stp/>
        <stp/>
        <tr r="R546" s="1"/>
        <tr r="R325" s="3"/>
      </tp>
      <tp t="e">
        <v>#N/A</v>
        <stp/>
        <stp>P</stp>
        <stp>0</stp>
        <stp>STK</stp>
        <stp>N001500</stp>
        <stp>세션명</stp>
        <stp/>
        <stp/>
        <tr r="R459" s="1"/>
        <tr r="R289" s="3"/>
      </tp>
      <tp t="e">
        <v>#N/A</v>
        <stp/>
        <stp>P</stp>
        <stp>0</stp>
        <stp>STK</stp>
        <stp>N001680</stp>
        <stp>세션명</stp>
        <stp/>
        <stp/>
        <tr r="R371" s="1"/>
        <tr r="R253" s="3"/>
      </tp>
      <tp t="e">
        <v>#N/A</v>
        <stp/>
        <stp>P</stp>
        <stp>0</stp>
        <stp>STK</stp>
        <stp>N001630</stp>
        <stp>세션명</stp>
        <stp/>
        <stp/>
        <tr r="R376" s="3"/>
        <tr r="R681" s="1"/>
      </tp>
      <tp t="e">
        <v>#N/A</v>
        <stp/>
        <stp>P</stp>
        <stp>0</stp>
        <stp>STK</stp>
        <stp>N001750</stp>
        <stp>세션명</stp>
        <stp/>
        <stp/>
        <tr r="R682" s="1"/>
        <tr r="R377" s="3"/>
      </tp>
      <tp t="e">
        <v>#N/A</v>
        <stp/>
        <stp>P</stp>
        <stp>0</stp>
        <stp>STK</stp>
        <stp>N001720</stp>
        <stp>세션명</stp>
        <stp/>
        <stp/>
        <tr r="R181" s="1"/>
        <tr r="R155" s="3"/>
      </tp>
      <tp t="e">
        <v>#N/A</v>
        <stp/>
        <stp>P</stp>
        <stp>0</stp>
        <stp>STK</stp>
        <stp>N101730</stp>
        <stp>세션명</stp>
        <stp/>
        <stp/>
        <tr r="R472" s="1"/>
      </tp>
      <tp t="e">
        <v>#N/A</v>
        <stp/>
        <stp>P</stp>
        <stp>0</stp>
        <stp>STK</stp>
        <stp>N001060</stp>
        <stp>세션명</stp>
        <stp/>
        <stp/>
        <tr r="R407" s="1"/>
        <tr r="R271" s="3"/>
      </tp>
      <tp t="e">
        <v>#N/A</v>
        <stp/>
        <stp>P</stp>
        <stp>0</stp>
        <stp>STK</stp>
        <stp>N001040</stp>
        <stp>세션명</stp>
        <stp/>
        <stp/>
        <tr r="R102" s="1"/>
        <tr r="R96" s="3"/>
      </tp>
      <tp t="e">
        <v>#N/A</v>
        <stp/>
        <stp>P</stp>
        <stp>0</stp>
        <stp>STK</stp>
        <stp>N101160</stp>
        <stp>세션명</stp>
        <stp/>
        <stp/>
        <tr r="R558" s="1"/>
      </tp>
      <tp t="e">
        <v>#N/A</v>
        <stp/>
        <stp>P</stp>
        <stp>0</stp>
        <stp>STK</stp>
        <stp>N001130</stp>
        <stp>세션명</stp>
        <stp/>
        <stp/>
        <tr r="R680" s="1"/>
        <tr r="R375" s="3"/>
      </tp>
      <tp t="e">
        <v>#N/A</v>
        <stp/>
        <stp>P</stp>
        <stp>0</stp>
        <stp>STK</stp>
        <stp>N001120</stp>
        <stp>세션명</stp>
        <stp/>
        <stp/>
        <tr r="R257" s="1"/>
        <tr r="R201" s="3"/>
      </tp>
      <tp t="e">
        <v>#N/A</v>
        <stp/>
        <stp>P</stp>
        <stp>0</stp>
        <stp>STK</stp>
        <stp>N001270</stp>
        <stp>세션명</stp>
        <stp/>
        <stp/>
        <tr r="R274" s="3"/>
        <tr r="R412" s="1"/>
      </tp>
      <tp t="e">
        <v>#N/A</v>
        <stp/>
        <stp>P</stp>
        <stp>0</stp>
        <stp>STK</stp>
        <stp>N101360</stp>
        <stp>세션명</stp>
        <stp/>
        <stp/>
        <tr r="R597" s="1"/>
      </tp>
      <tp t="e">
        <v>#N/A</v>
        <stp/>
        <stp>P</stp>
        <stp>0</stp>
        <stp>STK</stp>
        <stp>N200880</stp>
        <stp>세션명</stp>
        <stp/>
        <stp/>
        <tr r="R503" s="1"/>
        <tr r="R317" s="3"/>
      </tp>
      <tp t="e">
        <v>#N/A</v>
        <stp/>
        <stp>P</stp>
        <stp>0</stp>
        <stp>STK</stp>
        <stp>N000880</stp>
        <stp>세션명</stp>
        <stp/>
        <stp/>
        <tr r="R76" s="1"/>
        <tr r="R74" s="3"/>
      </tp>
      <tp t="e">
        <v>#N/A</v>
        <stp/>
        <stp>P</stp>
        <stp>0</stp>
        <stp>STK</stp>
        <stp>N100840</stp>
        <stp>세션명</stp>
        <stp/>
        <stp/>
        <tr r="R245" s="3"/>
        <tr r="R347" s="1"/>
      </tp>
      <tp t="e">
        <v>#N/A</v>
        <stp/>
        <stp>P</stp>
        <stp>0</stp>
        <stp>STK</stp>
        <stp>N000810</stp>
        <stp>세션명</stp>
        <stp/>
        <stp/>
        <tr r="R35" s="3"/>
        <tr r="R35" s="1"/>
      </tp>
      <tp t="e">
        <v>#N/A</v>
        <stp/>
        <stp>P</stp>
        <stp>0</stp>
        <stp>STK</stp>
        <stp>N0008Z0</stp>
        <stp>세션명</stp>
        <stp/>
        <stp/>
        <tr r="R610" s="1"/>
      </tp>
      <tp t="e">
        <v>#N/A</v>
        <stp/>
        <stp>P</stp>
        <stp>0</stp>
        <stp>STK</stp>
        <stp>N000990</stp>
        <stp>세션명</stp>
        <stp/>
        <stp/>
        <tr r="R125" s="1"/>
        <tr r="R113" s="3"/>
      </tp>
      <tp t="e">
        <v>#N/A</v>
        <stp/>
        <stp>P</stp>
        <stp>0</stp>
        <stp>STK</stp>
        <stp>N0009K0</stp>
        <stp>세션명</stp>
        <stp/>
        <stp/>
        <tr r="R143" s="1"/>
      </tp>
      <tp t="e">
        <v>#N/A</v>
        <stp/>
        <stp>P</stp>
        <stp>0</stp>
        <stp>STK</stp>
        <stp>N000490</stp>
        <stp>세션명</stp>
        <stp/>
        <stp/>
        <tr r="R628" s="1"/>
        <tr r="R360" s="3"/>
      </tp>
      <tp t="e">
        <v>#N/A</v>
        <stp/>
        <stp>P</stp>
        <stp>0</stp>
        <stp>STK</stp>
        <stp>N000500</stp>
        <stp>세션명</stp>
        <stp/>
        <stp/>
        <tr r="R249" s="1"/>
        <tr r="R196" s="3"/>
      </tp>
      <tp t="e">
        <v>#N/A</v>
        <stp/>
        <stp>P</stp>
        <stp>0</stp>
        <stp>STK</stp>
        <stp>N000670</stp>
        <stp>세션명</stp>
        <stp/>
        <stp/>
        <tr r="R231" s="3"/>
        <tr r="R321" s="1"/>
      </tp>
      <tp t="e">
        <v>#N/A</v>
        <stp/>
        <stp>P</stp>
        <stp>0</stp>
        <stp>STK</stp>
        <stp>N000660</stp>
        <stp>세션명</stp>
        <stp/>
        <stp/>
        <tr r="R7" s="1"/>
        <tr r="R7" s="3"/>
      </tp>
      <tp t="e">
        <v>#N/A</v>
        <stp/>
        <stp>P</stp>
        <stp>0</stp>
        <stp>STK</stp>
        <stp>N200670</stp>
        <stp>세션명</stp>
        <stp/>
        <stp/>
        <tr r="R507" s="1"/>
      </tp>
      <tp t="e">
        <v>#N/A</v>
        <stp/>
        <stp>P</stp>
        <stp>0</stp>
        <stp>STK</stp>
        <stp>N000640</stp>
        <stp>세션명</stp>
        <stp/>
        <stp/>
        <tr r="R394" s="1"/>
        <tr r="R264" s="3"/>
      </tp>
      <tp t="e">
        <v>#N/A</v>
        <stp/>
        <stp>P</stp>
        <stp>0</stp>
        <stp>STK</stp>
        <stp>N100790</stp>
        <stp>세션명</stp>
        <stp/>
        <stp/>
        <tr r="R390" s="1"/>
      </tp>
      <tp t="e">
        <v>#N/A</v>
        <stp/>
        <stp>P</stp>
        <stp>0</stp>
        <stp>STK</stp>
        <stp>N200710</stp>
        <stp>세션명</stp>
        <stp/>
        <stp/>
        <tr r="R491" s="1"/>
      </tp>
      <tp t="e">
        <v>#N/A</v>
        <stp/>
        <stp>P</stp>
        <stp>0</stp>
        <stp>STK</stp>
        <stp>N000720</stp>
        <stp>세션명</stp>
        <stp/>
        <stp/>
        <tr r="R65" s="1"/>
        <tr r="R63" s="3"/>
      </tp>
      <tp t="e">
        <v>#N/A</v>
        <stp/>
        <stp>P</stp>
        <stp>0</stp>
        <stp>STK</stp>
        <stp>N300720</stp>
        <stp>세션명</stp>
        <stp/>
        <stp/>
        <tr r="R279" s="1"/>
        <tr r="R211" s="3"/>
      </tp>
      <tp t="e">
        <v>#N/A</v>
        <stp/>
        <stp>P</stp>
        <stp>0</stp>
        <stp>STK</stp>
        <stp>N0007C0</stp>
        <stp>세션명</stp>
        <stp/>
        <stp/>
        <tr r="R685" s="1"/>
      </tp>
      <tp t="e">
        <v>#N/A</v>
        <stp/>
        <stp>P</stp>
        <stp>0</stp>
        <stp>STK</stp>
        <stp>N300080</stp>
        <stp>세션명</stp>
        <stp/>
        <stp/>
        <tr r="R662" s="1"/>
      </tp>
      <tp t="e">
        <v>#N/A</v>
        <stp/>
        <stp>P</stp>
        <stp>0</stp>
        <stp>STK</stp>
        <stp>N000080</stp>
        <stp>세션명</stp>
        <stp/>
        <stp/>
        <tr r="R208" s="3"/>
        <tr r="R274" s="1"/>
      </tp>
      <tp t="e">
        <v>#N/A</v>
        <stp/>
        <stp>P</stp>
        <stp>0</stp>
        <stp>STK</stp>
        <stp>N100090</stp>
        <stp>세션명</stp>
        <stp/>
        <stp/>
        <tr r="R212" s="3"/>
        <tr r="R282" s="1"/>
      </tp>
      <tp t="e">
        <v>#N/A</v>
        <stp/>
        <stp>P</stp>
        <stp>0</stp>
        <stp>STK</stp>
        <stp>N000070</stp>
        <stp>세션명</stp>
        <stp/>
        <stp/>
        <tr r="R311" s="3"/>
        <tr r="R502" s="1"/>
      </tp>
      <tp t="e">
        <v>#N/A</v>
        <stp/>
        <stp>P</stp>
        <stp>0</stp>
        <stp>STK</stp>
        <stp>N000150</stp>
        <stp>세션명</stp>
        <stp/>
        <stp/>
        <tr r="R56" s="3"/>
        <tr r="R61" s="1"/>
      </tp>
      <tp t="e">
        <v>#N/A</v>
        <stp/>
        <stp>P</stp>
        <stp>0</stp>
        <stp>STK</stp>
        <stp>N000120</stp>
        <stp>세션명</stp>
        <stp/>
        <stp/>
        <tr r="R194" s="1"/>
        <tr r="R159" s="3"/>
      </tp>
      <tp t="e">
        <v>#N/A</v>
        <stp/>
        <stp>P</stp>
        <stp>0</stp>
        <stp>STK</stp>
        <stp>N200130</stp>
        <stp>세션명</stp>
        <stp/>
        <stp/>
        <tr r="R562" s="1"/>
      </tp>
      <tp t="e">
        <v>#N/A</v>
        <stp/>
        <stp>P</stp>
        <stp>0</stp>
        <stp>STK</stp>
        <stp>N000100</stp>
        <stp>세션명</stp>
        <stp/>
        <stp/>
        <tr r="R84" s="1"/>
        <tr r="R78" s="3"/>
      </tp>
      <tp t="e">
        <v>#N/A</v>
        <stp/>
        <stp>P</stp>
        <stp>0</stp>
        <stp>STK</stp>
        <stp>N000270</stp>
        <stp>세션명</stp>
        <stp/>
        <stp/>
        <tr r="R11" s="1"/>
        <tr r="R12" s="3"/>
      </tp>
      <tp t="e">
        <v>#N/A</v>
        <stp/>
        <stp>P</stp>
        <stp>0</stp>
        <stp>STK</stp>
        <stp>N000250</stp>
        <stp>세션명</stp>
        <stp/>
        <stp/>
        <tr r="R97" s="1"/>
      </tp>
      <tp t="e">
        <v>#N/A</v>
        <stp/>
        <stp>P</stp>
        <stp>0</stp>
        <stp>STK</stp>
        <stp>N000240</stp>
        <stp>세션명</stp>
        <stp/>
        <stp/>
        <tr r="R145" s="3"/>
        <tr r="R171" s="1"/>
      </tp>
      <tp t="e">
        <v>#N/A</v>
        <stp/>
        <stp>P</stp>
        <stp>0</stp>
        <stp>STK</stp>
        <stp>N000210</stp>
        <stp>세션명</stp>
        <stp/>
        <stp/>
        <tr r="R365" s="1"/>
        <tr r="R250" s="3"/>
      </tp>
      <tp t="e">
        <v>#N/A</v>
        <stp/>
        <stp>P</stp>
        <stp>0</stp>
        <stp>STK</stp>
        <stp>N000320</stp>
        <stp>세션명</stp>
        <stp/>
        <stp/>
        <tr r="R365" s="3"/>
        <tr r="R654" s="1"/>
      </tp>
      <tp t="e">
        <v>#N/A</v>
        <stp/>
        <stp>P</stp>
        <stp>0</stp>
        <stp>STK</stp>
        <stp>N007810</stp>
        <stp>세션명</stp>
        <stp/>
        <stp/>
        <tr r="R250" s="1"/>
        <tr r="R199" s="3"/>
      </tp>
      <tp t="e">
        <v>#N/A</v>
        <stp/>
        <stp>P</stp>
        <stp>0</stp>
        <stp>STK</stp>
        <stp>N207940</stp>
        <stp>세션명</stp>
        <stp/>
        <stp/>
        <tr r="R10" s="3"/>
        <tr r="R10" s="1"/>
      </tp>
      <tp t="e">
        <v>#N/A</v>
        <stp/>
        <stp>P</stp>
        <stp>0</stp>
        <stp>STK</stp>
        <stp>N307950</stp>
        <stp>세션명</stp>
        <stp/>
        <stp/>
        <tr r="R58" s="1"/>
        <tr r="R60" s="3"/>
      </tp>
      <tp t="e">
        <v>#N/A</v>
        <stp/>
        <stp>P</stp>
        <stp>0</stp>
        <stp>STK</stp>
        <stp>N007690</stp>
        <stp>세션명</stp>
        <stp/>
        <stp/>
        <tr r="R586" s="1"/>
        <tr r="R339" s="3"/>
      </tp>
      <tp t="e">
        <v>#N/A</v>
        <stp/>
        <stp>P</stp>
        <stp>0</stp>
        <stp>STK</stp>
        <stp>N007660</stp>
        <stp>세션명</stp>
        <stp/>
        <stp/>
        <tr r="R86" s="1"/>
        <tr r="R81" s="3"/>
      </tp>
      <tp t="e">
        <v>#N/A</v>
        <stp/>
        <stp>P</stp>
        <stp>0</stp>
        <stp>STK</stp>
        <stp>N107640</stp>
        <stp>세션명</stp>
        <stp/>
        <stp/>
        <tr r="R524" s="1"/>
      </tp>
      <tp t="e">
        <v>#N/A</v>
        <stp/>
        <stp>P</stp>
        <stp>0</stp>
        <stp>STK</stp>
        <stp>N007700</stp>
        <stp>세션명</stp>
        <stp/>
        <stp/>
        <tr r="R249" s="3"/>
        <tr r="R362" s="1"/>
      </tp>
      <tp t="e">
        <v>#N/A</v>
        <stp/>
        <stp>P</stp>
        <stp>0</stp>
        <stp>STK</stp>
        <stp>N007070</stp>
        <stp>세션명</stp>
        <stp/>
        <stp/>
        <tr r="R183" s="3"/>
        <tr r="R232" s="1"/>
      </tp>
      <tp t="e">
        <v>#N/A</v>
        <stp/>
        <stp>P</stp>
        <stp>0</stp>
        <stp>STK</stp>
        <stp>N007160</stp>
        <stp>세션명</stp>
        <stp/>
        <stp/>
        <tr r="R362" s="3"/>
        <tr r="R649" s="1"/>
      </tp>
      <tp t="e">
        <v>#N/A</v>
        <stp/>
        <stp>P</stp>
        <stp>0</stp>
        <stp>STK</stp>
        <stp>N007390</stp>
        <stp>세션명</stp>
        <stp/>
        <stp/>
        <tr r="R272" s="1"/>
      </tp>
      <tp t="e">
        <v>#N/A</v>
        <stp/>
        <stp>P</stp>
        <stp>0</stp>
        <stp>STK</stp>
        <stp>N007340</stp>
        <stp>세션명</stp>
        <stp/>
        <stp/>
        <tr r="R198" s="3"/>
        <tr r="R251" s="1"/>
      </tp>
      <tp t="e">
        <v>#N/A</v>
        <stp/>
        <stp>P</stp>
        <stp>0</stp>
        <stp>STK</stp>
        <stp>N007310</stp>
        <stp>세션명</stp>
        <stp/>
        <stp/>
        <tr r="R244" s="1"/>
        <tr r="R194" s="3"/>
      </tp>
      <tp t="e">
        <v>#N/A</v>
        <stp/>
        <stp>P</stp>
        <stp>0</stp>
        <stp>STK</stp>
        <stp>N006800</stp>
        <stp>세션명</stp>
        <stp/>
        <stp/>
        <tr r="R47" s="3"/>
        <tr r="R48" s="1"/>
      </tp>
      <tp t="e">
        <v>#N/A</v>
        <stp/>
        <stp>P</stp>
        <stp>0</stp>
        <stp>STK</stp>
        <stp>N006400</stp>
        <stp>세션명</stp>
        <stp/>
        <stp/>
        <tr r="R31" s="1"/>
        <tr r="R28" s="3"/>
      </tp>
      <tp t="e">
        <v>#N/A</v>
        <stp/>
        <stp>P</stp>
        <stp>0</stp>
        <stp>STK</stp>
        <stp>N206650</stp>
        <stp>세션명</stp>
        <stp/>
        <stp/>
        <tr r="R531" s="1"/>
      </tp>
      <tp t="e">
        <v>#N/A</v>
        <stp/>
        <stp>P</stp>
        <stp>0</stp>
        <stp>STK</stp>
        <stp>N206640</stp>
        <stp>세션명</stp>
        <stp/>
        <stp/>
        <tr r="R629" s="1"/>
      </tp>
      <tp t="e">
        <v>#N/A</v>
        <stp/>
        <stp>P</stp>
        <stp>0</stp>
        <stp>STK</stp>
        <stp>N006650</stp>
        <stp>세션명</stp>
        <stp/>
        <stp/>
        <tr r="R225" s="3"/>
        <tr r="R306" s="1"/>
      </tp>
      <tp t="e">
        <v>#N/A</v>
        <stp/>
        <stp>P</stp>
        <stp>0</stp>
        <stp>STK</stp>
        <stp>N006730</stp>
        <stp>세션명</stp>
        <stp/>
        <stp/>
        <tr r="R323" s="1"/>
      </tp>
      <tp t="e">
        <v>#N/A</v>
        <stp/>
        <stp>P</stp>
        <stp>0</stp>
        <stp>STK</stp>
        <stp>N006040</stp>
        <stp>세션명</stp>
        <stp/>
        <stp/>
        <tr r="R181" s="3"/>
        <tr r="R227" s="1"/>
      </tp>
      <tp t="e">
        <v>#N/A</v>
        <stp/>
        <stp>P</stp>
        <stp>0</stp>
        <stp>STK</stp>
        <stp>N006120</stp>
        <stp>세션명</stp>
        <stp/>
        <stp/>
        <tr r="R291" s="1"/>
        <tr r="R219" s="3"/>
      </tp>
      <tp t="e">
        <v>#N/A</v>
        <stp/>
        <stp>P</stp>
        <stp>0</stp>
        <stp>STK</stp>
        <stp>N006110</stp>
        <stp>세션명</stp>
        <stp/>
        <stp/>
        <tr r="R568" s="1"/>
        <tr r="R331" s="3"/>
      </tp>
      <tp t="e">
        <v>#N/A</v>
        <stp/>
        <stp>P</stp>
        <stp>0</stp>
        <stp>STK</stp>
        <stp>N006280</stp>
        <stp>세션명</stp>
        <stp/>
        <stp/>
        <tr r="R184" s="3"/>
        <tr r="R229" s="1"/>
      </tp>
      <tp t="e">
        <v>#N/A</v>
        <stp/>
        <stp>P</stp>
        <stp>0</stp>
        <stp>STK</stp>
        <stp>N006260</stp>
        <stp>세션명</stp>
        <stp/>
        <stp/>
        <tr r="R89" s="1"/>
        <tr r="R85" s="3"/>
      </tp>
      <tp t="e">
        <v>#N/A</v>
        <stp/>
        <stp>P</stp>
        <stp>0</stp>
        <stp>STK</stp>
        <stp>N306200</stp>
        <stp>세션명</stp>
        <stp/>
        <stp/>
        <tr r="R589" s="1"/>
        <tr r="R341" s="3"/>
      </tp>
      <tp t="e">
        <v>#N/A</v>
        <stp/>
        <stp>P</stp>
        <stp>0</stp>
        <stp>STK</stp>
        <stp>N006220</stp>
        <stp>세션명</stp>
        <stp/>
        <stp/>
        <tr r="R512" s="1"/>
        <tr r="R315" s="3"/>
      </tp>
      <tp t="e">
        <v>#N/A</v>
        <stp/>
        <stp>P</stp>
        <stp>0</stp>
        <stp>STK</stp>
        <stp>N006360</stp>
        <stp>세션명</stp>
        <stp/>
        <stp/>
        <tr r="R191" s="3"/>
        <tr r="R240" s="1"/>
      </tp>
      <tp t="e">
        <v>#N/A</v>
        <stp/>
        <stp>P</stp>
        <stp>0</stp>
        <stp>STK</stp>
        <stp>N005850</stp>
        <stp>세션명</stp>
        <stp/>
        <stp/>
        <tr r="R135" s="3"/>
        <tr r="R144" s="1"/>
      </tp>
      <tp t="e">
        <v>#N/A</v>
        <stp/>
        <stp>P</stp>
        <stp>0</stp>
        <stp>STK</stp>
        <stp>N105840</stp>
        <stp>세션명</stp>
        <stp/>
        <stp/>
        <tr r="R288" s="3"/>
        <tr r="R451" s="1"/>
      </tp>
      <tp t="e">
        <v>#N/A</v>
        <stp/>
        <stp>P</stp>
        <stp>0</stp>
        <stp>STK</stp>
        <stp>N005830</stp>
        <stp>세션명</stp>
        <stp/>
        <stp/>
        <tr r="R70" s="3"/>
        <tr r="R75" s="1"/>
      </tp>
      <tp t="e">
        <v>#N/A</v>
        <stp/>
        <stp>P</stp>
        <stp>0</stp>
        <stp>STK</stp>
        <stp>N005810</stp>
        <stp>세션명</stp>
        <stp/>
        <stp/>
        <tr r="R446" s="1"/>
        <tr r="R284" s="3"/>
      </tp>
      <tp t="e">
        <v>#N/A</v>
        <stp/>
        <stp>P</stp>
        <stp>0</stp>
        <stp>STK</stp>
        <stp>N005940</stp>
        <stp>세션명</stp>
        <stp/>
        <stp/>
        <tr r="R80" s="3"/>
        <tr r="R85" s="1"/>
      </tp>
      <tp t="e">
        <v>#N/A</v>
        <stp/>
        <stp>P</stp>
        <stp>0</stp>
        <stp>STK</stp>
        <stp>N005930</stp>
        <stp>세션명</stp>
        <stp/>
        <stp/>
        <tr r="R6" s="3"/>
        <tr r="R6" s="1"/>
      </tp>
      <tp t="e">
        <v>#N/A</v>
        <stp/>
        <stp>P</stp>
        <stp>0</stp>
        <stp>STK</stp>
        <stp>N005490</stp>
        <stp>세션명</stp>
        <stp/>
        <stp/>
        <tr r="R28" s="1"/>
        <tr r="R29" s="3"/>
      </tp>
      <tp t="e">
        <v>#N/A</v>
        <stp/>
        <stp>P</stp>
        <stp>0</stp>
        <stp>STK</stp>
        <stp>N005440</stp>
        <stp>세션명</stp>
        <stp/>
        <stp/>
        <tr r="R265" s="1"/>
        <tr r="R204" s="3"/>
      </tp>
      <tp t="e">
        <v>#N/A</v>
        <stp/>
        <stp>P</stp>
        <stp>0</stp>
        <stp>STK</stp>
        <stp>N005420</stp>
        <stp>세션명</stp>
        <stp/>
        <stp/>
        <tr r="R276" s="3"/>
        <tr r="R443" s="1"/>
      </tp>
      <tp t="e">
        <v>#N/A</v>
        <stp/>
        <stp>P</stp>
        <stp>0</stp>
        <stp>STK</stp>
        <stp>N105560</stp>
        <stp>세션명</stp>
        <stp/>
        <stp/>
        <tr r="R16" s="3"/>
        <tr r="R16" s="1"/>
      </tp>
      <tp t="e">
        <v>#N/A</v>
        <stp/>
        <stp>P</stp>
        <stp>0</stp>
        <stp>STK</stp>
        <stp>N005500</stp>
        <stp>세션명</stp>
        <stp/>
        <stp/>
        <tr r="R666" s="1"/>
        <tr r="R371" s="3"/>
      </tp>
      <tp t="e">
        <v>#N/A</v>
        <stp/>
        <stp>P</stp>
        <stp>0</stp>
        <stp>STK</stp>
        <stp>N005690</stp>
        <stp>세션명</stp>
        <stp/>
        <stp/>
        <tr r="R246" s="3"/>
        <tr r="R358" s="1"/>
      </tp>
      <tp t="e">
        <v>#N/A</v>
        <stp/>
        <stp>P</stp>
        <stp>0</stp>
        <stp>STK</stp>
        <stp>N105630</stp>
        <stp>세션명</stp>
        <stp/>
        <stp/>
        <tr r="R441" s="1"/>
        <tr r="R280" s="3"/>
      </tp>
      <tp t="e">
        <v>#N/A</v>
        <stp/>
        <stp>P</stp>
        <stp>0</stp>
        <stp>STK</stp>
        <stp>N005610</stp>
        <stp>세션명</stp>
        <stp/>
        <stp/>
        <tr r="R313" s="3"/>
        <tr r="R511" s="1"/>
      </tp>
      <tp t="e">
        <v>#N/A</v>
        <stp/>
        <stp>P</stp>
        <stp>0</stp>
        <stp>STK</stp>
        <stp>N005710</stp>
        <stp>세션명</stp>
        <stp/>
        <stp/>
        <tr r="R656" s="1"/>
      </tp>
      <tp t="e">
        <v>#N/A</v>
        <stp/>
        <stp>P</stp>
        <stp>0</stp>
        <stp>STK</stp>
        <stp>N005090</stp>
        <stp>세션명</stp>
        <stp/>
        <stp/>
        <tr r="R623" s="1"/>
        <tr r="R353" s="3"/>
      </tp>
      <tp t="e">
        <v>#N/A</v>
        <stp/>
        <stp>P</stp>
        <stp>0</stp>
        <stp>STK</stp>
        <stp>N005070</stp>
        <stp>세션명</stp>
        <stp/>
        <stp/>
        <tr r="R252" s="1"/>
        <tr r="R195" s="3"/>
      </tp>
      <tp t="e">
        <v>#N/A</v>
        <stp/>
        <stp>P</stp>
        <stp>0</stp>
        <stp>STK</stp>
        <stp>N005180</stp>
        <stp>세션명</stp>
        <stp/>
        <stp/>
        <tr r="R378" s="1"/>
        <tr r="R257" s="3"/>
      </tp>
      <tp t="e">
        <v>#N/A</v>
        <stp/>
        <stp>P</stp>
        <stp>0</stp>
        <stp>STK</stp>
        <stp>N005290</stp>
        <stp>세션명</stp>
        <stp/>
        <stp/>
        <tr r="R201" s="1"/>
      </tp>
      <tp t="e">
        <v>#N/A</v>
        <stp/>
        <stp>P</stp>
        <stp>0</stp>
        <stp>STK</stp>
        <stp>N005250</stp>
        <stp>세션명</stp>
        <stp/>
        <stp/>
        <tr r="R263" s="3"/>
        <tr r="R389" s="1"/>
      </tp>
      <tp t="e">
        <v>#N/A</v>
        <stp/>
        <stp>P</stp>
        <stp>0</stp>
        <stp>STK</stp>
        <stp>N005380</stp>
        <stp>세션명</stp>
        <stp/>
        <stp/>
        <tr r="R8" s="3"/>
        <tr r="R8" s="1"/>
      </tp>
      <tp t="e">
        <v>#N/A</v>
        <stp/>
        <stp>P</stp>
        <stp>0</stp>
        <stp>STK</stp>
        <stp>N005300</stp>
        <stp>세션명</stp>
        <stp/>
        <stp/>
        <tr r="R281" s="1"/>
        <tr r="R210" s="3"/>
      </tp>
      <tp t="e">
        <v>#N/A</v>
        <stp/>
        <stp>P</stp>
        <stp>0</stp>
        <stp>STK</stp>
        <stp>N104830</stp>
        <stp>세션명</stp>
        <stp/>
        <stp/>
        <tr r="R504" s="1"/>
      </tp>
      <tp t="e">
        <v>#N/A</v>
        <stp/>
        <stp>P</stp>
        <stp>0</stp>
        <stp>STK</stp>
        <stp>N004800</stp>
        <stp>세션명</stp>
        <stp/>
        <stp/>
        <tr r="R174" s="1"/>
        <tr r="R148" s="3"/>
      </tp>
      <tp t="e">
        <v>#N/A</v>
        <stp/>
        <stp>P</stp>
        <stp>0</stp>
        <stp>STK</stp>
        <stp>N004990</stp>
        <stp>세션명</stp>
        <stp/>
        <stp/>
        <tr r="R131" s="3"/>
        <tr r="R150" s="1"/>
      </tp>
      <tp t="e">
        <v>#N/A</v>
        <stp/>
        <stp>P</stp>
        <stp>0</stp>
        <stp>STK</stp>
        <stp>N004980</stp>
        <stp>세션명</stp>
        <stp/>
        <stp/>
        <tr r="R380" s="3"/>
        <tr r="R689" s="1"/>
      </tp>
      <tp t="e">
        <v>#N/A</v>
        <stp/>
        <stp>P</stp>
        <stp>0</stp>
        <stp>STK</stp>
        <stp>N004490</stp>
        <stp>세션명</stp>
        <stp/>
        <stp/>
        <tr r="R235" s="3"/>
        <tr r="R330" s="1"/>
      </tp>
      <tp t="e">
        <v>#N/A</v>
        <stp/>
        <stp>P</stp>
        <stp>0</stp>
        <stp>STK</stp>
        <stp>N004690</stp>
        <stp>세션명</stp>
        <stp/>
        <stp/>
        <tr r="R465" s="1"/>
        <tr r="R291" s="3"/>
      </tp>
      <tp t="e">
        <v>#N/A</v>
        <stp/>
        <stp>P</stp>
        <stp>0</stp>
        <stp>STK</stp>
        <stp>N104700</stp>
        <stp>세션명</stp>
        <stp/>
        <stp/>
        <tr r="R565" s="1"/>
        <tr r="R332" s="3"/>
      </tp>
      <tp t="e">
        <v>#N/A</v>
        <stp/>
        <stp>P</stp>
        <stp>0</stp>
        <stp>STK</stp>
        <stp>N004700</stp>
        <stp>세션명</stp>
        <stp/>
        <stp/>
        <tr r="R497" s="1"/>
        <tr r="R306" s="3"/>
      </tp>
      <tp t="e">
        <v>#N/A</v>
        <stp/>
        <stp>P</stp>
        <stp>0</stp>
        <stp>STK</stp>
        <stp>N004020</stp>
        <stp>세션명</stp>
        <stp/>
        <stp/>
        <tr r="R122" s="1"/>
        <tr r="R105" s="3"/>
      </tp>
      <tp t="e">
        <v>#N/A</v>
        <stp/>
        <stp>P</stp>
        <stp>0</stp>
        <stp>STK</stp>
        <stp>N004000</stp>
        <stp>세션명</stp>
        <stp/>
        <stp/>
        <tr r="R216" s="3"/>
        <tr r="R287" s="1"/>
      </tp>
      <tp t="e">
        <v>#N/A</v>
        <stp/>
        <stp>P</stp>
        <stp>0</stp>
        <stp>STK</stp>
        <stp>N004170</stp>
        <stp>세션명</stp>
        <stp/>
        <stp/>
        <tr r="R160" s="1"/>
        <tr r="R136" s="3"/>
      </tp>
      <tp t="e">
        <v>#N/A</v>
        <stp/>
        <stp>P</stp>
        <stp>0</stp>
        <stp>STK</stp>
        <stp>N304100</stp>
        <stp>세션명</stp>
        <stp/>
        <stp/>
        <tr r="R591" s="1"/>
      </tp>
      <tp t="e">
        <v>#N/A</v>
        <stp/>
        <stp>P</stp>
        <stp>0</stp>
        <stp>STK</stp>
        <stp>N204270</stp>
        <stp>세션명</stp>
        <stp/>
        <stp/>
        <tr r="R294" s="1"/>
      </tp>
      <tp t="e">
        <v>#N/A</v>
        <stp/>
        <stp>P</stp>
        <stp>0</stp>
        <stp>STK</stp>
        <stp>N004370</stp>
        <stp>세션명</stp>
        <stp/>
        <stp/>
        <tr r="R179" s="1"/>
        <tr r="R149" s="3"/>
      </tp>
      <tp t="e">
        <v>#N/A</v>
        <stp/>
        <stp>P</stp>
        <stp>0</stp>
        <stp>STK</stp>
        <stp>N004360</stp>
        <stp>세션명</stp>
        <stp/>
        <stp/>
        <tr r="R659" s="1"/>
        <tr r="R367" s="3"/>
      </tp>
      <tp t="e">
        <v>#N/A</v>
        <stp/>
        <stp>P</stp>
        <stp>0</stp>
        <stp>STK</stp>
        <stp>N304360</stp>
        <stp>세션명</stp>
        <stp/>
        <stp/>
        <tr r="R557" s="1"/>
      </tp>
      <tp t="e">
        <v>#N/A</v>
        <stp/>
        <stp>P</stp>
        <stp>0</stp>
        <stp>STK</stp>
        <stp>N204320</stp>
        <stp>세션명</stp>
        <stp/>
        <stp/>
        <tr r="R125" s="3"/>
        <tr r="R139" s="1"/>
      </tp>
      <tp t="e">
        <v>#N/A</v>
        <stp/>
        <stp>P</stp>
        <stp>0</stp>
        <stp>STK</stp>
        <stp>N039840</stp>
        <stp>세션명</stp>
        <stp/>
        <stp/>
        <tr r="R693" s="1"/>
      </tp>
      <tp t="e">
        <v>#N/A</v>
        <stp/>
        <stp>P</stp>
        <stp>0</stp>
        <stp>STK</stp>
        <stp>N039490</stp>
        <stp>세션명</stp>
        <stp/>
        <stp/>
        <tr r="R75" s="3"/>
        <tr r="R82" s="1"/>
      </tp>
      <tp t="e">
        <v>#N/A</v>
        <stp/>
        <stp>P</stp>
        <stp>0</stp>
        <stp>STK</stp>
        <stp>N139480</stp>
        <stp>세션명</stp>
        <stp/>
        <stp/>
        <tr r="R158" s="3"/>
        <tr r="R191" s="1"/>
      </tp>
      <tp t="e">
        <v>#N/A</v>
        <stp/>
        <stp>P</stp>
        <stp>0</stp>
        <stp>STK</stp>
        <stp>N039440</stp>
        <stp>세션명</stp>
        <stp/>
        <stp/>
        <tr r="R494" s="1"/>
      </tp>
      <tp t="e">
        <v>#N/A</v>
        <stp/>
        <stp>P</stp>
        <stp>0</stp>
        <stp>STK</stp>
        <stp>N439090</stp>
        <stp>세션명</stp>
        <stp/>
        <stp/>
        <tr r="R692" s="1"/>
      </tp>
      <tp t="e">
        <v>#N/A</v>
        <stp/>
        <stp>P</stp>
        <stp>0</stp>
        <stp>STK</stp>
        <stp>N039030</stp>
        <stp>세션명</stp>
        <stp/>
        <stp/>
        <tr r="R136" s="1"/>
      </tp>
      <tp t="e">
        <v>#N/A</v>
        <stp/>
        <stp>P</stp>
        <stp>0</stp>
        <stp>STK</stp>
        <stp>N039130</stp>
        <stp>세션명</stp>
        <stp/>
        <stp/>
        <tr r="R260" s="3"/>
        <tr r="R385" s="1"/>
      </tp>
      <tp t="e">
        <v>#N/A</v>
        <stp/>
        <stp>P</stp>
        <stp>0</stp>
        <stp>STK</stp>
        <stp>N139130</stp>
        <stp>세션명</stp>
        <stp/>
        <stp/>
        <tr r="R160" s="3"/>
        <tr r="R193" s="1"/>
      </tp>
      <tp t="e">
        <v>#N/A</v>
        <stp/>
        <stp>P</stp>
        <stp>0</stp>
        <stp>STK</stp>
        <stp>N439260</stp>
        <stp>세션명</stp>
        <stp/>
        <stp/>
        <tr r="R169" s="1"/>
        <tr r="R143" s="3"/>
      </tp>
      <tp t="e">
        <v>#N/A</v>
        <stp/>
        <stp>P</stp>
        <stp>0</stp>
        <stp>STK</stp>
        <stp>N039200</stp>
        <stp>세션명</stp>
        <stp/>
        <stp/>
        <tr r="R236" s="1"/>
      </tp>
      <tp t="e">
        <v>#N/A</v>
        <stp/>
        <stp>P</stp>
        <stp>0</stp>
        <stp>STK</stp>
        <stp>N338840</stp>
        <stp>세션명</stp>
        <stp/>
        <stp/>
        <tr r="R580" s="1"/>
      </tp>
      <tp t="e">
        <v>#N/A</v>
        <stp/>
        <stp>P</stp>
        <stp>0</stp>
        <stp>STK</stp>
        <stp>N138930</stp>
        <stp>세션명</stp>
        <stp/>
        <stp/>
        <tr r="R112" s="1"/>
        <tr r="R104" s="3"/>
      </tp>
      <tp t="e">
        <v>#N/A</v>
        <stp/>
        <stp>P</stp>
        <stp>0</stp>
        <stp>STK</stp>
        <stp>N138490</stp>
        <stp>세션명</stp>
        <stp/>
        <stp/>
        <tr r="R345" s="3"/>
        <tr r="R608" s="1"/>
      </tp>
      <tp t="e">
        <v>#N/A</v>
        <stp/>
        <stp>P</stp>
        <stp>0</stp>
        <stp>STK</stp>
        <stp>N138610</stp>
        <stp>세션명</stp>
        <stp/>
        <stp/>
        <tr r="R545" s="1"/>
      </tp>
      <tp t="e">
        <v>#N/A</v>
        <stp/>
        <stp>P</stp>
        <stp>0</stp>
        <stp>STK</stp>
        <stp>N138040</stp>
        <stp>세션명</stp>
        <stp/>
        <stp/>
        <tr r="R44" s="1"/>
        <tr r="R44" s="3"/>
      </tp>
      <tp t="e">
        <v>#N/A</v>
        <stp/>
        <stp>P</stp>
        <stp>0</stp>
        <stp>STK</stp>
        <stp>N338220</stp>
        <stp>세션명</stp>
        <stp/>
        <stp/>
        <tr r="R643" s="1"/>
      </tp>
      <tp t="e">
        <v>#N/A</v>
        <stp/>
        <stp>P</stp>
        <stp>0</stp>
        <stp>STK</stp>
        <stp>N033500</stp>
        <stp>세션명</stp>
        <stp/>
        <stp/>
        <tr r="R344" s="1"/>
      </tp>
      <tp t="e">
        <v>#N/A</v>
        <stp/>
        <stp>P</stp>
        <stp>0</stp>
        <stp>STK</stp>
        <stp>N033640</stp>
        <stp>세션명</stp>
        <stp/>
        <stp/>
        <tr r="R561" s="1"/>
      </tp>
      <tp t="e">
        <v>#N/A</v>
        <stp/>
        <stp>P</stp>
        <stp>0</stp>
        <stp>STK</stp>
        <stp>N033780</stp>
        <stp>세션명</stp>
        <stp/>
        <stp/>
        <tr r="R49" s="1"/>
        <tr r="R48" s="3"/>
      </tp>
      <tp t="e">
        <v>#N/A</v>
        <stp/>
        <stp>P</stp>
        <stp>0</stp>
        <stp>STK</stp>
        <stp>N033100</stp>
        <stp>세션명</stp>
        <stp/>
        <stp/>
        <tr r="R403" s="1"/>
      </tp>
      <tp t="e">
        <v>#N/A</v>
        <stp/>
        <stp>P</stp>
        <stp>0</stp>
        <stp>STK</stp>
        <stp>N033270</stp>
        <stp>세션명</stp>
        <stp/>
        <stp/>
        <tr r="R356" s="3"/>
        <tr r="R625" s="1"/>
      </tp>
      <tp t="e">
        <v>#N/A</v>
        <stp/>
        <stp>P</stp>
        <stp>0</stp>
        <stp>STK</stp>
        <stp>N033240</stp>
        <stp>세션명</stp>
        <stp/>
        <stp/>
        <tr r="R461" s="1"/>
        <tr r="R297" s="3"/>
      </tp>
      <tp t="e">
        <v>#N/A</v>
        <stp/>
        <stp>P</stp>
        <stp>0</stp>
        <stp>STK</stp>
        <stp>N032830</stp>
        <stp>세션명</stp>
        <stp/>
        <stp/>
        <tr r="R24" s="1"/>
        <tr r="R24" s="3"/>
      </tp>
      <tp t="e">
        <v>#N/A</v>
        <stp/>
        <stp>P</stp>
        <stp>0</stp>
        <stp>STK</stp>
        <stp>N032500</stp>
        <stp>세션명</stp>
        <stp/>
        <stp/>
        <tr r="R413" s="1"/>
      </tp>
      <tp t="e">
        <v>#N/A</v>
        <stp/>
        <stp>P</stp>
        <stp>0</stp>
        <stp>STK</stp>
        <stp>N032640</stp>
        <stp>세션명</stp>
        <stp/>
        <stp/>
        <tr r="R96" s="1"/>
        <tr r="R87" s="3"/>
      </tp>
      <tp t="e">
        <v>#N/A</v>
        <stp/>
        <stp>P</stp>
        <stp>0</stp>
        <stp>STK</stp>
        <stp>N032190</stp>
        <stp>세션명</stp>
        <stp/>
        <stp/>
        <tr r="R387" s="1"/>
      </tp>
      <tp t="e">
        <v>#N/A</v>
        <stp/>
        <stp>P</stp>
        <stp>0</stp>
        <stp>STK</stp>
        <stp>N232140</stp>
        <stp>세션명</stp>
        <stp/>
        <stp/>
        <tr r="R280" s="1"/>
      </tp>
      <tp t="e">
        <v>#N/A</v>
        <stp/>
        <stp>P</stp>
        <stp>0</stp>
        <stp>STK</stp>
        <stp>N032350</stp>
        <stp>세션명</stp>
        <stp/>
        <stp/>
        <tr r="R223" s="1"/>
        <tr r="R176" s="3"/>
      </tp>
      <tp t="e">
        <v>#N/A</v>
        <stp/>
        <stp>P</stp>
        <stp>0</stp>
        <stp>STK</stp>
        <stp>N031980</stp>
        <stp>세션명</stp>
        <stp/>
        <stp/>
        <tr r="R258" s="1"/>
      </tp>
      <tp t="e">
        <v>#N/A</v>
        <stp/>
        <stp>P</stp>
        <stp>0</stp>
        <stp>STK</stp>
        <stp>N131970</stp>
        <stp>세션명</stp>
        <stp/>
        <stp/>
        <tr r="R308" s="1"/>
      </tp>
      <tp t="e">
        <v>#N/A</v>
        <stp/>
        <stp>P</stp>
        <stp>0</stp>
        <stp>STK</stp>
        <stp>N031430</stp>
        <stp>세션명</stp>
        <stp/>
        <stp/>
        <tr r="R547" s="1"/>
        <tr r="R323" s="3"/>
      </tp>
      <tp t="e">
        <v>#N/A</v>
        <stp/>
        <stp>P</stp>
        <stp>0</stp>
        <stp>STK</stp>
        <stp>N131290</stp>
        <stp>세션명</stp>
        <stp/>
        <stp/>
        <tr r="R343" s="1"/>
      </tp>
      <tp t="e">
        <v>#N/A</v>
        <stp/>
        <stp>P</stp>
        <stp>0</stp>
        <stp>STK</stp>
        <stp>N031210</stp>
        <stp>세션명</stp>
        <stp/>
        <stp/>
        <tr r="R123" s="3"/>
        <tr r="R140" s="1"/>
      </tp>
      <tp t="e">
        <v>#N/A</v>
        <stp/>
        <stp>P</stp>
        <stp>0</stp>
        <stp>STK</stp>
        <stp>N030530</stp>
        <stp>세션명</stp>
        <stp/>
        <stp/>
        <tr r="R146" s="1"/>
      </tp>
      <tp t="e">
        <v>#N/A</v>
        <stp/>
        <stp>P</stp>
        <stp>0</stp>
        <stp>STK</stp>
        <stp>N030520</stp>
        <stp>세션명</stp>
        <stp/>
        <stp/>
        <tr r="R454" s="1"/>
      </tp>
      <tp t="e">
        <v>#N/A</v>
        <stp/>
        <stp>P</stp>
        <stp>0</stp>
        <stp>STK</stp>
        <stp>N130660</stp>
        <stp>세션명</stp>
        <stp/>
        <stp/>
        <tr r="R518" s="1"/>
        <tr r="R321" s="3"/>
      </tp>
      <tp t="e">
        <v>#N/A</v>
        <stp/>
        <stp>P</stp>
        <stp>0</stp>
        <stp>STK</stp>
        <stp>N030610</stp>
        <stp>세션명</stp>
        <stp/>
        <stp/>
        <tr r="R213" s="3"/>
        <tr r="R286" s="1"/>
      </tp>
      <tp t="e">
        <v>#N/A</v>
        <stp/>
        <stp>P</stp>
        <stp>0</stp>
        <stp>STK</stp>
        <stp>N030000</stp>
        <stp>세션명</stp>
        <stp/>
        <stp/>
        <tr r="R184" s="1"/>
        <tr r="R156" s="3"/>
      </tp>
      <tp t="e">
        <v>#N/A</v>
        <stp/>
        <stp>P</stp>
        <stp>0</stp>
        <stp>STK</stp>
        <stp>N030190</stp>
        <stp>세션명</stp>
        <stp/>
        <stp/>
        <tr r="R314" s="1"/>
        <tr r="R229" s="3"/>
      </tp>
      <tp t="e">
        <v>#N/A</v>
        <stp/>
        <stp>P</stp>
        <stp>0</stp>
        <stp>STK</stp>
        <stp>N030200</stp>
        <stp>세션명</stp>
        <stp/>
        <stp/>
        <tr r="R57" s="3"/>
        <tr r="R59" s="1"/>
      </tp>
      <tp t="e">
        <v>#N/A</v>
        <stp/>
        <stp>P</stp>
        <stp>0</stp>
        <stp>STK</stp>
        <stp>N230360</stp>
        <stp>세션명</stp>
        <stp/>
        <stp/>
        <tr r="R482" s="1"/>
      </tp>
      <tp t="e">
        <v>#N/A</v>
        <stp/>
        <stp>P</stp>
        <stp>0</stp>
        <stp>STK</stp>
        <stp>N237880</stp>
        <stp>세션명</stp>
        <stp/>
        <stp/>
        <tr r="R690" s="1"/>
      </tp>
      <tp t="e">
        <v>#N/A</v>
        <stp/>
        <stp>P</stp>
        <stp>0</stp>
        <stp>STK</stp>
        <stp>N137400</stp>
        <stp>세션명</stp>
        <stp/>
        <stp/>
        <tr r="R322" s="1"/>
      </tp>
      <tp t="e">
        <v>#N/A</v>
        <stp/>
        <stp>P</stp>
        <stp>0</stp>
        <stp>STK</stp>
        <stp>N237690</stp>
        <stp>세션명</stp>
        <stp/>
        <stp/>
        <tr r="R182" s="1"/>
      </tp>
      <tp t="e">
        <v>#N/A</v>
        <stp/>
        <stp>P</stp>
        <stp>0</stp>
        <stp>STK</stp>
        <stp>N437730</stp>
        <stp>세션명</stp>
        <stp/>
        <stp/>
        <tr r="R192" s="1"/>
      </tp>
      <tp t="e">
        <v>#N/A</v>
        <stp/>
        <stp>P</stp>
        <stp>0</stp>
        <stp>STK</stp>
        <stp>N037710</stp>
        <stp>세션명</stp>
        <stp/>
        <stp/>
        <tr r="R374" s="3"/>
        <tr r="R673" s="1"/>
      </tp>
      <tp t="e">
        <v>#N/A</v>
        <stp/>
        <stp>P</stp>
        <stp>0</stp>
        <stp>STK</stp>
        <stp>N137310</stp>
        <stp>세션명</stp>
        <stp/>
        <stp/>
        <tr r="R312" s="1"/>
        <tr r="R227" s="3"/>
      </tp>
      <tp t="e">
        <v>#N/A</v>
        <stp/>
        <stp>P</stp>
        <stp>0</stp>
        <stp>STK</stp>
        <stp>N036890</stp>
        <stp>세션명</stp>
        <stp/>
        <stp/>
        <tr r="R621" s="1"/>
      </tp>
      <tp t="e">
        <v>#N/A</v>
        <stp/>
        <stp>P</stp>
        <stp>0</stp>
        <stp>STK</stp>
        <stp>N036830</stp>
        <stp>세션명</stp>
        <stp/>
        <stp/>
        <tr r="R349" s="1"/>
      </tp>
      <tp t="e">
        <v>#N/A</v>
        <stp/>
        <stp>P</stp>
        <stp>0</stp>
        <stp>STK</stp>
        <stp>N036810</stp>
        <stp>세션명</stp>
        <stp/>
        <stp/>
        <tr r="R379" s="1"/>
      </tp>
      <tp t="e">
        <v>#N/A</v>
        <stp/>
        <stp>P</stp>
        <stp>0</stp>
        <stp>STK</stp>
        <stp>N036800</stp>
        <stp>세션명</stp>
        <stp/>
        <stp/>
        <tr r="R688" s="1"/>
      </tp>
      <tp t="e">
        <v>#N/A</v>
        <stp/>
        <stp>P</stp>
        <stp>0</stp>
        <stp>STK</stp>
        <stp>N036930</stp>
        <stp>세션명</stp>
        <stp/>
        <stp/>
        <tr r="R248" s="1"/>
      </tp>
      <tp t="e">
        <v>#N/A</v>
        <stp/>
        <stp>P</stp>
        <stp>0</stp>
        <stp>STK</stp>
        <stp>N036460</stp>
        <stp>세션명</stp>
        <stp/>
        <stp/>
        <tr r="R134" s="1"/>
        <tr r="R119" s="3"/>
      </tp>
      <tp t="e">
        <v>#N/A</v>
        <stp/>
        <stp>P</stp>
        <stp>0</stp>
        <stp>STK</stp>
        <stp>N036570</stp>
        <stp>세션명</stp>
        <stp/>
        <stp/>
        <tr r="R100" s="3"/>
        <tr r="R111" s="1"/>
      </tp>
      <tp t="e">
        <v>#N/A</v>
        <stp/>
        <stp>P</stp>
        <stp>0</stp>
        <stp>STK</stp>
        <stp>N036540</stp>
        <stp>세션명</stp>
        <stp/>
        <stp/>
        <tr r="R331" s="1"/>
      </tp>
      <tp t="e">
        <v>#N/A</v>
        <stp/>
        <stp>P</stp>
        <stp>0</stp>
        <stp>STK</stp>
        <stp>N336570</stp>
        <stp>세션명</stp>
        <stp/>
        <stp/>
        <tr r="R372" s="1"/>
      </tp>
      <tp t="e">
        <v>#N/A</v>
        <stp/>
        <stp>P</stp>
        <stp>0</stp>
        <stp>STK</stp>
        <stp>N036530</stp>
        <stp>세션명</stp>
        <stp/>
        <stp/>
        <tr r="R325" s="1"/>
        <tr r="R234" s="3"/>
      </tp>
      <tp t="e">
        <v>#N/A</v>
        <stp/>
        <stp>P</stp>
        <stp>0</stp>
        <stp>STK</stp>
        <stp>N036620</stp>
        <stp>세션명</stp>
        <stp/>
        <stp/>
        <tr r="R478" s="1"/>
      </tp>
      <tp t="e">
        <v>#N/A</v>
        <stp/>
        <stp>P</stp>
        <stp>0</stp>
        <stp>STK</stp>
        <stp>N336260</stp>
        <stp>세션명</stp>
        <stp/>
        <stp/>
        <tr r="R183" s="1"/>
        <tr r="R150" s="3"/>
      </tp>
      <tp t="e">
        <v>#N/A</v>
        <stp/>
        <stp>P</stp>
        <stp>0</stp>
        <stp>STK</stp>
        <stp>N236200</stp>
        <stp>세션명</stp>
        <stp/>
        <stp/>
        <tr r="R664" s="1"/>
      </tp>
      <tp t="e">
        <v>#N/A</v>
        <stp/>
        <stp>P</stp>
        <stp>0</stp>
        <stp>STK</stp>
        <stp>N036200</stp>
        <stp>세션명</stp>
        <stp/>
        <stp/>
        <tr r="R626" s="1"/>
      </tp>
      <tp t="e">
        <v>#N/A</v>
        <stp/>
        <stp>P</stp>
        <stp>0</stp>
        <stp>STK</stp>
        <stp>N336370</stp>
        <stp>세션명</stp>
        <stp/>
        <stp/>
        <tr r="R457" s="1"/>
        <tr r="R286" s="3"/>
      </tp>
      <tp t="e">
        <v>#N/A</v>
        <stp/>
        <stp>P</stp>
        <stp>0</stp>
        <stp>STK</stp>
        <stp>N035900</stp>
        <stp>세션명</stp>
        <stp/>
        <stp/>
        <tr r="R185" s="1"/>
      </tp>
      <tp t="e">
        <v>#N/A</v>
        <stp/>
        <stp>P</stp>
        <stp>0</stp>
        <stp>STK</stp>
        <stp>N035420</stp>
        <stp>세션명</stp>
        <stp/>
        <stp/>
        <tr r="R23" s="3"/>
        <tr r="R23" s="1"/>
      </tp>
      <tp t="e">
        <v>#N/A</v>
        <stp/>
        <stp>P</stp>
        <stp>0</stp>
        <stp>STK</stp>
        <stp>N035600</stp>
        <stp>세션명</stp>
        <stp/>
        <stp/>
        <tr r="R652" s="1"/>
      </tp>
      <tp t="e">
        <v>#N/A</v>
        <stp/>
        <stp>P</stp>
        <stp>0</stp>
        <stp>STK</stp>
        <stp>N035760</stp>
        <stp>세션명</stp>
        <stp/>
        <stp/>
        <tr r="R260" s="1"/>
      </tp>
      <tp t="e">
        <v>#N/A</v>
        <stp/>
        <stp>P</stp>
        <stp>0</stp>
        <stp>STK</stp>
        <stp>N035720</stp>
        <stp>세션명</stp>
        <stp/>
        <stp/>
        <tr r="R32" s="3"/>
        <tr r="R32" s="1"/>
      </tp>
      <tp t="e">
        <v>#N/A</v>
        <stp/>
        <stp>P</stp>
        <stp>0</stp>
        <stp>STK</stp>
        <stp>N035150</stp>
        <stp>세션명</stp>
        <stp/>
        <stp/>
        <tr r="R372" s="3"/>
        <tr r="R663" s="1"/>
      </tp>
      <tp t="e">
        <v>#N/A</v>
        <stp/>
        <stp>P</stp>
        <stp>0</stp>
        <stp>STK</stp>
        <stp>N035250</stp>
        <stp>세션명</stp>
        <stp/>
        <stp/>
        <tr r="R118" s="3"/>
        <tr r="R128" s="1"/>
      </tp>
      <tp t="e">
        <v>#N/A</v>
        <stp/>
        <stp>P</stp>
        <stp>0</stp>
        <stp>STK</stp>
        <stp>N034950</stp>
        <stp>세션명</stp>
        <stp/>
        <stp/>
        <tr r="R508" s="1"/>
      </tp>
      <tp t="e">
        <v>#N/A</v>
        <stp/>
        <stp>P</stp>
        <stp>0</stp>
        <stp>STK</stp>
        <stp>N034730</stp>
        <stp>세션명</stp>
        <stp/>
        <stp/>
        <tr r="R38" s="1"/>
        <tr r="R37" s="3"/>
      </tp>
      <tp t="e">
        <v>#N/A</v>
        <stp/>
        <stp>P</stp>
        <stp>0</stp>
        <stp>STK</stp>
        <stp>N034020</stp>
        <stp>세션명</stp>
        <stp/>
        <stp/>
        <tr r="R14" s="1"/>
        <tr r="R14" s="3"/>
      </tp>
      <tp t="e">
        <v>#N/A</v>
        <stp/>
        <stp>P</stp>
        <stp>0</stp>
        <stp>STK</stp>
        <stp>N034120</stp>
        <stp>세션명</stp>
        <stp/>
        <stp/>
        <tr r="R581" s="1"/>
        <tr r="R336" s="3"/>
      </tp>
      <tp t="e">
        <v>#N/A</v>
        <stp/>
        <stp>P</stp>
        <stp>0</stp>
        <stp>STK</stp>
        <stp>N034230</stp>
        <stp>세션명</stp>
        <stp/>
        <stp/>
        <tr r="R189" s="3"/>
        <tr r="R242" s="1"/>
      </tp>
      <tp t="e">
        <v>#N/A</v>
        <stp/>
        <stp>P</stp>
        <stp>0</stp>
        <stp>STK</stp>
        <stp>N034220</stp>
        <stp>세션명</stp>
        <stp/>
        <stp/>
        <tr r="R91" s="3"/>
        <tr r="R99" s="1"/>
      </tp>
      <tp t="e">
        <v>#N/A</v>
        <stp/>
        <stp>P</stp>
        <stp>0</stp>
        <stp>STK</stp>
        <stp>N034310</stp>
        <stp>세션명</stp>
        <stp/>
        <stp/>
        <tr r="R488" s="1"/>
        <tr r="R304" s="3"/>
      </tp>
      <tp t="e">
        <v>#N/A</v>
        <stp/>
        <stp>P</stp>
        <stp>0</stp>
        <stp>STK</stp>
        <stp>N029460</stp>
        <stp>세션명</stp>
        <stp/>
        <stp/>
        <tr r="R554" s="1"/>
        <tr r="R329" s="3"/>
      </tp>
      <tp t="e">
        <v>#N/A</v>
        <stp/>
        <stp>P</stp>
        <stp>0</stp>
        <stp>STK</stp>
        <stp>N029530</stp>
        <stp>세션명</stp>
        <stp/>
        <stp/>
        <tr r="R499" s="1"/>
        <tr r="R309" s="3"/>
      </tp>
      <tp t="e">
        <v>#N/A</v>
        <stp/>
        <stp>P</stp>
        <stp>0</stp>
        <stp>STK</stp>
        <stp>N229640</stp>
        <stp>세션명</stp>
        <stp/>
        <stp/>
        <tr r="R289" s="1"/>
        <tr r="R214" s="3"/>
      </tp>
      <tp t="e">
        <v>#N/A</v>
        <stp/>
        <stp>P</stp>
        <stp>0</stp>
        <stp>STK</stp>
        <stp>N029780</stp>
        <stp>세션명</stp>
        <stp/>
        <stp/>
        <tr r="R98" s="1"/>
        <tr r="R92" s="3"/>
      </tp>
      <tp t="e">
        <v>#N/A</v>
        <stp/>
        <stp>P</stp>
        <stp>0</stp>
        <stp>STK</stp>
        <stp>N329180</stp>
        <stp>세션명</stp>
        <stp/>
        <stp/>
        <tr r="R13" s="3"/>
        <tr r="R13" s="1"/>
      </tp>
      <tp t="e">
        <v>#N/A</v>
        <stp/>
        <stp>P</stp>
        <stp>0</stp>
        <stp>STK</stp>
        <stp>N128940</stp>
        <stp>세션명</stp>
        <stp/>
        <stp/>
        <tr r="R98" s="3"/>
        <tr r="R106" s="1"/>
      </tp>
      <tp t="e">
        <v>#N/A</v>
        <stp/>
        <stp>P</stp>
        <stp>0</stp>
        <stp>STK</stp>
        <stp>N028670</stp>
        <stp>세션명</stp>
        <stp/>
        <stp/>
        <tr r="R157" s="3"/>
        <tr r="R188" s="1"/>
      </tp>
      <tp t="e">
        <v>#N/A</v>
        <stp/>
        <stp>P</stp>
        <stp>0</stp>
        <stp>STK</stp>
        <stp>N228760</stp>
        <stp>세션명</stp>
        <stp/>
        <stp/>
        <tr r="R449" s="1"/>
      </tp>
      <tp t="e">
        <v>#N/A</v>
        <stp/>
        <stp>P</stp>
        <stp>0</stp>
        <stp>STK</stp>
        <stp>N028050</stp>
        <stp>세션명</stp>
        <stp/>
        <stp/>
        <tr r="R110" s="1"/>
        <tr r="R101" s="3"/>
      </tp>
      <tp t="e">
        <v>#N/A</v>
        <stp/>
        <stp>P</stp>
        <stp>0</stp>
        <stp>STK</stp>
        <stp>N328130</stp>
        <stp>세션명</stp>
        <stp/>
        <stp/>
        <tr r="R295" s="1"/>
      </tp>
      <tp t="e">
        <v>#N/A</v>
        <stp/>
        <stp>P</stp>
        <stp>0</stp>
        <stp>STK</stp>
        <stp>N028260</stp>
        <stp>세션명</stp>
        <stp/>
        <stp/>
        <tr r="R17" s="1"/>
        <tr r="R17" s="3"/>
      </tp>
      <tp t="e">
        <v>#N/A</v>
        <stp/>
        <stp>P</stp>
        <stp>0</stp>
        <stp>STK</stp>
        <stp>N028300</stp>
        <stp>세션명</stp>
        <stp/>
        <stp/>
        <tr r="R93" s="1"/>
      </tp>
      <tp t="e">
        <v>#N/A</v>
        <stp/>
        <stp>P</stp>
        <stp>0</stp>
        <stp>STK</stp>
        <stp>N323410</stp>
        <stp>세션명</stp>
        <stp/>
        <stp/>
        <tr r="R69" s="3"/>
        <tr r="R72" s="1"/>
      </tp>
      <tp t="e">
        <v>#N/A</v>
        <stp/>
        <stp>P</stp>
        <stp>0</stp>
        <stp>STK</stp>
        <stp>N023590</stp>
        <stp>세션명</stp>
        <stp/>
        <stp/>
        <tr r="R222" s="1"/>
        <tr r="R182" s="3"/>
      </tp>
      <tp t="e">
        <v>#N/A</v>
        <stp/>
        <stp>P</stp>
        <stp>0</stp>
        <stp>STK</stp>
        <stp>N023530</stp>
        <stp>세션명</stp>
        <stp/>
        <stp/>
        <tr r="R163" s="3"/>
        <tr r="R200" s="1"/>
      </tp>
      <tp t="e">
        <v>#N/A</v>
        <stp/>
        <stp>P</stp>
        <stp>0</stp>
        <stp>STK</stp>
        <stp>N023160</stp>
        <stp>세션명</stp>
        <stp/>
        <stp/>
        <tr r="R386" s="1"/>
      </tp>
      <tp t="e">
        <v>#N/A</v>
        <stp/>
        <stp>P</stp>
        <stp>0</stp>
        <stp>STK</stp>
        <stp>N323280</stp>
        <stp>세션명</stp>
        <stp/>
        <stp/>
        <tr r="R255" s="1"/>
      </tp>
      <tp t="e">
        <v>#N/A</v>
        <stp/>
        <stp>P</stp>
        <stp>0</stp>
        <stp>STK</stp>
        <stp>N122870</stp>
        <stp>세션명</stp>
        <stp/>
        <stp/>
        <tr r="R270" s="1"/>
      </tp>
      <tp t="e">
        <v>#N/A</v>
        <stp/>
        <stp>P</stp>
        <stp>0</stp>
        <stp>STK</stp>
        <stp>N222800</stp>
        <stp>세션명</stp>
        <stp/>
        <stp/>
        <tr r="R220" s="1"/>
      </tp>
      <tp t="e">
        <v>#N/A</v>
        <stp/>
        <stp>P</stp>
        <stp>0</stp>
        <stp>STK</stp>
        <stp>N122640</stp>
        <stp>세션명</stp>
        <stp/>
        <stp/>
        <tr r="R541" s="1"/>
      </tp>
      <tp t="e">
        <v>#N/A</v>
        <stp/>
        <stp>P</stp>
        <stp>0</stp>
        <stp>STK</stp>
        <stp>N222080</stp>
        <stp>세션명</stp>
        <stp/>
        <stp/>
        <tr r="R438" s="1"/>
      </tp>
      <tp t="e">
        <v>#N/A</v>
        <stp/>
        <stp>P</stp>
        <stp>0</stp>
        <stp>STK</stp>
        <stp>N322000</stp>
        <stp>세션명</stp>
        <stp/>
        <stp/>
        <tr r="R273" s="3"/>
        <tr r="R420" s="1"/>
      </tp>
      <tp t="e">
        <v>#N/A</v>
        <stp/>
        <stp>P</stp>
        <stp>0</stp>
        <stp>STK</stp>
        <stp>N022100</stp>
        <stp>세션명</stp>
        <stp/>
        <stp/>
        <tr r="R90" s="3"/>
        <tr r="R95" s="1"/>
      </tp>
      <tp t="e">
        <v>#N/A</v>
        <stp/>
        <stp>P</stp>
        <stp>0</stp>
        <stp>STK</stp>
        <stp>N121600</stp>
        <stp>세션명</stp>
        <stp/>
        <stp/>
        <tr r="R416" s="1"/>
      </tp>
      <tp t="e">
        <v>#N/A</v>
        <stp/>
        <stp>P</stp>
        <stp>0</stp>
        <stp>STK</stp>
        <stp>N021240</stp>
        <stp>세션명</stp>
        <stp/>
        <stp/>
        <tr r="R95" s="3"/>
        <tr r="R103" s="1"/>
      </tp>
      <tp t="e">
        <v>#N/A</v>
        <stp/>
        <stp>P</stp>
        <stp>0</stp>
        <stp>STK</stp>
        <stp>N020560</stp>
        <stp>세션명</stp>
        <stp/>
        <stp/>
        <tr r="R192" s="3"/>
        <tr r="R243" s="1"/>
      </tp>
      <tp t="e">
        <v>#N/A</v>
        <stp/>
        <stp>P</stp>
        <stp>0</stp>
        <stp>STK</stp>
        <stp>N420770</stp>
        <stp>세션명</stp>
        <stp/>
        <stp/>
        <tr r="R384" s="1"/>
      </tp>
      <tp t="e">
        <v>#N/A</v>
        <stp/>
        <stp>P</stp>
        <stp>0</stp>
        <stp>STK</stp>
        <stp>N020000</stp>
        <stp>세션명</stp>
        <stp/>
        <stp/>
        <tr r="R584" s="1"/>
        <tr r="R337" s="3"/>
      </tp>
      <tp t="e">
        <v>#N/A</v>
        <stp/>
        <stp>P</stp>
        <stp>0</stp>
        <stp>STK</stp>
        <stp>N020150</stp>
        <stp>세션명</stp>
        <stp/>
        <stp/>
        <tr r="R225" s="1"/>
        <tr r="R170" s="3"/>
      </tp>
      <tp t="e">
        <v>#N/A</v>
        <stp/>
        <stp>P</stp>
        <stp>0</stp>
        <stp>STK</stp>
        <stp>N220100</stp>
        <stp>세션명</stp>
        <stp/>
        <stp/>
        <tr r="R458" s="1"/>
      </tp>
      <tp t="e">
        <v>#N/A</v>
        <stp/>
        <stp>P</stp>
        <stp>0</stp>
        <stp>STK</stp>
        <stp>N120110</stp>
        <stp>세션명</stp>
        <stp/>
        <stp/>
        <tr r="R277" s="1"/>
        <tr r="R207" s="3"/>
      </tp>
      <tp t="e">
        <v>#N/A</v>
        <stp/>
        <stp>P</stp>
        <stp>0</stp>
        <stp>STK</stp>
        <stp>N127120</stp>
        <stp>세션명</stp>
        <stp/>
        <stp/>
        <tr r="R402" s="1"/>
      </tp>
      <tp t="e">
        <v>#N/A</v>
        <stp/>
        <stp>P</stp>
        <stp>0</stp>
        <stp>STK</stp>
        <stp>N026890</stp>
        <stp>세션명</stp>
        <stp/>
        <stp/>
        <tr r="R318" s="3"/>
        <tr r="R530" s="1"/>
      </tp>
      <tp t="e">
        <v>#N/A</v>
        <stp/>
        <stp>P</stp>
        <stp>0</stp>
        <stp>STK</stp>
        <stp>N226950</stp>
        <stp>세션명</stp>
        <stp/>
        <stp/>
        <tr r="R186" s="1"/>
      </tp>
      <tp t="e">
        <v>#N/A</v>
        <stp/>
        <stp>P</stp>
        <stp>0</stp>
        <stp>STK</stp>
        <stp>N026960</stp>
        <stp>세션명</stp>
        <stp/>
        <stp/>
        <tr r="R172" s="1"/>
        <tr r="R144" s="3"/>
      </tp>
      <tp t="e">
        <v>#N/A</v>
        <stp/>
        <stp>P</stp>
        <stp>0</stp>
        <stp>STK</stp>
        <stp>N126720</stp>
        <stp>세션명</stp>
        <stp/>
        <stp/>
        <tr r="R544" s="1"/>
        <tr r="R327" s="3"/>
      </tp>
      <tp t="e">
        <v>#N/A</v>
        <stp/>
        <stp>P</stp>
        <stp>0</stp>
        <stp>STK</stp>
        <stp>N326030</stp>
        <stp>세션명</stp>
        <stp/>
        <stp/>
        <tr r="R78" s="1"/>
        <tr r="R72" s="3"/>
      </tp>
      <tp t="e">
        <v>#N/A</v>
        <stp/>
        <stp>P</stp>
        <stp>0</stp>
        <stp>STK</stp>
        <stp>N126340</stp>
        <stp>세션명</stp>
        <stp/>
        <stp/>
        <tr r="R431" s="1"/>
      </tp>
      <tp t="e">
        <v>#N/A</v>
        <stp/>
        <stp>P</stp>
        <stp>0</stp>
        <stp>STK</stp>
        <stp>N226320</stp>
        <stp>세션명</stp>
        <stp/>
        <stp/>
        <tr r="R676" s="1"/>
        <tr r="R373" s="3"/>
      </tp>
      <tp t="e">
        <v>#N/A</v>
        <stp/>
        <stp>P</stp>
        <stp>0</stp>
        <stp>STK</stp>
        <stp>N025980</stp>
        <stp>세션명</stp>
        <stp/>
        <stp/>
        <tr r="R373" s="1"/>
      </tp>
      <tp t="e">
        <v>#N/A</v>
        <stp/>
        <stp>P</stp>
        <stp>0</stp>
        <stp>STK</stp>
        <stp>N025900</stp>
        <stp>세션명</stp>
        <stp/>
        <stp/>
        <tr r="R527" s="1"/>
      </tp>
      <tp t="e">
        <v>#N/A</v>
        <stp/>
        <stp>P</stp>
        <stp>0</stp>
        <stp>STK</stp>
        <stp>N125490</stp>
        <stp>세션명</stp>
        <stp/>
        <stp/>
        <tr r="R374" s="1"/>
      </tp>
      <tp t="e">
        <v>#N/A</v>
        <stp/>
        <stp>P</stp>
        <stp>0</stp>
        <stp>STK</stp>
        <stp>N425420</stp>
        <stp>세션명</stp>
        <stp/>
        <stp/>
        <tr r="R532" s="1"/>
      </tp>
      <tp t="e">
        <v>#N/A</v>
        <stp/>
        <stp>P</stp>
        <stp>0</stp>
        <stp>STK</stp>
        <stp>N225570</stp>
        <stp>세션명</stp>
        <stp/>
        <stp/>
        <tr r="R354" s="1"/>
      </tp>
      <tp t="e">
        <v>#N/A</v>
        <stp/>
        <stp>P</stp>
        <stp>0</stp>
        <stp>STK</stp>
        <stp>N025540</stp>
        <stp>세션명</stp>
        <stp/>
        <stp/>
        <tr r="R248" s="3"/>
        <tr r="R352" s="1"/>
      </tp>
      <tp t="e">
        <v>#N/A</v>
        <stp/>
        <stp>P</stp>
        <stp>0</stp>
        <stp>STK</stp>
        <stp>N025770</stp>
        <stp>세션명</stp>
        <stp/>
        <stp/>
        <tr r="R633" s="1"/>
      </tp>
      <tp t="e">
        <v>#N/A</v>
        <stp/>
        <stp>P</stp>
        <stp>0</stp>
        <stp>STK</stp>
        <stp>N025320</stp>
        <stp>세션명</stp>
        <stp/>
        <stp/>
        <tr r="R473" s="1"/>
      </tp>
      <tp t="e">
        <v>#N/A</v>
        <stp/>
        <stp>P</stp>
        <stp>0</stp>
        <stp>STK</stp>
        <stp>N424870</stp>
        <stp>세션명</stp>
        <stp/>
        <stp/>
        <tr r="R353" s="1"/>
      </tp>
      <tp t="e">
        <v>#N/A</v>
        <stp/>
        <stp>P</stp>
        <stp>0</stp>
        <stp>STK</stp>
        <stp>N024720</stp>
        <stp>세션명</stp>
        <stp/>
        <stp/>
        <tr r="R348" s="3"/>
        <tr r="R602" s="1"/>
      </tp>
      <tp t="e">
        <v>#N/A</v>
        <stp/>
        <stp>P</stp>
        <stp>0</stp>
        <stp>STK</stp>
        <stp>N024110</stp>
        <stp>세션명</stp>
        <stp/>
        <stp/>
        <tr r="R52" s="1"/>
        <tr r="R50" s="3"/>
      </tp>
      <tp>
        <v>2596301100</v>
        <stp/>
        <stp>P</stp>
        <stp>0</stp>
        <stp>STK</stp>
        <stp>N0120G0</stp>
        <stp>누적거래대금</stp>
        <stp/>
        <stp/>
        <tr r="M275" s="3"/>
        <tr r="M433" s="1"/>
      </tp>
      <tp>
        <v>-100</v>
        <stp/>
        <stp>P</stp>
        <stp>0</stp>
        <stp>STK</stp>
        <stp>N361610</stp>
        <stp>전일대비</stp>
        <stp/>
        <stp/>
        <tr r="J168" s="3"/>
        <tr r="J211" s="1"/>
      </tp>
      <tp>
        <v>200</v>
        <stp/>
        <stp>P</stp>
        <stp>0</stp>
        <stp>STK</stp>
        <stp>N001630</stp>
        <stp>전일대비</stp>
        <stp/>
        <stp/>
        <tr r="J681" s="1"/>
        <tr r="J376" s="3"/>
      </tp>
      <tp>
        <v>-300</v>
        <stp/>
        <stp>P</stp>
        <stp>0</stp>
        <stp>STK</stp>
        <stp>N051600</stp>
        <stp>전일대비</stp>
        <stp/>
        <stp/>
        <tr r="J166" s="1"/>
        <tr r="J142" s="3"/>
      </tp>
      <tp>
        <v>2500</v>
        <stp/>
        <stp>P</stp>
        <stp>0</stp>
        <stp>STK</stp>
        <stp>N121600</stp>
        <stp>전일대비</stp>
        <stp/>
        <stp/>
        <tr r="J416" s="1"/>
      </tp>
      <tp>
        <v>-350</v>
        <stp/>
        <stp>P</stp>
        <stp>0</stp>
        <stp>STK</stp>
        <stp>N081660</stp>
        <stp>전일대비</stp>
        <stp/>
        <stp/>
        <tr r="J189" s="1"/>
        <tr r="J154" s="3"/>
      </tp>
      <tp>
        <v>150</v>
        <stp/>
        <stp>P</stp>
        <stp>0</stp>
        <stp>STK</stp>
        <stp>N001680</stp>
        <stp>전일대비</stp>
        <stp/>
        <stp/>
        <tr r="J253" s="3"/>
        <tr r="J371" s="1"/>
      </tp>
      <tp>
        <v>10600</v>
        <stp/>
        <stp>P</stp>
        <stp>0</stp>
        <stp>STK</stp>
        <stp>N001720</stp>
        <stp>전일대비</stp>
        <stp/>
        <stp/>
        <tr r="J181" s="1"/>
        <tr r="J155" s="3"/>
      </tp>
      <tp>
        <v>0</v>
        <stp/>
        <stp>P</stp>
        <stp>0</stp>
        <stp>STK</stp>
        <stp>N101730</stp>
        <stp>전일대비</stp>
        <stp/>
        <stp/>
        <tr r="J472" s="1"/>
      </tp>
      <tp>
        <v>1000</v>
        <stp/>
        <stp>P</stp>
        <stp>0</stp>
        <stp>STK</stp>
        <stp>N241710</stp>
        <stp>전일대비</stp>
        <stp/>
        <stp/>
        <tr r="J357" s="1"/>
      </tp>
      <tp>
        <v>150</v>
        <stp/>
        <stp>P</stp>
        <stp>0</stp>
        <stp>STK</stp>
        <stp>N181710</stp>
        <stp>전일대비</stp>
        <stp/>
        <stp/>
        <tr r="J316" s="1"/>
        <tr r="J230" s="3"/>
      </tp>
      <tp>
        <v>300</v>
        <stp/>
        <stp>P</stp>
        <stp>0</stp>
        <stp>STK</stp>
        <stp>N011760</stp>
        <stp>전일대비</stp>
        <stp/>
        <stp/>
        <tr r="J636" s="1"/>
        <tr r="J361" s="3"/>
      </tp>
      <tp>
        <v>-200</v>
        <stp/>
        <stp>P</stp>
        <stp>0</stp>
        <stp>STK</stp>
        <stp>N111770</stp>
        <stp>전일대비</stp>
        <stp/>
        <stp/>
        <tr r="J120" s="3"/>
        <tr r="J135" s="1"/>
      </tp>
      <tp>
        <v>-450</v>
        <stp/>
        <stp>P</stp>
        <stp>0</stp>
        <stp>STK</stp>
        <stp>N281740</stp>
        <stp>전일대비</stp>
        <stp/>
        <stp/>
        <tr r="J288" s="1"/>
      </tp>
      <tp>
        <v>100</v>
        <stp/>
        <stp>P</stp>
        <stp>0</stp>
        <stp>STK</stp>
        <stp>N241770</stp>
        <stp>전일대비</stp>
        <stp/>
        <stp/>
        <tr r="J683" s="1"/>
      </tp>
      <tp>
        <v>130</v>
        <stp/>
        <stp>P</stp>
        <stp>0</stp>
        <stp>STK</stp>
        <stp>N001750</stp>
        <stp>전일대비</stp>
        <stp/>
        <stp/>
        <tr r="J682" s="1"/>
        <tr r="J377" s="3"/>
      </tp>
      <tp>
        <v>5200</v>
        <stp/>
        <stp>P</stp>
        <stp>0</stp>
        <stp>STK</stp>
        <stp>N011780</stp>
        <stp>전일대비</stp>
        <stp/>
        <stp/>
        <tr r="J117" s="3"/>
        <tr r="J133" s="1"/>
      </tp>
      <tp>
        <v>-3500</v>
        <stp/>
        <stp>P</stp>
        <stp>0</stp>
        <stp>STK</stp>
        <stp>N011790</stp>
        <stp>전일대비</stp>
        <stp/>
        <stp/>
        <tr r="J123" s="1"/>
        <tr r="J111" s="3"/>
      </tp>
      <tp>
        <v>-30</v>
        <stp/>
        <stp>P</stp>
        <stp>0</stp>
        <stp>STK</stp>
        <stp>N031430</stp>
        <stp>전일대비</stp>
        <stp/>
        <stp/>
        <tr r="J323" s="3"/>
        <tr r="J547" s="1"/>
      </tp>
      <tp>
        <v>1100</v>
        <stp/>
        <stp>P</stp>
        <stp>0</stp>
        <stp>STK</stp>
        <stp>N001430</stp>
        <stp>전일대비</stp>
        <stp/>
        <stp/>
        <tr r="J141" s="3"/>
        <tr r="J163" s="1"/>
      </tp>
      <tp>
        <v>100</v>
        <stp/>
        <stp>P</stp>
        <stp>0</stp>
        <stp>STK</stp>
        <stp>N001460</stp>
        <stp>전일대비</stp>
        <stp/>
        <stp/>
        <tr r="J366" s="3"/>
        <tr r="J657" s="1"/>
      </tp>
      <tp>
        <v>-650</v>
        <stp/>
        <stp>P</stp>
        <stp>0</stp>
        <stp>STK</stp>
        <stp>N001440</stp>
        <stp>전일대비</stp>
        <stp/>
        <stp/>
        <tr r="J107" s="1"/>
        <tr r="J97" s="3"/>
      </tp>
      <tp>
        <v>0</v>
        <stp/>
        <stp>P</stp>
        <stp>0</stp>
        <stp>STK</stp>
        <stp>N001450</stp>
        <stp>전일대비</stp>
        <stp/>
        <stp/>
        <tr r="J151" s="3"/>
        <tr r="J180" s="1"/>
      </tp>
      <tp>
        <v>0</v>
        <stp/>
        <stp>P</stp>
        <stp>0</stp>
        <stp>STK</stp>
        <stp>N101490</stp>
        <stp>전일대비</stp>
        <stp/>
        <stp/>
        <tr r="J254" s="1"/>
      </tp>
      <tp>
        <v>-60</v>
        <stp/>
        <stp>P</stp>
        <stp>0</stp>
        <stp>STK</stp>
        <stp>N001530</stp>
        <stp>전일대비</stp>
        <stp/>
        <stp/>
        <tr r="J546" s="1"/>
        <tr r="J325" s="3"/>
      </tp>
      <tp>
        <v>250</v>
        <stp/>
        <stp>P</stp>
        <stp>0</stp>
        <stp>STK</stp>
        <stp>N051500</stp>
        <stp>전일대비</stp>
        <stp/>
        <stp/>
        <tr r="J605" s="1"/>
      </tp>
      <tp>
        <v>70</v>
        <stp/>
        <stp>P</stp>
        <stp>0</stp>
        <stp>STK</stp>
        <stp>N001500</stp>
        <stp>전일대비</stp>
        <stp/>
        <stp/>
        <tr r="J289" s="3"/>
        <tr r="J459" s="1"/>
      </tp>
      <tp>
        <v>2550</v>
        <stp/>
        <stp>P</stp>
        <stp>0</stp>
        <stp>STK</stp>
        <stp>N011500</stp>
        <stp>전일대비</stp>
        <stp/>
        <stp/>
        <tr r="J631" s="1"/>
        <tr r="J333" s="3"/>
      </tp>
      <tp>
        <v>0</v>
        <stp/>
        <stp>P</stp>
        <stp>0</stp>
        <stp>STK</stp>
        <stp>N041510</stp>
        <stp>전일대비</stp>
        <stp/>
        <stp/>
        <tr r="J177" s="1"/>
      </tp>
      <tp>
        <v>-100</v>
        <stp/>
        <stp>P</stp>
        <stp>0</stp>
        <stp>STK</stp>
        <stp>N271560</stp>
        <stp>전일대비</stp>
        <stp/>
        <stp/>
        <tr r="J106" s="3"/>
        <tr r="J114" s="1"/>
      </tp>
      <tp>
        <v>800</v>
        <stp/>
        <stp>P</stp>
        <stp>0</stp>
        <stp>STK</stp>
        <stp>N241560</stp>
        <stp>전일대비</stp>
        <stp/>
        <stp/>
        <tr r="J93" s="3"/>
        <tr r="J100" s="1"/>
      </tp>
      <tp>
        <v>-1050</v>
        <stp/>
        <stp>P</stp>
        <stp>0</stp>
        <stp>STK</stp>
        <stp>N161580</stp>
        <stp>전일대비</stp>
        <stp/>
        <stp/>
        <tr r="J311" s="1"/>
      </tp>
      <tp>
        <v>10</v>
        <stp/>
        <stp>P</stp>
        <stp>0</stp>
        <stp>STK</stp>
        <stp>N441270</stp>
        <stp>전일대비</stp>
        <stp/>
        <stp/>
        <tr r="J569" s="1"/>
      </tp>
      <tp>
        <v>-250</v>
        <stp/>
        <stp>P</stp>
        <stp>0</stp>
        <stp>STK</stp>
        <stp>N011200</stp>
        <stp>전일대비</stp>
        <stp/>
        <stp/>
        <tr r="J42" s="3"/>
        <tr r="J43" s="1"/>
      </tp>
      <tp>
        <v>-50</v>
        <stp/>
        <stp>P</stp>
        <stp>0</stp>
        <stp>STK</stp>
        <stp>N031210</stp>
        <stp>전일대비</stp>
        <stp/>
        <stp/>
        <tr r="J140" s="1"/>
        <tr r="J123" s="3"/>
      </tp>
      <tp>
        <v>-1300</v>
        <stp/>
        <stp>P</stp>
        <stp>0</stp>
        <stp>STK</stp>
        <stp>N011210</stp>
        <stp>전일대비</stp>
        <stp/>
        <stp/>
        <tr r="J164" s="1"/>
        <tr r="J146" s="3"/>
      </tp>
      <tp>
        <v>6900</v>
        <stp/>
        <stp>P</stp>
        <stp>0</stp>
        <stp>STK</stp>
        <stp>N001270</stp>
        <stp>전일대비</stp>
        <stp/>
        <stp/>
        <tr r="J412" s="1"/>
        <tr r="J274" s="3"/>
      </tp>
      <tp>
        <v>-700</v>
        <stp/>
        <stp>P</stp>
        <stp>0</stp>
        <stp>STK</stp>
        <stp>N021240</stp>
        <stp>전일대비</stp>
        <stp/>
        <stp/>
        <tr r="J103" s="1"/>
        <tr r="J95" s="3"/>
      </tp>
      <tp>
        <v>-200</v>
        <stp/>
        <stp>P</stp>
        <stp>0</stp>
        <stp>STK</stp>
        <stp>N251270</stp>
        <stp>전일대비</stp>
        <stp/>
        <stp/>
        <tr r="J120" s="1"/>
        <tr r="J108" s="3"/>
      </tp>
      <tp>
        <v>-1700</v>
        <stp/>
        <stp>P</stp>
        <stp>0</stp>
        <stp>STK</stp>
        <stp>N131290</stp>
        <stp>전일대비</stp>
        <stp/>
        <stp/>
        <tr r="J343" s="1"/>
      </tp>
      <tp>
        <v>-900</v>
        <stp/>
        <stp>P</stp>
        <stp>0</stp>
        <stp>STK</stp>
        <stp>N071320</stp>
        <stp>전일대비</stp>
        <stp/>
        <stp/>
        <tr r="J209" s="3"/>
        <tr r="J271" s="1"/>
      </tp>
      <tp>
        <v>80</v>
        <stp/>
        <stp>P</stp>
        <stp>0</stp>
        <stp>STK</stp>
        <stp>N051360</stp>
        <stp>전일대비</stp>
        <stp/>
        <stp/>
        <tr r="J672" s="1"/>
      </tp>
      <tp>
        <v>450</v>
        <stp/>
        <stp>P</stp>
        <stp>0</stp>
        <stp>STK</stp>
        <stp>N101360</stp>
        <stp>전일대비</stp>
        <stp/>
        <stp/>
        <tr r="J597" s="1"/>
      </tp>
      <tp>
        <v>500</v>
        <stp/>
        <stp>P</stp>
        <stp>0</stp>
        <stp>STK</stp>
        <stp>N161390</stp>
        <stp>전일대비</stp>
        <stp/>
        <stp/>
        <tr r="J81" s="1"/>
        <tr r="J77" s="3"/>
      </tp>
      <tp>
        <v>-100</v>
        <stp/>
        <stp>P</stp>
        <stp>0</stp>
        <stp>STK</stp>
        <stp>N481070</stp>
        <stp>전일대비</stp>
        <stp/>
        <stp/>
        <tr r="J588" s="1"/>
      </tp>
      <tp>
        <v>-160</v>
        <stp/>
        <stp>P</stp>
        <stp>0</stp>
        <stp>STK</stp>
        <stp>N161000</stp>
        <stp>전일대비</stp>
        <stp/>
        <stp/>
        <tr r="J521" s="1"/>
        <tr r="J308" s="3"/>
      </tp>
      <tp>
        <v>300</v>
        <stp/>
        <stp>P</stp>
        <stp>0</stp>
        <stp>STK</stp>
        <stp>N001060</stp>
        <stp>전일대비</stp>
        <stp/>
        <stp/>
        <tr r="J271" s="3"/>
        <tr r="J407" s="1"/>
      </tp>
      <tp>
        <v>1000</v>
        <stp/>
        <stp>P</stp>
        <stp>0</stp>
        <stp>STK</stp>
        <stp>N011070</stp>
        <stp>전일대비</stp>
        <stp/>
        <stp/>
        <tr r="J94" s="1"/>
        <tr r="J88" s="3"/>
      </tp>
      <tp>
        <v>10</v>
        <stp/>
        <stp>P</stp>
        <stp>0</stp>
        <stp>STK</stp>
        <stp>N211050</stp>
        <stp>전일대비</stp>
        <stp/>
        <stp/>
        <tr r="J421" s="1"/>
      </tp>
      <tp>
        <v>900</v>
        <stp/>
        <stp>P</stp>
        <stp>0</stp>
        <stp>STK</stp>
        <stp>N001040</stp>
        <stp>전일대비</stp>
        <stp/>
        <stp/>
        <tr r="J102" s="1"/>
        <tr r="J96" s="3"/>
      </tp>
      <tp>
        <v>4800</v>
        <stp/>
        <stp>P</stp>
        <stp>0</stp>
        <stp>STK</stp>
        <stp>N071050</stp>
        <stp>전일대비</stp>
        <stp/>
        <stp/>
        <tr r="J70" s="1"/>
        <tr r="J68" s="3"/>
      </tp>
      <tp>
        <v>800</v>
        <stp/>
        <stp>P</stp>
        <stp>0</stp>
        <stp>STK</stp>
        <stp>N171090</stp>
        <stp>전일대비</stp>
        <stp/>
        <stp/>
        <tr r="J456" s="1"/>
      </tp>
      <tp>
        <v>200</v>
        <stp/>
        <stp>P</stp>
        <stp>0</stp>
        <stp>STK</stp>
        <stp>N061090</stp>
        <stp>전일대비</stp>
        <stp/>
        <stp/>
        <tr r="J679" s="1"/>
      </tp>
      <tp>
        <v>2300</v>
        <stp/>
        <stp>P</stp>
        <stp>0</stp>
        <stp>STK</stp>
        <stp>N141080</stp>
        <stp>전일대비</stp>
        <stp/>
        <stp/>
        <tr r="J105" s="1"/>
      </tp>
      <tp>
        <v>0</v>
        <stp/>
        <stp>P</stp>
        <stp>0</stp>
        <stp>STK</stp>
        <stp>N001120</stp>
        <stp>전일대비</stp>
        <stp/>
        <stp/>
        <tr r="J257" s="1"/>
        <tr r="J201" s="3"/>
      </tp>
      <tp>
        <v>1400</v>
        <stp/>
        <stp>P</stp>
        <stp>0</stp>
        <stp>STK</stp>
        <stp>N001130</stp>
        <stp>전일대비</stp>
        <stp/>
        <stp/>
        <tr r="J375" s="3"/>
        <tr r="J680" s="1"/>
      </tp>
      <tp>
        <v>-150</v>
        <stp/>
        <stp>P</stp>
        <stp>0</stp>
        <stp>STK</stp>
        <stp>N101160</stp>
        <stp>전일대비</stp>
        <stp/>
        <stp/>
        <tr r="J558" s="1"/>
      </tp>
      <tp>
        <v>2400</v>
        <stp/>
        <stp>P</stp>
        <stp>0</stp>
        <stp>STK</stp>
        <stp>N011170</stp>
        <stp>전일대비</stp>
        <stp/>
        <stp/>
        <tr r="J126" s="3"/>
        <tr r="J149" s="1"/>
      </tp>
      <tp>
        <v>200</v>
        <stp/>
        <stp>P</stp>
        <stp>0</stp>
        <stp>STK</stp>
        <stp>N041190</stp>
        <stp>전일대비</stp>
        <stp/>
        <stp/>
        <tr r="J425" s="1"/>
      </tp>
      <tp>
        <v>0</v>
        <stp/>
        <stp>P</stp>
        <stp>0</stp>
        <stp>STK</stp>
        <stp>N001820</stp>
        <stp>전일대비</stp>
        <stp/>
        <stp/>
        <tr r="J595" s="1"/>
        <tr r="J344" s="3"/>
      </tp>
      <tp>
        <v>100</v>
        <stp/>
        <stp>P</stp>
        <stp>0</stp>
        <stp>STK</stp>
        <stp>N041830</stp>
        <stp>전일대비</stp>
        <stp/>
        <stp/>
        <tr r="J543" s="1"/>
      </tp>
      <tp>
        <v>-50</v>
        <stp/>
        <stp>P</stp>
        <stp>0</stp>
        <stp>STK</stp>
        <stp>N001800</stp>
        <stp>전일대비</stp>
        <stp/>
        <stp/>
        <tr r="J267" s="1"/>
        <tr r="J205" s="3"/>
      </tp>
      <tp>
        <v>0</v>
        <stp/>
        <stp>P</stp>
        <stp>0</stp>
        <stp>STK</stp>
        <stp>N281820</stp>
        <stp>전일대비</stp>
        <stp/>
        <stp/>
        <tr r="J247" s="3"/>
        <tr r="J350" s="1"/>
      </tp>
      <tp>
        <v>-300</v>
        <stp/>
        <stp>P</stp>
        <stp>0</stp>
        <stp>STK</stp>
        <stp>N161890</stp>
        <stp>전일대비</stp>
        <stp/>
        <stp/>
        <tr r="J193" s="3"/>
        <tr r="J245" s="1"/>
      </tp>
      <tp>
        <v>600</v>
        <stp/>
        <stp>P</stp>
        <stp>0</stp>
        <stp>STK</stp>
        <stp>N101930</stp>
        <stp>전일대비</stp>
        <stp/>
        <stp/>
        <tr r="J522" s="1"/>
      </tp>
      <tp>
        <v>-2500</v>
        <stp/>
        <stp>P</stp>
        <stp>0</stp>
        <stp>STK</stp>
        <stp>N051900</stp>
        <stp>전일대비</stp>
        <stp/>
        <stp/>
        <tr r="J114" s="3"/>
        <tr r="J124" s="1"/>
      </tp>
      <tp>
        <v>5000</v>
        <stp/>
        <stp>P</stp>
        <stp>0</stp>
        <stp>STK</stp>
        <stp>N051910</stp>
        <stp>전일대비</stp>
        <stp/>
        <stp/>
        <tr r="J33" s="3"/>
        <tr r="J33" s="1"/>
      </tp>
      <tp>
        <v>220</v>
        <stp/>
        <stp>P</stp>
        <stp>0</stp>
        <stp>STK</stp>
        <stp>N271940</stp>
        <stp>전일대비</stp>
        <stp/>
        <stp/>
        <tr r="J481" s="1"/>
        <tr r="J298" s="3"/>
      </tp>
      <tp>
        <v>-1000</v>
        <stp/>
        <stp>P</stp>
        <stp>0</stp>
        <stp>STK</stp>
        <stp>N131970</stp>
        <stp>전일대비</stp>
        <stp/>
        <stp/>
        <tr r="J308" s="1"/>
      </tp>
      <tp>
        <v>1800</v>
        <stp/>
        <stp>P</stp>
        <stp>0</stp>
        <stp>STK</stp>
        <stp>N071970</stp>
        <stp>전일대비</stp>
        <stp/>
        <stp/>
        <tr r="J148" s="1"/>
        <tr r="J130" s="3"/>
      </tp>
      <tp>
        <v>50</v>
        <stp/>
        <stp>P</stp>
        <stp>0</stp>
        <stp>STK</stp>
        <stp>N001940</stp>
        <stp>전일대비</stp>
        <stp/>
        <stp/>
        <tr r="J328" s="3"/>
        <tr r="J551" s="1"/>
      </tp>
      <tp>
        <v>0</v>
        <stp/>
        <stp>P</stp>
        <stp>0</stp>
        <stp>STK</stp>
        <stp>N381970</stp>
        <stp>전일대비</stp>
        <stp/>
        <stp/>
        <tr r="J255" s="3"/>
        <tr r="J376" s="1"/>
      </tp>
      <tp>
        <v>-1000</v>
        <stp/>
        <stp>P</stp>
        <stp>0</stp>
        <stp>STK</stp>
        <stp>N251970</stp>
        <stp>전일대비</stp>
        <stp/>
        <stp/>
        <tr r="J393" s="1"/>
      </tp>
      <tp>
        <v>-1800</v>
        <stp/>
        <stp>P</stp>
        <stp>0</stp>
        <stp>STK</stp>
        <stp>N031980</stp>
        <stp>전일대비</stp>
        <stp/>
        <stp/>
        <tr r="J258" s="1"/>
      </tp>
      <tp>
        <v>200</v>
        <stp/>
        <stp>P</stp>
        <stp>0</stp>
        <stp>STK</stp>
        <stp>N030610</stp>
        <stp>전일대비</stp>
        <stp/>
        <stp/>
        <tr r="J213" s="3"/>
        <tr r="J286" s="1"/>
      </tp>
      <tp>
        <v>-2000</v>
        <stp/>
        <stp>P</stp>
        <stp>0</stp>
        <stp>STK</stp>
        <stp>N000660</stp>
        <stp>전일대비</stp>
        <stp/>
        <stp/>
        <tr r="J7" s="3"/>
        <tr r="J7" s="1"/>
      </tp>
      <tp>
        <v>-180</v>
        <stp/>
        <stp>P</stp>
        <stp>0</stp>
        <stp>STK</stp>
        <stp>N130660</stp>
        <stp>전일대비</stp>
        <stp/>
        <stp/>
        <tr r="J321" s="3"/>
        <tr r="J518" s="1"/>
      </tp>
      <tp>
        <v>400</v>
        <stp/>
        <stp>P</stp>
        <stp>0</stp>
        <stp>STK</stp>
        <stp>N000670</stp>
        <stp>전일대비</stp>
        <stp/>
        <stp/>
        <tr r="J231" s="3"/>
        <tr r="J321" s="1"/>
      </tp>
      <tp>
        <v>-600</v>
        <stp/>
        <stp>P</stp>
        <stp>0</stp>
        <stp>STK</stp>
        <stp>N290650</stp>
        <stp>전일대비</stp>
        <stp/>
        <stp/>
        <tr r="J266" s="1"/>
      </tp>
      <tp>
        <v>1500</v>
        <stp/>
        <stp>P</stp>
        <stp>0</stp>
        <stp>STK</stp>
        <stp>N270660</stp>
        <stp>전일대비</stp>
        <stp/>
        <stp/>
        <tr r="J539" s="1"/>
      </tp>
      <tp>
        <v>-500</v>
        <stp/>
        <stp>P</stp>
        <stp>0</stp>
        <stp>STK</stp>
        <stp>N000640</stp>
        <stp>전일대비</stp>
        <stp/>
        <stp/>
        <tr r="J394" s="1"/>
        <tr r="J264" s="3"/>
      </tp>
      <tp>
        <v>150</v>
        <stp/>
        <stp>P</stp>
        <stp>0</stp>
        <stp>STK</stp>
        <stp>N200670</stp>
        <stp>전일대비</stp>
        <stp/>
        <stp/>
        <tr r="J507" s="1"/>
      </tp>
      <tp>
        <v>700</v>
        <stp/>
        <stp>P</stp>
        <stp>0</stp>
        <stp>STK</stp>
        <stp>N180640</stp>
        <stp>전일대비</stp>
        <stp/>
        <stp/>
        <tr r="J80" s="1"/>
        <tr r="J76" s="3"/>
      </tp>
      <tp>
        <v>-90</v>
        <stp/>
        <stp>P</stp>
        <stp>0</stp>
        <stp>STK</stp>
        <stp>N010690</stp>
        <stp>전일대비</stp>
        <stp/>
        <stp/>
        <tr r="J560" s="1"/>
        <tr r="J335" s="3"/>
      </tp>
      <tp>
        <v>-120</v>
        <stp/>
        <stp>P</stp>
        <stp>0</stp>
        <stp>STK</stp>
        <stp>N060720</stp>
        <stp>전일대비</stp>
        <stp/>
        <stp/>
        <tr r="J570" s="1"/>
      </tp>
      <tp>
        <v>4200</v>
        <stp/>
        <stp>P</stp>
        <stp>0</stp>
        <stp>STK</stp>
        <stp>N000720</stp>
        <stp>전일대비</stp>
        <stp/>
        <stp/>
        <tr r="J65" s="1"/>
        <tr r="J63" s="3"/>
      </tp>
      <tp>
        <v>-600</v>
        <stp/>
        <stp>P</stp>
        <stp>0</stp>
        <stp>STK</stp>
        <stp>N420770</stp>
        <stp>전일대비</stp>
        <stp/>
        <stp/>
        <tr r="J384" s="1"/>
      </tp>
      <tp>
        <v>-300</v>
        <stp/>
        <stp>P</stp>
        <stp>0</stp>
        <stp>STK</stp>
        <stp>N200710</stp>
        <stp>전일대비</stp>
        <stp/>
        <stp/>
        <tr r="J491" s="1"/>
      </tp>
      <tp>
        <v>40</v>
        <stp/>
        <stp>P</stp>
        <stp>0</stp>
        <stp>STK</stp>
        <stp>N300720</stp>
        <stp>전일대비</stp>
        <stp/>
        <stp/>
        <tr r="J279" s="1"/>
        <tr r="J211" s="3"/>
      </tp>
      <tp>
        <v>490</v>
        <stp/>
        <stp>P</stp>
        <stp>0</stp>
        <stp>STK</stp>
        <stp>N100790</stp>
        <stp>전일대비</stp>
        <stp/>
        <stp/>
        <tr r="J390" s="1"/>
      </tp>
      <tp>
        <v>200</v>
        <stp/>
        <stp>P</stp>
        <stp>0</stp>
        <stp>STK</stp>
        <stp>N010780</stp>
        <stp>전일대비</stp>
        <stp/>
        <stp/>
        <tr r="J395" s="1"/>
        <tr r="J266" s="3"/>
      </tp>
      <tp>
        <v>4700</v>
        <stp/>
        <stp>P</stp>
        <stp>0</stp>
        <stp>STK</stp>
        <stp>N0007C0</stp>
        <stp>전일대비</stp>
        <stp/>
        <stp/>
        <tr r="J685" s="1"/>
      </tp>
      <tp>
        <v>-500</v>
        <stp/>
        <stp>P</stp>
        <stp>0</stp>
        <stp>STK</stp>
        <stp>N090430</stp>
        <stp>전일대비</stp>
        <stp/>
        <stp/>
        <tr r="J84" s="3"/>
        <tr r="J90" s="1"/>
      </tp>
      <tp>
        <v>1100</v>
        <stp/>
        <stp>P</stp>
        <stp>0</stp>
        <stp>STK</stp>
        <stp>N140410</stp>
        <stp>전일대비</stp>
        <stp/>
        <stp/>
        <tr r="J151" s="1"/>
      </tp>
      <tp>
        <v>-20</v>
        <stp/>
        <stp>P</stp>
        <stp>0</stp>
        <stp>STK</stp>
        <stp>N090460</stp>
        <stp>전일대비</stp>
        <stp/>
        <stp/>
        <tr r="J455" s="1"/>
        <tr r="J283" s="3"/>
      </tp>
      <tp>
        <v>300</v>
        <stp/>
        <stp>P</stp>
        <stp>0</stp>
        <stp>STK</stp>
        <stp>N000490</stp>
        <stp>전일대비</stp>
        <stp/>
        <stp/>
        <tr r="J628" s="1"/>
        <tr r="J360" s="3"/>
      </tp>
      <tp>
        <v>250</v>
        <stp/>
        <stp>P</stp>
        <stp>0</stp>
        <stp>STK</stp>
        <stp>N030520</stp>
        <stp>전일대비</stp>
        <stp/>
        <stp/>
        <tr r="J454" s="1"/>
      </tp>
      <tp>
        <v>-400</v>
        <stp/>
        <stp>P</stp>
        <stp>0</stp>
        <stp>STK</stp>
        <stp>N030530</stp>
        <stp>전일대비</stp>
        <stp/>
        <stp/>
        <tr r="J146" s="1"/>
      </tp>
      <tp>
        <v>200</v>
        <stp/>
        <stp>P</stp>
        <stp>0</stp>
        <stp>STK</stp>
        <stp>N000500</stp>
        <stp>전일대비</stp>
        <stp/>
        <stp/>
        <tr r="J196" s="3"/>
        <tr r="J249" s="1"/>
      </tp>
      <tp>
        <v>-100</v>
        <stp/>
        <stp>P</stp>
        <stp>0</stp>
        <stp>STK</stp>
        <stp>N190510</stp>
        <stp>전일대비</stp>
        <stp/>
        <stp/>
        <tr r="J579" s="1"/>
      </tp>
      <tp>
        <v>-10</v>
        <stp/>
        <stp>P</stp>
        <stp>0</stp>
        <stp>STK</stp>
        <stp>N020560</stp>
        <stp>전일대비</stp>
        <stp/>
        <stp/>
        <tr r="J192" s="3"/>
        <tr r="J243" s="1"/>
      </tp>
      <tp>
        <v>150</v>
        <stp/>
        <stp>P</stp>
        <stp>0</stp>
        <stp>STK</stp>
        <stp>N380550</stp>
        <stp>전일대비</stp>
        <stp/>
        <stp/>
        <tr r="J660" s="1"/>
      </tp>
      <tp>
        <v>550</v>
        <stp/>
        <stp>P</stp>
        <stp>0</stp>
        <stp>STK</stp>
        <stp>N340570</stp>
        <stp>전일대비</stp>
        <stp/>
        <stp/>
        <tr r="J572" s="1"/>
      </tp>
      <tp>
        <v>3800</v>
        <stp/>
        <stp>P</stp>
        <stp>0</stp>
        <stp>STK</stp>
        <stp>N310210</stp>
        <stp>전일대비</stp>
        <stp/>
        <stp/>
        <tr r="J145" s="1"/>
      </tp>
      <tp>
        <v>450</v>
        <stp/>
        <stp>P</stp>
        <stp>0</stp>
        <stp>STK</stp>
        <stp>N080220</stp>
        <stp>전일대비</stp>
        <stp/>
        <stp/>
        <tr r="J304" s="1"/>
      </tp>
      <tp>
        <v>200</v>
        <stp/>
        <stp>P</stp>
        <stp>0</stp>
        <stp>STK</stp>
        <stp>N030200</stp>
        <stp>전일대비</stp>
        <stp/>
        <stp/>
        <tr r="J59" s="1"/>
        <tr r="J57" s="3"/>
      </tp>
      <tp>
        <v>500</v>
        <stp/>
        <stp>P</stp>
        <stp>0</stp>
        <stp>STK</stp>
        <stp>N000210</stp>
        <stp>전일대비</stp>
        <stp/>
        <stp/>
        <tr r="J250" s="3"/>
        <tr r="J365" s="1"/>
      </tp>
      <tp>
        <v>-2500</v>
        <stp/>
        <stp>P</stp>
        <stp>0</stp>
        <stp>STK</stp>
        <stp>N000270</stp>
        <stp>전일대비</stp>
        <stp/>
        <stp/>
        <tr r="J11" s="1"/>
        <tr r="J12" s="3"/>
      </tp>
      <tp>
        <v>-50</v>
        <stp/>
        <stp>P</stp>
        <stp>0</stp>
        <stp>STK</stp>
        <stp>N000240</stp>
        <stp>전일대비</stp>
        <stp/>
        <stp/>
        <tr r="J171" s="1"/>
        <tr r="J145" s="3"/>
      </tp>
      <tp>
        <v>120</v>
        <stp/>
        <stp>P</stp>
        <stp>0</stp>
        <stp>STK</stp>
        <stp>N060250</stp>
        <stp>전일대비</stp>
        <stp/>
        <stp/>
        <tr r="J437" s="1"/>
      </tp>
      <tp>
        <v>23000</v>
        <stp/>
        <stp>P</stp>
        <stp>0</stp>
        <stp>STK</stp>
        <stp>N000250</stp>
        <stp>전일대비</stp>
        <stp/>
        <stp/>
        <tr r="J97" s="1"/>
      </tp>
      <tp>
        <v>10</v>
        <stp/>
        <stp>P</stp>
        <stp>0</stp>
        <stp>STK</stp>
        <stp>N060280</stp>
        <stp>전일대비</stp>
        <stp/>
        <stp/>
        <tr r="J346" s="1"/>
      </tp>
      <tp>
        <v>850</v>
        <stp/>
        <stp>P</stp>
        <stp>0</stp>
        <stp>STK</stp>
        <stp>N000320</stp>
        <stp>전일대비</stp>
        <stp/>
        <stp/>
        <tr r="J654" s="1"/>
        <tr r="J365" s="3"/>
      </tp>
      <tp>
        <v>-1700</v>
        <stp/>
        <stp>P</stp>
        <stp>0</stp>
        <stp>STK</stp>
        <stp>N090360</stp>
        <stp>전일대비</stp>
        <stp/>
        <stp/>
        <tr r="J329" s="1"/>
      </tp>
      <tp>
        <v>-200</v>
        <stp/>
        <stp>P</stp>
        <stp>0</stp>
        <stp>STK</stp>
        <stp>N060370</stp>
        <stp>전일대비</stp>
        <stp/>
        <stp/>
        <tr r="J253" s="1"/>
      </tp>
      <tp>
        <v>60</v>
        <stp/>
        <stp>P</stp>
        <stp>0</stp>
        <stp>STK</stp>
        <stp>N230360</stp>
        <stp>전일대비</stp>
        <stp/>
        <stp/>
        <tr r="J482" s="1"/>
      </tp>
      <tp>
        <v>100</v>
        <stp/>
        <stp>P</stp>
        <stp>0</stp>
        <stp>STK</stp>
        <stp>N280360</stp>
        <stp>전일대비</stp>
        <stp/>
        <stp/>
        <tr r="J224" s="3"/>
        <tr r="J307" s="1"/>
      </tp>
      <tp>
        <v>30</v>
        <stp/>
        <stp>P</stp>
        <stp>0</stp>
        <stp>STK</stp>
        <stp>N020000</stp>
        <stp>전일대비</stp>
        <stp/>
        <stp/>
        <tr r="J584" s="1"/>
        <tr r="J337" s="3"/>
      </tp>
      <tp>
        <v>50</v>
        <stp/>
        <stp>P</stp>
        <stp>0</stp>
        <stp>STK</stp>
        <stp>N030000</stp>
        <stp>전일대비</stp>
        <stp/>
        <stp/>
        <tr r="J184" s="1"/>
        <tr r="J156" s="3"/>
      </tp>
      <tp>
        <v>7000</v>
        <stp/>
        <stp>P</stp>
        <stp>0</stp>
        <stp>STK</stp>
        <stp>N010060</stp>
        <stp>전일대비</stp>
        <stp/>
        <stp/>
        <tr r="J165" s="3"/>
        <tr r="J199" s="1"/>
      </tp>
      <tp>
        <v>400</v>
        <stp/>
        <stp>P</stp>
        <stp>0</stp>
        <stp>STK</stp>
        <stp>N000070</stp>
        <stp>전일대비</stp>
        <stp/>
        <stp/>
        <tr r="J311" s="3"/>
        <tr r="J502" s="1"/>
      </tp>
      <tp>
        <v>430</v>
        <stp/>
        <stp>P</stp>
        <stp>0</stp>
        <stp>STK</stp>
        <stp>N300080</stp>
        <stp>전일대비</stp>
        <stp/>
        <stp/>
        <tr r="J662" s="1"/>
      </tp>
      <tp>
        <v>-10</v>
        <stp/>
        <stp>P</stp>
        <stp>0</stp>
        <stp>STK</stp>
        <stp>N000080</stp>
        <stp>전일대비</stp>
        <stp/>
        <stp/>
        <tr r="J208" s="3"/>
        <tr r="J274" s="1"/>
      </tp>
      <tp>
        <v>310</v>
        <stp/>
        <stp>P</stp>
        <stp>0</stp>
        <stp>STK</stp>
        <stp>N100090</stp>
        <stp>전일대비</stp>
        <stp/>
        <stp/>
        <tr r="J282" s="1"/>
        <tr r="J212" s="3"/>
      </tp>
      <tp>
        <v>-300</v>
        <stp/>
        <stp>P</stp>
        <stp>0</stp>
        <stp>STK</stp>
        <stp>N450080</stp>
        <stp>전일대비</stp>
        <stp/>
        <stp/>
        <tr r="J109" s="3"/>
        <tr r="J121" s="1"/>
      </tp>
      <tp>
        <v>250</v>
        <stp/>
        <stp>P</stp>
        <stp>0</stp>
        <stp>STK</stp>
        <stp>N220100</stp>
        <stp>전일대비</stp>
        <stp/>
        <stp/>
        <tr r="J458" s="1"/>
      </tp>
      <tp>
        <v>-200</v>
        <stp/>
        <stp>P</stp>
        <stp>0</stp>
        <stp>STK</stp>
        <stp>N000120</stp>
        <stp>전일대비</stp>
        <stp/>
        <stp/>
        <tr r="J194" s="1"/>
        <tr r="J159" s="3"/>
      </tp>
      <tp>
        <v>-12000</v>
        <stp/>
        <stp>P</stp>
        <stp>0</stp>
        <stp>STK</stp>
        <stp>N010120</stp>
        <stp>전일대비</stp>
        <stp/>
        <stp/>
        <tr r="J55" s="3"/>
        <tr r="J55" s="1"/>
      </tp>
      <tp>
        <v>-4000</v>
        <stp/>
        <stp>P</stp>
        <stp>0</stp>
        <stp>STK</stp>
        <stp>N010130</stp>
        <stp>전일대비</stp>
        <stp/>
        <stp/>
        <tr r="J25" s="1"/>
        <tr r="J25" s="3"/>
      </tp>
      <tp>
        <v>700</v>
        <stp/>
        <stp>P</stp>
        <stp>0</stp>
        <stp>STK</stp>
        <stp>N120110</stp>
        <stp>전일대비</stp>
        <stp/>
        <stp/>
        <tr r="J277" s="1"/>
        <tr r="J207" s="3"/>
      </tp>
      <tp>
        <v>1100</v>
        <stp/>
        <stp>P</stp>
        <stp>0</stp>
        <stp>STK</stp>
        <stp>N000100</stp>
        <stp>전일대비</stp>
        <stp/>
        <stp/>
        <tr r="J78" s="3"/>
        <tr r="J84" s="1"/>
      </tp>
      <tp>
        <v>70</v>
        <stp/>
        <stp>P</stp>
        <stp>0</stp>
        <stp>STK</stp>
        <stp>N200130</stp>
        <stp>전일대비</stp>
        <stp/>
        <stp/>
        <tr r="J562" s="1"/>
      </tp>
      <tp>
        <v>650</v>
        <stp/>
        <stp>P</stp>
        <stp>0</stp>
        <stp>STK</stp>
        <stp>N010140</stp>
        <stp>전일대비</stp>
        <stp/>
        <stp/>
        <tr r="J31" s="3"/>
        <tr r="J30" s="1"/>
      </tp>
      <tp>
        <v>-1250</v>
        <stp/>
        <stp>P</stp>
        <stp>0</stp>
        <stp>STK</stp>
        <stp>N020150</stp>
        <stp>전일대비</stp>
        <stp/>
        <stp/>
        <tr r="J225" s="1"/>
        <tr r="J170" s="3"/>
      </tp>
      <tp>
        <v>7000</v>
        <stp/>
        <stp>P</stp>
        <stp>0</stp>
        <stp>STK</stp>
        <stp>N000150</stp>
        <stp>전일대비</stp>
        <stp/>
        <stp/>
        <tr r="J56" s="3"/>
        <tr r="J61" s="1"/>
      </tp>
      <tp>
        <v>600</v>
        <stp/>
        <stp>P</stp>
        <stp>0</stp>
        <stp>STK</stp>
        <stp>N160190</stp>
        <stp>전일대비</stp>
        <stp/>
        <stp/>
        <tr r="J190" s="1"/>
      </tp>
      <tp>
        <v>160</v>
        <stp/>
        <stp>P</stp>
        <stp>0</stp>
        <stp>STK</stp>
        <stp>N030190</stp>
        <stp>전일대비</stp>
        <stp/>
        <stp/>
        <tr r="J229" s="3"/>
        <tr r="J314" s="1"/>
      </tp>
      <tp>
        <v>120</v>
        <stp/>
        <stp>P</stp>
        <stp>0</stp>
        <stp>STK</stp>
        <stp>N460860</stp>
        <stp>전일대비</stp>
        <stp/>
        <stp/>
        <tr r="J533" s="1"/>
        <tr r="J319" s="3"/>
      </tp>
      <tp>
        <v>0</v>
        <stp/>
        <stp>P</stp>
        <stp>0</stp>
        <stp>STK</stp>
        <stp>N240810</stp>
        <stp>전일대비</stp>
        <stp/>
        <stp/>
        <tr r="J130" s="1"/>
      </tp>
      <tp>
        <v>-1500</v>
        <stp/>
        <stp>P</stp>
        <stp>0</stp>
        <stp>STK</stp>
        <stp>N000810</stp>
        <stp>전일대비</stp>
        <stp/>
        <stp/>
        <tr r="J35" s="3"/>
        <tr r="J35" s="1"/>
      </tp>
      <tp>
        <v>-1000</v>
        <stp/>
        <stp>P</stp>
        <stp>0</stp>
        <stp>STK</stp>
        <stp>N140860</stp>
        <stp>전일대비</stp>
        <stp/>
        <stp/>
        <tr r="J238" s="1"/>
      </tp>
      <tp>
        <v>-150</v>
        <stp/>
        <stp>P</stp>
        <stp>0</stp>
        <stp>STK</stp>
        <stp>N100840</stp>
        <stp>전일대비</stp>
        <stp/>
        <stp/>
        <tr r="J245" s="3"/>
        <tr r="J347" s="1"/>
      </tp>
      <tp>
        <v>-220</v>
        <stp/>
        <stp>P</stp>
        <stp>0</stp>
        <stp>STK</stp>
        <stp>N200880</stp>
        <stp>전일대비</stp>
        <stp/>
        <stp/>
        <tr r="J317" s="3"/>
        <tr r="J503" s="1"/>
      </tp>
      <tp>
        <v>2900</v>
        <stp/>
        <stp>P</stp>
        <stp>0</stp>
        <stp>STK</stp>
        <stp>N000880</stp>
        <stp>전일대비</stp>
        <stp/>
        <stp/>
        <tr r="J74" s="3"/>
        <tr r="J76" s="1"/>
      </tp>
      <tp>
        <v>60</v>
        <stp/>
        <stp>P</stp>
        <stp>0</stp>
        <stp>STK</stp>
        <stp>N050890</stp>
        <stp>전일대비</stp>
        <stp/>
        <stp/>
        <tr r="J493" s="1"/>
      </tp>
      <tp>
        <v>200</v>
        <stp/>
        <stp>P</stp>
        <stp>0</stp>
        <stp>STK</stp>
        <stp>N0008Z0</stp>
        <stp>전일대비</stp>
        <stp/>
        <stp/>
        <tr r="J610" s="1"/>
      </tp>
      <tp>
        <v>0</v>
        <stp/>
        <stp>P</stp>
        <stp>0</stp>
        <stp>STK</stp>
        <stp>N170900</stp>
        <stp>전일대비</stp>
        <stp/>
        <stp/>
        <tr r="J310" s="3"/>
        <tr r="J496" s="1"/>
      </tp>
      <tp>
        <v>60</v>
        <stp/>
        <stp>P</stp>
        <stp>0</stp>
        <stp>STK</stp>
        <stp>N450950</stp>
        <stp>전일대비</stp>
        <stp/>
        <stp/>
        <tr r="J498" s="1"/>
      </tp>
      <tp>
        <v>130</v>
        <stp/>
        <stp>P</stp>
        <stp>0</stp>
        <stp>STK</stp>
        <stp>N460930</stp>
        <stp>전일대비</stp>
        <stp/>
        <stp/>
        <tr r="J396" s="1"/>
      </tp>
      <tp>
        <v>-900</v>
        <stp/>
        <stp>P</stp>
        <stp>0</stp>
        <stp>STK</stp>
        <stp>N010950</stp>
        <stp>전일대비</stp>
        <stp/>
        <stp/>
        <tr r="J69" s="1"/>
        <tr r="J66" s="3"/>
      </tp>
      <tp>
        <v>-150</v>
        <stp/>
        <stp>P</stp>
        <stp>0</stp>
        <stp>STK</stp>
        <stp>N060980</stp>
        <stp>전일대비</stp>
        <stp/>
        <stp/>
        <tr r="J312" s="3"/>
        <tr r="J505" s="1"/>
      </tp>
      <tp>
        <v>60</v>
        <stp/>
        <stp>P</stp>
        <stp>0</stp>
        <stp>STK</stp>
        <stp>N110990</stp>
        <stp>전일대비</stp>
        <stp/>
        <stp/>
        <tr r="J583" s="1"/>
      </tp>
      <tp>
        <v>0</v>
        <stp/>
        <stp>P</stp>
        <stp>0</stp>
        <stp>STK</stp>
        <stp>N000990</stp>
        <stp>전일대비</stp>
        <stp/>
        <stp/>
        <tr r="J113" s="3"/>
        <tr r="J125" s="1"/>
      </tp>
      <tp>
        <v>0</v>
        <stp/>
        <stp>P</stp>
        <stp>0</stp>
        <stp>STK</stp>
        <stp>N0009K0</stp>
        <stp>전일대비</stp>
        <stp/>
        <stp/>
        <tr r="J143" s="1"/>
      </tp>
      <tp>
        <v>-500</v>
        <stp/>
        <stp>P</stp>
        <stp>0</stp>
        <stp>STK</stp>
        <stp>N053610</stp>
        <stp>전일대비</stp>
        <stp/>
        <stp/>
        <tr r="J538" s="1"/>
      </tp>
      <tp>
        <v>100</v>
        <stp/>
        <stp>P</stp>
        <stp>0</stp>
        <stp>STK</stp>
        <stp>N483650</stp>
        <stp>전일대비</stp>
        <stp/>
        <stp/>
        <tr r="J177" s="3"/>
        <tr r="J233" s="1"/>
      </tp>
      <tp>
        <v>-2000</v>
        <stp/>
        <stp>P</stp>
        <stp>0</stp>
        <stp>STK</stp>
        <stp>N003670</stp>
        <stp>전일대비</stp>
        <stp/>
        <stp/>
        <tr r="J46" s="1"/>
        <tr r="J43" s="3"/>
      </tp>
      <tp>
        <v>40</v>
        <stp/>
        <stp>P</stp>
        <stp>0</stp>
        <stp>STK</stp>
        <stp>N033640</stp>
        <stp>전일대비</stp>
        <stp/>
        <stp/>
        <tr r="J561" s="1"/>
      </tp>
      <tp>
        <v>-1200</v>
        <stp/>
        <stp>P</stp>
        <stp>0</stp>
        <stp>STK</stp>
        <stp>N083650</stp>
        <stp>전일대비</stp>
        <stp/>
        <stp/>
        <tr r="J212" s="1"/>
      </tp>
      <tp>
        <v>0</v>
        <stp/>
        <stp>P</stp>
        <stp>0</stp>
        <stp>STK</stp>
        <stp>N003690</stp>
        <stp>전일대비</stp>
        <stp/>
        <stp/>
        <tr r="J196" s="1"/>
        <tr r="J162" s="3"/>
      </tp>
      <tp>
        <v>650</v>
        <stp/>
        <stp>P</stp>
        <stp>0</stp>
        <stp>STK</stp>
        <stp>N263750</stp>
        <stp>전일대비</stp>
        <stp/>
        <stp/>
        <tr r="J162" s="1"/>
      </tp>
      <tp>
        <v>200</v>
        <stp/>
        <stp>P</stp>
        <stp>0</stp>
        <stp>STK</stp>
        <stp>N033780</stp>
        <stp>전일대비</stp>
        <stp/>
        <stp/>
        <tr r="J48" s="3"/>
        <tr r="J49" s="1"/>
      </tp>
      <tp>
        <v>250</v>
        <stp/>
        <stp>P</stp>
        <stp>0</stp>
        <stp>STK</stp>
        <stp>N323410</stp>
        <stp>전일대비</stp>
        <stp/>
        <stp/>
        <tr r="J69" s="3"/>
        <tr r="J72" s="1"/>
      </tp>
      <tp>
        <v>300</v>
        <stp/>
        <stp>P</stp>
        <stp>0</stp>
        <stp>STK</stp>
        <stp>N213420</stp>
        <stp>전일대비</stp>
        <stp/>
        <stp/>
        <tr r="J335" s="1"/>
      </tp>
      <tp>
        <v>350</v>
        <stp/>
        <stp>P</stp>
        <stp>0</stp>
        <stp>STK</stp>
        <stp>N253450</stp>
        <stp>전일대비</stp>
        <stp/>
        <stp/>
        <tr r="J261" s="1"/>
      </tp>
      <tp>
        <v>150</v>
        <stp/>
        <stp>P</stp>
        <stp>0</stp>
        <stp>STK</stp>
        <stp>N083450</stp>
        <stp>전일대비</stp>
        <stp/>
        <stp/>
        <tr r="J477" s="1"/>
      </tp>
      <tp>
        <v>120</v>
        <stp/>
        <stp>P</stp>
        <stp>0</stp>
        <stp>STK</stp>
        <stp>N293490</stp>
        <stp>전일대비</stp>
        <stp/>
        <stp/>
        <tr r="J273" s="1"/>
      </tp>
      <tp>
        <v>100</v>
        <stp/>
        <stp>P</stp>
        <stp>0</stp>
        <stp>STK</stp>
        <stp>N003490</stp>
        <stp>전일대비</stp>
        <stp/>
        <stp/>
        <tr r="J73" s="3"/>
        <tr r="J79" s="1"/>
      </tp>
      <tp>
        <v>350</v>
        <stp/>
        <stp>P</stp>
        <stp>0</stp>
        <stp>STK</stp>
        <stp>N093520</stp>
        <stp>전일대비</stp>
        <stp/>
        <stp/>
        <tr r="J627" s="1"/>
      </tp>
      <tp>
        <v>200</v>
        <stp/>
        <stp>P</stp>
        <stp>0</stp>
        <stp>STK</stp>
        <stp>N023530</stp>
        <stp>전일대비</stp>
        <stp/>
        <stp/>
        <tr r="J163" s="3"/>
        <tr r="J200" s="1"/>
      </tp>
      <tp>
        <v>250</v>
        <stp/>
        <stp>P</stp>
        <stp>0</stp>
        <stp>STK</stp>
        <stp>N033500</stp>
        <stp>전일대비</stp>
        <stp/>
        <stp/>
        <tr r="J344" s="1"/>
      </tp>
      <tp>
        <v>0</v>
        <stp/>
        <stp>P</stp>
        <stp>0</stp>
        <stp>STK</stp>
        <stp>N403550</stp>
        <stp>전일대비</stp>
        <stp/>
        <stp/>
        <tr r="J322" s="3"/>
        <tr r="J537" s="1"/>
      </tp>
      <tp>
        <v>350</v>
        <stp/>
        <stp>P</stp>
        <stp>0</stp>
        <stp>STK</stp>
        <stp>N003570</stp>
        <stp>전일대비</stp>
        <stp/>
        <stp/>
        <tr r="J234" s="1"/>
        <tr r="J186" s="3"/>
      </tp>
      <tp>
        <v>350</v>
        <stp/>
        <stp>P</stp>
        <stp>0</stp>
        <stp>STK</stp>
        <stp>N003540</stp>
        <stp>전일대비</stp>
        <stp/>
        <stp/>
        <tr r="J259" s="1"/>
        <tr r="J200" s="3"/>
      </tp>
      <tp>
        <v>300</v>
        <stp/>
        <stp>P</stp>
        <stp>0</stp>
        <stp>STK</stp>
        <stp>N003550</stp>
        <stp>전일대비</stp>
        <stp/>
        <stp/>
        <tr r="J58" s="3"/>
        <tr r="J62" s="1"/>
      </tp>
      <tp>
        <v>10</v>
        <stp/>
        <stp>P</stp>
        <stp>0</stp>
        <stp>STK</stp>
        <stp>N253590</stp>
        <stp>전일대비</stp>
        <stp/>
        <stp/>
        <tr r="J474" s="1"/>
      </tp>
      <tp>
        <v>-600</v>
        <stp/>
        <stp>P</stp>
        <stp>0</stp>
        <stp>STK</stp>
        <stp>N103590</stp>
        <stp>전일대비</stp>
        <stp/>
        <stp/>
        <tr r="J154" s="1"/>
        <tr r="J134" s="3"/>
      </tp>
      <tp>
        <v>350</v>
        <stp/>
        <stp>P</stp>
        <stp>0</stp>
        <stp>STK</stp>
        <stp>N023590</stp>
        <stp>전일대비</stp>
        <stp/>
        <stp/>
        <tr r="J222" s="1"/>
        <tr r="J182" s="3"/>
      </tp>
      <tp>
        <v>90</v>
        <stp/>
        <stp>P</stp>
        <stp>0</stp>
        <stp>STK</stp>
        <stp>N003220</stp>
        <stp>전일대비</stp>
        <stp/>
        <stp/>
        <tr r="J667" s="1"/>
        <tr r="J370" s="3"/>
      </tp>
      <tp>
        <v>-700</v>
        <stp/>
        <stp>P</stp>
        <stp>0</stp>
        <stp>STK</stp>
        <stp>N353200</stp>
        <stp>전일대비</stp>
        <stp/>
        <stp/>
        <tr r="J153" s="3"/>
        <tr r="J176" s="1"/>
      </tp>
      <tp>
        <v>20000</v>
        <stp/>
        <stp>P</stp>
        <stp>0</stp>
        <stp>STK</stp>
        <stp>N003230</stp>
        <stp>전일대비</stp>
        <stp/>
        <stp/>
        <tr r="J71" s="3"/>
        <tr r="J77" s="1"/>
      </tp>
      <tp>
        <v>0</v>
        <stp/>
        <stp>P</stp>
        <stp>0</stp>
        <stp>STK</stp>
        <stp>N003200</stp>
        <stp>전일대비</stp>
        <stp/>
        <stp/>
        <tr r="J358" s="3"/>
        <tr r="J618" s="1"/>
      </tp>
      <tp>
        <v>5500</v>
        <stp/>
        <stp>P</stp>
        <stp>0</stp>
        <stp>STK</stp>
        <stp>N373220</stp>
        <stp>전일대비</stp>
        <stp/>
        <stp/>
        <tr r="J9" s="3"/>
        <tr r="J9" s="1"/>
      </tp>
      <tp>
        <v>400</v>
        <stp/>
        <stp>P</stp>
        <stp>0</stp>
        <stp>STK</stp>
        <stp>N383220</stp>
        <stp>전일대비</stp>
        <stp/>
        <stp/>
        <tr r="J147" s="3"/>
        <tr r="J175" s="1"/>
      </tp>
      <tp>
        <v>60</v>
        <stp/>
        <stp>P</stp>
        <stp>0</stp>
        <stp>STK</stp>
        <stp>N033270</stp>
        <stp>전일대비</stp>
        <stp/>
        <stp/>
        <tr r="J625" s="1"/>
        <tr r="J356" s="3"/>
      </tp>
      <tp>
        <v>0</v>
        <stp/>
        <stp>P</stp>
        <stp>0</stp>
        <stp>STK</stp>
        <stp>N073240</stp>
        <stp>전일대비</stp>
        <stp/>
        <stp/>
        <tr r="J224" s="1"/>
        <tr r="J180" s="3"/>
      </tp>
      <tp>
        <v>-100</v>
        <stp/>
        <stp>P</stp>
        <stp>0</stp>
        <stp>STK</stp>
        <stp>N033240</stp>
        <stp>전일대비</stp>
        <stp/>
        <stp/>
        <tr r="J461" s="1"/>
        <tr r="J297" s="3"/>
      </tp>
      <tp>
        <v>25000</v>
        <stp/>
        <stp>P</stp>
        <stp>0</stp>
        <stp>STK</stp>
        <stp>N003240</stp>
        <stp>전일대비</stp>
        <stp/>
        <stp/>
        <tr r="J239" s="3"/>
        <tr r="J341" s="1"/>
      </tp>
      <tp>
        <v>-150</v>
        <stp/>
        <stp>P</stp>
        <stp>0</stp>
        <stp>STK</stp>
        <stp>N323280</stp>
        <stp>전일대비</stp>
        <stp/>
        <stp/>
        <tr r="J255" s="1"/>
      </tp>
      <tp>
        <v>150</v>
        <stp/>
        <stp>P</stp>
        <stp>0</stp>
        <stp>STK</stp>
        <stp>N383310</stp>
        <stp>전일대비</stp>
        <stp/>
        <stp/>
        <tr r="J476" s="1"/>
      </tp>
      <tp>
        <v>-1400</v>
        <stp/>
        <stp>P</stp>
        <stp>0</stp>
        <stp>STK</stp>
        <stp>N093320</stp>
        <stp>전일대비</stp>
        <stp/>
        <stp/>
        <tr r="J429" s="1"/>
      </tp>
      <tp>
        <v>0</v>
        <stp/>
        <stp>P</stp>
        <stp>0</stp>
        <stp>STK</stp>
        <stp>N453340</stp>
        <stp>전일대비</stp>
        <stp/>
        <stp/>
        <tr r="J480" s="1"/>
        <tr r="J300" s="3"/>
      </tp>
      <tp>
        <v>150</v>
        <stp/>
        <stp>P</stp>
        <stp>0</stp>
        <stp>STK</stp>
        <stp>N003300</stp>
        <stp>전일대비</stp>
        <stp/>
        <stp/>
        <tr r="J303" s="3"/>
        <tr r="J489" s="1"/>
      </tp>
      <tp>
        <v>-800</v>
        <stp/>
        <stp>P</stp>
        <stp>0</stp>
        <stp>STK</stp>
        <stp>N183300</stp>
        <stp>전일대비</stp>
        <stp/>
        <stp/>
        <tr r="J303" s="1"/>
      </tp>
      <tp>
        <v>-70</v>
        <stp/>
        <stp>P</stp>
        <stp>0</stp>
        <stp>STK</stp>
        <stp>N043370</stp>
        <stp>전일대비</stp>
        <stp/>
        <stp/>
        <tr r="J650" s="1"/>
      </tp>
      <tp>
        <v>270</v>
        <stp/>
        <stp>P</stp>
        <stp>0</stp>
        <stp>STK</stp>
        <stp>N093370</stp>
        <stp>전일대비</stp>
        <stp/>
        <stp/>
        <tr r="J240" s="3"/>
        <tr r="J355" s="1"/>
      </tp>
      <tp>
        <v>350</v>
        <stp/>
        <stp>P</stp>
        <stp>0</stp>
        <stp>STK</stp>
        <stp>N003380</stp>
        <stp>전일대비</stp>
        <stp/>
        <stp/>
        <tr r="J276" s="1"/>
      </tp>
      <tp>
        <v>3100</v>
        <stp/>
        <stp>P</stp>
        <stp>0</stp>
        <stp>STK</stp>
        <stp>N443060</stp>
        <stp>전일대비</stp>
        <stp/>
        <stp/>
        <tr r="J79" s="3"/>
        <tr r="J83" s="1"/>
      </tp>
      <tp>
        <v>80</v>
        <stp/>
        <stp>P</stp>
        <stp>0</stp>
        <stp>STK</stp>
        <stp>N053030</stp>
        <stp>전일대비</stp>
        <stp/>
        <stp/>
        <tr r="J506" s="1"/>
      </tp>
      <tp>
        <v>600</v>
        <stp/>
        <stp>P</stp>
        <stp>0</stp>
        <stp>STK</stp>
        <stp>N003030</stp>
        <stp>전일대비</stp>
        <stp/>
        <stp/>
        <tr r="J285" s="3"/>
        <tr r="J466" s="1"/>
      </tp>
      <tp>
        <v>200</v>
        <stp/>
        <stp>P</stp>
        <stp>0</stp>
        <stp>STK</stp>
        <stp>N013030</stp>
        <stp>전일대비</stp>
        <stp/>
        <stp/>
        <tr r="J555" s="1"/>
      </tp>
      <tp>
        <v>0</v>
        <stp/>
        <stp>P</stp>
        <stp>0</stp>
        <stp>STK</stp>
        <stp>N243070</stp>
        <stp>전일대비</stp>
        <stp/>
        <stp/>
        <tr r="J611" s="1"/>
      </tp>
      <tp>
        <v>70</v>
        <stp/>
        <stp>P</stp>
        <stp>0</stp>
        <stp>STK</stp>
        <stp>N093050</stp>
        <stp>전일대비</stp>
        <stp/>
        <stp/>
        <tr r="J293" s="3"/>
        <tr r="J468" s="1"/>
      </tp>
      <tp>
        <v>100</v>
        <stp/>
        <stp>P</stp>
        <stp>0</stp>
        <stp>STK</stp>
        <stp>N003090</stp>
        <stp>전일대비</stp>
        <stp/>
        <stp/>
        <tr r="J206" s="3"/>
        <tr r="J269" s="1"/>
      </tp>
      <tp>
        <v>500</v>
        <stp/>
        <stp>P</stp>
        <stp>0</stp>
        <stp>STK</stp>
        <stp>N003120</stp>
        <stp>전일대비</stp>
        <stp/>
        <stp/>
        <tr r="J363" s="3"/>
        <tr r="J630" s="1"/>
      </tp>
      <tp>
        <v>-750</v>
        <stp/>
        <stp>P</stp>
        <stp>0</stp>
        <stp>STK</stp>
        <stp>N033100</stp>
        <stp>전일대비</stp>
        <stp/>
        <stp/>
        <tr r="J403" s="1"/>
      </tp>
      <tp>
        <v>400</v>
        <stp/>
        <stp>P</stp>
        <stp>0</stp>
        <stp>STK</stp>
        <stp>N023160</stp>
        <stp>전일대비</stp>
        <stp/>
        <stp/>
        <tr r="J386" s="1"/>
      </tp>
      <tp>
        <v>-600</v>
        <stp/>
        <stp>P</stp>
        <stp>0</stp>
        <stp>STK</stp>
        <stp>N003160</stp>
        <stp>전일대비</stp>
        <stp/>
        <stp/>
        <tr r="J342" s="1"/>
        <tr r="J242" s="3"/>
      </tp>
      <tp>
        <v>0</v>
        <stp/>
        <stp>P</stp>
        <stp>0</stp>
        <stp>STK</stp>
        <stp>N043150</stp>
        <stp>전일대비</stp>
        <stp/>
        <stp/>
        <tr r="J642" s="1"/>
      </tp>
      <tp>
        <v>800</v>
        <stp/>
        <stp>P</stp>
        <stp>0</stp>
        <stp>STK</stp>
        <stp>N103140</stp>
        <stp>전일대비</stp>
        <stp/>
        <stp/>
        <tr r="J141" s="1"/>
        <tr r="J124" s="3"/>
      </tp>
      <tp>
        <v>90</v>
        <stp/>
        <stp>P</stp>
        <stp>0</stp>
        <stp>STK</stp>
        <stp>N183190</stp>
        <stp>전일대비</stp>
        <stp/>
        <stp/>
        <tr r="J513" s="1"/>
        <tr r="J314" s="3"/>
      </tp>
      <tp>
        <v>0</v>
        <stp/>
        <stp>P</stp>
        <stp>0</stp>
        <stp>STK</stp>
        <stp>N403870</stp>
        <stp>전일대비</stp>
        <stp/>
        <stp/>
        <tr r="J157" s="1"/>
      </tp>
      <tp>
        <v>120</v>
        <stp/>
        <stp>P</stp>
        <stp>0</stp>
        <stp>STK</stp>
        <stp>N383800</stp>
        <stp>전일대비</stp>
        <stp/>
        <stp/>
        <tr r="J272" s="3"/>
        <tr r="J417" s="1"/>
      </tp>
      <tp>
        <v>400</v>
        <stp/>
        <stp>P</stp>
        <stp>0</stp>
        <stp>STK</stp>
        <stp>N053800</stp>
        <stp>전일대비</stp>
        <stp/>
        <stp/>
        <tr r="J401" s="1"/>
      </tp>
      <tp>
        <v>150</v>
        <stp/>
        <stp>P</stp>
        <stp>0</stp>
        <stp>STK</stp>
        <stp>N403850</stp>
        <stp>전일대비</stp>
        <stp/>
        <stp/>
        <tr r="J578" s="1"/>
      </tp>
      <tp>
        <v>30</v>
        <stp/>
        <stp>P</stp>
        <stp>0</stp>
        <stp>STK</stp>
        <stp>N003850</stp>
        <stp>전일대비</stp>
        <stp/>
        <stp/>
        <tr r="J366" s="1"/>
        <tr r="J254" s="3"/>
      </tp>
      <tp>
        <v>110</v>
        <stp/>
        <stp>P</stp>
        <stp>0</stp>
        <stp>STK</stp>
        <stp>N013890</stp>
        <stp>전일대비</stp>
        <stp/>
        <stp/>
        <tr r="J653" s="1"/>
        <tr r="J364" s="3"/>
      </tp>
      <tp>
        <v>350</v>
        <stp/>
        <stp>P</stp>
        <stp>0</stp>
        <stp>STK</stp>
        <stp>N003920</stp>
        <stp>전일대비</stp>
        <stp/>
        <stp/>
        <tr r="J617" s="1"/>
        <tr r="J355" s="3"/>
      </tp>
      <tp>
        <v>150</v>
        <stp/>
        <stp>P</stp>
        <stp>0</stp>
        <stp>STK</stp>
        <stp>N003960</stp>
        <stp>전일대비</stp>
        <stp/>
        <stp/>
        <tr r="J346" s="3"/>
        <tr r="J598" s="1"/>
      </tp>
      <tp>
        <v>250</v>
        <stp/>
        <stp>P</stp>
        <stp>0</stp>
        <stp>STK</stp>
        <stp>N473980</stp>
        <stp>전일대비</stp>
        <stp/>
        <stp/>
        <tr r="J646" s="1"/>
      </tp>
      <tp>
        <v>300</v>
        <stp/>
        <stp>P</stp>
        <stp>0</stp>
        <stp>STK</stp>
        <stp>N012630</stp>
        <stp>전일대비</stp>
        <stp/>
        <stp/>
        <tr r="J228" s="3"/>
        <tr r="J309" s="1"/>
      </tp>
      <tp>
        <v>650</v>
        <stp/>
        <stp>P</stp>
        <stp>0</stp>
        <stp>STK</stp>
        <stp>N112610</stp>
        <stp>전일대비</stp>
        <stp/>
        <stp/>
        <tr r="J237" s="1"/>
        <tr r="J185" s="3"/>
      </tp>
      <tp>
        <v>3500</v>
        <stp/>
        <stp>P</stp>
        <stp>0</stp>
        <stp>STK</stp>
        <stp>N042660</stp>
        <stp>전일대비</stp>
        <stp/>
        <stp/>
        <tr r="J20" s="1"/>
        <tr r="J19" s="3"/>
      </tp>
      <tp>
        <v>-70</v>
        <stp/>
        <stp>P</stp>
        <stp>0</stp>
        <stp>STK</stp>
        <stp>N032640</stp>
        <stp>전일대비</stp>
        <stp/>
        <stp/>
        <tr r="J87" s="3"/>
        <tr r="J96" s="1"/>
      </tp>
      <tp>
        <v>180</v>
        <stp/>
        <stp>P</stp>
        <stp>0</stp>
        <stp>STK</stp>
        <stp>N122640</stp>
        <stp>전일대비</stp>
        <stp/>
        <stp/>
        <tr r="J541" s="1"/>
      </tp>
      <tp>
        <v>600</v>
        <stp/>
        <stp>P</stp>
        <stp>0</stp>
        <stp>STK</stp>
        <stp>N052690</stp>
        <stp>전일대비</stp>
        <stp/>
        <stp/>
        <tr r="J104" s="1"/>
        <tr r="J99" s="3"/>
      </tp>
      <tp>
        <v>-9000</v>
        <stp/>
        <stp>P</stp>
        <stp>0</stp>
        <stp>STK</stp>
        <stp>N0126Z0</stp>
        <stp>전일대비</stp>
        <stp/>
        <stp/>
        <tr r="J57" s="1"/>
        <tr r="J54" s="3"/>
      </tp>
      <tp>
        <v>-160</v>
        <stp/>
        <stp>P</stp>
        <stp>0</stp>
        <stp>STK</stp>
        <stp>N092730</stp>
        <stp>전일대비</stp>
        <stp/>
        <stp/>
        <tr r="J645" s="1"/>
      </tp>
      <tp>
        <v>-500</v>
        <stp/>
        <stp>P</stp>
        <stp>0</stp>
        <stp>STK</stp>
        <stp>N042700</stp>
        <stp>전일대비</stp>
        <stp/>
        <stp/>
        <tr r="J51" s="1"/>
        <tr r="J51" s="3"/>
      </tp>
      <tp>
        <v>400</v>
        <stp/>
        <stp>P</stp>
        <stp>0</stp>
        <stp>STK</stp>
        <stp>N102710</stp>
        <stp>전일대비</stp>
        <stp/>
        <stp/>
        <tr r="J398" s="1"/>
      </tp>
      <tp>
        <v>700</v>
        <stp/>
        <stp>P</stp>
        <stp>0</stp>
        <stp>STK</stp>
        <stp>N072710</stp>
        <stp>전일대비</stp>
        <stp/>
        <stp/>
        <tr r="J320" s="3"/>
        <tr r="J536" s="1"/>
      </tp>
      <tp>
        <v>540</v>
        <stp/>
        <stp>P</stp>
        <stp>0</stp>
        <stp>STK</stp>
        <stp>N002710</stp>
        <stp>전일대비</stp>
        <stp/>
        <stp/>
        <tr r="J567" s="1"/>
        <tr r="J324" s="3"/>
      </tp>
      <tp>
        <v>1000</v>
        <stp/>
        <stp>P</stp>
        <stp>0</stp>
        <stp>STK</stp>
        <stp>N082740</stp>
        <stp>전일대비</stp>
        <stp/>
        <stp/>
        <tr r="J116" s="1"/>
        <tr r="J110" s="3"/>
      </tp>
      <tp>
        <v>-600</v>
        <stp/>
        <stp>P</stp>
        <stp>0</stp>
        <stp>STK</stp>
        <stp>N012750</stp>
        <stp>전일대비</stp>
        <stp/>
        <stp/>
        <tr r="J153" s="1"/>
        <tr r="J132" s="3"/>
      </tp>
      <tp>
        <v>200</v>
        <stp/>
        <stp>P</stp>
        <stp>0</stp>
        <stp>STK</stp>
        <stp>N002790</stp>
        <stp>전일대비</stp>
        <stp/>
        <stp/>
        <tr r="J207" s="1"/>
        <tr r="J166" s="3"/>
      </tp>
      <tp>
        <v>-370</v>
        <stp/>
        <stp>P</stp>
        <stp>0</stp>
        <stp>STK</stp>
        <stp>N092790</stp>
        <stp>전일대비</stp>
        <stp/>
        <stp/>
        <tr r="J607" s="1"/>
        <tr r="J351" s="3"/>
      </tp>
      <tp>
        <v>200</v>
        <stp/>
        <stp>P</stp>
        <stp>0</stp>
        <stp>STK</stp>
        <stp>N052400</stp>
        <stp>전일대비</stp>
        <stp/>
        <stp/>
        <tr r="J418" s="1"/>
      </tp>
      <tp>
        <v>0</v>
        <stp/>
        <stp>P</stp>
        <stp>0</stp>
        <stp>STK</stp>
        <stp>N192400</stp>
        <stp>전일대비</stp>
        <stp/>
        <stp/>
        <tr r="J320" s="1"/>
        <tr r="J232" s="3"/>
      </tp>
      <tp>
        <v>100</v>
        <stp/>
        <stp>P</stp>
        <stp>0</stp>
        <stp>STK</stp>
        <stp>N092460</stp>
        <stp>전일대비</stp>
        <stp/>
        <stp/>
        <tr r="J640" s="1"/>
      </tp>
      <tp>
        <v>350</v>
        <stp/>
        <stp>P</stp>
        <stp>0</stp>
        <stp>STK</stp>
        <stp>N452430</stp>
        <stp>전일대비</stp>
        <stp/>
        <stp/>
        <tr r="J658" s="1"/>
      </tp>
      <tp>
        <v>150</v>
        <stp/>
        <stp>P</stp>
        <stp>0</stp>
        <stp>STK</stp>
        <stp>N302440</stp>
        <stp>전일대비</stp>
        <stp/>
        <stp/>
        <tr r="J116" s="3"/>
        <tr r="J131" s="1"/>
      </tp>
      <tp>
        <v>-11000</v>
        <stp/>
        <stp>P</stp>
        <stp>0</stp>
        <stp>STK</stp>
        <stp>N012450</stp>
        <stp>전일대비</stp>
        <stp/>
        <stp/>
        <tr r="J11" s="3"/>
        <tr r="J12" s="1"/>
      </tp>
      <tp>
        <v>0</v>
        <stp/>
        <stp>P</stp>
        <stp>0</stp>
        <stp>STK</stp>
        <stp>N352480</stp>
        <stp>전일대비</stp>
        <stp/>
        <stp/>
        <tr r="J528" s="1"/>
      </tp>
      <tp>
        <v>-600</v>
        <stp/>
        <stp>P</stp>
        <stp>0</stp>
        <stp>STK</stp>
        <stp>N042520</stp>
        <stp>전일대비</stp>
        <stp/>
        <stp/>
        <tr r="J604" s="1"/>
      </tp>
      <tp>
        <v>20</v>
        <stp/>
        <stp>P</stp>
        <stp>0</stp>
        <stp>STK</stp>
        <stp>N032500</stp>
        <stp>전일대비</stp>
        <stp/>
        <stp/>
        <tr r="J413" s="1"/>
      </tp>
      <tp>
        <v>-400</v>
        <stp/>
        <stp>P</stp>
        <stp>0</stp>
        <stp>STK</stp>
        <stp>N012510</stp>
        <stp>전일대비</stp>
        <stp/>
        <stp/>
        <tr r="J133" s="3"/>
        <tr r="J155" s="1"/>
      </tp>
      <tp>
        <v>2500</v>
        <stp/>
        <stp>P</stp>
        <stp>0</stp>
        <stp>STK</stp>
        <stp>N272210</stp>
        <stp>전일대비</stp>
        <stp/>
        <stp/>
        <tr r="J49" s="3"/>
        <tr r="J50" s="1"/>
      </tp>
      <tp>
        <v>0</v>
        <stp/>
        <stp>P</stp>
        <stp>0</stp>
        <stp>STK</stp>
        <stp>N092230</stp>
        <stp>전일대비</stp>
        <stp/>
        <stp/>
        <tr r="J352" s="3"/>
        <tr r="J615" s="1"/>
      </tp>
      <tp>
        <v>-250</v>
        <stp/>
        <stp>P</stp>
        <stp>0</stp>
        <stp>STK</stp>
        <stp>N082270</stp>
        <stp>전일대비</stp>
        <stp/>
        <stp/>
        <tr r="J313" s="1"/>
      </tp>
      <tp>
        <v>300</v>
        <stp/>
        <stp>P</stp>
        <stp>0</stp>
        <stp>STK</stp>
        <stp>N002240</stp>
        <stp>전일대비</stp>
        <stp/>
        <stp/>
        <tr r="J426" s="1"/>
        <tr r="J277" s="3"/>
      </tp>
      <tp>
        <v>1000</v>
        <stp/>
        <stp>P</stp>
        <stp>0</stp>
        <stp>STK</stp>
        <stp>N272290</stp>
        <stp>전일대비</stp>
        <stp/>
        <stp/>
        <tr r="J469" s="1"/>
      </tp>
      <tp>
        <v>10</v>
        <stp/>
        <stp>P</stp>
        <stp>0</stp>
        <stp>STK</stp>
        <stp>N002320</stp>
        <stp>전일대비</stp>
        <stp/>
        <stp/>
        <tr r="J619" s="1"/>
        <tr r="J357" s="3"/>
      </tp>
      <tp>
        <v>-6500</v>
        <stp/>
        <stp>P</stp>
        <stp>0</stp>
        <stp>STK</stp>
        <stp>N012330</stp>
        <stp>전일대비</stp>
        <stp/>
        <stp/>
        <tr r="J21" s="3"/>
        <tr r="J19" s="1"/>
      </tp>
      <tp>
        <v>-5000</v>
        <stp/>
        <stp>P</stp>
        <stp>0</stp>
        <stp>STK</stp>
        <stp>N402340</stp>
        <stp>전일대비</stp>
        <stp/>
        <stp/>
        <tr r="J15" s="1"/>
        <tr r="J15" s="3"/>
      </tp>
      <tp>
        <v>400</v>
        <stp/>
        <stp>P</stp>
        <stp>0</stp>
        <stp>STK</stp>
        <stp>N372320</stp>
        <stp>전일대비</stp>
        <stp/>
        <stp/>
        <tr r="J400" s="1"/>
      </tp>
      <tp>
        <v>400</v>
        <stp/>
        <stp>P</stp>
        <stp>0</stp>
        <stp>STK</stp>
        <stp>N282330</stp>
        <stp>전일대비</stp>
        <stp/>
        <stp/>
        <tr r="J210" s="1"/>
        <tr r="J171" s="3"/>
      </tp>
      <tp>
        <v>-150</v>
        <stp/>
        <stp>P</stp>
        <stp>0</stp>
        <stp>STK</stp>
        <stp>N032350</stp>
        <stp>전일대비</stp>
        <stp/>
        <stp/>
        <tr r="J176" s="3"/>
        <tr r="J223" s="1"/>
      </tp>
      <tp>
        <v>14000</v>
        <stp/>
        <stp>P</stp>
        <stp>0</stp>
        <stp>STK</stp>
        <stp>N002380</stp>
        <stp>전일대비</stp>
        <stp/>
        <stp/>
        <tr r="J127" s="1"/>
        <tr r="J115" s="3"/>
      </tp>
      <tp>
        <v>1400</v>
        <stp/>
        <stp>P</stp>
        <stp>0</stp>
        <stp>STK</stp>
        <stp>N002020</stp>
        <stp>전일대비</stp>
        <stp/>
        <stp/>
        <tr r="J279" s="3"/>
        <tr r="J440" s="1"/>
      </tp>
      <tp>
        <v>4500</v>
        <stp/>
        <stp>P</stp>
        <stp>0</stp>
        <stp>STK</stp>
        <stp>N322000</stp>
        <stp>전일대비</stp>
        <stp/>
        <stp/>
        <tr r="J420" s="1"/>
        <tr r="J273" s="3"/>
      </tp>
      <tp>
        <v>-500</v>
        <stp/>
        <stp>P</stp>
        <stp>0</stp>
        <stp>STK</stp>
        <stp>N002030</stp>
        <stp>전일대비</stp>
        <stp/>
        <stp/>
        <tr r="J278" s="3"/>
        <tr r="J430" s="1"/>
      </tp>
      <tp>
        <v>200</v>
        <stp/>
        <stp>P</stp>
        <stp>0</stp>
        <stp>STK</stp>
        <stp>N042000</stp>
        <stp>전일대비</stp>
        <stp/>
        <stp/>
        <tr r="J367" s="1"/>
      </tp>
      <tp>
        <v>150</v>
        <stp/>
        <stp>P</stp>
        <stp>0</stp>
        <stp>STK</stp>
        <stp>N402030</stp>
        <stp>전일대비</stp>
        <stp/>
        <stp/>
        <tr r="J641" s="1"/>
      </tp>
      <tp>
        <v>-1200</v>
        <stp/>
        <stp>P</stp>
        <stp>0</stp>
        <stp>STK</stp>
        <stp>N062040</stp>
        <stp>전일대비</stp>
        <stp/>
        <stp/>
        <tr r="J119" s="1"/>
        <tr r="J112" s="3"/>
      </tp>
      <tp>
        <v>50</v>
        <stp/>
        <stp>P</stp>
        <stp>0</stp>
        <stp>STK</stp>
        <stp>N112040</stp>
        <stp>전일대비</stp>
        <stp/>
        <stp/>
        <tr r="J334" s="1"/>
      </tp>
      <tp>
        <v>850</v>
        <stp/>
        <stp>P</stp>
        <stp>0</stp>
        <stp>STK</stp>
        <stp>N222080</stp>
        <stp>전일대비</stp>
        <stp/>
        <stp/>
        <tr r="J438" s="1"/>
      </tp>
      <tp>
        <v>200</v>
        <stp/>
        <stp>P</stp>
        <stp>0</stp>
        <stp>STK</stp>
        <stp>N192080</stp>
        <stp>전일대비</stp>
        <stp/>
        <stp/>
        <tr r="J221" s="3"/>
        <tr r="J298" s="1"/>
      </tp>
      <tp>
        <v>-1500</v>
        <stp/>
        <stp>P</stp>
        <stp>0</stp>
        <stp>STK</stp>
        <stp>N0120G0</stp>
        <stp>전일대비</stp>
        <stp/>
        <stp/>
        <tr r="J275" s="3"/>
        <tr r="J433" s="1"/>
      </tp>
      <tp>
        <v>-150</v>
        <stp/>
        <stp>P</stp>
        <stp>0</stp>
        <stp>STK</stp>
        <stp>N022100</stp>
        <stp>전일대비</stp>
        <stp/>
        <stp/>
        <tr r="J95" s="1"/>
        <tr r="J90" s="3"/>
      </tp>
      <tp>
        <v>70</v>
        <stp/>
        <stp>P</stp>
        <stp>0</stp>
        <stp>STK</stp>
        <stp>N232140</stp>
        <stp>전일대비</stp>
        <stp/>
        <stp/>
        <tr r="J280" s="1"/>
      </tp>
      <tp>
        <v>450</v>
        <stp/>
        <stp>P</stp>
        <stp>0</stp>
        <stp>STK</stp>
        <stp>N372170</stp>
        <stp>전일대비</stp>
        <stp/>
        <stp/>
        <tr r="J677" s="1"/>
      </tp>
      <tp>
        <v>330</v>
        <stp/>
        <stp>P</stp>
        <stp>0</stp>
        <stp>STK</stp>
        <stp>N032190</stp>
        <stp>전일대비</stp>
        <stp/>
        <stp/>
        <tr r="J387" s="1"/>
      </tp>
      <tp>
        <v>-550</v>
        <stp/>
        <stp>P</stp>
        <stp>0</stp>
        <stp>STK</stp>
        <stp>N222800</stp>
        <stp>전일대비</stp>
        <stp/>
        <stp/>
        <tr r="J220" s="1"/>
      </tp>
      <tp>
        <v>50</v>
        <stp/>
        <stp>P</stp>
        <stp>0</stp>
        <stp>STK</stp>
        <stp>N462870</stp>
        <stp>전일대비</stp>
        <stp/>
        <stp/>
        <tr r="J172" s="3"/>
        <tr r="J214" s="1"/>
      </tp>
      <tp>
        <v>100</v>
        <stp/>
        <stp>P</stp>
        <stp>0</stp>
        <stp>STK</stp>
        <stp>N032830</stp>
        <stp>전일대비</stp>
        <stp/>
        <stp/>
        <tr r="J24" s="3"/>
        <tr r="J24" s="1"/>
      </tp>
      <tp>
        <v>1700</v>
        <stp/>
        <stp>P</stp>
        <stp>0</stp>
        <stp>STK</stp>
        <stp>N192820</stp>
        <stp>전일대비</stp>
        <stp/>
        <stp/>
        <tr r="J161" s="3"/>
        <tr r="J205" s="1"/>
      </tp>
      <tp>
        <v>50</v>
        <stp/>
        <stp>P</stp>
        <stp>0</stp>
        <stp>STK</stp>
        <stp>N472850</stp>
        <stp>전일대비</stp>
        <stp/>
        <stp/>
        <tr r="J637" s="1"/>
      </tp>
      <tp>
        <v>15500</v>
        <stp/>
        <stp>P</stp>
        <stp>0</stp>
        <stp>STK</stp>
        <stp>N352820</stp>
        <stp>전일대비</stp>
        <stp/>
        <stp/>
        <tr r="J56" s="1"/>
        <tr r="J53" s="3"/>
      </tp>
      <tp>
        <v>10</v>
        <stp/>
        <stp>P</stp>
        <stp>0</stp>
        <stp>STK</stp>
        <stp>N002810</stp>
        <stp>전일대비</stp>
        <stp/>
        <stp/>
        <tr r="J354" s="3"/>
        <tr r="J616" s="1"/>
      </tp>
      <tp>
        <v>800</v>
        <stp/>
        <stp>P</stp>
        <stp>0</stp>
        <stp>STK</stp>
        <stp>N122870</stp>
        <stp>전일대비</stp>
        <stp/>
        <stp/>
        <tr r="J270" s="1"/>
      </tp>
      <tp>
        <v>100</v>
        <stp/>
        <stp>P</stp>
        <stp>0</stp>
        <stp>STK</stp>
        <stp>N002840</stp>
        <stp>전일대비</stp>
        <stp/>
        <stp/>
        <tr r="J392" s="1"/>
        <tr r="J261" s="3"/>
      </tp>
      <tp>
        <v>950</v>
        <stp/>
        <stp>P</stp>
        <stp>0</stp>
        <stp>STK</stp>
        <stp>N082920</stp>
        <stp>전일대비</stp>
        <stp/>
        <stp/>
        <tr r="J328" s="1"/>
      </tp>
      <tp>
        <v>100</v>
        <stp/>
        <stp>P</stp>
        <stp>0</stp>
        <stp>STK</stp>
        <stp>N382900</stp>
        <stp>전일대비</stp>
        <stp/>
        <stp/>
        <tr r="J651" s="1"/>
      </tp>
      <tp>
        <v>0</v>
        <stp/>
        <stp>P</stp>
        <stp>0</stp>
        <stp>STK</stp>
        <stp>N002960</stp>
        <stp>전일대비</stp>
        <stp/>
        <stp/>
        <tr r="J281" s="3"/>
        <tr r="J442" s="1"/>
      </tp>
      <tp>
        <v>-150</v>
        <stp/>
        <stp>P</stp>
        <stp>0</stp>
        <stp>STK</stp>
        <stp>N102940</stp>
        <stp>전일대비</stp>
        <stp/>
        <stp/>
        <tr r="J424" s="1"/>
      </tp>
      <tp>
        <v>0</v>
        <stp/>
        <stp>P</stp>
        <stp>0</stp>
        <stp>STK</stp>
        <stp>N105630</stp>
        <stp>전일대비</stp>
        <stp/>
        <stp/>
        <tr r="J280" s="3"/>
        <tr r="J441" s="1"/>
      </tp>
      <tp>
        <v>30</v>
        <stp/>
        <stp>P</stp>
        <stp>0</stp>
        <stp>STK</stp>
        <stp>N085620</stp>
        <stp>전일대비</stp>
        <stp/>
        <stp/>
        <tr r="J190" s="3"/>
        <tr r="J241" s="1"/>
      </tp>
      <tp>
        <v>10</v>
        <stp/>
        <stp>P</stp>
        <stp>0</stp>
        <stp>STK</stp>
        <stp>N035600</stp>
        <stp>전일대비</stp>
        <stp/>
        <stp/>
        <tr r="J652" s="1"/>
      </tp>
      <tp>
        <v>-100</v>
        <stp/>
        <stp>P</stp>
        <stp>0</stp>
        <stp>STK</stp>
        <stp>N005610</stp>
        <stp>전일대비</stp>
        <stp/>
        <stp/>
        <tr r="J313" s="3"/>
        <tr r="J511" s="1"/>
      </tp>
      <tp>
        <v>700</v>
        <stp/>
        <stp>P</stp>
        <stp>0</stp>
        <stp>STK</stp>
        <stp>N095610</stp>
        <stp>전일대비</stp>
        <stp/>
        <stp/>
        <tr r="J319" s="1"/>
      </tp>
      <tp>
        <v>1050</v>
        <stp/>
        <stp>P</stp>
        <stp>0</stp>
        <stp>STK</stp>
        <stp>N065660</stp>
        <stp>전일대비</stp>
        <stp/>
        <stp/>
        <tr r="J553" s="1"/>
      </tp>
      <tp>
        <v>-80</v>
        <stp/>
        <stp>P</stp>
        <stp>0</stp>
        <stp>STK</stp>
        <stp>N085660</stp>
        <stp>전일대비</stp>
        <stp/>
        <stp/>
        <tr r="J268" s="1"/>
      </tp>
      <tp>
        <v>150</v>
        <stp/>
        <stp>P</stp>
        <stp>0</stp>
        <stp>STK</stp>
        <stp>N095660</stp>
        <stp>전일대비</stp>
        <stp/>
        <stp/>
        <tr r="J445" s="1"/>
      </tp>
      <tp>
        <v>350</v>
        <stp/>
        <stp>P</stp>
        <stp>0</stp>
        <stp>STK</stp>
        <stp>N065680</stp>
        <stp>전일대비</stp>
        <stp/>
        <stp/>
        <tr r="J635" s="1"/>
      </tp>
      <tp>
        <v>410</v>
        <stp/>
        <stp>P</stp>
        <stp>0</stp>
        <stp>STK</stp>
        <stp>N005690</stp>
        <stp>전일대비</stp>
        <stp/>
        <stp/>
        <tr r="J246" s="3"/>
        <tr r="J358" s="1"/>
      </tp>
      <tp>
        <v>3900</v>
        <stp/>
        <stp>P</stp>
        <stp>0</stp>
        <stp>STK</stp>
        <stp>N445680</stp>
        <stp>전일대비</stp>
        <stp/>
        <stp/>
        <tr r="J204" s="1"/>
      </tp>
      <tp>
        <v>0</v>
        <stp/>
        <stp>P</stp>
        <stp>0</stp>
        <stp>STK</stp>
        <stp>N035720</stp>
        <stp>전일대비</stp>
        <stp/>
        <stp/>
        <tr r="J32" s="3"/>
        <tr r="J32" s="1"/>
      </tp>
      <tp>
        <v>-200</v>
        <stp/>
        <stp>P</stp>
        <stp>0</stp>
        <stp>STK</stp>
        <stp>N145720</stp>
        <stp>전일대비</stp>
        <stp/>
        <stp/>
        <tr r="J467" s="1"/>
        <tr r="J290" s="3"/>
      </tp>
      <tp>
        <v>110</v>
        <stp/>
        <stp>P</stp>
        <stp>0</stp>
        <stp>STK</stp>
        <stp>N005710</stp>
        <stp>전일대비</stp>
        <stp/>
        <stp/>
        <tr r="J656" s="1"/>
      </tp>
      <tp>
        <v>0</v>
        <stp/>
        <stp>P</stp>
        <stp>0</stp>
        <stp>STK</stp>
        <stp>N035760</stp>
        <stp>전일대비</stp>
        <stp/>
        <stp/>
        <tr r="J260" s="1"/>
      </tp>
      <tp>
        <v>-2300</v>
        <stp/>
        <stp>P</stp>
        <stp>0</stp>
        <stp>STK</stp>
        <stp>N015760</stp>
        <stp>전일대비</stp>
        <stp/>
        <stp/>
        <tr r="J20" s="3"/>
        <tr r="J21" s="1"/>
      </tp>
      <tp>
        <v>10</v>
        <stp/>
        <stp>P</stp>
        <stp>0</stp>
        <stp>STK</stp>
        <stp>N025770</stp>
        <stp>전일대비</stp>
        <stp/>
        <stp/>
        <tr r="J633" s="1"/>
      </tp>
      <tp>
        <v>300</v>
        <stp/>
        <stp>P</stp>
        <stp>0</stp>
        <stp>STK</stp>
        <stp>N185750</stp>
        <stp>전일대비</stp>
        <stp/>
        <stp/>
        <tr r="J218" s="3"/>
        <tr r="J290" s="1"/>
      </tp>
      <tp>
        <v>-40</v>
        <stp/>
        <stp>P</stp>
        <stp>0</stp>
        <stp>STK</stp>
        <stp>N015750</stp>
        <stp>전일대비</stp>
        <stp/>
        <stp/>
        <tr r="J404" s="1"/>
      </tp>
      <tp>
        <v>1500</v>
        <stp/>
        <stp>P</stp>
        <stp>0</stp>
        <stp>STK</stp>
        <stp>N035420</stp>
        <stp>전일대비</stp>
        <stp/>
        <stp/>
        <tr r="J23" s="3"/>
        <tr r="J23" s="1"/>
      </tp>
      <tp>
        <v>440</v>
        <stp/>
        <stp>P</stp>
        <stp>0</stp>
        <stp>STK</stp>
        <stp>N005420</stp>
        <stp>전일대비</stp>
        <stp/>
        <stp/>
        <tr r="J276" s="3"/>
        <tr r="J443" s="1"/>
      </tp>
      <tp>
        <v>100</v>
        <stp/>
        <stp>P</stp>
        <stp>0</stp>
        <stp>STK</stp>
        <stp>N425420</stp>
        <stp>전일대비</stp>
        <stp/>
        <stp/>
        <tr r="J532" s="1"/>
      </tp>
      <tp>
        <v>-750</v>
        <stp/>
        <stp>P</stp>
        <stp>0</stp>
        <stp>STK</stp>
        <stp>N475400</stp>
        <stp>전일대비</stp>
        <stp/>
        <stp/>
        <tr r="J460" s="1"/>
      </tp>
      <tp>
        <v>160</v>
        <stp/>
        <stp>P</stp>
        <stp>0</stp>
        <stp>STK</stp>
        <stp>N005440</stp>
        <stp>전일대비</stp>
        <stp/>
        <stp/>
        <tr r="J204" s="3"/>
        <tr r="J265" s="1"/>
      </tp>
      <tp>
        <v>130</v>
        <stp/>
        <stp>P</stp>
        <stp>0</stp>
        <stp>STK</stp>
        <stp>N125490</stp>
        <stp>전일대비</stp>
        <stp/>
        <stp/>
        <tr r="J374" s="1"/>
      </tp>
      <tp>
        <v>24000</v>
        <stp/>
        <stp>P</stp>
        <stp>0</stp>
        <stp>STK</stp>
        <stp>N005490</stp>
        <stp>전일대비</stp>
        <stp/>
        <stp/>
        <tr r="J28" s="1"/>
        <tr r="J29" s="3"/>
      </tp>
      <tp>
        <v>50</v>
        <stp/>
        <stp>P</stp>
        <stp>0</stp>
        <stp>STK</stp>
        <stp>N475560</stp>
        <stp>전일대비</stp>
        <stp/>
        <stp/>
        <tr r="J571" s="1"/>
        <tr r="J334" s="3"/>
      </tp>
      <tp>
        <v>1200</v>
        <stp/>
        <stp>P</stp>
        <stp>0</stp>
        <stp>STK</stp>
        <stp>N375500</stp>
        <stp>전일대비</stp>
        <stp/>
        <stp/>
        <tr r="J187" s="3"/>
        <tr r="J235" s="1"/>
      </tp>
      <tp>
        <v>10</v>
        <stp/>
        <stp>P</stp>
        <stp>0</stp>
        <stp>STK</stp>
        <stp>N265520</stp>
        <stp>전일대비</stp>
        <stp/>
        <stp/>
        <tr r="J639" s="1"/>
      </tp>
      <tp>
        <v>-20</v>
        <stp/>
        <stp>P</stp>
        <stp>0</stp>
        <stp>STK</stp>
        <stp>N005500</stp>
        <stp>전일대비</stp>
        <stp/>
        <stp/>
        <tr r="J371" s="3"/>
        <tr r="J666" s="1"/>
      </tp>
      <tp>
        <v>230</v>
        <stp/>
        <stp>P</stp>
        <stp>0</stp>
        <stp>STK</stp>
        <stp>N095500</stp>
        <stp>전일대비</stp>
        <stp/>
        <stp/>
        <tr r="J596" s="1"/>
      </tp>
      <tp>
        <v>-600</v>
        <stp/>
        <stp>P</stp>
        <stp>0</stp>
        <stp>STK</stp>
        <stp>N105560</stp>
        <stp>전일대비</stp>
        <stp/>
        <stp/>
        <tr r="J16" s="1"/>
        <tr r="J16" s="3"/>
      </tp>
      <tp>
        <v>-1000</v>
        <stp/>
        <stp>P</stp>
        <stp>0</stp>
        <stp>STK</stp>
        <stp>N025540</stp>
        <stp>전일대비</stp>
        <stp/>
        <stp/>
        <tr r="J352" s="1"/>
        <tr r="J248" s="3"/>
      </tp>
      <tp>
        <v>400</v>
        <stp/>
        <stp>P</stp>
        <stp>0</stp>
        <stp>STK</stp>
        <stp>N055550</stp>
        <stp>전일대비</stp>
        <stp/>
        <stp/>
        <tr r="J22" s="3"/>
        <tr r="J22" s="1"/>
      </tp>
      <tp>
        <v>10</v>
        <stp/>
        <stp>P</stp>
        <stp>0</stp>
        <stp>STK</stp>
        <stp>N225570</stp>
        <stp>전일대비</stp>
        <stp/>
        <stp/>
        <tr r="J354" s="1"/>
      </tp>
      <tp>
        <v>350</v>
        <stp/>
        <stp>P</stp>
        <stp>0</stp>
        <stp>STK</stp>
        <stp>N075580</stp>
        <stp>전일대비</stp>
        <stp/>
        <stp/>
        <tr r="J222" s="3"/>
        <tr r="J296" s="1"/>
      </tp>
      <tp>
        <v>450</v>
        <stp/>
        <stp>P</stp>
        <stp>0</stp>
        <stp>STK</stp>
        <stp>N215200</stp>
        <stp>전일대비</stp>
        <stp/>
        <stp/>
        <tr r="J535" s="1"/>
      </tp>
      <tp>
        <v>120</v>
        <stp/>
        <stp>P</stp>
        <stp>0</stp>
        <stp>STK</stp>
        <stp>N035250</stp>
        <stp>전일대비</stp>
        <stp/>
        <stp/>
        <tr r="J118" s="3"/>
        <tr r="J128" s="1"/>
      </tp>
      <tp>
        <v>40</v>
        <stp/>
        <stp>P</stp>
        <stp>0</stp>
        <stp>STK</stp>
        <stp>N005250</stp>
        <stp>전일대비</stp>
        <stp/>
        <stp/>
        <tr r="J263" s="3"/>
        <tr r="J389" s="1"/>
      </tp>
      <tp>
        <v>-200</v>
        <stp/>
        <stp>P</stp>
        <stp>0</stp>
        <stp>STK</stp>
        <stp>N005290</stp>
        <stp>전일대비</stp>
        <stp/>
        <stp/>
        <tr r="J201" s="1"/>
      </tp>
      <tp>
        <v>250</v>
        <stp/>
        <stp>P</stp>
        <stp>0</stp>
        <stp>STK</stp>
        <stp>N175330</stp>
        <stp>전일대비</stp>
        <stp/>
        <stp/>
        <tr r="J118" s="1"/>
        <tr r="J107" s="3"/>
      </tp>
      <tp>
        <v>50</v>
        <stp/>
        <stp>P</stp>
        <stp>0</stp>
        <stp>STK</stp>
        <stp>N025320</stp>
        <stp>전일대비</stp>
        <stp/>
        <stp/>
        <tr r="J473" s="1"/>
      </tp>
      <tp>
        <v>4200</v>
        <stp/>
        <stp>P</stp>
        <stp>0</stp>
        <stp>STK</stp>
        <stp>N295310</stp>
        <stp>전일대비</stp>
        <stp/>
        <stp/>
        <tr r="J305" s="1"/>
      </tp>
      <tp>
        <v>0</v>
        <stp/>
        <stp>P</stp>
        <stp>0</stp>
        <stp>STK</stp>
        <stp>N005300</stp>
        <stp>전일대비</stp>
        <stp/>
        <stp/>
        <tr r="J281" s="1"/>
        <tr r="J210" s="3"/>
      </tp>
      <tp>
        <v>900</v>
        <stp/>
        <stp>P</stp>
        <stp>0</stp>
        <stp>STK</stp>
        <stp>N015360</stp>
        <stp>전일대비</stp>
        <stp/>
        <stp/>
        <tr r="J330" s="3"/>
        <tr r="J549" s="1"/>
      </tp>
      <tp>
        <v>-1800</v>
        <stp/>
        <stp>P</stp>
        <stp>0</stp>
        <stp>STK</stp>
        <stp>N365340</stp>
        <stp>전일대비</stp>
        <stp/>
        <stp/>
        <tr r="J419" s="1"/>
      </tp>
      <tp>
        <v>-3600</v>
        <stp/>
        <stp>P</stp>
        <stp>0</stp>
        <stp>STK</stp>
        <stp>N095340</stp>
        <stp>전일대비</stp>
        <stp/>
        <stp/>
        <tr r="J198" s="1"/>
      </tp>
      <tp>
        <v>-200</v>
        <stp/>
        <stp>P</stp>
        <stp>0</stp>
        <stp>STK</stp>
        <stp>N065350</stp>
        <stp>전일대비</stp>
        <stp/>
        <stp/>
        <tr r="J239" s="1"/>
      </tp>
      <tp>
        <v>4000</v>
        <stp/>
        <stp>P</stp>
        <stp>0</stp>
        <stp>STK</stp>
        <stp>N005380</stp>
        <stp>전일대비</stp>
        <stp/>
        <stp/>
        <tr r="J8" s="3"/>
        <tr r="J8" s="1"/>
      </tp>
      <tp>
        <v>200</v>
        <stp/>
        <stp>P</stp>
        <stp>0</stp>
        <stp>STK</stp>
        <stp>N215000</stp>
        <stp>전일대비</stp>
        <stp/>
        <stp/>
        <tr r="J592" s="1"/>
      </tp>
      <tp>
        <v>4500</v>
        <stp/>
        <stp>P</stp>
        <stp>0</stp>
        <stp>STK</stp>
        <stp>N145020</stp>
        <stp>전일대비</stp>
        <stp/>
        <stp/>
        <tr r="J158" s="1"/>
      </tp>
      <tp>
        <v>2500</v>
        <stp/>
        <stp>P</stp>
        <stp>0</stp>
        <stp>STK</stp>
        <stp>N005070</stp>
        <stp>전일대비</stp>
        <stp/>
        <stp/>
        <tr r="J195" s="3"/>
        <tr r="J252" s="1"/>
      </tp>
      <tp>
        <v>0</v>
        <stp/>
        <stp>P</stp>
        <stp>0</stp>
        <stp>STK</stp>
        <stp>N005090</stp>
        <stp>전일대비</stp>
        <stp/>
        <stp/>
        <tr r="J353" s="3"/>
        <tr r="J623" s="1"/>
      </tp>
      <tp>
        <v>50</v>
        <stp/>
        <stp>P</stp>
        <stp>0</stp>
        <stp>STK</stp>
        <stp>N445090</stp>
        <stp>전일대비</stp>
        <stp/>
        <stp/>
        <tr r="J606" s="1"/>
      </tp>
      <tp>
        <v>150</v>
        <stp/>
        <stp>P</stp>
        <stp>0</stp>
        <stp>STK</stp>
        <stp>N045100</stp>
        <stp>전일대비</stp>
        <stp/>
        <stp/>
        <tr r="J500" s="1"/>
      </tp>
      <tp>
        <v>410</v>
        <stp/>
        <stp>P</stp>
        <stp>0</stp>
        <stp>STK</stp>
        <stp>N475150</stp>
        <stp>전일대비</stp>
        <stp/>
        <stp/>
        <tr r="J399" s="1"/>
        <tr r="J267" s="3"/>
      </tp>
      <tp>
        <v>300</v>
        <stp/>
        <stp>P</stp>
        <stp>0</stp>
        <stp>STK</stp>
        <stp>N285130</stp>
        <stp>전일대비</stp>
        <stp/>
        <stp/>
        <tr r="J215" s="3"/>
        <tr r="J292" s="1"/>
      </tp>
      <tp>
        <v>50</v>
        <stp/>
        <stp>P</stp>
        <stp>0</stp>
        <stp>STK</stp>
        <stp>N035150</stp>
        <stp>전일대비</stp>
        <stp/>
        <stp/>
        <tr r="J372" s="3"/>
        <tr r="J663" s="1"/>
      </tp>
      <tp>
        <v>100</v>
        <stp/>
        <stp>P</stp>
        <stp>0</stp>
        <stp>STK</stp>
        <stp>N005180</stp>
        <stp>전일대비</stp>
        <stp/>
        <stp/>
        <tr r="J378" s="1"/>
        <tr r="J257" s="3"/>
      </tp>
      <tp>
        <v>-100</v>
        <stp/>
        <stp>P</stp>
        <stp>0</stp>
        <stp>STK</stp>
        <stp>N005830</stp>
        <stp>전일대비</stp>
        <stp/>
        <stp/>
        <tr r="J75" s="1"/>
        <tr r="J70" s="3"/>
      </tp>
      <tp>
        <v>350</v>
        <stp/>
        <stp>P</stp>
        <stp>0</stp>
        <stp>STK</stp>
        <stp>N005810</stp>
        <stp>전일대비</stp>
        <stp/>
        <stp/>
        <tr r="J446" s="1"/>
        <tr r="J284" s="3"/>
      </tp>
      <tp>
        <v>-1000</v>
        <stp/>
        <stp>P</stp>
        <stp>0</stp>
        <stp>STK</stp>
        <stp>N195870</stp>
        <stp>전일대비</stp>
        <stp/>
        <stp/>
        <tr r="J236" s="3"/>
        <tr r="J332" s="1"/>
      </tp>
      <tp>
        <v>2900</v>
        <stp/>
        <stp>P</stp>
        <stp>0</stp>
        <stp>STK</stp>
        <stp>N475830</stp>
        <stp>전일대비</stp>
        <stp/>
        <stp/>
        <tr r="J197" s="1"/>
      </tp>
      <tp>
        <v>-2000</v>
        <stp/>
        <stp>P</stp>
        <stp>0</stp>
        <stp>STK</stp>
        <stp>N005850</stp>
        <stp>전일대비</stp>
        <stp/>
        <stp/>
        <tr r="J144" s="1"/>
        <tr r="J135" s="3"/>
      </tp>
      <tp>
        <v>200</v>
        <stp/>
        <stp>P</stp>
        <stp>0</stp>
        <stp>STK</stp>
        <stp>N105840</stp>
        <stp>전일대비</stp>
        <stp/>
        <stp/>
        <tr r="J451" s="1"/>
        <tr r="J288" s="3"/>
      </tp>
      <tp>
        <v>0</v>
        <stp/>
        <stp>P</stp>
        <stp>0</stp>
        <stp>STK</stp>
        <stp>N475960</stp>
        <stp>전일대비</stp>
        <stp/>
        <stp/>
        <tr r="J428" s="1"/>
      </tp>
      <tp>
        <v>1200</v>
        <stp/>
        <stp>P</stp>
        <stp>0</stp>
        <stp>STK</stp>
        <stp>N005930</stp>
        <stp>전일대비</stp>
        <stp/>
        <stp/>
        <tr r="J6" s="1"/>
        <tr r="J6" s="3"/>
      </tp>
      <tp>
        <v>20</v>
        <stp/>
        <stp>P</stp>
        <stp>0</stp>
        <stp>STK</stp>
        <stp>N025900</stp>
        <stp>전일대비</stp>
        <stp/>
        <stp/>
        <tr r="J527" s="1"/>
      </tp>
      <tp>
        <v>550</v>
        <stp/>
        <stp>P</stp>
        <stp>0</stp>
        <stp>STK</stp>
        <stp>N035900</stp>
        <stp>전일대비</stp>
        <stp/>
        <stp/>
        <tr r="J185" s="1"/>
      </tp>
      <tp>
        <v>100</v>
        <stp/>
        <stp>P</stp>
        <stp>0</stp>
        <stp>STK</stp>
        <stp>N455900</stp>
        <stp>전일대비</stp>
        <stp/>
        <stp/>
        <tr r="J415" s="1"/>
      </tp>
      <tp>
        <v>750</v>
        <stp/>
        <stp>P</stp>
        <stp>0</stp>
        <stp>STK</stp>
        <stp>N005940</stp>
        <stp>전일대비</stp>
        <stp/>
        <stp/>
        <tr r="J85" s="1"/>
        <tr r="J80" s="3"/>
      </tp>
      <tp>
        <v>50</v>
        <stp/>
        <stp>P</stp>
        <stp>0</stp>
        <stp>STK</stp>
        <stp>N195940</stp>
        <stp>전일대비</stp>
        <stp/>
        <stp/>
        <tr r="J262" s="1"/>
      </tp>
      <tp>
        <v>350</v>
        <stp/>
        <stp>P</stp>
        <stp>0</stp>
        <stp>STK</stp>
        <stp>N145990</stp>
        <stp>전일대비</stp>
        <stp/>
        <stp/>
        <tr r="J492" s="1"/>
        <tr r="J305" s="3"/>
      </tp>
      <tp>
        <v>20</v>
        <stp/>
        <stp>P</stp>
        <stp>0</stp>
        <stp>STK</stp>
        <stp>N025980</stp>
        <stp>전일대비</stp>
        <stp/>
        <stp/>
        <tr r="J373" s="1"/>
      </tp>
      <tp>
        <v>500</v>
        <stp/>
        <stp>P</stp>
        <stp>0</stp>
        <stp>STK</stp>
        <stp>N014620</stp>
        <stp>전일대비</stp>
        <stp/>
        <stp/>
        <tr r="J361" s="1"/>
      </tp>
      <tp>
        <v>-350</v>
        <stp/>
        <stp>P</stp>
        <stp>0</stp>
        <stp>STK</stp>
        <stp>N074600</stp>
        <stp>전일대비</stp>
        <stp/>
        <stp/>
        <tr r="J405" s="1"/>
      </tp>
      <tp>
        <v>6500</v>
        <stp/>
        <stp>P</stp>
        <stp>0</stp>
        <stp>STK</stp>
        <stp>N014680</stp>
        <stp>전일대비</stp>
        <stp/>
        <stp/>
        <tr r="J129" s="3"/>
        <tr r="J152" s="1"/>
      </tp>
      <tp>
        <v>1700</v>
        <stp/>
        <stp>P</stp>
        <stp>0</stp>
        <stp>STK</stp>
        <stp>N004690</stp>
        <stp>전일대비</stp>
        <stp/>
        <stp/>
        <tr r="J291" s="3"/>
        <tr r="J465" s="1"/>
      </tp>
      <tp>
        <v>280</v>
        <stp/>
        <stp>P</stp>
        <stp>0</stp>
        <stp>STK</stp>
        <stp>N084690</stp>
        <stp>전일대비</stp>
        <stp/>
        <stp/>
        <tr r="J587" s="1"/>
        <tr r="J342" s="3"/>
      </tp>
      <tp>
        <v>20</v>
        <stp/>
        <stp>P</stp>
        <stp>0</stp>
        <stp>STK</stp>
        <stp>N024720</stp>
        <stp>전일대비</stp>
        <stp/>
        <stp/>
        <tr r="J348" s="3"/>
        <tr r="J602" s="1"/>
      </tp>
      <tp>
        <v>-500</v>
        <stp/>
        <stp>P</stp>
        <stp>0</stp>
        <stp>STK</stp>
        <stp>N034730</stp>
        <stp>전일대비</stp>
        <stp/>
        <stp/>
        <tr r="J37" s="3"/>
        <tr r="J38" s="1"/>
      </tp>
      <tp>
        <v>2500</v>
        <stp/>
        <stp>P</stp>
        <stp>0</stp>
        <stp>STK</stp>
        <stp>N004700</stp>
        <stp>전일대비</stp>
        <stp/>
        <stp/>
        <tr r="J497" s="1"/>
        <tr r="J306" s="3"/>
      </tp>
      <tp>
        <v>10</v>
        <stp/>
        <stp>P</stp>
        <stp>0</stp>
        <stp>STK</stp>
        <stp>N104700</stp>
        <stp>전일대비</stp>
        <stp/>
        <stp/>
        <tr r="J332" s="3"/>
        <tr r="J565" s="1"/>
      </tp>
      <tp>
        <v>30</v>
        <stp/>
        <stp>P</stp>
        <stp>0</stp>
        <stp>STK</stp>
        <stp>N194700</stp>
        <stp>전일대비</stp>
        <stp/>
        <stp/>
        <tr r="J668" s="1"/>
      </tp>
      <tp>
        <v>-800</v>
        <stp/>
        <stp>P</stp>
        <stp>0</stp>
        <stp>STK</stp>
        <stp>N064760</stp>
        <stp>전일대비</stp>
        <stp/>
        <stp/>
        <tr r="J215" s="1"/>
      </tp>
      <tp>
        <v>200</v>
        <stp/>
        <stp>P</stp>
        <stp>0</stp>
        <stp>STK</stp>
        <stp>N284740</stp>
        <stp>전일대비</stp>
        <stp/>
        <stp/>
        <tr r="J292" s="3"/>
        <tr r="J470" s="1"/>
      </tp>
      <tp>
        <v>1200</v>
        <stp/>
        <stp>P</stp>
        <stp>0</stp>
        <stp>STK</stp>
        <stp>N064400</stp>
        <stp>전일대비</stp>
        <stp/>
        <stp/>
        <tr r="J91" s="1"/>
        <tr r="J89" s="3"/>
      </tp>
      <tp>
        <v>200</v>
        <stp/>
        <stp>P</stp>
        <stp>0</stp>
        <stp>STK</stp>
        <stp>N214430</stp>
        <stp>전일대비</stp>
        <stp/>
        <stp/>
        <tr r="J414" s="1"/>
      </tp>
      <tp>
        <v>8000</v>
        <stp/>
        <stp>P</stp>
        <stp>0</stp>
        <stp>STK</stp>
        <stp>N214450</stp>
        <stp>전일대비</stp>
        <stp/>
        <stp/>
        <tr r="J117" s="1"/>
      </tp>
      <tp>
        <v>370</v>
        <stp/>
        <stp>P</stp>
        <stp>0</stp>
        <stp>STK</stp>
        <stp>N094480</stp>
        <stp>전일대비</stp>
        <stp/>
        <stp/>
        <tr r="J564" s="1"/>
      </tp>
      <tp>
        <v>800</v>
        <stp/>
        <stp>P</stp>
        <stp>0</stp>
        <stp>STK</stp>
        <stp>N044490</stp>
        <stp>전일대비</stp>
        <stp/>
        <stp/>
        <tr r="J391" s="1"/>
      </tp>
      <tp>
        <v>200</v>
        <stp/>
        <stp>P</stp>
        <stp>0</stp>
        <stp>STK</stp>
        <stp>N004490</stp>
        <stp>전일대비</stp>
        <stp/>
        <stp/>
        <tr r="J330" s="1"/>
        <tr r="J235" s="3"/>
      </tp>
      <tp>
        <v>400</v>
        <stp/>
        <stp>P</stp>
        <stp>0</stp>
        <stp>STK</stp>
        <stp>N194480</stp>
        <stp>전일대비</stp>
        <stp/>
        <stp/>
        <tr r="J534" s="1"/>
      </tp>
      <tp>
        <v>150</v>
        <stp/>
        <stp>P</stp>
        <stp>0</stp>
        <stp>STK</stp>
        <stp>N144510</stp>
        <stp>전일대비</stp>
        <stp/>
        <stp/>
        <tr r="J575" s="1"/>
      </tp>
      <tp>
        <v>80</v>
        <stp/>
        <stp>P</stp>
        <stp>0</stp>
        <stp>STK</stp>
        <stp>N064550</stp>
        <stp>전일대비</stp>
        <stp/>
        <stp/>
        <tr r="J613" s="1"/>
      </tp>
      <tp>
        <v>100</v>
        <stp/>
        <stp>P</stp>
        <stp>0</stp>
        <stp>STK</stp>
        <stp>N294570</stp>
        <stp>전일대비</stp>
        <stp/>
        <stp/>
        <tr r="J647" s="1"/>
      </tp>
      <tp>
        <v>130</v>
        <stp/>
        <stp>P</stp>
        <stp>0</stp>
        <stp>STK</stp>
        <stp>N484590</stp>
        <stp>전일대비</stp>
        <stp/>
        <stp/>
        <tr r="J450" s="1"/>
      </tp>
      <tp>
        <v>-10</v>
        <stp/>
        <stp>P</stp>
        <stp>0</stp>
        <stp>STK</stp>
        <stp>N034220</stp>
        <stp>전일대비</stp>
        <stp/>
        <stp/>
        <tr r="J91" s="3"/>
        <tr r="J99" s="1"/>
      </tp>
      <tp>
        <v>150</v>
        <stp/>
        <stp>P</stp>
        <stp>0</stp>
        <stp>STK</stp>
        <stp>N034230</stp>
        <stp>전일대비</stp>
        <stp/>
        <stp/>
        <tr r="J242" s="1"/>
        <tr r="J189" s="3"/>
      </tp>
      <tp>
        <v>-250</v>
        <stp/>
        <stp>P</stp>
        <stp>0</stp>
        <stp>STK</stp>
        <stp>N204270</stp>
        <stp>전일대비</stp>
        <stp/>
        <stp/>
        <tr r="J294" s="1"/>
      </tp>
      <tp>
        <v>-160</v>
        <stp/>
        <stp>P</stp>
        <stp>0</stp>
        <stp>STK</stp>
        <stp>N394280</stp>
        <stp>전일대비</stp>
        <stp/>
        <stp/>
        <tr r="J624" s="1"/>
      </tp>
      <tp>
        <v>-1900</v>
        <stp/>
        <stp>P</stp>
        <stp>0</stp>
        <stp>STK</stp>
        <stp>N204320</stp>
        <stp>전일대비</stp>
        <stp/>
        <stp/>
        <tr r="J139" s="1"/>
        <tr r="J125" s="3"/>
      </tp>
      <tp>
        <v>0</v>
        <stp/>
        <stp>P</stp>
        <stp>0</stp>
        <stp>STK</stp>
        <stp>N214320</stp>
        <stp>전일대비</stp>
        <stp/>
        <stp/>
        <tr r="J375" s="1"/>
        <tr r="J256" s="3"/>
      </tp>
      <tp>
        <v>10</v>
        <stp/>
        <stp>P</stp>
        <stp>0</stp>
        <stp>STK</stp>
        <stp>N034310</stp>
        <stp>전일대비</stp>
        <stp/>
        <stp/>
        <tr r="J304" s="3"/>
        <tr r="J488" s="1"/>
      </tp>
      <tp>
        <v>90</v>
        <stp/>
        <stp>P</stp>
        <stp>0</stp>
        <stp>STK</stp>
        <stp>N004360</stp>
        <stp>전일대비</stp>
        <stp/>
        <stp/>
        <tr r="J367" s="3"/>
        <tr r="J659" s="1"/>
      </tp>
      <tp>
        <v>-60</v>
        <stp/>
        <stp>P</stp>
        <stp>0</stp>
        <stp>STK</stp>
        <stp>N094360</stp>
        <stp>전일대비</stp>
        <stp/>
        <stp/>
        <tr r="J556" s="1"/>
      </tp>
      <tp>
        <v>40</v>
        <stp/>
        <stp>P</stp>
        <stp>0</stp>
        <stp>STK</stp>
        <stp>N194370</stp>
        <stp>전일대비</stp>
        <stp/>
        <stp/>
        <tr r="J347" s="3"/>
        <tr r="J599" s="1"/>
      </tp>
      <tp>
        <v>-500</v>
        <stp/>
        <stp>P</stp>
        <stp>0</stp>
        <stp>STK</stp>
        <stp>N004370</stp>
        <stp>전일대비</stp>
        <stp/>
        <stp/>
        <tr r="J179" s="1"/>
        <tr r="J149" s="3"/>
      </tp>
      <tp>
        <v>-900</v>
        <stp/>
        <stp>P</stp>
        <stp>0</stp>
        <stp>STK</stp>
        <stp>N084370</stp>
        <stp>전일대비</stp>
        <stp/>
        <stp/>
        <tr r="J219" s="1"/>
      </tp>
      <tp>
        <v>-1000</v>
        <stp/>
        <stp>P</stp>
        <stp>0</stp>
        <stp>STK</stp>
        <stp>N064350</stp>
        <stp>전일대비</stp>
        <stp/>
        <stp/>
        <tr r="J34" s="3"/>
        <tr r="J34" s="1"/>
      </tp>
      <tp>
        <v>100</v>
        <stp/>
        <stp>P</stp>
        <stp>0</stp>
        <stp>STK</stp>
        <stp>N304360</stp>
        <stp>전일대비</stp>
        <stp/>
        <stp/>
        <tr r="J557" s="1"/>
      </tp>
      <tp>
        <v>-300</v>
        <stp/>
        <stp>P</stp>
        <stp>0</stp>
        <stp>STK</stp>
        <stp>N214370</stp>
        <stp>전일대비</stp>
        <stp/>
        <stp/>
        <tr r="J126" s="1"/>
      </tp>
      <tp>
        <v>200</v>
        <stp/>
        <stp>P</stp>
        <stp>0</stp>
        <stp>STK</stp>
        <stp>N034020</stp>
        <stp>전일대비</stp>
        <stp/>
        <stp/>
        <tr r="J14" s="1"/>
        <tr r="J14" s="3"/>
      </tp>
      <tp>
        <v>750</v>
        <stp/>
        <stp>P</stp>
        <stp>0</stp>
        <stp>STK</stp>
        <stp>N004020</stp>
        <stp>전일대비</stp>
        <stp/>
        <stp/>
        <tr r="J105" s="3"/>
        <tr r="J122" s="1"/>
      </tp>
      <tp>
        <v>300</v>
        <stp/>
        <stp>P</stp>
        <stp>0</stp>
        <stp>STK</stp>
        <stp>N004000</stp>
        <stp>전일대비</stp>
        <stp/>
        <stp/>
        <tr r="J216" s="3"/>
        <tr r="J287" s="1"/>
      </tp>
      <tp>
        <v>100</v>
        <stp/>
        <stp>P</stp>
        <stp>0</stp>
        <stp>STK</stp>
        <stp>N084010</stp>
        <stp>전일대비</stp>
        <stp/>
        <stp/>
        <tr r="J684" s="1"/>
        <tr r="J378" s="3"/>
      </tp>
      <tp>
        <v>30</v>
        <stp/>
        <stp>P</stp>
        <stp>0</stp>
        <stp>STK</stp>
        <stp>N114090</stp>
        <stp>전일대비</stp>
        <stp/>
        <stp/>
        <tr r="J351" s="1"/>
        <tr r="J244" s="3"/>
      </tp>
      <tp>
        <v>20</v>
        <stp/>
        <stp>P</stp>
        <stp>0</stp>
        <stp>STK</stp>
        <stp>N034120</stp>
        <stp>전일대비</stp>
        <stp/>
        <stp/>
        <tr r="J581" s="1"/>
        <tr r="J336" s="3"/>
      </tp>
      <tp>
        <v>550</v>
        <stp/>
        <stp>P</stp>
        <stp>0</stp>
        <stp>STK</stp>
        <stp>N304100</stp>
        <stp>전일대비</stp>
        <stp/>
        <stp/>
        <tr r="J591" s="1"/>
      </tp>
      <tp>
        <v>0</v>
        <stp/>
        <stp>P</stp>
        <stp>0</stp>
        <stp>STK</stp>
        <stp>N024110</stp>
        <stp>전일대비</stp>
        <stp/>
        <stp/>
        <tr r="J52" s="1"/>
        <tr r="J50" s="3"/>
      </tp>
      <tp>
        <v>-900</v>
        <stp/>
        <stp>P</stp>
        <stp>0</stp>
        <stp>STK</stp>
        <stp>N084110</stp>
        <stp>전일대비</stp>
        <stp/>
        <stp/>
        <tr r="J423" s="1"/>
      </tp>
      <tp>
        <v>0</v>
        <stp/>
        <stp>P</stp>
        <stp>0</stp>
        <stp>STK</stp>
        <stp>N484120</stp>
        <stp>전일대비</stp>
        <stp/>
        <stp/>
        <tr r="J671" s="1"/>
      </tp>
      <tp>
        <v>-700</v>
        <stp/>
        <stp>P</stp>
        <stp>0</stp>
        <stp>STK</stp>
        <stp>N494120</stp>
        <stp>전일대비</stp>
        <stp/>
        <stp/>
        <tr r="J526" s="1"/>
      </tp>
      <tp>
        <v>1000</v>
        <stp/>
        <stp>P</stp>
        <stp>0</stp>
        <stp>STK</stp>
        <stp>N004170</stp>
        <stp>전일대비</stp>
        <stp/>
        <stp/>
        <tr r="J160" s="1"/>
        <tr r="J136" s="3"/>
      </tp>
      <tp>
        <v>700</v>
        <stp/>
        <stp>P</stp>
        <stp>0</stp>
        <stp>STK</stp>
        <stp>N214150</stp>
        <stp>전일대비</stp>
        <stp/>
        <stp/>
        <tr r="J129" s="1"/>
      </tp>
      <tp>
        <v>-400</v>
        <stp/>
        <stp>P</stp>
        <stp>0</stp>
        <stp>STK</stp>
        <stp>N094170</stp>
        <stp>전일대비</stp>
        <stp/>
        <stp/>
        <tr r="J436" s="1"/>
      </tp>
      <tp>
        <v>720</v>
        <stp/>
        <stp>P</stp>
        <stp>0</stp>
        <stp>STK</stp>
        <stp>N114190</stp>
        <stp>전일대비</stp>
        <stp/>
        <stp/>
        <tr r="J563" s="1"/>
      </tp>
      <tp>
        <v>230</v>
        <stp/>
        <stp>P</stp>
        <stp>0</stp>
        <stp>STK</stp>
        <stp>N064820</stp>
        <stp>전일대비</stp>
        <stp/>
        <stp/>
        <tr r="J548" s="1"/>
      </tp>
      <tp>
        <v>-1100</v>
        <stp/>
        <stp>P</stp>
        <stp>0</stp>
        <stp>STK</stp>
        <stp>N104830</stp>
        <stp>전일대비</stp>
        <stp/>
        <stp/>
        <tr r="J504" s="1"/>
      </tp>
      <tp>
        <v>200</v>
        <stp/>
        <stp>P</stp>
        <stp>0</stp>
        <stp>STK</stp>
        <stp>N014820</stp>
        <stp>전일대비</stp>
        <stp/>
        <stp/>
        <tr r="J381" s="1"/>
        <tr r="J252" s="3"/>
      </tp>
      <tp>
        <v>-110</v>
        <stp/>
        <stp>P</stp>
        <stp>0</stp>
        <stp>STK</stp>
        <stp>N424870</stp>
        <stp>전일대비</stp>
        <stp/>
        <stp/>
        <tr r="J353" s="1"/>
      </tp>
      <tp>
        <v>8100</v>
        <stp/>
        <stp>P</stp>
        <stp>0</stp>
        <stp>STK</stp>
        <stp>N014830</stp>
        <stp>전일대비</stp>
        <stp/>
        <stp/>
        <tr r="J299" s="3"/>
        <tr r="J484" s="1"/>
      </tp>
      <tp>
        <v>2600</v>
        <stp/>
        <stp>P</stp>
        <stp>0</stp>
        <stp>STK</stp>
        <stp>N484870</stp>
        <stp>전일대비</stp>
        <stp/>
        <stp/>
        <tr r="J203" s="3"/>
        <tr r="J256" s="1"/>
      </tp>
      <tp>
        <v>40</v>
        <stp/>
        <stp>P</stp>
        <stp>0</stp>
        <stp>STK</stp>
        <stp>N394800</stp>
        <stp>전일대비</stp>
        <stp/>
        <stp/>
        <tr r="J495" s="1"/>
      </tp>
      <tp>
        <v>1000</v>
        <stp/>
        <stp>P</stp>
        <stp>0</stp>
        <stp>STK</stp>
        <stp>N004800</stp>
        <stp>전일대비</stp>
        <stp/>
        <stp/>
        <tr r="J148" s="3"/>
        <tr r="J174" s="1"/>
      </tp>
      <tp>
        <v>-40</v>
        <stp/>
        <stp>P</stp>
        <stp>0</stp>
        <stp>STK</stp>
        <stp>N114810</stp>
        <stp>전일대비</stp>
        <stp/>
        <stp/>
        <tr r="J603" s="1"/>
      </tp>
      <tp>
        <v>300</v>
        <stp/>
        <stp>P</stp>
        <stp>0</stp>
        <stp>STK</stp>
        <stp>N344820</stp>
        <stp>전일대비</stp>
        <stp/>
        <stp/>
        <tr r="J516" s="1"/>
        <tr r="J316" s="3"/>
      </tp>
      <tp>
        <v>100</v>
        <stp/>
        <stp>P</stp>
        <stp>0</stp>
        <stp>STK</stp>
        <stp>N114840</stp>
        <stp>전일대비</stp>
        <stp/>
        <stp/>
        <tr r="J661" s="1"/>
      </tp>
      <tp>
        <v>0</v>
        <stp/>
        <stp>P</stp>
        <stp>0</stp>
        <stp>STK</stp>
        <stp>N084850</stp>
        <stp>전일대비</stp>
        <stp/>
        <stp/>
        <tr r="J695" s="1"/>
      </tp>
      <tp>
        <v>-1150</v>
        <stp/>
        <stp>P</stp>
        <stp>0</stp>
        <stp>STK</stp>
        <stp>N484810</stp>
        <stp>전일대비</stp>
        <stp/>
        <stp/>
        <tr r="J559" s="1"/>
      </tp>
      <tp>
        <v>100</v>
        <stp/>
        <stp>P</stp>
        <stp>0</stp>
        <stp>STK</stp>
        <stp>N294870</stp>
        <stp>전일대비</stp>
        <stp/>
        <stp/>
        <tr r="J264" s="1"/>
        <tr r="J202" s="3"/>
      </tp>
      <tp>
        <v>-30</v>
        <stp/>
        <stp>P</stp>
        <stp>0</stp>
        <stp>STK</stp>
        <stp>N314930</stp>
        <stp>전일대비</stp>
        <stp/>
        <stp/>
        <tr r="J573" s="1"/>
      </tp>
      <tp>
        <v>1100</v>
        <stp/>
        <stp>P</stp>
        <stp>0</stp>
        <stp>STK</stp>
        <stp>N064960</stp>
        <stp>전일대비</stp>
        <stp/>
        <stp/>
        <tr r="J226" s="3"/>
        <tr r="J299" s="1"/>
      </tp>
      <tp>
        <v>50</v>
        <stp/>
        <stp>P</stp>
        <stp>0</stp>
        <stp>STK</stp>
        <stp>N014940</stp>
        <stp>전일대비</stp>
        <stp/>
        <stp/>
        <tr r="J550" s="1"/>
      </tp>
      <tp>
        <v>50</v>
        <stp/>
        <stp>P</stp>
        <stp>0</stp>
        <stp>STK</stp>
        <stp>N054950</stp>
        <stp>전일대비</stp>
        <stp/>
        <stp/>
        <tr r="J614" s="1"/>
      </tp>
      <tp>
        <v>-1400</v>
        <stp/>
        <stp>P</stp>
        <stp>0</stp>
        <stp>STK</stp>
        <stp>N454910</stp>
        <stp>전일대비</stp>
        <stp/>
        <stp/>
        <tr r="J82" s="3"/>
        <tr r="J87" s="1"/>
      </tp>
      <tp>
        <v>0</v>
        <stp/>
        <stp>P</stp>
        <stp>0</stp>
        <stp>STK</stp>
        <stp>N034950</stp>
        <stp>전일대비</stp>
        <stp/>
        <stp/>
        <tr r="J508" s="1"/>
      </tp>
      <tp>
        <v>60</v>
        <stp/>
        <stp>P</stp>
        <stp>0</stp>
        <stp>STK</stp>
        <stp>N004980</stp>
        <stp>전일대비</stp>
        <stp/>
        <stp/>
        <tr r="J380" s="3"/>
        <tr r="J689" s="1"/>
      </tp>
      <tp>
        <v>750</v>
        <stp/>
        <stp>P</stp>
        <stp>0</stp>
        <stp>STK</stp>
        <stp>N004990</stp>
        <stp>전일대비</stp>
        <stp/>
        <stp/>
        <tr r="J150" s="1"/>
        <tr r="J131" s="3"/>
      </tp>
      <tp>
        <v>-1000</v>
        <stp/>
        <stp>P</stp>
        <stp>0</stp>
        <stp>STK</stp>
        <stp>N007660</stp>
        <stp>전일대비</stp>
        <stp/>
        <stp/>
        <tr r="J81" s="3"/>
        <tr r="J86" s="1"/>
      </tp>
      <tp>
        <v>1700</v>
        <stp/>
        <stp>P</stp>
        <stp>0</stp>
        <stp>STK</stp>
        <stp>N017670</stp>
        <stp>전일대비</stp>
        <stp/>
        <stp/>
        <tr r="J63" s="1"/>
        <tr r="J61" s="3"/>
      </tp>
      <tp>
        <v>700</v>
        <stp/>
        <stp>P</stp>
        <stp>0</stp>
        <stp>STK</stp>
        <stp>N107640</stp>
        <stp>전일대비</stp>
        <stp/>
        <stp/>
        <tr r="J524" s="1"/>
      </tp>
      <tp>
        <v>0</v>
        <stp/>
        <stp>P</stp>
        <stp>0</stp>
        <stp>STK</stp>
        <stp>N237690</stp>
        <stp>전일대비</stp>
        <stp/>
        <stp/>
        <tr r="J182" s="1"/>
      </tp>
      <tp>
        <v>450</v>
        <stp/>
        <stp>P</stp>
        <stp>0</stp>
        <stp>STK</stp>
        <stp>N007690</stp>
        <stp>전일대비</stp>
        <stp/>
        <stp/>
        <tr r="J339" s="3"/>
        <tr r="J586" s="1"/>
      </tp>
      <tp>
        <v>-600</v>
        <stp/>
        <stp>P</stp>
        <stp>0</stp>
        <stp>STK</stp>
        <stp>N117730</stp>
        <stp>전일대비</stp>
        <stp/>
        <stp/>
        <tr r="J411" s="1"/>
      </tp>
      <tp>
        <v>-200</v>
        <stp/>
        <stp>P</stp>
        <stp>0</stp>
        <stp>STK</stp>
        <stp>N257720</stp>
        <stp>전일대비</stp>
        <stp/>
        <stp/>
        <tr r="J156" s="1"/>
      </tp>
      <tp>
        <v>380</v>
        <stp/>
        <stp>P</stp>
        <stp>0</stp>
        <stp>STK</stp>
        <stp>N007700</stp>
        <stp>전일대비</stp>
        <stp/>
        <stp/>
        <tr r="J249" s="3"/>
        <tr r="J362" s="1"/>
      </tp>
      <tp>
        <v>50</v>
        <stp/>
        <stp>P</stp>
        <stp>0</stp>
        <stp>STK</stp>
        <stp>N037710</stp>
        <stp>전일대비</stp>
        <stp/>
        <stp/>
        <tr r="J673" s="1"/>
        <tr r="J374" s="3"/>
      </tp>
      <tp>
        <v>-800</v>
        <stp/>
        <stp>P</stp>
        <stp>0</stp>
        <stp>STK</stp>
        <stp>N437730</stp>
        <stp>전일대비</stp>
        <stp/>
        <stp/>
        <tr r="J192" s="1"/>
      </tp>
      <tp>
        <v>-1500</v>
        <stp/>
        <stp>P</stp>
        <stp>0</stp>
        <stp>STK</stp>
        <stp>N357780</stp>
        <stp>전일대비</stp>
        <stp/>
        <stp/>
        <tr r="J167" s="1"/>
      </tp>
      <tp>
        <v>1350</v>
        <stp/>
        <stp>P</stp>
        <stp>0</stp>
        <stp>STK</stp>
        <stp>N137400</stp>
        <stp>전일대비</stp>
        <stp/>
        <stp/>
        <tr r="J322" s="1"/>
      </tp>
      <tp>
        <v>500</v>
        <stp/>
        <stp>P</stp>
        <stp>0</stp>
        <stp>STK</stp>
        <stp>N317450</stp>
        <stp>전일대비</stp>
        <stp/>
        <stp/>
        <tr r="J339" s="1"/>
        <tr r="J238" s="3"/>
      </tp>
      <tp>
        <v>-100</v>
        <stp/>
        <stp>P</stp>
        <stp>0</stp>
        <stp>STK</stp>
        <stp>N097520</stp>
        <stp>전일대비</stp>
        <stp/>
        <stp/>
        <tr r="J447" s="1"/>
        <tr r="J287" s="3"/>
      </tp>
      <tp>
        <v>1200</v>
        <stp/>
        <stp>P</stp>
        <stp>0</stp>
        <stp>STK</stp>
        <stp>N247540</stp>
        <stp>전일대비</stp>
        <stp/>
        <stp/>
        <tr r="J54" s="1"/>
      </tp>
      <tp>
        <v>2300</v>
        <stp/>
        <stp>P</stp>
        <stp>0</stp>
        <stp>STK</stp>
        <stp>N357550</stp>
        <stp>전일대비</stp>
        <stp/>
        <stp/>
        <tr r="J609" s="1"/>
      </tp>
      <tp>
        <v>210</v>
        <stp/>
        <stp>P</stp>
        <stp>0</stp>
        <stp>STK</stp>
        <stp>N217590</stp>
        <stp>전일대비</stp>
        <stp/>
        <stp/>
        <tr r="J326" s="3"/>
        <tr r="J542" s="1"/>
      </tp>
      <tp>
        <v>100</v>
        <stp/>
        <stp>P</stp>
        <stp>0</stp>
        <stp>STK</stp>
        <stp>N097230</stp>
        <stp>전일대비</stp>
        <stp/>
        <stp/>
        <tr r="J195" s="1"/>
        <tr r="J164" s="3"/>
      </tp>
      <tp>
        <v>1000</v>
        <stp/>
        <stp>P</stp>
        <stp>0</stp>
        <stp>STK</stp>
        <stp>N267250</stp>
        <stp>전일대비</stp>
        <stp/>
        <stp/>
        <tr r="J41" s="1"/>
        <tr r="J41" s="3"/>
      </tp>
      <tp>
        <v>-15000</v>
        <stp/>
        <stp>P</stp>
        <stp>0</stp>
        <stp>STK</stp>
        <stp>N267260</stp>
        <stp>전일대비</stp>
        <stp/>
        <stp/>
        <tr r="J26" s="3"/>
        <tr r="J26" s="1"/>
      </tp>
      <tp>
        <v>-40</v>
        <stp/>
        <stp>P</stp>
        <stp>0</stp>
        <stp>STK</stp>
        <stp>N417200</stp>
        <stp>전일대비</stp>
        <stp/>
        <stp/>
        <tr r="J333" s="1"/>
      </tp>
      <tp>
        <v>5400</v>
        <stp/>
        <stp>P</stp>
        <stp>0</stp>
        <stp>STK</stp>
        <stp>N267270</stp>
        <stp>전일대비</stp>
        <stp/>
        <stp/>
        <tr r="J174" s="3"/>
        <tr r="J213" s="1"/>
      </tp>
      <tp>
        <v>1600</v>
        <stp/>
        <stp>P</stp>
        <stp>0</stp>
        <stp>STK</stp>
        <stp>N377300</stp>
        <stp>전일대비</stp>
        <stp/>
        <stp/>
        <tr r="J86" s="3"/>
        <tr r="J92" s="1"/>
      </tp>
      <tp>
        <v>20</v>
        <stp/>
        <stp>P</stp>
        <stp>0</stp>
        <stp>STK</stp>
        <stp>N137310</stp>
        <stp>전일대비</stp>
        <stp/>
        <stp/>
        <tr r="J227" s="3"/>
        <tr r="J312" s="1"/>
      </tp>
      <tp>
        <v>660</v>
        <stp/>
        <stp>P</stp>
        <stp>0</stp>
        <stp>STK</stp>
        <stp>N317330</stp>
        <stp>전일대비</stp>
        <stp/>
        <stp/>
        <tr r="J574" s="1"/>
      </tp>
      <tp>
        <v>-150</v>
        <stp/>
        <stp>P</stp>
        <stp>0</stp>
        <stp>STK</stp>
        <stp>N067310</stp>
        <stp>전일대비</stp>
        <stp/>
        <stp/>
        <tr r="J230" s="1"/>
      </tp>
      <tp>
        <v>500</v>
        <stp/>
        <stp>P</stp>
        <stp>0</stp>
        <stp>STK</stp>
        <stp>N007310</stp>
        <stp>전일대비</stp>
        <stp/>
        <stp/>
        <tr r="J194" s="3"/>
        <tr r="J244" s="1"/>
      </tp>
      <tp>
        <v>100</v>
        <stp/>
        <stp>P</stp>
        <stp>0</stp>
        <stp>STK</stp>
        <stp>N007340</stp>
        <stp>전일대비</stp>
        <stp/>
        <stp/>
        <tr r="J251" s="1"/>
        <tr r="J198" s="3"/>
      </tp>
      <tp>
        <v>-110</v>
        <stp/>
        <stp>P</stp>
        <stp>0</stp>
        <stp>STK</stp>
        <stp>N007390</stp>
        <stp>전일대비</stp>
        <stp/>
        <stp/>
        <tr r="J272" s="1"/>
      </tp>
      <tp>
        <v>0</v>
        <stp/>
        <stp>P</stp>
        <stp>0</stp>
        <stp>STK</stp>
        <stp>N017390</stp>
        <stp>전일대비</stp>
        <stp/>
        <stp/>
        <tr r="J350" s="3"/>
        <tr r="J601" s="1"/>
      </tp>
      <tp>
        <v>200</v>
        <stp/>
        <stp>P</stp>
        <stp>0</stp>
        <stp>STK</stp>
        <stp>N397030</stp>
        <stp>전일대비</stp>
        <stp/>
        <stp/>
        <tr r="J293" s="1"/>
      </tp>
      <tp>
        <v>0</v>
        <stp/>
        <stp>P</stp>
        <stp>0</stp>
        <stp>STK</stp>
        <stp>N087010</stp>
        <stp>전일대비</stp>
        <stp/>
        <stp/>
        <tr r="J108" s="1"/>
      </tp>
      <tp>
        <v>50</v>
        <stp/>
        <stp>P</stp>
        <stp>0</stp>
        <stp>STK</stp>
        <stp>N007070</stp>
        <stp>전일대비</stp>
        <stp/>
        <stp/>
        <tr r="J183" s="3"/>
        <tr r="J232" s="1"/>
      </tp>
      <tp>
        <v>160</v>
        <stp/>
        <stp>P</stp>
        <stp>0</stp>
        <stp>STK</stp>
        <stp>N047040</stp>
        <stp>전일대비</stp>
        <stp/>
        <stp/>
        <tr r="J208" s="1"/>
        <tr r="J173" s="3"/>
      </tp>
      <tp>
        <v>1100</v>
        <stp/>
        <stp>P</stp>
        <stp>0</stp>
        <stp>STK</stp>
        <stp>N047050</stp>
        <stp>전일대비</stp>
        <stp/>
        <stp/>
        <tr r="J65" s="3"/>
        <tr r="J68" s="1"/>
      </tp>
      <tp>
        <v>-100</v>
        <stp/>
        <stp>P</stp>
        <stp>0</stp>
        <stp>STK</stp>
        <stp>N057050</stp>
        <stp>전일대비</stp>
        <stp/>
        <stp/>
        <tr r="J410" s="1"/>
        <tr r="J268" s="3"/>
      </tp>
      <tp>
        <v>-20</v>
        <stp/>
        <stp>P</stp>
        <stp>0</stp>
        <stp>STK</stp>
        <stp>N067080</stp>
        <stp>전일대비</stp>
        <stp/>
        <stp/>
        <tr r="J620" s="1"/>
      </tp>
      <tp>
        <v>-400</v>
        <stp/>
        <stp>P</stp>
        <stp>0</stp>
        <stp>STK</stp>
        <stp>N127120</stp>
        <stp>전일대비</stp>
        <stp/>
        <stp/>
        <tr r="J402" s="1"/>
      </tp>
      <tp>
        <v>600</v>
        <stp/>
        <stp>P</stp>
        <stp>0</stp>
        <stp>STK</stp>
        <stp>N067160</stp>
        <stp>전일대비</stp>
        <stp/>
        <stp/>
        <tr r="J370" s="1"/>
      </tp>
      <tp>
        <v>900</v>
        <stp/>
        <stp>P</stp>
        <stp>0</stp>
        <stp>STK</stp>
        <stp>N007160</stp>
        <stp>전일대비</stp>
        <stp/>
        <stp/>
        <tr r="J649" s="1"/>
        <tr r="J362" s="3"/>
      </tp>
      <tp>
        <v>-5200</v>
        <stp/>
        <stp>P</stp>
        <stp>0</stp>
        <stp>STK</stp>
        <stp>N457190</stp>
        <stp>전일대비</stp>
        <stp/>
        <stp/>
        <tr r="J127" s="3"/>
        <tr r="J159" s="1"/>
      </tp>
      <tp>
        <v>-2000</v>
        <stp/>
        <stp>P</stp>
        <stp>0</stp>
        <stp>STK</stp>
        <stp>N277810</stp>
        <stp>전일대비</stp>
        <stp/>
        <stp/>
        <tr r="J71" s="1"/>
      </tp>
      <tp>
        <v>200</v>
        <stp/>
        <stp>P</stp>
        <stp>0</stp>
        <stp>STK</stp>
        <stp>N017800</stp>
        <stp>전일대비</stp>
        <stp/>
        <stp/>
        <tr r="J121" s="3"/>
        <tr r="J137" s="1"/>
      </tp>
      <tp>
        <v>-100</v>
        <stp/>
        <stp>P</stp>
        <stp>0</stp>
        <stp>STK</stp>
        <stp>N047810</stp>
        <stp>전일대비</stp>
        <stp/>
        <stp/>
        <tr r="J53" s="1"/>
        <tr r="J52" s="3"/>
      </tp>
      <tp>
        <v>-1500</v>
        <stp/>
        <stp>P</stp>
        <stp>0</stp>
        <stp>STK</stp>
        <stp>N007810</stp>
        <stp>전일대비</stp>
        <stp/>
        <stp/>
        <tr r="J250" s="1"/>
        <tr r="J199" s="3"/>
      </tp>
      <tp>
        <v>60</v>
        <stp/>
        <stp>P</stp>
        <stp>0</stp>
        <stp>STK</stp>
        <stp>N017810</stp>
        <stp>전일대비</stp>
        <stp/>
        <stp/>
        <tr r="J479" s="1"/>
        <tr r="J301" s="3"/>
      </tp>
      <tp>
        <v>200</v>
        <stp/>
        <stp>P</stp>
        <stp>0</stp>
        <stp>STK</stp>
        <stp>N347850</stp>
        <stp>전일대비</stp>
        <stp/>
        <stp/>
        <tr r="J138" s="1"/>
      </tp>
      <tp>
        <v>50</v>
        <stp/>
        <stp>P</stp>
        <stp>0</stp>
        <stp>STK</stp>
        <stp>N017860</stp>
        <stp>전일대비</stp>
        <stp/>
        <stp/>
        <tr r="J338" s="3"/>
        <tr r="J594" s="1"/>
      </tp>
      <tp>
        <v>400</v>
        <stp/>
        <stp>P</stp>
        <stp>0</stp>
        <stp>STK</stp>
        <stp>N287840</stp>
        <stp>전일대비</stp>
        <stp/>
        <stp/>
        <tr r="J380" s="1"/>
      </tp>
      <tp>
        <v>160</v>
        <stp/>
        <stp>P</stp>
        <stp>0</stp>
        <stp>STK</stp>
        <stp>N237880</stp>
        <stp>전일대비</stp>
        <stp/>
        <stp/>
        <tr r="J690" s="1"/>
      </tp>
      <tp>
        <v>-10</v>
        <stp/>
        <stp>P</stp>
        <stp>0</stp>
        <stp>STK</stp>
        <stp>N047920</stp>
        <stp>전일대비</stp>
        <stp/>
        <stp/>
        <tr r="J448" s="1"/>
      </tp>
      <tp>
        <v>16000</v>
        <stp/>
        <stp>P</stp>
        <stp>0</stp>
        <stp>STK</stp>
        <stp>N207940</stp>
        <stp>전일대비</stp>
        <stp/>
        <stp/>
        <tr r="J10" s="1"/>
        <tr r="J10" s="3"/>
      </tp>
      <tp>
        <v>2500</v>
        <stp/>
        <stp>P</stp>
        <stp>0</stp>
        <stp>STK</stp>
        <stp>N307950</stp>
        <stp>전일대비</stp>
        <stp/>
        <stp/>
        <tr r="J60" s="3"/>
        <tr r="J58" s="1"/>
      </tp>
      <tp>
        <v>750</v>
        <stp/>
        <stp>P</stp>
        <stp>0</stp>
        <stp>STK</stp>
        <stp>N017960</stp>
        <stp>전일대비</stp>
        <stp/>
        <stp/>
        <tr r="J178" s="3"/>
        <tr r="J218" s="1"/>
      </tp>
      <tp>
        <v>600</v>
        <stp/>
        <stp>P</stp>
        <stp>0</stp>
        <stp>STK</stp>
        <stp>N077970</stp>
        <stp>전일대비</stp>
        <stp/>
        <stp/>
        <tr r="J197" s="3"/>
        <tr r="J246" s="1"/>
      </tp>
      <tp>
        <v>600</v>
        <stp/>
        <stp>P</stp>
        <stp>0</stp>
        <stp>STK</stp>
        <stp>N017940</stp>
        <stp>전일대비</stp>
        <stp/>
        <stp/>
        <tr r="J444" s="1"/>
        <tr r="J282" s="3"/>
      </tp>
      <tp>
        <v>-1000</v>
        <stp/>
        <stp>P</stp>
        <stp>0</stp>
        <stp>STK</stp>
        <stp>N097950</stp>
        <stp>전일대비</stp>
        <stp/>
        <stp/>
        <tr r="J147" s="1"/>
        <tr r="J128" s="3"/>
      </tp>
      <tp>
        <v>-250</v>
        <stp/>
        <stp>P</stp>
        <stp>0</stp>
        <stp>STK</stp>
        <stp>N267980</stp>
        <stp>전일대비</stp>
        <stp/>
        <stp/>
        <tr r="J655" s="1"/>
      </tp>
      <tp>
        <v>-50</v>
        <stp/>
        <stp>P</stp>
        <stp>0</stp>
        <stp>STK</stp>
        <stp>N036620</stp>
        <stp>전일대비</stp>
        <stp/>
        <stp/>
        <tr r="J478" s="1"/>
      </tp>
      <tp>
        <v>340</v>
        <stp/>
        <stp>P</stp>
        <stp>0</stp>
        <stp>STK</stp>
        <stp>N016610</stp>
        <stp>전일대비</stp>
        <stp/>
        <stp/>
        <tr r="J302" s="3"/>
        <tr r="J483" s="1"/>
      </tp>
      <tp>
        <v>0</v>
        <stp/>
        <stp>P</stp>
        <stp>0</stp>
        <stp>STK</stp>
        <stp>N206640</stp>
        <stp>전일대비</stp>
        <stp/>
        <stp/>
        <tr r="J629" s="1"/>
      </tp>
      <tp>
        <v>-50</v>
        <stp/>
        <stp>P</stp>
        <stp>0</stp>
        <stp>STK</stp>
        <stp>N206650</stp>
        <stp>전일대비</stp>
        <stp/>
        <stp/>
        <tr r="J531" s="1"/>
      </tp>
      <tp>
        <v>2400</v>
        <stp/>
        <stp>P</stp>
        <stp>0</stp>
        <stp>STK</stp>
        <stp>N006650</stp>
        <stp>전일대비</stp>
        <stp/>
        <stp/>
        <tr r="J225" s="3"/>
        <tr r="J306" s="1"/>
      </tp>
      <tp>
        <v>60</v>
        <stp/>
        <stp>P</stp>
        <stp>0</stp>
        <stp>STK</stp>
        <stp>N356680</stp>
        <stp>전일대비</stp>
        <stp/>
        <stp/>
        <tr r="J694" s="1"/>
      </tp>
      <tp>
        <v>-50</v>
        <stp/>
        <stp>P</stp>
        <stp>0</stp>
        <stp>STK</stp>
        <stp>N126720</stp>
        <stp>전일대비</stp>
        <stp/>
        <stp/>
        <tr r="J327" s="3"/>
        <tr r="J544" s="1"/>
      </tp>
      <tp>
        <v>170</v>
        <stp/>
        <stp>P</stp>
        <stp>0</stp>
        <stp>STK</stp>
        <stp>N006730</stp>
        <stp>전일대비</stp>
        <stp/>
        <stp/>
        <tr r="J323" s="1"/>
      </tp>
      <tp>
        <v>600</v>
        <stp/>
        <stp>P</stp>
        <stp>0</stp>
        <stp>STK</stp>
        <stp>N096770</stp>
        <stp>전일대비</stp>
        <stp/>
        <stp/>
        <tr r="J45" s="3"/>
        <tr r="J47" s="1"/>
      </tp>
      <tp>
        <v>130</v>
        <stp/>
        <stp>P</stp>
        <stp>0</stp>
        <stp>STK</stp>
        <stp>N176750</stp>
        <stp>전일대비</stp>
        <stp/>
        <stp/>
        <tr r="J675" s="1"/>
      </tp>
      <tp>
        <v>1600</v>
        <stp/>
        <stp>P</stp>
        <stp>0</stp>
        <stp>STK</stp>
        <stp>N086790</stp>
        <stp>전일대비</stp>
        <stp/>
        <stp/>
        <tr r="J29" s="1"/>
        <tr r="J30" s="3"/>
      </tp>
      <tp>
        <v>7000</v>
        <stp/>
        <stp>P</stp>
        <stp>0</stp>
        <stp>STK</stp>
        <stp>N006400</stp>
        <stp>전일대비</stp>
        <stp/>
        <stp/>
        <tr r="J31" s="1"/>
        <tr r="J28" s="3"/>
      </tp>
      <tp>
        <v>-450</v>
        <stp/>
        <stp>P</stp>
        <stp>0</stp>
        <stp>STK</stp>
        <stp>N036460</stp>
        <stp>전일대비</stp>
        <stp/>
        <stp/>
        <tr r="J119" s="3"/>
        <tr r="J134" s="1"/>
      </tp>
      <tp>
        <v>80</v>
        <stp/>
        <stp>P</stp>
        <stp>0</stp>
        <stp>STK</stp>
        <stp>N086450</stp>
        <stp>전일대비</stp>
        <stp/>
        <stp/>
        <tr r="J368" s="1"/>
      </tp>
      <tp>
        <v>1100</v>
        <stp/>
        <stp>P</stp>
        <stp>0</stp>
        <stp>STK</stp>
        <stp>N086520</stp>
        <stp>전일대비</stp>
        <stp/>
        <stp/>
        <tr r="J64" s="1"/>
      </tp>
      <tp>
        <v>700</v>
        <stp/>
        <stp>P</stp>
        <stp>0</stp>
        <stp>STK</stp>
        <stp>N036530</stp>
        <stp>전일대비</stp>
        <stp/>
        <stp/>
        <tr r="J234" s="3"/>
        <tr r="J325" s="1"/>
      </tp>
      <tp>
        <v>50</v>
        <stp/>
        <stp>P</stp>
        <stp>0</stp>
        <stp>STK</stp>
        <stp>N096530</stp>
        <stp>전일대비</stp>
        <stp/>
        <stp/>
        <tr r="J275" s="1"/>
      </tp>
      <tp>
        <v>0</v>
        <stp/>
        <stp>P</stp>
        <stp>0</stp>
        <stp>STK</stp>
        <stp>N066570</stp>
        <stp>전일대비</stp>
        <stp/>
        <stp/>
        <tr r="J45" s="1"/>
        <tr r="J46" s="3"/>
      </tp>
      <tp>
        <v>2000</v>
        <stp/>
        <stp>P</stp>
        <stp>0</stp>
        <stp>STK</stp>
        <stp>N036570</stp>
        <stp>전일대비</stp>
        <stp/>
        <stp/>
        <tr r="J111" s="1"/>
        <tr r="J100" s="3"/>
      </tp>
      <tp>
        <v>-50</v>
        <stp/>
        <stp>P</stp>
        <stp>0</stp>
        <stp>STK</stp>
        <stp>N036540</stp>
        <stp>전일대비</stp>
        <stp/>
        <stp/>
        <tr r="J331" s="1"/>
      </tp>
      <tp>
        <v>-50</v>
        <stp/>
        <stp>P</stp>
        <stp>0</stp>
        <stp>STK</stp>
        <stp>N336570</stp>
        <stp>전일대비</stp>
        <stp/>
        <stp/>
        <tr r="J372" s="1"/>
      </tp>
      <tp>
        <v>30</v>
        <stp/>
        <stp>P</stp>
        <stp>0</stp>
        <stp>STK</stp>
        <stp>N016590</stp>
        <stp>전일대비</stp>
        <stp/>
        <stp/>
        <tr r="J294" s="3"/>
        <tr r="J462" s="1"/>
      </tp>
      <tp>
        <v>10600</v>
        <stp/>
        <stp>P</stp>
        <stp>0</stp>
        <stp>STK</stp>
        <stp>N236200</stp>
        <stp>전일대비</stp>
        <stp/>
        <stp/>
        <tr r="J664" s="1"/>
      </tp>
      <tp>
        <v>10</v>
        <stp/>
        <stp>P</stp>
        <stp>0</stp>
        <stp>STK</stp>
        <stp>N006220</stp>
        <stp>전일대비</stp>
        <stp/>
        <stp/>
        <tr r="J315" s="3"/>
        <tr r="J512" s="1"/>
      </tp>
      <tp>
        <v>-1000</v>
        <stp/>
        <stp>P</stp>
        <stp>0</stp>
        <stp>STK</stp>
        <stp>N306200</stp>
        <stp>전일대비</stp>
        <stp/>
        <stp/>
        <tr r="J341" s="3"/>
        <tr r="J589" s="1"/>
      </tp>
      <tp>
        <v>40</v>
        <stp/>
        <stp>P</stp>
        <stp>0</stp>
        <stp>STK</stp>
        <stp>N036200</stp>
        <stp>전일대비</stp>
        <stp/>
        <stp/>
        <tr r="J626" s="1"/>
      </tp>
      <tp>
        <v>13000</v>
        <stp/>
        <stp>P</stp>
        <stp>0</stp>
        <stp>STK</stp>
        <stp>N006260</stp>
        <stp>전일대비</stp>
        <stp/>
        <stp/>
        <tr r="J85" s="3"/>
        <tr r="J89" s="1"/>
      </tp>
      <tp>
        <v>700</v>
        <stp/>
        <stp>P</stp>
        <stp>0</stp>
        <stp>STK</stp>
        <stp>N376270</stp>
        <stp>전일대비</stp>
        <stp/>
        <stp/>
        <tr r="J552" s="1"/>
      </tp>
      <tp>
        <v>-850</v>
        <stp/>
        <stp>P</stp>
        <stp>0</stp>
        <stp>STK</stp>
        <stp>N336260</stp>
        <stp>전일대비</stp>
        <stp/>
        <stp/>
        <tr r="J150" s="3"/>
        <tr r="J183" s="1"/>
      </tp>
      <tp>
        <v>800</v>
        <stp/>
        <stp>P</stp>
        <stp>0</stp>
        <stp>STK</stp>
        <stp>N006280</stp>
        <stp>전일대비</stp>
        <stp/>
        <stp/>
        <tr r="J184" s="3"/>
        <tr r="J229" s="1"/>
      </tp>
      <tp>
        <v>-4000</v>
        <stp/>
        <stp>P</stp>
        <stp>0</stp>
        <stp>STK</stp>
        <stp>N086280</stp>
        <stp>전일대비</stp>
        <stp/>
        <stp/>
        <tr r="J40" s="3"/>
        <tr r="J36" s="1"/>
      </tp>
      <tp>
        <v>650</v>
        <stp/>
        <stp>P</stp>
        <stp>0</stp>
        <stp>STK</stp>
        <stp>N376300</stp>
        <stp>전일대비</stp>
        <stp/>
        <stp/>
        <tr r="J364" s="1"/>
      </tp>
      <tp>
        <v>30</v>
        <stp/>
        <stp>P</stp>
        <stp>0</stp>
        <stp>STK</stp>
        <stp>N226320</stp>
        <stp>전일대비</stp>
        <stp/>
        <stp/>
        <tr r="J676" s="1"/>
        <tr r="J373" s="3"/>
      </tp>
      <tp>
        <v>200</v>
        <stp/>
        <stp>P</stp>
        <stp>0</stp>
        <stp>STK</stp>
        <stp>N006360</stp>
        <stp>전일대비</stp>
        <stp/>
        <stp/>
        <tr r="J191" s="3"/>
        <tr r="J240" s="1"/>
      </tp>
      <tp>
        <v>1700</v>
        <stp/>
        <stp>P</stp>
        <stp>0</stp>
        <stp>STK</stp>
        <stp>N016360</stp>
        <stp>전일대비</stp>
        <stp/>
        <stp/>
        <tr r="J83" s="3"/>
        <tr r="J88" s="1"/>
      </tp>
      <tp>
        <v>70</v>
        <stp/>
        <stp>P</stp>
        <stp>0</stp>
        <stp>STK</stp>
        <stp>N336370</stp>
        <stp>전일대비</stp>
        <stp/>
        <stp/>
        <tr r="J286" s="3"/>
        <tr r="J457" s="1"/>
      </tp>
      <tp>
        <v>-3500</v>
        <stp/>
        <stp>P</stp>
        <stp>0</stp>
        <stp>STK</stp>
        <stp>N126340</stp>
        <stp>전일대비</stp>
        <stp/>
        <stp/>
        <tr r="J431" s="1"/>
      </tp>
      <tp>
        <v>70</v>
        <stp/>
        <stp>P</stp>
        <stp>0</stp>
        <stp>STK</stp>
        <stp>N086390</stp>
        <stp>전일대비</stp>
        <stp/>
        <stp/>
        <tr r="J674" s="1"/>
      </tp>
      <tp>
        <v>90</v>
        <stp/>
        <stp>P</stp>
        <stp>0</stp>
        <stp>STK</stp>
        <stp>N476060</stp>
        <stp>전일대비</stp>
        <stp/>
        <stp/>
        <tr r="J340" s="1"/>
      </tp>
      <tp>
        <v>1200</v>
        <stp/>
        <stp>P</stp>
        <stp>0</stp>
        <stp>STK</stp>
        <stp>N456040</stp>
        <stp>전일대비</stp>
        <stp/>
        <stp/>
        <tr r="J409" s="1"/>
        <tr r="J270" s="3"/>
      </tp>
      <tp>
        <v>1000</v>
        <stp/>
        <stp>P</stp>
        <stp>0</stp>
        <stp>STK</stp>
        <stp>N326030</stp>
        <stp>전일대비</stp>
        <stp/>
        <stp/>
        <tr r="J78" s="1"/>
        <tr r="J72" s="3"/>
      </tp>
      <tp>
        <v>300</v>
        <stp/>
        <stp>P</stp>
        <stp>0</stp>
        <stp>STK</stp>
        <stp>N006040</stp>
        <stp>전일대비</stp>
        <stp/>
        <stp/>
        <tr r="J227" s="1"/>
        <tr r="J181" s="3"/>
      </tp>
      <tp>
        <v>-500</v>
        <stp/>
        <stp>P</stp>
        <stp>0</stp>
        <stp>STK</stp>
        <stp>N166090</stp>
        <stp>전일대비</stp>
        <stp/>
        <stp/>
        <tr r="J300" s="1"/>
      </tp>
      <tp>
        <v>-700</v>
        <stp/>
        <stp>P</stp>
        <stp>0</stp>
        <stp>STK</stp>
        <stp>N456160</stp>
        <stp>전일대비</stp>
        <stp/>
        <stp/>
        <tr r="J278" s="1"/>
      </tp>
      <tp>
        <v>500</v>
        <stp/>
        <stp>P</stp>
        <stp>0</stp>
        <stp>STK</stp>
        <stp>N006120</stp>
        <stp>전일대비</stp>
        <stp/>
        <stp/>
        <tr r="J219" s="3"/>
        <tr r="J291" s="1"/>
      </tp>
      <tp>
        <v>-250</v>
        <stp/>
        <stp>P</stp>
        <stp>0</stp>
        <stp>STK</stp>
        <stp>N006110</stp>
        <stp>전일대비</stp>
        <stp/>
        <stp/>
        <tr r="J331" s="3"/>
        <tr r="J568" s="1"/>
      </tp>
      <tp>
        <v>4500</v>
        <stp/>
        <stp>P</stp>
        <stp>0</stp>
        <stp>STK</stp>
        <stp>N196170</stp>
        <stp>전일대비</stp>
        <stp/>
        <stp/>
        <tr r="J42" s="1"/>
      </tp>
      <tp>
        <v>100</v>
        <stp/>
        <stp>P</stp>
        <stp>0</stp>
        <stp>STK</stp>
        <stp>N316140</stp>
        <stp>전일대비</stp>
        <stp/>
        <stp/>
        <tr r="J38" s="3"/>
        <tr r="J40" s="1"/>
      </tp>
      <tp>
        <v>-1600</v>
        <stp/>
        <stp>P</stp>
        <stp>0</stp>
        <stp>STK</stp>
        <stp>N466100</stp>
        <stp>전일대비</stp>
        <stp/>
        <stp/>
        <tr r="J216" s="1"/>
      </tp>
      <tp>
        <v>-250</v>
        <stp/>
        <stp>P</stp>
        <stp>0</stp>
        <stp>STK</stp>
        <stp>N056190</stp>
        <stp>전일대비</stp>
        <stp/>
        <stp/>
        <tr r="J327" s="1"/>
      </tp>
      <tp>
        <v>400</v>
        <stp/>
        <stp>P</stp>
        <stp>0</stp>
        <stp>STK</stp>
        <stp>N416180</stp>
        <stp>전일대비</stp>
        <stp/>
        <stp/>
        <tr r="J634" s="1"/>
      </tp>
      <tp>
        <v>0</v>
        <stp/>
        <stp>P</stp>
        <stp>0</stp>
        <stp>STK</stp>
        <stp>N036830</stp>
        <stp>전일대비</stp>
        <stp/>
        <stp/>
        <tr r="J349" s="1"/>
      </tp>
      <tp>
        <v>-50</v>
        <stp/>
        <stp>P</stp>
        <stp>0</stp>
        <stp>STK</stp>
        <stp>N036800</stp>
        <stp>전일대비</stp>
        <stp/>
        <stp/>
        <tr r="J688" s="1"/>
      </tp>
      <tp>
        <v>2250</v>
        <stp/>
        <stp>P</stp>
        <stp>0</stp>
        <stp>STK</stp>
        <stp>N006800</stp>
        <stp>전일대비</stp>
        <stp/>
        <stp/>
        <tr r="J47" s="3"/>
        <tr r="J48" s="1"/>
      </tp>
      <tp>
        <v>450</v>
        <stp/>
        <stp>P</stp>
        <stp>0</stp>
        <stp>STK</stp>
        <stp>N016800</stp>
        <stp>전일대비</stp>
        <stp/>
        <stp/>
        <tr r="J296" s="3"/>
        <tr r="J475" s="1"/>
      </tp>
      <tp>
        <v>-1750</v>
        <stp/>
        <stp>P</stp>
        <stp>0</stp>
        <stp>STK</stp>
        <stp>N036810</stp>
        <stp>전일대비</stp>
        <stp/>
        <stp/>
        <tr r="J379" s="1"/>
      </tp>
      <tp>
        <v>2200</v>
        <stp/>
        <stp>P</stp>
        <stp>0</stp>
        <stp>STK</stp>
        <stp>N476830</stp>
        <stp>전일대비</stp>
        <stp/>
        <stp/>
        <tr r="J209" s="1"/>
      </tp>
      <tp>
        <v>-400</v>
        <stp/>
        <stp>P</stp>
        <stp>0</stp>
        <stp>STK</stp>
        <stp>N356860</stp>
        <stp>전일대비</stp>
        <stp/>
        <stp/>
        <tr r="J453" s="1"/>
      </tp>
      <tp>
        <v>50</v>
        <stp/>
        <stp>P</stp>
        <stp>0</stp>
        <stp>STK</stp>
        <stp>N046890</stp>
        <stp>전일대비</stp>
        <stp/>
        <stp/>
        <tr r="J576" s="1"/>
      </tp>
      <tp>
        <v>70</v>
        <stp/>
        <stp>P</stp>
        <stp>0</stp>
        <stp>STK</stp>
        <stp>N026890</stp>
        <stp>전일대비</stp>
        <stp/>
        <stp/>
        <tr r="J318" s="3"/>
        <tr r="J530" s="1"/>
      </tp>
      <tp>
        <v>320</v>
        <stp/>
        <stp>P</stp>
        <stp>0</stp>
        <stp>STK</stp>
        <stp>N036890</stp>
        <stp>전일대비</stp>
        <stp/>
        <stp/>
        <tr r="J621" s="1"/>
      </tp>
      <tp>
        <v>-1600</v>
        <stp/>
        <stp>P</stp>
        <stp>0</stp>
        <stp>STK</stp>
        <stp>N376900</stp>
        <stp>전일대비</stp>
        <stp/>
        <stp/>
        <tr r="J310" s="1"/>
      </tp>
      <tp>
        <v>0</v>
        <stp/>
        <stp>P</stp>
        <stp>0</stp>
        <stp>STK</stp>
        <stp>N036930</stp>
        <stp>전일대비</stp>
        <stp/>
        <stp/>
        <tr r="J248" s="1"/>
      </tp>
      <tp>
        <v>200</v>
        <stp/>
        <stp>P</stp>
        <stp>0</stp>
        <stp>STK</stp>
        <stp>N086900</stp>
        <stp>전일대비</stp>
        <stp/>
        <stp/>
        <tr r="J338" s="1"/>
      </tp>
      <tp>
        <v>250</v>
        <stp/>
        <stp>P</stp>
        <stp>0</stp>
        <stp>STK</stp>
        <stp>N026960</stp>
        <stp>전일대비</stp>
        <stp/>
        <stp/>
        <tr r="J144" s="3"/>
        <tr r="J172" s="1"/>
      </tp>
      <tp>
        <v>150</v>
        <stp/>
        <stp>P</stp>
        <stp>0</stp>
        <stp>STK</stp>
        <stp>N286940</stp>
        <stp>전일대비</stp>
        <stp/>
        <stp/>
        <tr r="J593" s="1"/>
        <tr r="J349" s="3"/>
      </tp>
      <tp>
        <v>-900</v>
        <stp/>
        <stp>P</stp>
        <stp>0</stp>
        <stp>STK</stp>
        <stp>N066970</stp>
        <stp>전일대비</stp>
        <stp/>
        <stp/>
        <tr r="J102" s="3"/>
        <tr r="J115" s="1"/>
      </tp>
      <tp>
        <v>0</v>
        <stp/>
        <stp>P</stp>
        <stp>0</stp>
        <stp>STK</stp>
        <stp>N226950</stp>
        <stp>전일대비</stp>
        <stp/>
        <stp/>
        <tr r="J186" s="1"/>
      </tp>
      <tp>
        <v>250</v>
        <stp/>
        <stp>P</stp>
        <stp>0</stp>
        <stp>STK</stp>
        <stp>N486990</stp>
        <stp>전일대비</stp>
        <stp/>
        <stp/>
        <tr r="J315" s="1"/>
      </tp>
      <tp>
        <v>300</v>
        <stp/>
        <stp>P</stp>
        <stp>0</stp>
        <stp>STK</stp>
        <stp>N069620</stp>
        <stp>전일대비</stp>
        <stp/>
        <stp/>
        <tr r="J217" s="1"/>
        <tr r="J175" s="3"/>
      </tp>
      <tp>
        <v>500</v>
        <stp/>
        <stp>P</stp>
        <stp>0</stp>
        <stp>STK</stp>
        <stp>N229640</stp>
        <stp>전일대비</stp>
        <stp/>
        <stp/>
        <tr r="J289" s="1"/>
        <tr r="J214" s="3"/>
      </tp>
      <tp>
        <v>1400</v>
        <stp/>
        <stp>P</stp>
        <stp>0</stp>
        <stp>STK</stp>
        <stp>N389650</stp>
        <stp>전일대비</stp>
        <stp/>
        <stp/>
        <tr r="J427" s="1"/>
      </tp>
      <tp>
        <v>250</v>
        <stp/>
        <stp>P</stp>
        <stp>0</stp>
        <stp>STK</stp>
        <stp>N469610</stp>
        <stp>전일대비</stp>
        <stp/>
        <stp/>
        <tr r="J696" s="1"/>
      </tp>
      <tp>
        <v>-550</v>
        <stp/>
        <stp>P</stp>
        <stp>0</stp>
        <stp>STK</stp>
        <stp>N319660</stp>
        <stp>전일대비</stp>
        <stp/>
        <stp/>
        <tr r="J284" s="1"/>
      </tp>
      <tp>
        <v>40</v>
        <stp/>
        <stp>P</stp>
        <stp>0</stp>
        <stp>STK</stp>
        <stp>N009680</stp>
        <stp>전일대비</stp>
        <stp/>
        <stp/>
        <tr r="J359" s="3"/>
        <tr r="J632" s="1"/>
      </tp>
      <tp>
        <v>-500</v>
        <stp/>
        <stp>P</stp>
        <stp>0</stp>
        <stp>STK</stp>
        <stp>N309710</stp>
        <stp>전일대비</stp>
        <stp/>
        <stp/>
        <tr r="J514" s="1"/>
      </tp>
      <tp>
        <v>-100</v>
        <stp/>
        <stp>P</stp>
        <stp>0</stp>
        <stp>STK</stp>
        <stp>N399720</stp>
        <stp>전일대비</stp>
        <stp/>
        <stp/>
        <tr r="J383" s="1"/>
      </tp>
      <tp>
        <v>400</v>
        <stp/>
        <stp>P</stp>
        <stp>0</stp>
        <stp>STK</stp>
        <stp>N029780</stp>
        <stp>전일대비</stp>
        <stp/>
        <stp/>
        <tr r="J92" s="3"/>
        <tr r="J98" s="1"/>
      </tp>
      <tp>
        <v>600</v>
        <stp/>
        <stp>P</stp>
        <stp>0</stp>
        <stp>STK</stp>
        <stp>N489790</stp>
        <stp>전일대비</stp>
        <stp/>
        <stp/>
        <tr r="J139" s="3"/>
        <tr r="J170" s="1"/>
      </tp>
      <tp>
        <v>-100</v>
        <stp/>
        <stp>P</stp>
        <stp>0</stp>
        <stp>STK</stp>
        <stp>N499790</stp>
        <stp>전일대비</stp>
        <stp/>
        <stp/>
        <tr r="J237" s="3"/>
        <tr r="J359" s="1"/>
      </tp>
      <tp>
        <v>250</v>
        <stp/>
        <stp>P</stp>
        <stp>0</stp>
        <stp>STK</stp>
        <stp>N009420</stp>
        <stp>전일대비</stp>
        <stp/>
        <stp/>
        <tr r="J152" s="3"/>
        <tr r="J187" s="1"/>
      </tp>
      <tp>
        <v>750</v>
        <stp/>
        <stp>P</stp>
        <stp>0</stp>
        <stp>STK</stp>
        <stp>N199430</stp>
        <stp>전일대비</stp>
        <stp/>
        <stp/>
        <tr r="J485" s="1"/>
      </tp>
      <tp>
        <v>300</v>
        <stp/>
        <stp>P</stp>
        <stp>0</stp>
        <stp>STK</stp>
        <stp>N249420</stp>
        <stp>전일대비</stp>
        <stp/>
        <stp/>
        <tr r="J217" s="3"/>
        <tr r="J285" s="1"/>
      </tp>
      <tp>
        <v>-50</v>
        <stp/>
        <stp>P</stp>
        <stp>0</stp>
        <stp>STK</stp>
        <stp>N029460</stp>
        <stp>전일대비</stp>
        <stp/>
        <stp/>
        <tr r="J329" s="3"/>
        <tr r="J554" s="1"/>
      </tp>
      <tp>
        <v>0</v>
        <stp/>
        <stp>P</stp>
        <stp>0</stp>
        <stp>STK</stp>
        <stp>N039440</stp>
        <stp>전일대비</stp>
        <stp/>
        <stp/>
        <tr r="J494" s="1"/>
      </tp>
      <tp>
        <v>-500</v>
        <stp/>
        <stp>P</stp>
        <stp>0</stp>
        <stp>STK</stp>
        <stp>N389470</stp>
        <stp>전일대비</stp>
        <stp/>
        <stp/>
        <tr r="J326" s="1"/>
      </tp>
      <tp>
        <v>200</v>
        <stp/>
        <stp>P</stp>
        <stp>0</stp>
        <stp>STK</stp>
        <stp>N009450</stp>
        <stp>전일대비</stp>
        <stp/>
        <stp/>
        <tr r="J243" s="3"/>
        <tr r="J348" s="1"/>
      </tp>
      <tp>
        <v>9000</v>
        <stp/>
        <stp>P</stp>
        <stp>0</stp>
        <stp>STK</stp>
        <stp>N039490</stp>
        <stp>전일대비</stp>
        <stp/>
        <stp/>
        <tr r="J75" s="3"/>
        <tr r="J82" s="1"/>
      </tp>
      <tp>
        <v>300</v>
        <stp/>
        <stp>P</stp>
        <stp>0</stp>
        <stp>STK</stp>
        <stp>N139480</stp>
        <stp>전일대비</stp>
        <stp/>
        <stp/>
        <tr r="J158" s="3"/>
        <tr r="J191" s="1"/>
      </tp>
      <tp>
        <v>-20</v>
        <stp/>
        <stp>P</stp>
        <stp>0</stp>
        <stp>STK</stp>
        <stp>N009520</stp>
        <stp>전일대비</stp>
        <stp/>
        <stp/>
        <tr r="J363" s="1"/>
      </tp>
      <tp>
        <v>250</v>
        <stp/>
        <stp>P</stp>
        <stp>0</stp>
        <stp>STK</stp>
        <stp>N029530</stp>
        <stp>전일대비</stp>
        <stp/>
        <stp/>
        <tr r="J309" s="3"/>
        <tr r="J499" s="1"/>
      </tp>
      <tp>
        <v>50</v>
        <stp/>
        <stp>P</stp>
        <stp>0</stp>
        <stp>STK</stp>
        <stp>N419530</stp>
        <stp>전일대비</stp>
        <stp/>
        <stp/>
        <tr r="J577" s="1"/>
      </tp>
      <tp>
        <v>3000</v>
        <stp/>
        <stp>P</stp>
        <stp>0</stp>
        <stp>STK</stp>
        <stp>N009540</stp>
        <stp>전일대비</stp>
        <stp/>
        <stp/>
        <tr r="J27" s="3"/>
        <tr r="J27" s="1"/>
      </tp>
      <tp>
        <v>7000</v>
        <stp/>
        <stp>P</stp>
        <stp>0</stp>
        <stp>STK</stp>
        <stp>N079550</stp>
        <stp>전일대비</stp>
        <stp/>
        <stp/>
        <tr r="J66" s="1"/>
        <tr r="J62" s="3"/>
      </tp>
      <tp>
        <v>-1100</v>
        <stp/>
        <stp>P</stp>
        <stp>0</stp>
        <stp>STK</stp>
        <stp>N459510</stp>
        <stp>전일대비</stp>
        <stp/>
        <stp/>
        <tr r="J490" s="1"/>
      </tp>
      <tp>
        <v>400</v>
        <stp/>
        <stp>P</stp>
        <stp>0</stp>
        <stp>STK</stp>
        <stp>N439260</stp>
        <stp>전일대비</stp>
        <stp/>
        <stp/>
        <tr r="J169" s="1"/>
        <tr r="J143" s="3"/>
      </tp>
      <tp>
        <v>550</v>
        <stp/>
        <stp>P</stp>
        <stp>0</stp>
        <stp>STK</stp>
        <stp>N039200</stp>
        <stp>전일대비</stp>
        <stp/>
        <stp/>
        <tr r="J236" s="1"/>
      </tp>
      <tp>
        <v>120</v>
        <stp/>
        <stp>P</stp>
        <stp>0</stp>
        <stp>STK</stp>
        <stp>N069260</stp>
        <stp>전일대비</stp>
        <stp/>
        <stp/>
        <tr r="J369" s="1"/>
        <tr r="J251" s="3"/>
      </tp>
      <tp>
        <v>150</v>
        <stp/>
        <stp>P</stp>
        <stp>0</stp>
        <stp>STK</stp>
        <stp>N009240</stp>
        <stp>전일대비</stp>
        <stp/>
        <stp/>
        <tr r="J301" s="1"/>
        <tr r="J223" s="3"/>
      </tp>
      <tp>
        <v>350</v>
        <stp/>
        <stp>P</stp>
        <stp>0</stp>
        <stp>STK</stp>
        <stp>N389260</stp>
        <stp>전일대비</stp>
        <stp/>
        <stp/>
        <tr r="J612" s="1"/>
      </tp>
      <tp>
        <v>3800</v>
        <stp/>
        <stp>P</stp>
        <stp>0</stp>
        <stp>STK</stp>
        <stp>N189300</stp>
        <stp>전일대비</stp>
        <stp/>
        <stp/>
        <tr r="J356" s="1"/>
      </tp>
      <tp>
        <v>60</v>
        <stp/>
        <stp>P</stp>
        <stp>0</stp>
        <stp>STK</stp>
        <stp>N079370</stp>
        <stp>전일대비</stp>
        <stp/>
        <stp/>
        <tr r="J487" s="1"/>
      </tp>
      <tp>
        <v>-2500</v>
        <stp/>
        <stp>P</stp>
        <stp>0</stp>
        <stp>STK</stp>
        <stp>N039030</stp>
        <stp>전일대비</stp>
        <stp/>
        <stp/>
        <tr r="J136" s="1"/>
      </tp>
      <tp>
        <v>150</v>
        <stp/>
        <stp>P</stp>
        <stp>0</stp>
        <stp>STK</stp>
        <stp>N089030</stp>
        <stp>전일대비</stp>
        <stp/>
        <stp/>
        <tr r="J247" s="1"/>
      </tp>
      <tp>
        <v>-700</v>
        <stp/>
        <stp>P</stp>
        <stp>0</stp>
        <stp>STK</stp>
        <stp>N089010</stp>
        <stp>전일대비</stp>
        <stp/>
        <stp/>
        <tr r="J463" s="1"/>
      </tp>
      <tp>
        <v>1150</v>
        <stp/>
        <stp>P</stp>
        <stp>0</stp>
        <stp>STK</stp>
        <stp>N299030</stp>
        <stp>전일대비</stp>
        <stp/>
        <stp/>
        <tr r="J691" s="1"/>
      </tp>
      <tp>
        <v>-550</v>
        <stp/>
        <stp>P</stp>
        <stp>0</stp>
        <stp>STK</stp>
        <stp>N049070</stp>
        <stp>전일대비</stp>
        <stp/>
        <stp/>
        <tr r="J519" s="1"/>
      </tp>
      <tp>
        <v>190</v>
        <stp/>
        <stp>P</stp>
        <stp>0</stp>
        <stp>STK</stp>
        <stp>N069080</stp>
        <stp>전일대비</stp>
        <stp/>
        <stp/>
        <tr r="J523" s="1"/>
      </tp>
      <tp>
        <v>130</v>
        <stp/>
        <stp>P</stp>
        <stp>0</stp>
        <stp>STK</stp>
        <stp>N059090</stp>
        <stp>전일대비</stp>
        <stp/>
        <stp/>
        <tr r="J515" s="1"/>
      </tp>
      <tp>
        <v>10</v>
        <stp/>
        <stp>P</stp>
        <stp>0</stp>
        <stp>STK</stp>
        <stp>N439090</stp>
        <stp>전일대비</stp>
        <stp/>
        <stp/>
        <tr r="J692" s="1"/>
      </tp>
      <tp>
        <v>-10</v>
        <stp/>
        <stp>P</stp>
        <stp>0</stp>
        <stp>STK</stp>
        <stp>N139130</stp>
        <stp>전일대비</stp>
        <stp/>
        <stp/>
        <tr r="J193" s="1"/>
        <tr r="J160" s="3"/>
      </tp>
      <tp>
        <v>-350</v>
        <stp/>
        <stp>P</stp>
        <stp>0</stp>
        <stp>STK</stp>
        <stp>N039130</stp>
        <stp>전일대비</stp>
        <stp/>
        <stp/>
        <tr r="J385" s="1"/>
        <tr r="J260" s="3"/>
      </tp>
      <tp>
        <v>0</v>
        <stp/>
        <stp>P</stp>
        <stp>0</stp>
        <stp>STK</stp>
        <stp>N019170</stp>
        <stp>전일대비</stp>
        <stp/>
        <stp/>
        <tr r="J408" s="1"/>
        <tr r="J269" s="3"/>
      </tp>
      <tp>
        <v>1500</v>
        <stp/>
        <stp>P</stp>
        <stp>0</stp>
        <stp>STK</stp>
        <stp>N009150</stp>
        <stp>전일대비</stp>
        <stp/>
        <stp/>
        <tr r="J39" s="3"/>
        <tr r="J39" s="1"/>
      </tp>
      <tp>
        <v>10000</v>
        <stp/>
        <stp>P</stp>
        <stp>0</stp>
        <stp>STK</stp>
        <stp>N329180</stp>
        <stp>전일대비</stp>
        <stp/>
        <stp/>
        <tr r="J13" s="1"/>
        <tr r="J13" s="3"/>
      </tp>
      <tp>
        <v>-70</v>
        <stp/>
        <stp>P</stp>
        <stp>0</stp>
        <stp>STK</stp>
        <stp>N099190</stp>
        <stp>전일대비</stp>
        <stp/>
        <stp/>
        <tr r="J529" s="1"/>
      </tp>
      <tp>
        <v>1350</v>
        <stp/>
        <stp>P</stp>
        <stp>0</stp>
        <stp>STK</stp>
        <stp>N009830</stp>
        <stp>전일대비</stp>
        <stp/>
        <stp/>
        <tr r="J103" s="3"/>
        <tr r="J113" s="1"/>
      </tp>
      <tp>
        <v>3700</v>
        <stp/>
        <stp>P</stp>
        <stp>0</stp>
        <stp>STK</stp>
        <stp>N199800</stp>
        <stp>전일대비</stp>
        <stp/>
        <stp/>
        <tr r="J471" s="1"/>
      </tp>
      <tp>
        <v>0</v>
        <stp/>
        <stp>P</stp>
        <stp>0</stp>
        <stp>STK</stp>
        <stp>N089860</stp>
        <stp>전일대비</stp>
        <stp/>
        <stp/>
        <tr r="J220" s="3"/>
        <tr r="J297" s="1"/>
      </tp>
      <tp>
        <v>70</v>
        <stp/>
        <stp>P</stp>
        <stp>0</stp>
        <stp>STK</stp>
        <stp>N039840</stp>
        <stp>전일대비</stp>
        <stp/>
        <stp/>
        <tr r="J693" s="1"/>
      </tp>
      <tp>
        <v>450</v>
        <stp/>
        <stp>P</stp>
        <stp>0</stp>
        <stp>STK</stp>
        <stp>N119850</stp>
        <stp>전일대비</stp>
        <stp/>
        <stp/>
        <tr r="J432" s="1"/>
      </tp>
      <tp>
        <v>450</v>
        <stp/>
        <stp>P</stp>
        <stp>0</stp>
        <stp>STK</stp>
        <stp>N089890</stp>
        <stp>전일대비</stp>
        <stp/>
        <stp/>
        <tr r="J520" s="1"/>
      </tp>
      <tp>
        <v>5000</v>
        <stp/>
        <stp>P</stp>
        <stp>0</stp>
        <stp>STK</stp>
        <stp>N079900</stp>
        <stp>전일대비</stp>
        <stp/>
        <stp/>
        <tr r="J382" s="1"/>
        <tr r="J259" s="3"/>
      </tp>
      <tp>
        <v>20</v>
        <stp/>
        <stp>P</stp>
        <stp>0</stp>
        <stp>STK</stp>
        <stp>N009900</stp>
        <stp>전일대비</stp>
        <stp/>
        <stp/>
        <tr r="J295" s="3"/>
        <tr r="J464" s="1"/>
      </tp>
      <tp>
        <v>350</v>
        <stp/>
        <stp>P</stp>
        <stp>0</stp>
        <stp>STK</stp>
        <stp>N179900</stp>
        <stp>전일대비</stp>
        <stp/>
        <stp/>
        <tr r="J525" s="1"/>
      </tp>
      <tp>
        <v>0</v>
        <stp/>
        <stp>P</stp>
        <stp>0</stp>
        <stp>STK</stp>
        <stp>N069960</stp>
        <stp>전일대비</stp>
        <stp/>
        <stp/>
        <tr r="J203" s="1"/>
        <tr r="J169" s="3"/>
      </tp>
      <tp>
        <v>-100</v>
        <stp/>
        <stp>P</stp>
        <stp>0</stp>
        <stp>STK</stp>
        <stp>N009970</stp>
        <stp>전일대비</stp>
        <stp/>
        <stp/>
        <tr r="J173" s="1"/>
        <tr r="J138" s="3"/>
      </tp>
      <tp>
        <v>-350</v>
        <stp/>
        <stp>P</stp>
        <stp>0</stp>
        <stp>STK</stp>
        <stp>N089970</stp>
        <stp>전일대비</stp>
        <stp/>
        <stp/>
        <tr r="J406" s="1"/>
      </tp>
      <tp>
        <v>250</v>
        <stp/>
        <stp>P</stp>
        <stp>0</stp>
        <stp>STK</stp>
        <stp>N079940</stp>
        <stp>전일대비</stp>
        <stp/>
        <stp/>
        <tr r="J517" s="1"/>
      </tp>
      <tp>
        <v>0</v>
        <stp/>
        <stp>P</stp>
        <stp>0</stp>
        <stp>STK</stp>
        <stp>N259960</stp>
        <stp>전일대비</stp>
        <stp/>
        <stp/>
        <tr r="J67" s="1"/>
        <tr r="J64" s="3"/>
      </tp>
      <tp>
        <v>280</v>
        <stp/>
        <stp>P</stp>
        <stp>0</stp>
        <stp>STK</stp>
        <stp>N089980</stp>
        <stp>전일대비</stp>
        <stp/>
        <stp/>
        <tr r="J678" s="1"/>
      </tp>
      <tp>
        <v>7300</v>
        <stp/>
        <stp>P</stp>
        <stp>0</stp>
        <stp>STK</stp>
        <stp>N078600</stp>
        <stp>전일대비</stp>
        <stp/>
        <stp/>
        <tr r="J317" s="1"/>
      </tp>
      <tp>
        <v>-150</v>
        <stp/>
        <stp>P</stp>
        <stp>0</stp>
        <stp>STK</stp>
        <stp>N138610</stp>
        <stp>전일대비</stp>
        <stp/>
        <stp/>
        <tr r="J545" s="1"/>
      </tp>
      <tp>
        <v>-1400</v>
        <stp/>
        <stp>P</stp>
        <stp>0</stp>
        <stp>STK</stp>
        <stp>N058610</stp>
        <stp>전일대비</stp>
        <stp/>
        <stp/>
        <tr r="J178" s="1"/>
      </tp>
      <tp>
        <v>150</v>
        <stp/>
        <stp>P</stp>
        <stp>0</stp>
        <stp>STK</stp>
        <stp>N108670</stp>
        <stp>전일대비</stp>
        <stp/>
        <stp/>
        <tr r="J369" s="3"/>
        <tr r="J665" s="1"/>
      </tp>
      <tp>
        <v>-80</v>
        <stp/>
        <stp>P</stp>
        <stp>0</stp>
        <stp>STK</stp>
        <stp>N028670</stp>
        <stp>전일대비</stp>
        <stp/>
        <stp/>
        <tr r="J157" s="3"/>
        <tr r="J188" s="1"/>
      </tp>
      <tp>
        <v>2000</v>
        <stp/>
        <stp>P</stp>
        <stp>0</stp>
        <stp>STK</stp>
        <stp>N018670</stp>
        <stp>전일대비</stp>
        <stp/>
        <stp/>
        <tr r="J167" s="3"/>
        <tr r="J206" s="1"/>
      </tp>
      <tp>
        <v>800</v>
        <stp/>
        <stp>P</stp>
        <stp>0</stp>
        <stp>STK</stp>
        <stp>N008730</stp>
        <stp>전일대비</stp>
        <stp/>
        <stp/>
        <tr r="J397" s="1"/>
        <tr r="J262" s="3"/>
      </tp>
      <tp>
        <v>-700</v>
        <stp/>
        <stp>P</stp>
        <stp>0</stp>
        <stp>STK</stp>
        <stp>N388720</stp>
        <stp>전일대비</stp>
        <stp/>
        <stp/>
        <tr r="J283" s="1"/>
      </tp>
      <tp>
        <v>100</v>
        <stp/>
        <stp>P</stp>
        <stp>0</stp>
        <stp>STK</stp>
        <stp>N068760</stp>
        <stp>전일대비</stp>
        <stp/>
        <stp/>
        <tr r="J168" s="1"/>
      </tp>
      <tp>
        <v>-200</v>
        <stp/>
        <stp>P</stp>
        <stp>0</stp>
        <stp>STK</stp>
        <stp>N008770</stp>
        <stp>전일대비</stp>
        <stp/>
        <stp/>
        <tr r="J226" s="1"/>
        <tr r="J179" s="3"/>
      </tp>
      <tp>
        <v>0</v>
        <stp/>
        <stp>P</stp>
        <stp>0</stp>
        <stp>STK</stp>
        <stp>N228760</stp>
        <stp>전일대비</stp>
        <stp/>
        <stp/>
        <tr r="J449" s="1"/>
      </tp>
      <tp>
        <v>-450</v>
        <stp/>
        <stp>P</stp>
        <stp>0</stp>
        <stp>STK</stp>
        <stp>N218410</stp>
        <stp>전일대비</stp>
        <stp/>
        <stp/>
        <tr r="J324" s="1"/>
      </tp>
      <tp>
        <v>-50</v>
        <stp/>
        <stp>P</stp>
        <stp>0</stp>
        <stp>STK</stp>
        <stp>N308430</stp>
        <stp>전일대비</stp>
        <stp/>
        <stp/>
        <tr r="J622" s="1"/>
      </tp>
      <tp>
        <v>-90</v>
        <stp/>
        <stp>P</stp>
        <stp>0</stp>
        <stp>STK</stp>
        <stp>N048410</stp>
        <stp>전일대비</stp>
        <stp/>
        <stp/>
        <tr r="J452" s="1"/>
      </tp>
      <tp>
        <v>-450</v>
        <stp/>
        <stp>P</stp>
        <stp>0</stp>
        <stp>STK</stp>
        <stp>N098460</stp>
        <stp>전일대비</stp>
        <stp/>
        <stp/>
        <tr r="J202" s="1"/>
      </tp>
      <tp>
        <v>-600</v>
        <stp/>
        <stp>P</stp>
        <stp>0</stp>
        <stp>STK</stp>
        <stp>N058470</stp>
        <stp>전일대비</stp>
        <stp/>
        <stp/>
        <tr r="J109" s="1"/>
      </tp>
      <tp>
        <v>500</v>
        <stp/>
        <stp>P</stp>
        <stp>0</stp>
        <stp>STK</stp>
        <stp>N278470</stp>
        <stp>전일대비</stp>
        <stp/>
        <stp/>
        <tr r="J74" s="1"/>
        <tr r="J67" s="3"/>
      </tp>
      <tp>
        <v>10</v>
        <stp/>
        <stp>P</stp>
        <stp>0</stp>
        <stp>STK</stp>
        <stp>N138490</stp>
        <stp>전일대비</stp>
        <stp/>
        <stp/>
        <tr r="J608" s="1"/>
        <tr r="J345" s="3"/>
      </tp>
      <tp>
        <v>-500</v>
        <stp/>
        <stp>P</stp>
        <stp>0</stp>
        <stp>STK</stp>
        <stp>N108490</stp>
        <stp>전일대비</stp>
        <stp/>
        <stp/>
        <tr r="J132" s="1"/>
      </tp>
      <tp>
        <v>50</v>
        <stp/>
        <stp>P</stp>
        <stp>0</stp>
        <stp>STK</stp>
        <stp>N008490</stp>
        <stp>전일대비</stp>
        <stp/>
        <stp/>
        <tr r="J686" s="1"/>
        <tr r="J379" s="3"/>
      </tp>
      <tp>
        <v>-90</v>
        <stp/>
        <stp>P</stp>
        <stp>0</stp>
        <stp>STK</stp>
        <stp>N078520</stp>
        <stp>전일대비</stp>
        <stp/>
        <stp/>
        <tr r="J368" s="3"/>
        <tr r="J670" s="1"/>
      </tp>
      <tp>
        <v>1500</v>
        <stp/>
        <stp>P</stp>
        <stp>0</stp>
        <stp>STK</stp>
        <stp>N468530</stp>
        <stp>전일대비</stp>
        <stp/>
        <stp/>
        <tr r="J337" s="1"/>
      </tp>
      <tp>
        <v>-100</v>
        <stp/>
        <stp>P</stp>
        <stp>0</stp>
        <stp>STK</stp>
        <stp>N358570</stp>
        <stp>전일대비</stp>
        <stp/>
        <stp/>
        <tr r="J336" s="1"/>
      </tp>
      <tp>
        <v>-600</v>
        <stp/>
        <stp>P</stp>
        <stp>0</stp>
        <stp>STK</stp>
        <stp>N348210</stp>
        <stp>전일대비</stp>
        <stp/>
        <stp/>
        <tr r="J360" s="1"/>
      </tp>
      <tp>
        <v>-1600</v>
        <stp/>
        <stp>P</stp>
        <stp>0</stp>
        <stp>STK</stp>
        <stp>N388210</stp>
        <stp>전일대비</stp>
        <stp/>
        <stp/>
        <tr r="J302" s="1"/>
      </tp>
      <tp>
        <v>200</v>
        <stp/>
        <stp>P</stp>
        <stp>0</stp>
        <stp>STK</stp>
        <stp>N338220</stp>
        <stp>전일대비</stp>
        <stp/>
        <stp/>
        <tr r="J643" s="1"/>
      </tp>
      <tp>
        <v>2000</v>
        <stp/>
        <stp>P</stp>
        <stp>0</stp>
        <stp>STK</stp>
        <stp>N028260</stp>
        <stp>전일대비</stp>
        <stp/>
        <stp/>
        <tr r="J17" s="1"/>
        <tr r="J17" s="3"/>
      </tp>
      <tp>
        <v>1500</v>
        <stp/>
        <stp>P</stp>
        <stp>0</stp>
        <stp>STK</stp>
        <stp>N018260</stp>
        <stp>전일대비</stp>
        <stp/>
        <stp/>
        <tr r="J60" s="1"/>
        <tr r="J59" s="3"/>
      </tp>
      <tp>
        <v>-500</v>
        <stp/>
        <stp>P</stp>
        <stp>0</stp>
        <stp>STK</stp>
        <stp>N068270</stp>
        <stp>전일대비</stp>
        <stp/>
        <stp/>
        <tr r="J18" s="3"/>
        <tr r="J18" s="1"/>
      </tp>
      <tp>
        <v>0</v>
        <stp/>
        <stp>P</stp>
        <stp>0</stp>
        <stp>STK</stp>
        <stp>N018250</stp>
        <stp>전일대비</stp>
        <stp/>
        <stp/>
        <tr r="J590" s="1"/>
        <tr r="J343" s="3"/>
      </tp>
      <tp>
        <v>-300</v>
        <stp/>
        <stp>P</stp>
        <stp>0</stp>
        <stp>STK</stp>
        <stp>N268280</stp>
        <stp>전일대비</stp>
        <stp/>
        <stp/>
        <tr r="J388" s="1"/>
        <tr r="J265" s="3"/>
      </tp>
      <tp>
        <v>1000</v>
        <stp/>
        <stp>P</stp>
        <stp>0</stp>
        <stp>STK</stp>
        <stp>N278280</stp>
        <stp>전일대비</stp>
        <stp/>
        <stp/>
        <tr r="J434" s="1"/>
      </tp>
      <tp>
        <v>250</v>
        <stp/>
        <stp>P</stp>
        <stp>0</stp>
        <stp>STK</stp>
        <stp>N018290</stp>
        <stp>전일대비</stp>
        <stp/>
        <stp/>
        <tr r="J439" s="1"/>
      </tp>
      <tp>
        <v>70</v>
        <stp/>
        <stp>P</stp>
        <stp>0</stp>
        <stp>STK</stp>
        <stp>N448280</stp>
        <stp>전일대비</stp>
        <stp/>
        <stp/>
        <tr r="J638" s="1"/>
      </tp>
      <tp>
        <v>100</v>
        <stp/>
        <stp>P</stp>
        <stp>0</stp>
        <stp>STK</stp>
        <stp>N488280</stp>
        <stp>전일대비</stp>
        <stp/>
        <stp/>
        <tr r="J687" s="1"/>
      </tp>
      <tp>
        <v>-600</v>
        <stp/>
        <stp>P</stp>
        <stp>0</stp>
        <stp>STK</stp>
        <stp>N178320</stp>
        <stp>전일대비</stp>
        <stp/>
        <stp/>
        <tr r="J228" s="1"/>
      </tp>
      <tp>
        <v>100</v>
        <stp/>
        <stp>P</stp>
        <stp>0</stp>
        <stp>STK</stp>
        <stp>N108320</stp>
        <stp>전일대비</stp>
        <stp/>
        <stp/>
        <tr r="J241" s="3"/>
        <tr r="J345" s="1"/>
      </tp>
      <tp>
        <v>2700</v>
        <stp/>
        <stp>P</stp>
        <stp>0</stp>
        <stp>STK</stp>
        <stp>N478340</stp>
        <stp>전일대비</stp>
        <stp/>
        <stp/>
        <tr r="J422" s="1"/>
      </tp>
      <tp>
        <v>0</v>
        <stp/>
        <stp>P</stp>
        <stp>0</stp>
        <stp>STK</stp>
        <stp>N028300</stp>
        <stp>전일대비</stp>
        <stp/>
        <stp/>
        <tr r="J93" s="1"/>
      </tp>
      <tp>
        <v>-90</v>
        <stp/>
        <stp>P</stp>
        <stp>0</stp>
        <stp>STK</stp>
        <stp>N018310</stp>
        <stp>전일대비</stp>
        <stp/>
        <stp/>
        <tr r="J644" s="1"/>
      </tp>
      <tp>
        <v>-170</v>
        <stp/>
        <stp>P</stp>
        <stp>0</stp>
        <stp>STK</stp>
        <stp>N168360</stp>
        <stp>전일대비</stp>
        <stp/>
        <stp/>
        <tr r="J582" s="1"/>
      </tp>
      <tp>
        <v>2680</v>
        <stp/>
        <stp>P</stp>
        <stp>0</stp>
        <stp>STK</stp>
        <stp>N378340</stp>
        <stp>전일대비</stp>
        <stp/>
        <stp/>
        <tr r="J648" s="1"/>
      </tp>
      <tp>
        <v>100</v>
        <stp/>
        <stp>P</stp>
        <stp>0</stp>
        <stp>STK</stp>
        <stp>N078340</stp>
        <stp>전일대비</stp>
        <stp/>
        <stp/>
        <tr r="J540" s="1"/>
      </tp>
      <tp>
        <v>1300</v>
        <stp/>
        <stp>P</stp>
        <stp>0</stp>
        <stp>STK</stp>
        <stp>N348370</stp>
        <stp>전일대비</stp>
        <stp/>
        <stp/>
        <tr r="J263" s="1"/>
      </tp>
      <tp>
        <v>-50</v>
        <stp/>
        <stp>P</stp>
        <stp>0</stp>
        <stp>STK</stp>
        <stp>N078350</stp>
        <stp>전일대비</stp>
        <stp/>
        <stp/>
        <tr r="J566" s="1"/>
      </tp>
      <tp>
        <v>50</v>
        <stp/>
        <stp>P</stp>
        <stp>0</stp>
        <stp>STK</stp>
        <stp>N088350</stp>
        <stp>전일대비</stp>
        <stp/>
        <stp/>
        <tr r="J137" s="3"/>
        <tr r="J161" s="1"/>
      </tp>
      <tp>
        <v>1800</v>
        <stp/>
        <stp>P</stp>
        <stp>0</stp>
        <stp>STK</stp>
        <stp>N298380</stp>
        <stp>전일대비</stp>
        <stp/>
        <stp/>
        <tr r="J73" s="1"/>
      </tp>
      <tp>
        <v>1000</v>
        <stp/>
        <stp>P</stp>
        <stp>0</stp>
        <stp>STK</stp>
        <stp>N108380</stp>
        <stp>전일대비</stp>
        <stp/>
        <stp/>
        <tr r="J669" s="1"/>
      </tp>
      <tp>
        <v>-8500</v>
        <stp/>
        <stp>P</stp>
        <stp>0</stp>
        <stp>STK</stp>
        <stp>N298020</stp>
        <stp>전일대비</stp>
        <stp/>
        <stp/>
        <tr r="J188" s="3"/>
        <tr r="J231" s="1"/>
      </tp>
      <tp>
        <v>30</v>
        <stp/>
        <stp>P</stp>
        <stp>0</stp>
        <stp>STK</stp>
        <stp>N008060</stp>
        <stp>전일대비</stp>
        <stp/>
        <stp/>
        <tr r="J585" s="1"/>
        <tr r="J340" s="3"/>
      </tp>
      <tp>
        <v>-43000</v>
        <stp/>
        <stp>P</stp>
        <stp>0</stp>
        <stp>STK</stp>
        <stp>N298040</stp>
        <stp>전일대비</stp>
        <stp/>
        <stp/>
        <tr r="J36" s="3"/>
        <tr r="J37" s="1"/>
      </tp>
      <tp>
        <v>-550</v>
        <stp/>
        <stp>P</stp>
        <stp>0</stp>
        <stp>STK</stp>
        <stp>N098070</stp>
        <stp>전일대비</stp>
        <stp/>
        <stp/>
        <tr r="J510" s="1"/>
      </tp>
      <tp>
        <v>1000</v>
        <stp/>
        <stp>P</stp>
        <stp>0</stp>
        <stp>STK</stp>
        <stp>N298050</stp>
        <stp>전일대비</stp>
        <stp/>
        <stp/>
        <tr r="J233" s="3"/>
        <tr r="J318" s="1"/>
      </tp>
      <tp>
        <v>20</v>
        <stp/>
        <stp>P</stp>
        <stp>0</stp>
        <stp>STK</stp>
        <stp>N248070</stp>
        <stp>전일대비</stp>
        <stp/>
        <stp/>
        <tr r="J377" s="1"/>
        <tr r="J258" s="3"/>
      </tp>
      <tp>
        <v>200</v>
        <stp/>
        <stp>P</stp>
        <stp>0</stp>
        <stp>STK</stp>
        <stp>N028050</stp>
        <stp>전일대비</stp>
        <stp/>
        <stp/>
        <tr r="J101" s="3"/>
        <tr r="J110" s="1"/>
      </tp>
      <tp>
        <v>1300</v>
        <stp/>
        <stp>P</stp>
        <stp>0</stp>
        <stp>STK</stp>
        <stp>N138040</stp>
        <stp>전일대비</stp>
        <stp/>
        <stp/>
        <tr r="J44" s="1"/>
        <tr r="J44" s="3"/>
      </tp>
      <tp>
        <v>0</v>
        <stp/>
        <stp>P</stp>
        <stp>0</stp>
        <stp>STK</stp>
        <stp>N328130</stp>
        <stp>전일대비</stp>
        <stp/>
        <stp/>
        <tr r="J295" s="1"/>
      </tp>
      <tp>
        <v>80</v>
        <stp/>
        <stp>P</stp>
        <stp>0</stp>
        <stp>STK</stp>
        <stp>N078160</stp>
        <stp>전일대비</stp>
        <stp/>
        <stp/>
        <tr r="J435" s="1"/>
      </tp>
      <tp>
        <v>-900</v>
        <stp/>
        <stp>P</stp>
        <stp>0</stp>
        <stp>STK</stp>
        <stp>N458870</stp>
        <stp>전일대비</stp>
        <stp/>
        <stp/>
        <tr r="J221" s="1"/>
      </tp>
      <tp>
        <v>50</v>
        <stp/>
        <stp>P</stp>
        <stp>0</stp>
        <stp>STK</stp>
        <stp>N338840</stp>
        <stp>전일대비</stp>
        <stp/>
        <stp/>
        <tr r="J580" s="1"/>
      </tp>
      <tp>
        <v>110</v>
        <stp/>
        <stp>P</stp>
        <stp>0</stp>
        <stp>STK</stp>
        <stp>N108860</stp>
        <stp>전일대비</stp>
        <stp/>
        <stp/>
        <tr r="J600" s="1"/>
      </tp>
      <tp>
        <v>-55</v>
        <stp/>
        <stp>P</stp>
        <stp>0</stp>
        <stp>STK</stp>
        <stp>N018880</stp>
        <stp>전일대비</stp>
        <stp/>
        <stp/>
        <tr r="J142" s="1"/>
        <tr r="J122" s="3"/>
      </tp>
      <tp>
        <v>70</v>
        <stp/>
        <stp>P</stp>
        <stp>0</stp>
        <stp>STK</stp>
        <stp>N138930</stp>
        <stp>전일대비</stp>
        <stp/>
        <stp/>
        <tr r="J112" s="1"/>
        <tr r="J104" s="3"/>
      </tp>
      <tp>
        <v>-200</v>
        <stp/>
        <stp>P</stp>
        <stp>0</stp>
        <stp>STK</stp>
        <stp>N078930</stp>
        <stp>전일대비</stp>
        <stp/>
        <stp/>
        <tr r="J101" s="1"/>
        <tr r="J94" s="3"/>
      </tp>
      <tp>
        <v>160</v>
        <stp/>
        <stp>P</stp>
        <stp>0</stp>
        <stp>STK</stp>
        <stp>N178920</stp>
        <stp>전일대비</stp>
        <stp/>
        <stp/>
        <tr r="J307" s="3"/>
        <tr r="J501" s="1"/>
      </tp>
      <tp>
        <v>-100</v>
        <stp/>
        <stp>P</stp>
        <stp>0</stp>
        <stp>STK</stp>
        <stp>N008930</stp>
        <stp>전일대비</stp>
        <stp/>
        <stp/>
        <tr r="J165" s="1"/>
        <tr r="J140" s="3"/>
      </tp>
      <tp>
        <v>0</v>
        <stp/>
        <stp>P</stp>
        <stp>0</stp>
        <stp>STK</stp>
        <stp>N058970</stp>
        <stp>전일대비</stp>
        <stp/>
        <stp/>
        <tr r="J509" s="1"/>
      </tp>
      <tp>
        <v>300</v>
        <stp/>
        <stp>P</stp>
        <stp>0</stp>
        <stp>STK</stp>
        <stp>N448900</stp>
        <stp>전일대비</stp>
        <stp/>
        <stp/>
        <tr r="J486" s="1"/>
      </tp>
      <tp>
        <v>-2500</v>
        <stp/>
        <stp>P</stp>
        <stp>0</stp>
        <stp>STK</stp>
        <stp>N128940</stp>
        <stp>전일대비</stp>
        <stp/>
        <stp/>
        <tr r="J98" s="3"/>
        <tr r="J106" s="1"/>
      </tp>
      <tp>
        <v>556857500</v>
        <stp/>
        <stp>P</stp>
        <stp>0</stp>
        <stp>STK</stp>
        <stp>N094480</stp>
        <stp>누적거래대금</stp>
        <stp/>
        <stp/>
        <tr r="M564" s="1"/>
      </tp>
      <tp>
        <v>33221345500</v>
        <stp/>
        <stp>P</stp>
        <stp>0</stp>
        <stp>STK</stp>
        <stp>N086280</stp>
        <stp>누적거래대금</stp>
        <stp/>
        <stp/>
        <tr r="M36" s="1"/>
        <tr r="M40" s="3"/>
      </tp>
      <tp>
        <v>3571110</v>
        <stp/>
        <stp>P</stp>
        <stp>0</stp>
        <stp>STK</stp>
        <stp>N183190</stp>
        <stp>누적거래대금</stp>
        <stp/>
        <stp/>
        <tr r="M513" s="1"/>
        <tr r="M314" s="3"/>
      </tp>
      <tp>
        <v>343189460</v>
        <stp/>
        <stp>P</stp>
        <stp>0</stp>
        <stp>STK</stp>
        <stp>N089980</stp>
        <stp>누적거래대금</stp>
        <stp/>
        <stp/>
        <tr r="M678" s="1"/>
      </tp>
      <tp>
        <v>984665390</v>
        <stp/>
        <stp>P</stp>
        <stp>0</stp>
        <stp>STK</stp>
        <stp>N075580</stp>
        <stp>누적거래대금</stp>
        <stp/>
        <stp/>
        <tr r="M296" s="1"/>
        <tr r="M222" s="3"/>
      </tp>
      <tp>
        <v>1661888000</v>
        <stp/>
        <stp>P</stp>
        <stp>0</stp>
        <stp>STK</stp>
        <stp>N171090</stp>
        <stp>누적거래대금</stp>
        <stp/>
        <stp/>
        <tr r="M456" s="1"/>
      </tp>
      <tp>
        <v>1135983250</v>
        <stp/>
        <stp>P</stp>
        <stp>0</stp>
        <stp>STK</stp>
        <stp>N166090</stp>
        <stp>누적거래대금</stp>
        <stp/>
        <stp/>
        <tr r="M300" s="1"/>
      </tp>
      <tp>
        <v>171037380</v>
        <stp/>
        <stp>P</stp>
        <stp>0</stp>
        <stp>STK</stp>
        <stp>N067080</stp>
        <stp>누적거래대금</stp>
        <stp/>
        <stp/>
        <tr r="M620" s="1"/>
      </tp>
      <tp>
        <v>19514550</v>
        <stp/>
        <stp>P</stp>
        <stp>0</stp>
        <stp>STK</stp>
        <stp>N065680</stp>
        <stp>누적거래대금</stp>
        <stp/>
        <stp/>
        <tr r="M635" s="1"/>
      </tp>
      <tp>
        <v>68078042950</v>
        <stp/>
        <stp>P</stp>
        <stp>0</stp>
        <stp>STK</stp>
        <stp>N060280</stp>
        <stp>누적거래대금</stp>
        <stp/>
        <stp/>
        <tr r="M346" s="1"/>
      </tp>
      <tp>
        <v>10486216000</v>
        <stp/>
        <stp>P</stp>
        <stp>0</stp>
        <stp>STK</stp>
        <stp>N160190</stp>
        <stp>누적거래대금</stp>
        <stp/>
        <stp/>
        <tr r="M190" s="1"/>
      </tp>
      <tp>
        <v>140345450</v>
        <stp/>
        <stp>P</stp>
        <stp>0</stp>
        <stp>STK</stp>
        <stp>N060980</stp>
        <stp>누적거래대금</stp>
        <stp/>
        <stp/>
        <tr r="M312" s="3"/>
        <tr r="M505" s="1"/>
      </tp>
      <tp>
        <v>361429600</v>
        <stp/>
        <stp>P</stp>
        <stp>0</stp>
        <stp>STK</stp>
        <stp>N161390</stp>
        <stp>누적거래대금</stp>
        <stp/>
        <stp/>
        <tr r="M77" s="3"/>
        <tr r="M81" s="1"/>
      </tp>
      <tp>
        <v>2622967400</v>
        <stp/>
        <stp>P</stp>
        <stp>0</stp>
        <stp>STK</stp>
        <stp>N161890</stp>
        <stp>누적거래대금</stp>
        <stp/>
        <stp/>
        <tr r="M245" s="1"/>
        <tr r="M193" s="3"/>
      </tp>
      <tp>
        <v>70653230</v>
        <stp/>
        <stp>P</stp>
        <stp>0</stp>
        <stp>STK</stp>
        <stp>N069080</stp>
        <stp>누적거래대금</stp>
        <stp/>
        <stp/>
        <tr r="M523" s="1"/>
      </tp>
      <tp>
        <v>10230800</v>
        <stp/>
        <stp>P</stp>
        <stp>0</stp>
        <stp>STK</stp>
        <stp>N145990</stp>
        <stp>누적거래대금</stp>
        <stp/>
        <stp/>
        <tr r="M305" s="3"/>
        <tr r="M492" s="1"/>
      </tp>
      <tp>
        <v>354508400</v>
        <stp/>
        <stp>P</stp>
        <stp>0</stp>
        <stp>STK</stp>
        <stp>N033780</stp>
        <stp>누적거래대금</stp>
        <stp/>
        <stp/>
        <tr r="M48" s="3"/>
        <tr r="M49" s="1"/>
      </tp>
      <tp>
        <v>674814800</v>
        <stp/>
        <stp>P</stp>
        <stp>0</stp>
        <stp>STK</stp>
        <stp>N131290</stp>
        <stp>누적거래대금</stp>
        <stp/>
        <stp/>
        <tr r="M343" s="1"/>
      </tp>
      <tp>
        <v>2394881400</v>
        <stp/>
        <stp>P</stp>
        <stp>0</stp>
        <stp>STK</stp>
        <stp>N031980</stp>
        <stp>누적거래대금</stp>
        <stp/>
        <stp/>
        <tr r="M258" s="1"/>
      </tp>
      <tp>
        <v>37352740</v>
        <stp/>
        <stp>P</stp>
        <stp>0</stp>
        <stp>STK</stp>
        <stp>N138490</stp>
        <stp>누적거래대금</stp>
        <stp/>
        <stp/>
        <tr r="M608" s="1"/>
        <tr r="M345" s="3"/>
      </tp>
      <tp>
        <v>7325313740</v>
        <stp/>
        <stp>P</stp>
        <stp>0</stp>
        <stp>STK</stp>
        <stp>N125490</stp>
        <stp>누적거래대금</stp>
        <stp/>
        <stp/>
        <tr r="M374" s="1"/>
      </tp>
      <tp>
        <v>363309530</v>
        <stp/>
        <stp>P</stp>
        <stp>0</stp>
        <stp>STK</stp>
        <stp>N025980</stp>
        <stp>누적거래대금</stp>
        <stp/>
        <stp/>
        <tr r="M373" s="1"/>
      </tp>
      <tp>
        <v>98046900</v>
        <stp/>
        <stp>P</stp>
        <stp>0</stp>
        <stp>STK</stp>
        <stp>N029780</stp>
        <stp>누적거래대금</stp>
        <stp/>
        <stp/>
        <tr r="M98" s="1"/>
        <tr r="M92" s="3"/>
      </tp>
      <tp>
        <v>1920132000</v>
        <stp/>
        <stp>P</stp>
        <stp>0</stp>
        <stp>STK</stp>
        <stp>N014680</stp>
        <stp>누적거래대금</stp>
        <stp/>
        <stp/>
        <tr r="M129" s="3"/>
        <tr r="M152" s="1"/>
      </tp>
      <tp>
        <v>95263333495</v>
        <stp/>
        <stp>P</stp>
        <stp>0</stp>
        <stp>STK</stp>
        <stp>N114190</stp>
        <stp>누적거래대금</stp>
        <stp/>
        <stp/>
        <tr r="M563" s="1"/>
      </tp>
      <tp>
        <v>6694300</v>
        <stp/>
        <stp>P</stp>
        <stp>0</stp>
        <stp>STK</stp>
        <stp>N114090</stp>
        <stp>누적거래대금</stp>
        <stp/>
        <stp/>
        <tr r="M244" s="3"/>
        <tr r="M351" s="1"/>
      </tp>
      <tp>
        <v>85295300</v>
        <stp/>
        <stp>P</stp>
        <stp>0</stp>
        <stp>STK</stp>
        <stp>N010780</stp>
        <stp>누적거래대금</stp>
        <stp/>
        <stp/>
        <tr r="M395" s="1"/>
        <tr r="M266" s="3"/>
      </tp>
      <tp>
        <v>185508780</v>
        <stp/>
        <stp>P</stp>
        <stp>0</stp>
        <stp>STK</stp>
        <stp>N110990</stp>
        <stp>누적거래대금</stp>
        <stp/>
        <stp/>
        <tr r="M583" s="1"/>
      </tp>
      <tp>
        <v>1196498700</v>
        <stp/>
        <stp>P</stp>
        <stp>0</stp>
        <stp>STK</stp>
        <stp>N011780</stp>
        <stp>누적거래대금</stp>
        <stp/>
        <stp/>
        <tr r="M117" s="3"/>
        <tr r="M133" s="1"/>
      </tp>
      <tp>
        <v>15535848765</v>
        <stp/>
        <stp>P</stp>
        <stp>0</stp>
        <stp>STK</stp>
        <stp>N018880</stp>
        <stp>누적거래대금</stp>
        <stp/>
        <stp/>
        <tr r="M142" s="1"/>
        <tr r="M122" s="3"/>
      </tp>
      <tp>
        <v>412086200</v>
        <stp/>
        <stp>P</stp>
        <stp>0</stp>
        <stp>STK</stp>
        <stp>N006280</stp>
        <stp>누적거래대금</stp>
        <stp/>
        <stp/>
        <tr r="M229" s="1"/>
        <tr r="M184" s="3"/>
      </tp>
      <tp>
        <v>75871930</v>
        <stp/>
        <stp>P</stp>
        <stp>0</stp>
        <stp>STK</stp>
        <stp>N004980</stp>
        <stp>누적거래대금</stp>
        <stp/>
        <stp/>
        <tr r="M689" s="1"/>
        <tr r="M380" s="3"/>
      </tp>
      <tp>
        <v>495822819500</v>
        <stp/>
        <stp>P</stp>
        <stp>0</stp>
        <stp>STK</stp>
        <stp>N005380</stp>
        <stp>누적거래대금</stp>
        <stp/>
        <stp/>
        <tr r="M8" s="3"/>
        <tr r="M8" s="1"/>
      </tp>
      <tp>
        <v>43435800</v>
        <stp/>
        <stp>P</stp>
        <stp>0</stp>
        <stp>STK</stp>
        <stp>N005180</stp>
        <stp>누적거래대금</stp>
        <stp/>
        <stp/>
        <tr r="M378" s="1"/>
        <tr r="M257" s="3"/>
      </tp>
      <tp>
        <v>1021052000</v>
        <stp/>
        <stp>P</stp>
        <stp>0</stp>
        <stp>STK</stp>
        <stp>N002380</stp>
        <stp>누적거래대금</stp>
        <stp/>
        <stp/>
        <tr r="M115" s="3"/>
        <tr r="M127" s="1"/>
      </tp>
      <tp>
        <v>2096043300</v>
        <stp/>
        <stp>P</stp>
        <stp>0</stp>
        <stp>STK</stp>
        <stp>N103590</stp>
        <stp>누적거래대금</stp>
        <stp/>
        <stp/>
        <tr r="M154" s="1"/>
        <tr r="M134" s="3"/>
      </tp>
      <tp>
        <v>2418953960</v>
        <stp/>
        <stp>P</stp>
        <stp>0</stp>
        <stp>STK</stp>
        <stp>N003380</stp>
        <stp>누적거래대금</stp>
        <stp/>
        <stp/>
        <tr r="M276" s="1"/>
      </tp>
      <tp>
        <v>3909568065</v>
        <stp/>
        <stp>P</stp>
        <stp>0</stp>
        <stp>STK</stp>
        <stp>N100790</stp>
        <stp>누적거래대금</stp>
        <stp/>
        <stp/>
        <tr r="M390" s="1"/>
      </tp>
      <tp>
        <v>67697730</v>
        <stp/>
        <stp>P</stp>
        <stp>0</stp>
        <stp>STK</stp>
        <stp>N000080</stp>
        <stp>누적거래대금</stp>
        <stp/>
        <stp/>
        <tr r="M208" s="3"/>
        <tr r="M274" s="1"/>
      </tp>
      <tp>
        <v>521756160</v>
        <stp/>
        <stp>P</stp>
        <stp>0</stp>
        <stp>STK</stp>
        <stp>N100090</stp>
        <stp>누적거래대금</stp>
        <stp/>
        <stp/>
        <tr r="M282" s="1"/>
        <tr r="M212" s="3"/>
      </tp>
      <tp>
        <v>10619559500</v>
        <stp/>
        <stp>P</stp>
        <stp>0</stp>
        <stp>STK</stp>
        <stp>N000880</stp>
        <stp>누적거래대금</stp>
        <stp/>
        <stp/>
        <tr r="M74" s="3"/>
        <tr r="M76" s="1"/>
      </tp>
      <tp>
        <v>148898450</v>
        <stp/>
        <stp>P</stp>
        <stp>0</stp>
        <stp>STK</stp>
        <stp>N001680</stp>
        <stp>누적거래대금</stp>
        <stp/>
        <stp/>
        <tr r="M371" s="1"/>
        <tr r="M253" s="3"/>
      </tp>
      <tp>
        <v>1876750200</v>
        <stp/>
        <stp>P</stp>
        <stp>0</stp>
        <stp>STK</stp>
        <stp>N101490</stp>
        <stp>누적거래대금</stp>
        <stp/>
        <stp/>
        <tr r="M254" s="1"/>
      </tp>
      <tp>
        <v>7103541000</v>
        <stp/>
        <stp>P</stp>
        <stp>0</stp>
        <stp>STK</stp>
        <stp>N108490</stp>
        <stp>누적거래대금</stp>
        <stp/>
        <stp/>
        <tr r="M132" s="1"/>
      </tp>
      <tp>
        <v>3154980</v>
        <stp/>
        <stp>P</stp>
        <stp>0</stp>
        <stp>STK</stp>
        <stp>N009680</stp>
        <stp>누적거래대금</stp>
        <stp/>
        <stp/>
        <tr r="M359" s="3"/>
        <tr r="M632" s="1"/>
      </tp>
      <tp>
        <v>121846000</v>
        <stp/>
        <stp>P</stp>
        <stp>0</stp>
        <stp>STK</stp>
        <stp>N194480</stp>
        <stp>누적거래대금</stp>
        <stp/>
        <stp/>
        <tr r="M534" s="1"/>
      </tp>
      <tp>
        <v>2199708630</v>
        <stp/>
        <stp>P</stp>
        <stp>0</stp>
        <stp>STK</stp>
        <stp>N092790</stp>
        <stp>누적거래대금</stp>
        <stp/>
        <stp/>
        <tr r="M351" s="3"/>
        <tr r="M607" s="1"/>
      </tp>
      <tp>
        <v>150853500</v>
        <stp/>
        <stp>P</stp>
        <stp>0</stp>
        <stp>STK</stp>
        <stp>N192080</stp>
        <stp>누적거래대금</stp>
        <stp/>
        <stp/>
        <tr r="M221" s="3"/>
        <tr r="M298" s="1"/>
      </tp>
      <tp>
        <v>91756510</v>
        <stp/>
        <stp>P</stp>
        <stp>0</stp>
        <stp>STK</stp>
        <stp>N099190</stp>
        <stp>누적거래대금</stp>
        <stp/>
        <stp/>
        <tr r="M529" s="1"/>
      </tp>
      <tp>
        <v>1648103200</v>
        <stp/>
        <stp>P</stp>
        <stp>0</stp>
        <stp>STK</stp>
        <stp>N086790</stp>
        <stp>누적거래대금</stp>
        <stp/>
        <stp/>
        <tr r="M30" s="3"/>
        <tr r="M29" s="1"/>
      </tp>
      <tp>
        <v>306753680</v>
        <stp/>
        <stp>P</stp>
        <stp>0</stp>
        <stp>STK</stp>
        <stp>N086390</stp>
        <stp>누적거래대금</stp>
        <stp/>
        <stp/>
        <tr r="M674" s="1"/>
      </tp>
      <tp>
        <v>1418502880</v>
        <stp/>
        <stp>P</stp>
        <stp>0</stp>
        <stp>STK</stp>
        <stp>N084690</stp>
        <stp>누적거래대금</stp>
        <stp/>
        <stp/>
        <tr r="M587" s="1"/>
        <tr r="M342" s="3"/>
      </tp>
      <tp>
        <v>193243400</v>
        <stp/>
        <stp>P</stp>
        <stp>0</stp>
        <stp>STK</stp>
        <stp>N089890</stp>
        <stp>누적거래대금</stp>
        <stp/>
        <stp/>
        <tr r="M520" s="1"/>
      </tp>
      <tp>
        <v>13634665275</v>
        <stp/>
        <stp>P</stp>
        <stp>0</stp>
        <stp>STK</stp>
        <stp>N161580</stp>
        <stp>누적거래대금</stp>
        <stp/>
        <stp/>
        <tr r="M311" s="1"/>
      </tp>
      <tp>
        <v>75989200</v>
        <stp/>
        <stp>P</stp>
        <stp>0</stp>
        <stp>STK</stp>
        <stp>N061090</stp>
        <stp>누적거래대금</stp>
        <stp/>
        <stp/>
        <tr r="M679" s="1"/>
      </tp>
      <tp>
        <v>538422600</v>
        <stp/>
        <stp>P</stp>
        <stp>0</stp>
        <stp>STK</stp>
        <stp>N056190</stp>
        <stp>누적거래대금</stp>
        <stp/>
        <stp/>
        <tr r="M327" s="1"/>
      </tp>
      <tp>
        <v>4927110000</v>
        <stp/>
        <stp>P</stp>
        <stp>0</stp>
        <stp>STK</stp>
        <stp>N052690</stp>
        <stp>누적거래대금</stp>
        <stp/>
        <stp/>
        <tr r="M104" s="1"/>
        <tr r="M99" s="3"/>
      </tp>
      <tp>
        <v>363061250</v>
        <stp/>
        <stp>P</stp>
        <stp>0</stp>
        <stp>STK</stp>
        <stp>N050890</stp>
        <stp>누적거래대금</stp>
        <stp/>
        <stp/>
        <tr r="M493" s="1"/>
      </tp>
      <tp>
        <v>539493510</v>
        <stp/>
        <stp>P</stp>
        <stp>0</stp>
        <stp>STK</stp>
        <stp>N059090</stp>
        <stp>누적거래대금</stp>
        <stp/>
        <stp/>
        <tr r="M515" s="1"/>
      </tp>
      <tp>
        <v>42034710</v>
        <stp/>
        <stp>P</stp>
        <stp>0</stp>
        <stp>STK</stp>
        <stp>N046890</stp>
        <stp>누적거래대금</stp>
        <stp/>
        <stp/>
        <tr r="M576" s="1"/>
      </tp>
      <tp>
        <v>1300373850</v>
        <stp/>
        <stp>P</stp>
        <stp>0</stp>
        <stp>STK</stp>
        <stp>N044490</stp>
        <stp>누적거래대금</stp>
        <stp/>
        <stp/>
        <tr r="M391" s="1"/>
      </tp>
      <tp>
        <v>615569820</v>
        <stp/>
        <stp>P</stp>
        <stp>0</stp>
        <stp>STK</stp>
        <stp>N041190</stp>
        <stp>누적거래대금</stp>
        <stp/>
        <stp/>
        <tr r="M425" s="1"/>
      </tp>
      <tp>
        <v>3300882500</v>
        <stp/>
        <stp>P</stp>
        <stp>0</stp>
        <stp>STK</stp>
        <stp>N141080</stp>
        <stp>누적거래대금</stp>
        <stp/>
        <stp/>
        <tr r="M105" s="1"/>
      </tp>
      <tp>
        <v>439439870</v>
        <stp/>
        <stp>P</stp>
        <stp>0</stp>
        <stp>STK</stp>
        <stp>N036890</stp>
        <stp>누적거래대금</stp>
        <stp/>
        <stp/>
        <tr r="M621" s="1"/>
      </tp>
      <tp>
        <v>251304900</v>
        <stp/>
        <stp>P</stp>
        <stp>0</stp>
        <stp>STK</stp>
        <stp>N032190</stp>
        <stp>누적거래대금</stp>
        <stp/>
        <stp/>
        <tr r="M387" s="1"/>
      </tp>
      <tp>
        <v>10488400</v>
        <stp/>
        <stp>P</stp>
        <stp>0</stp>
        <stp>STK</stp>
        <stp>N030190</stp>
        <stp>누적거래대금</stp>
        <stp/>
        <stp/>
        <tr r="M229" s="3"/>
        <tr r="M314" s="1"/>
      </tp>
      <tp>
        <v>2454834000</v>
        <stp/>
        <stp>P</stp>
        <stp>0</stp>
        <stp>STK</stp>
        <stp>N039490</stp>
        <stp>누적거래대금</stp>
        <stp/>
        <stp/>
        <tr r="M75" s="3"/>
        <tr r="M82" s="1"/>
      </tp>
      <tp>
        <v>860768100</v>
        <stp/>
        <stp>P</stp>
        <stp>0</stp>
        <stp>STK</stp>
        <stp>N139480</stp>
        <stp>누적거래대금</stp>
        <stp/>
        <stp/>
        <tr r="M158" s="3"/>
        <tr r="M191" s="1"/>
      </tp>
      <tp>
        <v>64355950</v>
        <stp/>
        <stp>P</stp>
        <stp>0</stp>
        <stp>STK</stp>
        <stp>N026890</stp>
        <stp>누적거래대금</stp>
        <stp/>
        <stp/>
        <tr r="M318" s="3"/>
        <tr r="M530" s="1"/>
      </tp>
      <tp>
        <v>74159450</v>
        <stp/>
        <stp>P</stp>
        <stp>0</stp>
        <stp>STK</stp>
        <stp>N023590</stp>
        <stp>누적거래대금</stp>
        <stp/>
        <stp/>
        <tr r="M182" s="3"/>
        <tr r="M222" s="1"/>
      </tp>
      <tp>
        <v>3424700</v>
        <stp/>
        <stp>P</stp>
        <stp>0</stp>
        <stp>STK</stp>
        <stp>N016590</stp>
        <stp>누적거래대금</stp>
        <stp/>
        <stp/>
        <tr r="M462" s="1"/>
        <tr r="M294" s="3"/>
      </tp>
      <tp>
        <v>123226800</v>
        <stp/>
        <stp>P</stp>
        <stp>0</stp>
        <stp>STK</stp>
        <stp>N017390</stp>
        <stp>누적거래대금</stp>
        <stp/>
        <stp/>
        <tr r="M601" s="1"/>
        <tr r="M350" s="3"/>
      </tp>
      <tp>
        <v>7776000</v>
        <stp/>
        <stp>P</stp>
        <stp>0</stp>
        <stp>STK</stp>
        <stp>N013890</stp>
        <stp>누적거래대금</stp>
        <stp/>
        <stp/>
        <tr r="M653" s="1"/>
        <tr r="M364" s="3"/>
      </tp>
      <tp>
        <v>1652318910</v>
        <stp/>
        <stp>P</stp>
        <stp>0</stp>
        <stp>STK</stp>
        <stp>N010690</stp>
        <stp>누적거래대금</stp>
        <stp/>
        <stp/>
        <tr r="M560" s="1"/>
        <tr r="M335" s="3"/>
      </tp>
      <tp>
        <v>13493878300</v>
        <stp/>
        <stp>P</stp>
        <stp>0</stp>
        <stp>STK</stp>
        <stp>N011790</stp>
        <stp>누적거래대금</stp>
        <stp/>
        <stp/>
        <tr r="M123" s="1"/>
        <tr r="M111" s="3"/>
      </tp>
      <tp>
        <v>617350950</v>
        <stp/>
        <stp>P</stp>
        <stp>0</stp>
        <stp>STK</stp>
        <stp>N018290</stp>
        <stp>누적거래대금</stp>
        <stp/>
        <stp/>
        <tr r="M439" s="1"/>
      </tp>
      <tp>
        <v>28357150</v>
        <stp/>
        <stp>P</stp>
        <stp>0</stp>
        <stp>STK</stp>
        <stp>N007690</stp>
        <stp>누적거래대금</stp>
        <stp/>
        <stp/>
        <tr r="M339" s="3"/>
        <tr r="M586" s="1"/>
      </tp>
      <tp>
        <v>486340780</v>
        <stp/>
        <stp>P</stp>
        <stp>0</stp>
        <stp>STK</stp>
        <stp>N007390</stp>
        <stp>누적거래대금</stp>
        <stp/>
        <stp/>
        <tr r="M272" s="1"/>
      </tp>
      <tp>
        <v>134657900</v>
        <stp/>
        <stp>P</stp>
        <stp>0</stp>
        <stp>STK</stp>
        <stp>N004690</stp>
        <stp>누적거래대금</stp>
        <stp/>
        <stp/>
        <tr r="M465" s="1"/>
        <tr r="M291" s="3"/>
      </tp>
      <tp>
        <v>289957200</v>
        <stp/>
        <stp>P</stp>
        <stp>0</stp>
        <stp>STK</stp>
        <stp>N004490</stp>
        <stp>누적거래대금</stp>
        <stp/>
        <stp/>
        <tr r="M235" s="3"/>
        <tr r="M330" s="1"/>
      </tp>
      <tp>
        <v>1034061900</v>
        <stp/>
        <stp>P</stp>
        <stp>0</stp>
        <stp>STK</stp>
        <stp>N004990</stp>
        <stp>누적거래대금</stp>
        <stp/>
        <stp/>
        <tr r="M131" s="3"/>
        <tr r="M150" s="1"/>
      </tp>
      <tp>
        <v>5573508910</v>
        <stp/>
        <stp>P</stp>
        <stp>0</stp>
        <stp>STK</stp>
        <stp>N005690</stp>
        <stp>누적거래대금</stp>
        <stp/>
        <stp/>
        <tr r="M358" s="1"/>
        <tr r="M246" s="3"/>
      </tp>
      <tp>
        <v>139926883000</v>
        <stp/>
        <stp>P</stp>
        <stp>0</stp>
        <stp>STK</stp>
        <stp>N005490</stp>
        <stp>누적거래대금</stp>
        <stp/>
        <stp/>
        <tr r="M29" s="3"/>
        <tr r="M28" s="1"/>
      </tp>
      <tp>
        <v>1824415700</v>
        <stp/>
        <stp>P</stp>
        <stp>0</stp>
        <stp>STK</stp>
        <stp>N005290</stp>
        <stp>누적거래대금</stp>
        <stp/>
        <stp/>
        <tr r="M201" s="1"/>
      </tp>
      <tp>
        <v>6793100</v>
        <stp/>
        <stp>P</stp>
        <stp>0</stp>
        <stp>STK</stp>
        <stp>N005090</stp>
        <stp>누적거래대금</stp>
        <stp/>
        <stp/>
        <tr r="M623" s="1"/>
        <tr r="M353" s="3"/>
      </tp>
      <tp>
        <v>319676000</v>
        <stp/>
        <stp>P</stp>
        <stp>0</stp>
        <stp>STK</stp>
        <stp>N002790</stp>
        <stp>누적거래대금</stp>
        <stp/>
        <stp/>
        <tr r="M207" s="1"/>
        <tr r="M166" s="3"/>
      </tp>
      <tp>
        <v>22072280</v>
        <stp/>
        <stp>P</stp>
        <stp>0</stp>
        <stp>STK</stp>
        <stp>N003690</stp>
        <stp>누적거래대금</stp>
        <stp/>
        <stp/>
        <tr r="M162" s="3"/>
        <tr r="M196" s="1"/>
      </tp>
      <tp>
        <v>3703435275</v>
        <stp/>
        <stp>P</stp>
        <stp>0</stp>
        <stp>STK</stp>
        <stp>N003490</stp>
        <stp>누적거래대금</stp>
        <stp/>
        <stp/>
        <tr r="M79" s="1"/>
        <tr r="M73" s="3"/>
      </tp>
      <tp>
        <v>181464050</v>
        <stp/>
        <stp>P</stp>
        <stp>0</stp>
        <stp>STK</stp>
        <stp>N003090</stp>
        <stp>누적거래대금</stp>
        <stp/>
        <stp/>
        <tr r="M269" s="1"/>
        <tr r="M206" s="3"/>
      </tp>
      <tp>
        <v>1215487070</v>
        <stp/>
        <stp>P</stp>
        <stp>0</stp>
        <stp>STK</stp>
        <stp>N000490</stp>
        <stp>누적거래대금</stp>
        <stp/>
        <stp/>
        <tr r="M360" s="3"/>
        <tr r="M628" s="1"/>
      </tp>
      <tp>
        <v>1716145600</v>
        <stp/>
        <stp>P</stp>
        <stp>0</stp>
        <stp>STK</stp>
        <stp>N000990</stp>
        <stp>누적거래대금</stp>
        <stp/>
        <stp/>
        <tr r="M113" s="3"/>
        <tr r="M125" s="1"/>
      </tp>
      <tp>
        <v>7479100</v>
        <stp/>
        <stp>P</stp>
        <stp>0</stp>
        <stp>STK</stp>
        <stp>N008490</stp>
        <stp>누적거래대금</stp>
        <stp/>
        <stp/>
        <tr r="M686" s="1"/>
        <tr r="M379" s="3"/>
      </tp>
      <tp>
        <v>261391100</v>
        <stp/>
        <stp>P</stp>
        <stp>0</stp>
        <stp>STK</stp>
        <stp>N108380</stp>
        <stp>누적거래대금</stp>
        <stp/>
        <stp/>
        <tr r="M669" s="1"/>
      </tp>
      <tp>
        <v>17463199900</v>
        <stp/>
        <stp>P</stp>
        <stp>0</stp>
        <stp>STK</stp>
        <stp>N298380</stp>
        <stp>누적거래대금</stp>
        <stp/>
        <stp/>
        <tr r="M73" s="1"/>
      </tp>
      <tp>
        <v>4345354100</v>
        <stp/>
        <stp>P</stp>
        <stp>0</stp>
        <stp>STK</stp>
        <stp>N278280</stp>
        <stp>누적거래대금</stp>
        <stp/>
        <stp/>
        <tr r="M434" s="1"/>
      </tp>
      <tp>
        <v>12116550</v>
        <stp/>
        <stp>P</stp>
        <stp>0</stp>
        <stp>STK</stp>
        <stp>N267980</stp>
        <stp>누적거래대금</stp>
        <stp/>
        <stp/>
        <tr r="M655" s="1"/>
      </tp>
      <tp>
        <v>1501700</v>
        <stp/>
        <stp>P</stp>
        <stp>0</stp>
        <stp>STK</stp>
        <stp>N268280</stp>
        <stp>누적거래대금</stp>
        <stp/>
        <stp/>
        <tr r="M265" s="3"/>
        <tr r="M388" s="1"/>
      </tp>
      <tp>
        <v>109157760</v>
        <stp/>
        <stp>P</stp>
        <stp>0</stp>
        <stp>STK</stp>
        <stp>N237880</stp>
        <stp>누적거래대금</stp>
        <stp/>
        <stp/>
        <tr r="M690" s="1"/>
      </tp>
      <tp>
        <v>82120910830</v>
        <stp/>
        <stp>P</stp>
        <stp>0</stp>
        <stp>STK</stp>
        <stp>N222080</stp>
        <stp>누적거래대금</stp>
        <stp/>
        <stp/>
        <tr r="M438" s="1"/>
      </tp>
      <tp>
        <v>1107945350</v>
        <stp/>
        <stp>P</stp>
        <stp>0</stp>
        <stp>STK</stp>
        <stp>N200880</stp>
        <stp>누적거래대금</stp>
        <stp/>
        <stp/>
        <tr r="M503" s="1"/>
        <tr r="M317" s="3"/>
      </tp>
      <tp>
        <v>623473690</v>
        <stp/>
        <stp>P</stp>
        <stp>0</stp>
        <stp>STK</stp>
        <stp>N394280</stp>
        <stp>누적거래대금</stp>
        <stp/>
        <stp/>
        <tr r="M624" s="1"/>
      </tp>
      <tp>
        <v>122034960</v>
        <stp/>
        <stp>P</stp>
        <stp>0</stp>
        <stp>STK</stp>
        <stp>N293490</stp>
        <stp>누적거래대금</stp>
        <stp/>
        <stp/>
        <tr r="M273" s="1"/>
      </tp>
      <tp>
        <v>14530330800</v>
        <stp/>
        <stp>P</stp>
        <stp>0</stp>
        <stp>STK</stp>
        <stp>N272290</stp>
        <stp>누적거래대금</stp>
        <stp/>
        <stp/>
        <tr r="M469" s="1"/>
      </tp>
      <tp>
        <v>112766750</v>
        <stp/>
        <stp>P</stp>
        <stp>0</stp>
        <stp>STK</stp>
        <stp>N356680</stp>
        <stp>누적거래대금</stp>
        <stp/>
        <stp/>
        <tr r="M694" s="1"/>
      </tp>
      <tp>
        <v>616477500</v>
        <stp/>
        <stp>P</stp>
        <stp>0</stp>
        <stp>STK</stp>
        <stp>N357780</stp>
        <stp>누적거래대금</stp>
        <stp/>
        <stp/>
        <tr r="M167" s="1"/>
      </tp>
      <tp>
        <v>63131950</v>
        <stp/>
        <stp>P</stp>
        <stp>0</stp>
        <stp>STK</stp>
        <stp>N352480</stp>
        <stp>누적거래대금</stp>
        <stp/>
        <stp/>
        <tr r="M528" s="1"/>
      </tp>
      <tp>
        <v>1373861850</v>
        <stp/>
        <stp>P</stp>
        <stp>0</stp>
        <stp>STK</stp>
        <stp>N253590</stp>
        <stp>누적거래대금</stp>
        <stp/>
        <stp/>
        <tr r="M474" s="1"/>
      </tp>
      <tp>
        <v>477832900</v>
        <stp/>
        <stp>P</stp>
        <stp>0</stp>
        <stp>STK</stp>
        <stp>N237690</stp>
        <stp>누적거래대금</stp>
        <stp/>
        <stp/>
        <tr r="M182" s="1"/>
      </tp>
      <tp>
        <v>5807356700</v>
        <stp/>
        <stp>P</stp>
        <stp>0</stp>
        <stp>STK</stp>
        <stp>N323280</stp>
        <stp>누적거래대금</stp>
        <stp/>
        <stp/>
        <tr r="M255" s="1"/>
      </tp>
      <tp>
        <v>7830025500</v>
        <stp/>
        <stp>P</stp>
        <stp>0</stp>
        <stp>STK</stp>
        <stp>N329180</stp>
        <stp>누적거래대금</stp>
        <stp/>
        <stp/>
        <tr r="M13" s="3"/>
        <tr r="M13" s="1"/>
      </tp>
      <tp>
        <v>1465981200</v>
        <stp/>
        <stp>P</stp>
        <stp>0</stp>
        <stp>STK</stp>
        <stp>N217590</stp>
        <stp>누적거래대금</stp>
        <stp/>
        <stp/>
        <tr r="M542" s="1"/>
        <tr r="M326" s="3"/>
      </tp>
      <tp>
        <v>800815530</v>
        <stp/>
        <stp>P</stp>
        <stp>0</stp>
        <stp>STK</stp>
        <stp>N300080</stp>
        <stp>누적거래대금</stp>
        <stp/>
        <stp/>
        <tr r="M662" s="1"/>
      </tp>
      <tp>
        <v>535396200</v>
        <stp/>
        <stp>P</stp>
        <stp>0</stp>
        <stp>STK</stp>
        <stp>N488280</stp>
        <stp>누적거래대금</stp>
        <stp/>
        <stp/>
        <tr r="M687" s="1"/>
      </tp>
      <tp>
        <v>394174650</v>
        <stp/>
        <stp>P</stp>
        <stp>0</stp>
        <stp>STK</stp>
        <stp>N473980</stp>
        <stp>누적거래대금</stp>
        <stp/>
        <stp/>
        <tr r="M646" s="1"/>
      </tp>
      <tp>
        <v>11730070300</v>
        <stp/>
        <stp>P</stp>
        <stp>0</stp>
        <stp>STK</stp>
        <stp>N450080</stp>
        <stp>누적거래대금</stp>
        <stp/>
        <stp/>
        <tr r="M121" s="1"/>
        <tr r="M109" s="3"/>
      </tp>
      <tp>
        <v>1309446300</v>
        <stp/>
        <stp>P</stp>
        <stp>0</stp>
        <stp>STK</stp>
        <stp>N445680</stp>
        <stp>누적거래대금</stp>
        <stp/>
        <stp/>
        <tr r="M204" s="1"/>
      </tp>
      <tp>
        <v>14251020</v>
        <stp/>
        <stp>P</stp>
        <stp>0</stp>
        <stp>STK</stp>
        <stp>N448280</stp>
        <stp>누적거래대금</stp>
        <stp/>
        <stp/>
        <tr r="M638" s="1"/>
      </tp>
      <tp>
        <v>1539555950</v>
        <stp/>
        <stp>P</stp>
        <stp>0</stp>
        <stp>STK</stp>
        <stp>N416180</stp>
        <stp>누적거래대금</stp>
        <stp/>
        <stp/>
        <tr r="M634" s="1"/>
      </tp>
      <tp>
        <v>93337750</v>
        <stp/>
        <stp>P</stp>
        <stp>0</stp>
        <stp>STK</stp>
        <stp>N499790</stp>
        <stp>누적거래대금</stp>
        <stp/>
        <stp/>
        <tr r="M359" s="1"/>
        <tr r="M237" s="3"/>
      </tp>
      <tp>
        <v>3282934500</v>
        <stp/>
        <stp>P</stp>
        <stp>0</stp>
        <stp>STK</stp>
        <stp>N486990</stp>
        <stp>누적거래대금</stp>
        <stp/>
        <stp/>
        <tr r="M315" s="1"/>
      </tp>
      <tp>
        <v>280672020</v>
        <stp/>
        <stp>P</stp>
        <stp>0</stp>
        <stp>STK</stp>
        <stp>N484590</stp>
        <stp>누적거래대금</stp>
        <stp/>
        <stp/>
        <tr r="M450" s="1"/>
      </tp>
      <tp>
        <v>4656851050</v>
        <stp/>
        <stp>P</stp>
        <stp>0</stp>
        <stp>STK</stp>
        <stp>N489790</stp>
        <stp>누적거래대금</stp>
        <stp/>
        <stp/>
        <tr r="M170" s="1"/>
        <tr r="M139" s="3"/>
      </tp>
      <tp>
        <v>52948425900</v>
        <stp/>
        <stp>P</stp>
        <stp>0</stp>
        <stp>STK</stp>
        <stp>N457190</stp>
        <stp>누적거래대금</stp>
        <stp/>
        <stp/>
        <tr r="M127" s="3"/>
        <tr r="M159" s="1"/>
      </tp>
      <tp>
        <v>1205915250</v>
        <stp/>
        <stp>P</stp>
        <stp>0</stp>
        <stp>STK</stp>
        <stp>N445090</stp>
        <stp>누적거래대금</stp>
        <stp/>
        <stp/>
        <tr r="M606" s="1"/>
      </tp>
      <tp>
        <v>94160010</v>
        <stp/>
        <stp>P</stp>
        <stp>0</stp>
        <stp>STK</stp>
        <stp>N439090</stp>
        <stp>누적거래대금</stp>
        <stp/>
        <stp/>
        <tr r="M692" s="1"/>
      </tp>
      <tp>
        <v>759432000</v>
        <stp/>
        <stp>P</stp>
        <stp>0</stp>
        <stp>STK</stp>
        <stp>N397030</stp>
        <stp>누적거래대금</stp>
        <stp/>
        <stp/>
        <tr r="M293" s="1"/>
      </tp>
      <tp>
        <v>17391027480</v>
        <stp/>
        <stp>P</stp>
        <stp>0</stp>
        <stp>STK</stp>
        <stp>N095500</stp>
        <stp>누적거래대금</stp>
        <stp/>
        <stp/>
        <tr r="M596" s="1"/>
      </tp>
      <tp>
        <v>3017526800</v>
        <stp/>
        <stp>P</stp>
        <stp>0</stp>
        <stp>STK</stp>
        <stp>N190510</stp>
        <stp>누적거래대금</stp>
        <stp/>
        <stp/>
        <tr r="M579" s="1"/>
      </tp>
      <tp>
        <v>2566287500</v>
        <stp/>
        <stp>P</stp>
        <stp>0</stp>
        <stp>STK</stp>
        <stp>N298020</stp>
        <stp>누적거래대금</stp>
        <stp/>
        <stp/>
        <tr r="M231" s="1"/>
        <tr r="M188" s="3"/>
      </tp>
      <tp>
        <v>129352700</v>
        <stp/>
        <stp>P</stp>
        <stp>0</stp>
        <stp>STK</stp>
        <stp>N086900</stp>
        <stp>누적거래대금</stp>
        <stp/>
        <stp/>
        <tr r="M338" s="1"/>
      </tp>
      <tp>
        <v>12088450</v>
        <stp/>
        <stp>P</stp>
        <stp>0</stp>
        <stp>STK</stp>
        <stp>N181710</stp>
        <stp>누적거래대금</stp>
        <stp/>
        <stp/>
        <tr r="M316" s="1"/>
        <tr r="M230" s="3"/>
      </tp>
      <tp>
        <v>375467850</v>
        <stp/>
        <stp>P</stp>
        <stp>0</stp>
        <stp>STK</stp>
        <stp>N281820</stp>
        <stp>누적거래대금</stp>
        <stp/>
        <stp/>
        <tr r="M247" s="3"/>
        <tr r="M350" s="1"/>
      </tp>
      <tp>
        <v>510971900</v>
        <stp/>
        <stp>P</stp>
        <stp>0</stp>
        <stp>STK</stp>
        <stp>N074600</stp>
        <stp>누적거래대금</stp>
        <stp/>
        <stp/>
        <tr r="M405" s="1"/>
      </tp>
      <tp>
        <v>40520000350</v>
        <stp/>
        <stp>P</stp>
        <stp>0</stp>
        <stp>STK</stp>
        <stp>N078600</stp>
        <stp>누적거래대금</stp>
        <stp/>
        <stp/>
        <tr r="M317" s="1"/>
      </tp>
      <tp>
        <v>45151079650</v>
        <stp/>
        <stp>P</stp>
        <stp>0</stp>
        <stp>STK</stp>
        <stp>N478340</stp>
        <stp>누적거래대금</stp>
        <stp/>
        <stp/>
        <tr r="M422" s="1"/>
      </tp>
      <tp>
        <v>22792532850</v>
        <stp/>
        <stp>P</stp>
        <stp>0</stp>
        <stp>STK</stp>
        <stp>N079900</stp>
        <stp>누적거래대금</stp>
        <stp/>
        <stp/>
        <tr r="M382" s="1"/>
        <tr r="M259" s="3"/>
      </tp>
      <tp>
        <v>8595001500</v>
        <stp/>
        <stp>P</stp>
        <stp>0</stp>
        <stp>STK</stp>
        <stp>N064400</stp>
        <stp>누적거래대금</stp>
        <stp/>
        <stp/>
        <tr r="M91" s="1"/>
        <tr r="M89" s="3"/>
      </tp>
      <tp>
        <v>189363450</v>
        <stp/>
        <stp>P</stp>
        <stp>0</stp>
        <stp>STK</stp>
        <stp>N265520</stp>
        <stp>누적거래대금</stp>
        <stp/>
        <stp/>
        <tr r="M639" s="1"/>
      </tp>
      <tp>
        <v>495265100</v>
        <stp/>
        <stp>P</stp>
        <stp>0</stp>
        <stp>STK</stp>
        <stp>N456040</stp>
        <stp>누적거래대금</stp>
        <stp/>
        <stp/>
        <tr r="M409" s="1"/>
        <tr r="M270" s="3"/>
      </tp>
      <tp>
        <v>4763777200</v>
        <stp/>
        <stp>P</stp>
        <stp>0</stp>
        <stp>STK</stp>
        <stp>N257720</stp>
        <stp>누적거래대금</stp>
        <stp/>
        <stp/>
        <tr r="M156" s="1"/>
      </tp>
      <tp>
        <v>238426700</v>
        <stp/>
        <stp>P</stp>
        <stp>0</stp>
        <stp>STK</stp>
        <stp>N052400</stp>
        <stp>누적거래대금</stp>
        <stp/>
        <stp/>
        <tr r="M418" s="1"/>
      </tp>
      <tp>
        <v>17311950</v>
        <stp/>
        <stp>P</stp>
        <stp>0</stp>
        <stp>STK</stp>
        <stp>N453340</stp>
        <stp>누적거래대금</stp>
        <stp/>
        <stp/>
        <tr r="M480" s="1"/>
        <tr r="M300" s="3"/>
      </tp>
      <tp>
        <v>76833900</v>
        <stp/>
        <stp>P</stp>
        <stp>0</stp>
        <stp>STK</stp>
        <stp>N053800</stp>
        <stp>누적거래대금</stp>
        <stp/>
        <stp/>
        <tr r="M401" s="1"/>
      </tp>
      <tp>
        <v>2213998700</v>
        <stp/>
        <stp>P</stp>
        <stp>0</stp>
        <stp>STK</stp>
        <stp>N051600</stp>
        <stp>누적거래대금</stp>
        <stp/>
        <stp/>
        <tr r="M142" s="3"/>
        <tr r="M166" s="1"/>
      </tp>
      <tp>
        <v>1061400</v>
        <stp/>
        <stp>P</stp>
        <stp>0</stp>
        <stp>STK</stp>
        <stp>N051500</stp>
        <stp>누적거래대금</stp>
        <stp/>
        <stp/>
        <tr r="M605" s="1"/>
      </tp>
      <tp>
        <v>1228085000</v>
        <stp/>
        <stp>P</stp>
        <stp>0</stp>
        <stp>STK</stp>
        <stp>N051900</stp>
        <stp>누적거래대금</stp>
        <stp/>
        <stp/>
        <tr r="M124" s="1"/>
        <tr r="M114" s="3"/>
      </tp>
      <tp>
        <v>27380550</v>
        <stp/>
        <stp>P</stp>
        <stp>0</stp>
        <stp>STK</stp>
        <stp>N144510</stp>
        <stp>누적거래대금</stp>
        <stp/>
        <stp/>
        <tr r="M575" s="1"/>
      </tp>
      <tp>
        <v>191123650</v>
        <stp/>
        <stp>P</stp>
        <stp>0</stp>
        <stp>STK</stp>
        <stp>N045100</stp>
        <stp>누적거래대금</stp>
        <stp/>
        <stp/>
        <tr r="M500" s="1"/>
      </tp>
      <tp>
        <v>14895955500</v>
        <stp/>
        <stp>P</stp>
        <stp>0</stp>
        <stp>STK</stp>
        <stp>N042700</stp>
        <stp>누적거래대금</stp>
        <stp/>
        <stp/>
        <tr r="M51" s="3"/>
        <tr r="M51" s="1"/>
      </tp>
      <tp>
        <v>125675450</v>
        <stp/>
        <stp>P</stp>
        <stp>0</stp>
        <stp>STK</stp>
        <stp>N042000</stp>
        <stp>누적거래대금</stp>
        <stp/>
        <stp/>
        <tr r="M367" s="1"/>
      </tp>
      <tp>
        <v>4018148100</v>
        <stp/>
        <stp>P</stp>
        <stp>0</stp>
        <stp>STK</stp>
        <stp>N140410</stp>
        <stp>누적거래대금</stp>
        <stp/>
        <stp/>
        <tr r="M151" s="1"/>
      </tp>
      <tp>
        <v>2109127400</v>
        <stp/>
        <stp>P</stp>
        <stp>0</stp>
        <stp>STK</stp>
        <stp>N249420</stp>
        <stp>누적거래대금</stp>
        <stp/>
        <stp/>
        <tr r="M217" s="3"/>
        <tr r="M285" s="1"/>
      </tp>
      <tp>
        <v>87657050</v>
        <stp/>
        <stp>P</stp>
        <stp>0</stp>
        <stp>STK</stp>
        <stp>N036200</stp>
        <stp>누적거래대금</stp>
        <stp/>
        <stp/>
        <tr r="M626" s="1"/>
      </tp>
      <tp>
        <v>7454950</v>
        <stp/>
        <stp>P</stp>
        <stp>0</stp>
        <stp>STK</stp>
        <stp>N036800</stp>
        <stp>누적거래대금</stp>
        <stp/>
        <stp/>
        <tr r="M688" s="1"/>
      </tp>
      <tp>
        <v>7231660</v>
        <stp/>
        <stp>P</stp>
        <stp>0</stp>
        <stp>STK</stp>
        <stp>N137310</stp>
        <stp>누적거래대금</stp>
        <stp/>
        <stp/>
        <tr r="M227" s="3"/>
        <tr r="M312" s="1"/>
      </tp>
      <tp>
        <v>40055620</v>
        <stp/>
        <stp>P</stp>
        <stp>0</stp>
        <stp>STK</stp>
        <stp>N035600</stp>
        <stp>누적거래대금</stp>
        <stp/>
        <stp/>
        <tr r="M652" s="1"/>
      </tp>
      <tp>
        <v>2080105250</v>
        <stp/>
        <stp>P</stp>
        <stp>0</stp>
        <stp>STK</stp>
        <stp>N035900</stp>
        <stp>누적거래대금</stp>
        <stp/>
        <stp/>
        <tr r="M185" s="1"/>
      </tp>
      <tp>
        <v>280625050</v>
        <stp/>
        <stp>P</stp>
        <stp>0</stp>
        <stp>STK</stp>
        <stp>N032500</stp>
        <stp>누적거래대금</stp>
        <stp/>
        <stp/>
        <tr r="M413" s="1"/>
      </tp>
      <tp>
        <v>180152500</v>
        <stp/>
        <stp>P</stp>
        <stp>0</stp>
        <stp>STK</stp>
        <stp>N033500</stp>
        <stp>누적거래대금</stp>
        <stp/>
        <stp/>
        <tr r="M344" s="1"/>
      </tp>
      <tp>
        <v>1753973600</v>
        <stp/>
        <stp>P</stp>
        <stp>0</stp>
        <stp>STK</stp>
        <stp>N033100</stp>
        <stp>누적거래대금</stp>
        <stp/>
        <stp/>
        <tr r="M403" s="1"/>
      </tp>
      <tp>
        <v>645727800</v>
        <stp/>
        <stp>P</stp>
        <stp>0</stp>
        <stp>STK</stp>
        <stp>N030200</stp>
        <stp>누적거래대금</stp>
        <stp/>
        <stp/>
        <tr r="M59" s="1"/>
        <tr r="M57" s="3"/>
      </tp>
      <tp>
        <v>96804350</v>
        <stp/>
        <stp>P</stp>
        <stp>0</stp>
        <stp>STK</stp>
        <stp>N030000</stp>
        <stp>누적거래대금</stp>
        <stp/>
        <stp/>
        <tr r="M156" s="3"/>
        <tr r="M184" s="1"/>
      </tp>
      <tp>
        <v>288469700</v>
        <stp/>
        <stp>P</stp>
        <stp>0</stp>
        <stp>STK</stp>
        <stp>N138610</stp>
        <stp>누적거래대금</stp>
        <stp/>
        <stp/>
        <tr r="M545" s="1"/>
      </tp>
      <tp>
        <v>645411850</v>
        <stp/>
        <stp>P</stp>
        <stp>0</stp>
        <stp>STK</stp>
        <stp>N039200</stp>
        <stp>누적거래대금</stp>
        <stp/>
        <stp/>
        <tr r="M236" s="1"/>
      </tp>
      <tp>
        <v>20753670</v>
        <stp/>
        <stp>P</stp>
        <stp>0</stp>
        <stp>STK</stp>
        <stp>N226320</stp>
        <stp>누적거래대금</stp>
        <stp/>
        <stp/>
        <tr r="M373" s="3"/>
        <tr r="M676" s="1"/>
      </tp>
      <tp>
        <v>2195443700</v>
        <stp/>
        <stp>P</stp>
        <stp>0</stp>
        <stp>STK</stp>
        <stp>N326030</stp>
        <stp>누적거래대금</stp>
        <stp/>
        <stp/>
        <tr r="M72" s="3"/>
        <tr r="M78" s="1"/>
      </tp>
      <tp>
        <v>1142650450</v>
        <stp/>
        <stp>P</stp>
        <stp>0</stp>
        <stp>STK</stp>
        <stp>N025900</stp>
        <stp>누적거래대금</stp>
        <stp/>
        <stp/>
        <tr r="M527" s="1"/>
      </tp>
      <tp>
        <v>18425360800</v>
        <stp/>
        <stp>P</stp>
        <stp>0</stp>
        <stp>STK</stp>
        <stp>N022100</stp>
        <stp>누적거래대금</stp>
        <stp/>
        <stp/>
        <tr r="M95" s="1"/>
        <tr r="M90" s="3"/>
      </tp>
      <tp>
        <v>918665550</v>
        <stp/>
        <stp>P</stp>
        <stp>0</stp>
        <stp>STK</stp>
        <stp>N120110</stp>
        <stp>누적거래대금</stp>
        <stp/>
        <stp/>
        <tr r="M207" s="3"/>
        <tr r="M277" s="1"/>
      </tp>
      <tp>
        <v>3534060</v>
        <stp/>
        <stp>P</stp>
        <stp>0</stp>
        <stp>STK</stp>
        <stp>N020000</stp>
        <stp>누적거래대금</stp>
        <stp/>
        <stp/>
        <tr r="M584" s="1"/>
        <tr r="M337" s="3"/>
      </tp>
      <tp>
        <v>5481918900</v>
        <stp/>
        <stp>P</stp>
        <stp>0</stp>
        <stp>STK</stp>
        <stp>N028300</stp>
        <stp>누적거래대금</stp>
        <stp/>
        <stp/>
        <tr r="M93" s="1"/>
      </tp>
      <tp>
        <v>635476350</v>
        <stp/>
        <stp>P</stp>
        <stp>0</stp>
        <stp>STK</stp>
        <stp>N328130</stp>
        <stp>누적거래대금</stp>
        <stp/>
        <stp/>
        <tr r="M295" s="1"/>
      </tp>
      <tp>
        <v>996400</v>
        <stp/>
        <stp>P</stp>
        <stp>0</stp>
        <stp>STK</stp>
        <stp>N016800</stp>
        <stp>누적거래대금</stp>
        <stp/>
        <stp/>
        <tr r="M475" s="1"/>
        <tr r="M296" s="3"/>
      </tp>
      <tp>
        <v>2932062620</v>
        <stp/>
        <stp>P</stp>
        <stp>0</stp>
        <stp>STK</stp>
        <stp>N317330</stp>
        <stp>누적거래대금</stp>
        <stp/>
        <stp/>
        <tr r="M574" s="1"/>
      </tp>
      <tp>
        <v>801911900</v>
        <stp/>
        <stp>P</stp>
        <stp>0</stp>
        <stp>STK</stp>
        <stp>N017800</stp>
        <stp>누적거래대금</stp>
        <stp/>
        <stp/>
        <tr r="M121" s="3"/>
        <tr r="M137" s="1"/>
      </tp>
      <tp>
        <v>50371960</v>
        <stp/>
        <stp>P</stp>
        <stp>0</stp>
        <stp>STK</stp>
        <stp>N214320</stp>
        <stp>누적거래대금</stp>
        <stp/>
        <stp/>
        <tr r="M256" s="3"/>
        <tr r="M375" s="1"/>
      </tp>
      <tp>
        <v>29215050</v>
        <stp/>
        <stp>P</stp>
        <stp>0</stp>
        <stp>STK</stp>
        <stp>N314930</stp>
        <stp>누적거래대금</stp>
        <stp/>
        <stp/>
        <tr r="M573" s="1"/>
      </tp>
      <tp>
        <v>134693780</v>
        <stp/>
        <stp>P</stp>
        <stp>0</stp>
        <stp>STK</stp>
        <stp>N114810</stp>
        <stp>누적거래대금</stp>
        <stp/>
        <stp/>
        <tr r="M603" s="1"/>
      </tp>
      <tp>
        <v>973475400</v>
        <stp/>
        <stp>P</stp>
        <stp>0</stp>
        <stp>STK</stp>
        <stp>N112610</stp>
        <stp>누적거래대금</stp>
        <stp/>
        <stp/>
        <tr r="M185" s="3"/>
        <tr r="M237" s="1"/>
      </tp>
      <tp>
        <v>425957800</v>
        <stp/>
        <stp>P</stp>
        <stp>0</stp>
        <stp>STK</stp>
        <stp>N213420</stp>
        <stp>누적거래대금</stp>
        <stp/>
        <stp/>
        <tr r="M335" s="1"/>
      </tp>
      <tp>
        <v>118027289025</v>
        <stp/>
        <stp>P</stp>
        <stp>0</stp>
        <stp>STK</stp>
        <stp>N011500</stp>
        <stp>누적거래대금</stp>
        <stp/>
        <stp/>
        <tr r="M333" s="3"/>
        <tr r="M631" s="1"/>
      </tp>
      <tp>
        <v>4089380150</v>
        <stp/>
        <stp>P</stp>
        <stp>0</stp>
        <stp>STK</stp>
        <stp>N011200</stp>
        <stp>누적거래대금</stp>
        <stp/>
        <stp/>
        <tr r="M42" s="3"/>
        <tr r="M43" s="1"/>
      </tp>
      <tp>
        <v>719083383250</v>
        <stp/>
        <stp>P</stp>
        <stp>0</stp>
        <stp>STK</stp>
        <stp>N006400</stp>
        <stp>누적거래대금</stp>
        <stp/>
        <stp/>
        <tr r="M31" s="1"/>
        <tr r="M28" s="3"/>
      </tp>
      <tp>
        <v>71531080375</v>
        <stp/>
        <stp>P</stp>
        <stp>0</stp>
        <stp>STK</stp>
        <stp>N006800</stp>
        <stp>누적거래대금</stp>
        <stp/>
        <stp/>
        <tr r="M47" s="3"/>
        <tr r="M48" s="1"/>
      </tp>
      <tp>
        <v>20382100</v>
        <stp/>
        <stp>P</stp>
        <stp>0</stp>
        <stp>STK</stp>
        <stp>N007700</stp>
        <stp>누적거래대금</stp>
        <stp/>
        <stp/>
        <tr r="M249" s="3"/>
        <tr r="M362" s="1"/>
      </tp>
      <tp>
        <v>189663100</v>
        <stp/>
        <stp>P</stp>
        <stp>0</stp>
        <stp>STK</stp>
        <stp>N004700</stp>
        <stp>누적거래대금</stp>
        <stp/>
        <stp/>
        <tr r="M497" s="1"/>
        <tr r="M306" s="3"/>
      </tp>
      <tp>
        <v>23681370200</v>
        <stp/>
        <stp>P</stp>
        <stp>0</stp>
        <stp>STK</stp>
        <stp>N204320</stp>
        <stp>누적거래대금</stp>
        <stp/>
        <stp/>
        <tr r="M125" s="3"/>
        <tr r="M139" s="1"/>
      </tp>
      <tp>
        <v>76152450</v>
        <stp/>
        <stp>P</stp>
        <stp>0</stp>
        <stp>STK</stp>
        <stp>N004000</stp>
        <stp>누적거래대금</stp>
        <stp/>
        <stp/>
        <tr r="M216" s="3"/>
        <tr r="M287" s="1"/>
      </tp>
      <tp>
        <v>311528500</v>
        <stp/>
        <stp>P</stp>
        <stp>0</stp>
        <stp>STK</stp>
        <stp>N004800</stp>
        <stp>누적거래대금</stp>
        <stp/>
        <stp/>
        <tr r="M148" s="3"/>
        <tr r="M174" s="1"/>
      </tp>
      <tp>
        <v>13646610</v>
        <stp/>
        <stp>P</stp>
        <stp>0</stp>
        <stp>STK</stp>
        <stp>N005500</stp>
        <stp>누적거래대금</stp>
        <stp/>
        <stp/>
        <tr r="M371" s="3"/>
        <tr r="M666" s="1"/>
      </tp>
      <tp>
        <v>43733100</v>
        <stp/>
        <stp>P</stp>
        <stp>0</stp>
        <stp>STK</stp>
        <stp>N005300</stp>
        <stp>누적거래대금</stp>
        <stp/>
        <stp/>
        <tr r="M281" s="1"/>
        <tr r="M210" s="3"/>
      </tp>
      <tp>
        <v>826290175</v>
        <stp/>
        <stp>P</stp>
        <stp>0</stp>
        <stp>STK</stp>
        <stp>N102710</stp>
        <stp>누적거래대금</stp>
        <stp/>
        <stp/>
        <tr r="M398" s="1"/>
      </tp>
      <tp>
        <v>3517493500</v>
        <stp/>
        <stp>P</stp>
        <stp>0</stp>
        <stp>STK</stp>
        <stp>N402340</stp>
        <stp>누적거래대금</stp>
        <stp/>
        <stp/>
        <tr r="M15" s="3"/>
        <tr r="M15" s="1"/>
      </tp>
      <tp>
        <v>312000</v>
        <stp/>
        <stp>P</stp>
        <stp>0</stp>
        <stp>STK</stp>
        <stp>N003300</stp>
        <stp>누적거래대금</stp>
        <stp/>
        <stp/>
        <tr r="M489" s="1"/>
        <tr r="M303" s="3"/>
      </tp>
      <tp>
        <v>24832510</v>
        <stp/>
        <stp>P</stp>
        <stp>0</stp>
        <stp>STK</stp>
        <stp>N003200</stp>
        <stp>누적거래대금</stp>
        <stp/>
        <stp/>
        <tr r="M358" s="3"/>
        <tr r="M618" s="1"/>
      </tp>
      <tp>
        <v>271644600</v>
        <stp/>
        <stp>P</stp>
        <stp>0</stp>
        <stp>STK</stp>
        <stp>N000500</stp>
        <stp>누적거래대금</stp>
        <stp/>
        <stp/>
        <tr r="M249" s="1"/>
        <tr r="M196" s="3"/>
      </tp>
      <tp>
        <v>3440352600</v>
        <stp/>
        <stp>P</stp>
        <stp>0</stp>
        <stp>STK</stp>
        <stp>N000100</stp>
        <stp>누적거래대금</stp>
        <stp/>
        <stp/>
        <tr r="M84" s="1"/>
        <tr r="M78" s="3"/>
      </tp>
      <tp>
        <v>246052380</v>
        <stp/>
        <stp>P</stp>
        <stp>0</stp>
        <stp>STK</stp>
        <stp>N001500</stp>
        <stp>누적거래대금</stp>
        <stp/>
        <stp/>
        <tr r="M459" s="1"/>
        <tr r="M289" s="3"/>
      </tp>
      <tp>
        <v>118606750</v>
        <stp/>
        <stp>P</stp>
        <stp>0</stp>
        <stp>STK</stp>
        <stp>N001800</stp>
        <stp>누적거래대금</stp>
        <stp/>
        <stp/>
        <tr r="M205" s="3"/>
        <tr r="M267" s="1"/>
      </tp>
      <tp>
        <v>105662200</v>
        <stp/>
        <stp>P</stp>
        <stp>0</stp>
        <stp>STK</stp>
        <stp>N308430</stp>
        <stp>누적거래대금</stp>
        <stp/>
        <stp/>
        <tr r="M622" s="1"/>
      </tp>
      <tp>
        <v>222842810</v>
        <stp/>
        <stp>P</stp>
        <stp>0</stp>
        <stp>STK</stp>
        <stp>N009900</stp>
        <stp>누적거래대금</stp>
        <stp/>
        <stp/>
        <tr r="M464" s="1"/>
        <tr r="M295" s="3"/>
      </tp>
      <tp>
        <v>53555760</v>
        <stp/>
        <stp>P</stp>
        <stp>0</stp>
        <stp>STK</stp>
        <stp>N194700</stp>
        <stp>누적거래대금</stp>
        <stp/>
        <stp/>
        <tr r="M668" s="1"/>
      </tp>
      <tp>
        <v>4343807900</v>
        <stp/>
        <stp>P</stp>
        <stp>0</stp>
        <stp>STK</stp>
        <stp>N095610</stp>
        <stp>누적거래대금</stp>
        <stp/>
        <stp/>
        <tr r="M319" s="1"/>
      </tp>
      <tp>
        <v>5959300</v>
        <stp/>
        <stp>P</stp>
        <stp>0</stp>
        <stp>STK</stp>
        <stp>N192400</stp>
        <stp>누적거래대금</stp>
        <stp/>
        <stp/>
        <tr r="M232" s="3"/>
        <tr r="M320" s="1"/>
      </tp>
      <tp>
        <v>1670195100</v>
        <stp/>
        <stp>P</stp>
        <stp>0</stp>
        <stp>STK</stp>
        <stp>N399720</stp>
        <stp>누적거래대금</stp>
        <stp/>
        <stp/>
        <tr r="M383" s="1"/>
      </tp>
      <tp>
        <v>1320335050</v>
        <stp/>
        <stp>P</stp>
        <stp>0</stp>
        <stp>STK</stp>
        <stp>N299030</stp>
        <stp>누적거래대금</stp>
        <stp/>
        <stp/>
        <tr r="M691" s="1"/>
      </tp>
      <tp>
        <v>425685700</v>
        <stp/>
        <stp>P</stp>
        <stp>0</stp>
        <stp>STK</stp>
        <stp>N199800</stp>
        <stp>누적거래대금</stp>
        <stp/>
        <stp/>
        <tr r="M471" s="1"/>
      </tp>
      <tp>
        <v>4872367500</v>
        <stp/>
        <stp>P</stp>
        <stp>0</stp>
        <stp>STK</stp>
        <stp>N087010</stp>
        <stp>누적거래대금</stp>
        <stp/>
        <stp/>
        <tr r="M108" s="1"/>
      </tp>
      <tp>
        <v>74569600</v>
        <stp/>
        <stp>P</stp>
        <stp>0</stp>
        <stp>STK</stp>
        <stp>N084110</stp>
        <stp>누적거래대금</stp>
        <stp/>
        <stp/>
        <tr r="M423" s="1"/>
      </tp>
      <tp>
        <v>13698760</v>
        <stp/>
        <stp>P</stp>
        <stp>0</stp>
        <stp>STK</stp>
        <stp>N084010</stp>
        <stp>누적거래대금</stp>
        <stp/>
        <stp/>
        <tr r="M378" s="3"/>
        <tr r="M684" s="1"/>
      </tp>
      <tp>
        <v>119414800</v>
        <stp/>
        <stp>P</stp>
        <stp>0</stp>
        <stp>STK</stp>
        <stp>N285130</stp>
        <stp>누적거래대금</stp>
        <stp/>
        <stp/>
        <tr r="M215" s="3"/>
        <tr r="M292" s="1"/>
      </tp>
      <tp>
        <v>131522100</v>
        <stp/>
        <stp>P</stp>
        <stp>0</stp>
        <stp>STK</stp>
        <stp>N282330</stp>
        <stp>누적거래대금</stp>
        <stp/>
        <stp/>
        <tr r="M210" s="1"/>
        <tr r="M171" s="3"/>
      </tp>
      <tp>
        <v>1854294900</v>
        <stp/>
        <stp>P</stp>
        <stp>0</stp>
        <stp>STK</stp>
        <stp>N483650</stp>
        <stp>누적거래대금</stp>
        <stp/>
        <stp/>
        <tr r="M177" s="3"/>
        <tr r="M233" s="1"/>
      </tp>
      <tp>
        <v>562718900</v>
        <stp/>
        <stp>P</stp>
        <stp>0</stp>
        <stp>STK</stp>
        <stp>N183300</stp>
        <stp>누적거래대금</stp>
        <stp/>
        <stp/>
        <tr r="M303" s="1"/>
      </tp>
      <tp>
        <v>83562500</v>
        <stp/>
        <stp>P</stp>
        <stp>0</stp>
        <stp>STK</stp>
        <stp>N383220</stp>
        <stp>누적거래대금</stp>
        <stp/>
        <stp/>
        <tr r="M175" s="1"/>
        <tr r="M147" s="3"/>
      </tp>
      <tp>
        <v>5108558700</v>
        <stp/>
        <stp>P</stp>
        <stp>0</stp>
        <stp>STK</stp>
        <stp>N388720</stp>
        <stp>누적거래대금</stp>
        <stp/>
        <stp/>
        <tr r="M283" s="1"/>
      </tp>
      <tp>
        <v>4145031050</v>
        <stp/>
        <stp>P</stp>
        <stp>0</stp>
        <stp>STK</stp>
        <stp>N189300</stp>
        <stp>누적거래대금</stp>
        <stp/>
        <stp/>
        <tr r="M356" s="1"/>
      </tp>
      <tp>
        <v>6772967225</v>
        <stp/>
        <stp>P</stp>
        <stp>0</stp>
        <stp>STK</stp>
        <stp>N089010</stp>
        <stp>누적거래대금</stp>
        <stp/>
        <stp/>
        <tr r="M463" s="1"/>
      </tp>
      <tp>
        <v>790923370</v>
        <stp/>
        <stp>P</stp>
        <stp>0</stp>
        <stp>STK</stp>
        <stp>N475150</stp>
        <stp>누적거래대금</stp>
        <stp/>
        <stp/>
        <tr r="M267" s="3"/>
        <tr r="M399" s="1"/>
      </tp>
      <tp>
        <v>19317900</v>
        <stp/>
        <stp>P</stp>
        <stp>0</stp>
        <stp>STK</stp>
        <stp>N072710</stp>
        <stp>누적거래대금</stp>
        <stp/>
        <stp/>
        <tr r="M536" s="1"/>
        <tr r="M320" s="3"/>
      </tp>
      <tp>
        <v>313037200</v>
        <stp/>
        <stp>P</stp>
        <stp>0</stp>
        <stp>STK</stp>
        <stp>N372320</stp>
        <stp>누적거래대금</stp>
        <stp/>
        <stp/>
        <tr r="M400" s="1"/>
      </tp>
      <tp>
        <v>18327460</v>
        <stp/>
        <stp>P</stp>
        <stp>0</stp>
        <stp>STK</stp>
        <stp>N472850</stp>
        <stp>누적거래대금</stp>
        <stp/>
        <stp/>
        <tr r="M637" s="1"/>
      </tp>
      <tp>
        <v>54840252250</v>
        <stp/>
        <stp>P</stp>
        <stp>0</stp>
        <stp>STK</stp>
        <stp>N373220</stp>
        <stp>누적거래대금</stp>
        <stp/>
        <stp/>
        <tr r="M9" s="1"/>
        <tr r="M9" s="3"/>
      </tp>
      <tp>
        <v>49435000</v>
        <stp/>
        <stp>P</stp>
        <stp>0</stp>
        <stp>STK</stp>
        <stp>N170900</stp>
        <stp>누적거래대금</stp>
        <stp/>
        <stp/>
        <tr r="M496" s="1"/>
        <tr r="M310" s="3"/>
      </tp>
      <tp>
        <v>65100800</v>
        <stp/>
        <stp>P</stp>
        <stp>0</stp>
        <stp>STK</stp>
        <stp>N179900</stp>
        <stp>누적거래대금</stp>
        <stp/>
        <stp/>
        <tr r="M525" s="1"/>
      </tp>
      <tp>
        <v>1770236600</v>
        <stp/>
        <stp>P</stp>
        <stp>0</stp>
        <stp>STK</stp>
        <stp>N067310</stp>
        <stp>누적거래대금</stp>
        <stp/>
        <stp/>
        <tr r="M230" s="1"/>
      </tp>
      <tp>
        <v>1830158190</v>
        <stp/>
        <stp>P</stp>
        <stp>0</stp>
        <stp>STK</stp>
        <stp>N161000</stp>
        <stp>누적거래대금</stp>
        <stp/>
        <stp/>
        <tr r="M308" s="3"/>
        <tr r="M521" s="1"/>
      </tp>
      <tp>
        <v>48732656750</v>
        <stp/>
        <stp>P</stp>
        <stp>0</stp>
        <stp>STK</stp>
        <stp>N352820</stp>
        <stp>누적거래대금</stp>
        <stp/>
        <stp/>
        <tr r="M56" s="1"/>
        <tr r="M53" s="3"/>
      </tp>
      <tp>
        <v>461720600</v>
        <stp/>
        <stp>P</stp>
        <stp>0</stp>
        <stp>STK</stp>
        <stp>N053610</stp>
        <stp>누적거래대금</stp>
        <stp/>
        <stp/>
        <tr r="M538" s="1"/>
      </tp>
      <tp>
        <v>59704450</v>
        <stp/>
        <stp>P</stp>
        <stp>0</stp>
        <stp>STK</stp>
        <stp>N450950</stp>
        <stp>누적거래대금</stp>
        <stp/>
        <stp/>
        <tr r="M498" s="1"/>
      </tp>
      <tp>
        <v>14963876750</v>
        <stp/>
        <stp>P</stp>
        <stp>0</stp>
        <stp>STK</stp>
        <stp>N051910</stp>
        <stp>누적거래대금</stp>
        <stp/>
        <stp/>
        <tr r="M33" s="1"/>
        <tr r="M33" s="3"/>
      </tp>
      <tp>
        <v>16666243250</v>
        <stp/>
        <stp>P</stp>
        <stp>0</stp>
        <stp>STK</stp>
        <stp>N058610</stp>
        <stp>누적거래대금</stp>
        <stp/>
        <stp/>
        <tr r="M178" s="1"/>
      </tp>
      <tp>
        <v>11438248700</v>
        <stp/>
        <stp>P</stp>
        <stp>0</stp>
        <stp>STK</stp>
        <stp>N047810</stp>
        <stp>누적거래대금</stp>
        <stp/>
        <stp/>
        <tr r="M52" s="3"/>
        <tr r="M53" s="1"/>
      </tp>
      <tp>
        <v>16398650</v>
        <stp/>
        <stp>P</stp>
        <stp>0</stp>
        <stp>STK</stp>
        <stp>N344820</stp>
        <stp>누적거래대금</stp>
        <stp/>
        <stp/>
        <tr r="M516" s="1"/>
        <tr r="M316" s="3"/>
      </tp>
      <tp>
        <v>816462600</v>
        <stp/>
        <stp>P</stp>
        <stp>0</stp>
        <stp>STK</stp>
        <stp>N041510</stp>
        <stp>누적거래대금</stp>
        <stp/>
        <stp/>
        <tr r="M177" s="1"/>
      </tp>
      <tp>
        <v>600419910</v>
        <stp/>
        <stp>P</stp>
        <stp>0</stp>
        <stp>STK</stp>
        <stp>N048410</stp>
        <stp>누적거래대금</stp>
        <stp/>
        <stp/>
        <tr r="M452" s="1"/>
      </tp>
      <tp>
        <v>13160593550</v>
        <stp/>
        <stp>P</stp>
        <stp>0</stp>
        <stp>STK</stp>
        <stp>N036810</stp>
        <stp>누적거래대금</stp>
        <stp/>
        <stp/>
        <tr r="M379" s="1"/>
      </tp>
      <tp>
        <v>6196850</v>
        <stp/>
        <stp>P</stp>
        <stp>0</stp>
        <stp>STK</stp>
        <stp>N037710</stp>
        <stp>누적거래대금</stp>
        <stp/>
        <stp/>
        <tr r="M673" s="1"/>
        <tr r="M374" s="3"/>
      </tp>
      <tp>
        <v>18636503850</v>
        <stp/>
        <stp>P</stp>
        <stp>0</stp>
        <stp>STK</stp>
        <stp>N137400</stp>
        <stp>누적거래대금</stp>
        <stp/>
        <stp/>
        <tr r="M322" s="1"/>
      </tp>
      <tp>
        <v>40489280</v>
        <stp/>
        <stp>P</stp>
        <stp>0</stp>
        <stp>STK</stp>
        <stp>N034310</stp>
        <stp>누적거래대금</stp>
        <stp/>
        <stp/>
        <tr r="M488" s="1"/>
        <tr r="M304" s="3"/>
      </tp>
      <tp>
        <v>133581640</v>
        <stp/>
        <stp>P</stp>
        <stp>0</stp>
        <stp>STK</stp>
        <stp>N030610</stp>
        <stp>누적거래대금</stp>
        <stp/>
        <stp/>
        <tr r="M213" s="3"/>
        <tr r="M286" s="1"/>
      </tp>
      <tp>
        <v>6986500</v>
        <stp/>
        <stp>P</stp>
        <stp>0</stp>
        <stp>STK</stp>
        <stp>N031210</stp>
        <stp>누적거래대금</stp>
        <stp/>
        <stp/>
        <tr r="M140" s="1"/>
        <tr r="M123" s="3"/>
      </tp>
      <tp>
        <v>347541450</v>
        <stp/>
        <stp>P</stp>
        <stp>0</stp>
        <stp>STK</stp>
        <stp>N338220</stp>
        <stp>누적거래대금</stp>
        <stp/>
        <stp/>
        <tr r="M643" s="1"/>
      </tp>
      <tp>
        <v>1169561300</v>
        <stp/>
        <stp>P</stp>
        <stp>0</stp>
        <stp>STK</stp>
        <stp>N024110</stp>
        <stp>누적거래대금</stp>
        <stp/>
        <stp/>
        <tr r="M50" s="3"/>
        <tr r="M52" s="1"/>
      </tp>
      <tp>
        <v>7645606200</v>
        <stp/>
        <stp>P</stp>
        <stp>0</stp>
        <stp>STK</stp>
        <stp>N121600</stp>
        <stp>누적거래대금</stp>
        <stp/>
        <stp/>
        <tr r="M416" s="1"/>
      </tp>
      <tp>
        <v>154932160</v>
        <stp/>
        <stp>P</stp>
        <stp>0</stp>
        <stp>STK</stp>
        <stp>N016610</stp>
        <stp>누적거래대금</stp>
        <stp/>
        <stp/>
        <tr r="M483" s="1"/>
        <tr r="M302" s="3"/>
      </tp>
      <tp>
        <v>29157380</v>
        <stp/>
        <stp>P</stp>
        <stp>0</stp>
        <stp>STK</stp>
        <stp>N017810</stp>
        <stp>누적거래대금</stp>
        <stp/>
        <stp/>
        <tr r="M479" s="1"/>
        <tr r="M301" s="3"/>
      </tp>
      <tp>
        <v>426869200</v>
        <stp/>
        <stp>P</stp>
        <stp>0</stp>
        <stp>STK</stp>
        <stp>N214430</stp>
        <stp>누적거래대금</stp>
        <stp/>
        <stp/>
        <tr r="M414" s="1"/>
      </tp>
      <tp>
        <v>178388200</v>
        <stp/>
        <stp>P</stp>
        <stp>0</stp>
        <stp>STK</stp>
        <stp>N012510</stp>
        <stp>누적거래대금</stp>
        <stp/>
        <stp/>
        <tr r="M155" s="1"/>
        <tr r="M133" s="3"/>
      </tp>
      <tp>
        <v>5204817600</v>
        <stp/>
        <stp>P</stp>
        <stp>0</stp>
        <stp>STK</stp>
        <stp>N011210</stp>
        <stp>누적거래대금</stp>
        <stp/>
        <stp/>
        <tr r="M164" s="1"/>
        <tr r="M146" s="3"/>
      </tp>
      <tp>
        <v>570650</v>
        <stp/>
        <stp>P</stp>
        <stp>0</stp>
        <stp>STK</stp>
        <stp>N018310</stp>
        <stp>누적거래대금</stp>
        <stp/>
        <stp/>
        <tr r="M644" s="1"/>
      </tp>
      <tp>
        <v>1287450200</v>
        <stp/>
        <stp>P</stp>
        <stp>0</stp>
        <stp>STK</stp>
        <stp>N006110</stp>
        <stp>누적거래대금</stp>
        <stp/>
        <stp/>
        <tr r="M331" s="3"/>
        <tr r="M568" s="1"/>
      </tp>
      <tp>
        <v>115328500</v>
        <stp/>
        <stp>P</stp>
        <stp>0</stp>
        <stp>STK</stp>
        <stp>N007310</stp>
        <stp>누적거래대금</stp>
        <stp/>
        <stp/>
        <tr r="M244" s="1"/>
        <tr r="M194" s="3"/>
      </tp>
      <tp>
        <v>2356509400</v>
        <stp/>
        <stp>P</stp>
        <stp>0</stp>
        <stp>STK</stp>
        <stp>N007810</stp>
        <stp>누적거래대금</stp>
        <stp/>
        <stp/>
        <tr r="M250" s="1"/>
        <tr r="M199" s="3"/>
      </tp>
      <tp>
        <v>10000</v>
        <stp/>
        <stp>P</stp>
        <stp>0</stp>
        <stp>STK</stp>
        <stp>N104700</stp>
        <stp>누적거래대금</stp>
        <stp/>
        <stp/>
        <tr r="M332" s="3"/>
        <tr r="M565" s="1"/>
      </tp>
      <tp>
        <v>2467310</v>
        <stp/>
        <stp>P</stp>
        <stp>0</stp>
        <stp>STK</stp>
        <stp>N005710</stp>
        <stp>누적거래대금</stp>
        <stp/>
        <stp/>
        <tr r="M656" s="1"/>
      </tp>
      <tp>
        <v>4429000</v>
        <stp/>
        <stp>P</stp>
        <stp>0</stp>
        <stp>STK</stp>
        <stp>N005610</stp>
        <stp>누적거래대금</stp>
        <stp/>
        <stp/>
        <tr r="M313" s="3"/>
        <tr r="M511" s="1"/>
      </tp>
      <tp>
        <v>44713850</v>
        <stp/>
        <stp>P</stp>
        <stp>0</stp>
        <stp>STK</stp>
        <stp>N005810</stp>
        <stp>누적거래대금</stp>
        <stp/>
        <stp/>
        <tr r="M446" s="1"/>
        <tr r="M284" s="3"/>
      </tp>
      <tp>
        <v>4980239075</v>
        <stp/>
        <stp>P</stp>
        <stp>0</stp>
        <stp>STK</stp>
        <stp>N002710</stp>
        <stp>누적거래대금</stp>
        <stp/>
        <stp/>
        <tr r="M324" s="3"/>
        <tr r="M567" s="1"/>
      </tp>
      <tp>
        <v>79793680</v>
        <stp/>
        <stp>P</stp>
        <stp>0</stp>
        <stp>STK</stp>
        <stp>N002810</stp>
        <stp>누적거래대금</stp>
        <stp/>
        <stp/>
        <tr r="M354" s="3"/>
        <tr r="M616" s="1"/>
      </tp>
      <tp>
        <v>1193790</v>
        <stp/>
        <stp>P</stp>
        <stp>0</stp>
        <stp>STK</stp>
        <stp>N403550</stp>
        <stp>누적거래대금</stp>
        <stp/>
        <stp/>
        <tr r="M322" s="3"/>
        <tr r="M537" s="1"/>
      </tp>
      <tp>
        <v>126477100</v>
        <stp/>
        <stp>P</stp>
        <stp>0</stp>
        <stp>STK</stp>
        <stp>N403850</stp>
        <stp>누적거래대금</stp>
        <stp/>
        <stp/>
        <tr r="M578" s="1"/>
      </tp>
      <tp>
        <v>31727720</v>
        <stp/>
        <stp>P</stp>
        <stp>0</stp>
        <stp>STK</stp>
        <stp>N300720</stp>
        <stp>누적거래대금</stp>
        <stp/>
        <stp/>
        <tr r="M211" s="3"/>
        <tr r="M279" s="1"/>
      </tp>
      <tp>
        <v>164874950</v>
        <stp/>
        <stp>P</stp>
        <stp>0</stp>
        <stp>STK</stp>
        <stp>N000210</stp>
        <stp>누적거래대금</stp>
        <stp/>
        <stp/>
        <tr r="M365" s="1"/>
        <tr r="M250" s="3"/>
      </tp>
      <tp>
        <v>21038300</v>
        <stp/>
        <stp>P</stp>
        <stp>0</stp>
        <stp>STK</stp>
        <stp>N200130</stp>
        <stp>누적거래대금</stp>
        <stp/>
        <stp/>
        <tr r="M562" s="1"/>
      </tp>
      <tp>
        <v>742828000</v>
        <stp/>
        <stp>P</stp>
        <stp>0</stp>
        <stp>STK</stp>
        <stp>N000810</stp>
        <stp>누적거래대금</stp>
        <stp/>
        <stp/>
        <tr r="M35" s="1"/>
        <tr r="M35" s="3"/>
      </tp>
      <tp>
        <v>239449250</v>
        <stp/>
        <stp>P</stp>
        <stp>0</stp>
        <stp>STK</stp>
        <stp>N097520</stp>
        <stp>누적거래대금</stp>
        <stp/>
        <stp/>
        <tr r="M447" s="1"/>
        <tr r="M287" s="3"/>
      </tp>
      <tp>
        <v>100254300</v>
        <stp/>
        <stp>P</stp>
        <stp>0</stp>
        <stp>STK</stp>
        <stp>N093520</stp>
        <stp>누적거래대금</stp>
        <stp/>
        <stp/>
        <tr r="M627" s="1"/>
      </tp>
      <tp>
        <v>46481300</v>
        <stp/>
        <stp>P</stp>
        <stp>0</stp>
        <stp>STK</stp>
        <stp>N093320</stp>
        <stp>누적거래대금</stp>
        <stp/>
        <stp/>
        <tr r="M429" s="1"/>
      </tp>
      <tp>
        <v>8143849050</v>
        <stp/>
        <stp>P</stp>
        <stp>0</stp>
        <stp>STK</stp>
        <stp>N199430</stp>
        <stp>누적거래대금</stp>
        <stp/>
        <stp/>
        <tr r="M485" s="1"/>
      </tp>
      <tp>
        <v>156511853800</v>
        <stp/>
        <stp>P</stp>
        <stp>0</stp>
        <stp>STK</stp>
        <stp>N086520</stp>
        <stp>누적거래대금</stp>
        <stp/>
        <stp/>
        <tr r="M64" s="1"/>
      </tp>
      <tp>
        <v>961740</v>
        <stp/>
        <stp>P</stp>
        <stp>0</stp>
        <stp>STK</stp>
        <stp>N085620</stp>
        <stp>누적거래대금</stp>
        <stp/>
        <stp/>
        <tr r="M241" s="1"/>
        <tr r="M190" s="3"/>
      </tp>
      <tp>
        <v>2776777050</v>
        <stp/>
        <stp>P</stp>
        <stp>0</stp>
        <stp>STK</stp>
        <stp>N082920</stp>
        <stp>누적거래대금</stp>
        <stp/>
        <stp/>
        <tr r="M328" s="1"/>
      </tp>
      <tp>
        <v>975618250</v>
        <stp/>
        <stp>P</stp>
        <stp>0</stp>
        <stp>STK</stp>
        <stp>N383310</stp>
        <stp>누적거래대금</stp>
        <stp/>
        <stp/>
        <tr r="M476" s="1"/>
      </tp>
      <tp>
        <v>9366357850</v>
        <stp/>
        <stp>P</stp>
        <stp>0</stp>
        <stp>STK</stp>
        <stp>N080220</stp>
        <stp>누적거래대금</stp>
        <stp/>
        <stp/>
        <tr r="M304" s="1"/>
      </tp>
      <tp>
        <v>1045849700</v>
        <stp/>
        <stp>P</stp>
        <stp>0</stp>
        <stp>STK</stp>
        <stp>N388210</stp>
        <stp>누적거래대금</stp>
        <stp/>
        <stp/>
        <tr r="M302" s="1"/>
      </tp>
      <tp>
        <v>2122348770</v>
        <stp/>
        <stp>P</stp>
        <stp>0</stp>
        <stp>STK</stp>
        <stp>N476060</stp>
        <stp>누적거래대금</stp>
        <stp/>
        <stp/>
        <tr r="M340" s="1"/>
      </tp>
      <tp>
        <v>6761450</v>
        <stp/>
        <stp>P</stp>
        <stp>0</stp>
        <stp>STK</stp>
        <stp>N475560</stp>
        <stp>누적거래대금</stp>
        <stp/>
        <stp/>
        <tr r="M334" s="3"/>
        <tr r="M571" s="1"/>
      </tp>
      <tp>
        <v>257299000</v>
        <stp/>
        <stp>P</stp>
        <stp>0</stp>
        <stp>STK</stp>
        <stp>N175330</stp>
        <stp>누적거래대금</stp>
        <stp/>
        <stp/>
        <tr r="M118" s="1"/>
        <tr r="M107" s="3"/>
      </tp>
      <tp>
        <v>481901400</v>
        <stp/>
        <stp>P</stp>
        <stp>0</stp>
        <stp>STK</stp>
        <stp>N475960</stp>
        <stp>누적거래대금</stp>
        <stp/>
        <stp/>
        <tr r="M428" s="1"/>
      </tp>
      <tp>
        <v>203796900</v>
        <stp/>
        <stp>P</stp>
        <stp>0</stp>
        <stp>STK</stp>
        <stp>N071320</stp>
        <stp>누적거래대금</stp>
        <stp/>
        <stp/>
        <tr r="M209" s="3"/>
        <tr r="M271" s="1"/>
      </tp>
      <tp>
        <v>150132720</v>
        <stp/>
        <stp>P</stp>
        <stp>0</stp>
        <stp>STK</stp>
        <stp>N078520</stp>
        <stp>누적거래대금</stp>
        <stp/>
        <stp/>
        <tr r="M670" s="1"/>
        <tr r="M368" s="3"/>
      </tp>
      <tp>
        <v>188343580</v>
        <stp/>
        <stp>P</stp>
        <stp>0</stp>
        <stp>STK</stp>
        <stp>N064820</stp>
        <stp>누적거래대금</stp>
        <stp/>
        <stp/>
        <tr r="M548" s="1"/>
      </tp>
      <tp>
        <v>734482460</v>
        <stp/>
        <stp>P</stp>
        <stp>0</stp>
        <stp>STK</stp>
        <stp>N060720</stp>
        <stp>누적거래대금</stp>
        <stp/>
        <stp/>
        <tr r="M570" s="1"/>
      </tp>
      <tp>
        <v>302831530</v>
        <stp/>
        <stp>P</stp>
        <stp>0</stp>
        <stp>STK</stp>
        <stp>N460860</stp>
        <stp>누적거래대금</stp>
        <stp/>
        <stp/>
        <tr r="M533" s="1"/>
        <tr r="M319" s="3"/>
      </tp>
      <tp>
        <v>1851344800</v>
        <stp/>
        <stp>P</stp>
        <stp>0</stp>
        <stp>STK</stp>
        <stp>N361610</stp>
        <stp>누적거래대금</stp>
        <stp/>
        <stp/>
        <tr r="M168" s="3"/>
        <tr r="M211" s="1"/>
      </tp>
      <tp>
        <v>95501200</v>
        <stp/>
        <stp>P</stp>
        <stp>0</stp>
        <stp>STK</stp>
        <stp>N069620</stp>
        <stp>누적거래대금</stp>
        <stp/>
        <stp/>
        <tr r="M175" s="3"/>
        <tr r="M217" s="1"/>
      </tp>
      <tp>
        <v>3807417000</v>
        <stp/>
        <stp>P</stp>
        <stp>0</stp>
        <stp>STK</stp>
        <stp>N456160</stp>
        <stp>누적거래대금</stp>
        <stp/>
        <stp/>
        <tr r="M278" s="1"/>
      </tp>
      <tp>
        <v>401459590</v>
        <stp/>
        <stp>P</stp>
        <stp>0</stp>
        <stp>STK</stp>
        <stp>N047920</stp>
        <stp>누적거래대금</stp>
        <stp/>
        <stp/>
        <tr r="M448" s="1"/>
      </tp>
      <tp>
        <v>328930600</v>
        <stp/>
        <stp>P</stp>
        <stp>0</stp>
        <stp>STK</stp>
        <stp>N042520</stp>
        <stp>누적거래대금</stp>
        <stp/>
        <stp/>
        <tr r="M604" s="1"/>
      </tp>
      <tp>
        <v>1024812500</v>
        <stp/>
        <stp>P</stp>
        <stp>0</stp>
        <stp>STK</stp>
        <stp>N443060</stp>
        <stp>누적거래대금</stp>
        <stp/>
        <stp/>
        <tr r="M83" s="1"/>
        <tr r="M79" s="3"/>
      </tp>
      <tp>
        <v>104133800</v>
        <stp/>
        <stp>P</stp>
        <stp>0</stp>
        <stp>STK</stp>
        <stp>N348210</stp>
        <stp>누적거래대금</stp>
        <stp/>
        <stp/>
        <tr r="M360" s="1"/>
      </tp>
      <tp>
        <v>108703080</v>
        <stp/>
        <stp>P</stp>
        <stp>0</stp>
        <stp>STK</stp>
        <stp>N036620</stp>
        <stp>누적거래대금</stp>
        <stp/>
        <stp/>
        <tr r="M478" s="1"/>
      </tp>
      <tp>
        <v>13116151850</v>
        <stp/>
        <stp>P</stp>
        <stp>0</stp>
        <stp>STK</stp>
        <stp>N236200</stp>
        <stp>누적거래대금</stp>
        <stp/>
        <stp/>
        <tr r="M664" s="1"/>
      </tp>
      <tp>
        <v>2874342595</v>
        <stp/>
        <stp>P</stp>
        <stp>0</stp>
        <stp>STK</stp>
        <stp>N034220</stp>
        <stp>누적거래대금</stp>
        <stp/>
        <stp/>
        <tr r="M91" s="3"/>
        <tr r="M99" s="1"/>
      </tp>
      <tp>
        <v>10366480</v>
        <stp/>
        <stp>P</stp>
        <stp>0</stp>
        <stp>STK</stp>
        <stp>N034120</stp>
        <stp>누적거래대금</stp>
        <stp/>
        <stp/>
        <tr r="M581" s="1"/>
        <tr r="M336" s="3"/>
      </tp>
      <tp>
        <v>78269672400</v>
        <stp/>
        <stp>P</stp>
        <stp>0</stp>
        <stp>STK</stp>
        <stp>N034020</stp>
        <stp>누적거래대금</stp>
        <stp/>
        <stp/>
        <tr r="M14" s="1"/>
        <tr r="M14" s="3"/>
      </tp>
      <tp>
        <v>10266027950</v>
        <stp/>
        <stp>P</stp>
        <stp>0</stp>
        <stp>STK</stp>
        <stp>N035720</stp>
        <stp>누적거래대금</stp>
        <stp/>
        <stp/>
        <tr r="M32" s="1"/>
        <tr r="M32" s="3"/>
      </tp>
      <tp>
        <v>27891455500</v>
        <stp/>
        <stp>P</stp>
        <stp>0</stp>
        <stp>STK</stp>
        <stp>N035420</stp>
        <stp>누적거래대금</stp>
        <stp/>
        <stp/>
        <tr r="M23" s="3"/>
        <tr r="M23" s="1"/>
      </tp>
      <tp>
        <v>665237800</v>
        <stp/>
        <stp>P</stp>
        <stp>0</stp>
        <stp>STK</stp>
        <stp>N030520</stp>
        <stp>누적거래대금</stp>
        <stp/>
        <stp/>
        <tr r="M454" s="1"/>
      </tp>
      <tp>
        <v>299271660</v>
        <stp/>
        <stp>P</stp>
        <stp>0</stp>
        <stp>STK</stp>
        <stp>N138930</stp>
        <stp>누적거래대금</stp>
        <stp/>
        <stp/>
        <tr r="M112" s="1"/>
        <tr r="M104" s="3"/>
      </tp>
      <tp>
        <v>2695851600</v>
        <stp/>
        <stp>P</stp>
        <stp>0</stp>
        <stp>STK</stp>
        <stp>N439260</stp>
        <stp>누적거래대금</stp>
        <stp/>
        <stp/>
        <tr r="M143" s="3"/>
        <tr r="M169" s="1"/>
      </tp>
      <tp>
        <v>64106430</v>
        <stp/>
        <stp>P</stp>
        <stp>0</stp>
        <stp>STK</stp>
        <stp>N139130</stp>
        <stp>누적거래대금</stp>
        <stp/>
        <stp/>
        <tr r="M193" s="1"/>
        <tr r="M160" s="3"/>
      </tp>
      <tp>
        <v>53209630</v>
        <stp/>
        <stp>P</stp>
        <stp>0</stp>
        <stp>STK</stp>
        <stp>N024720</stp>
        <stp>누적거래대금</stp>
        <stp/>
        <stp/>
        <tr r="M348" s="3"/>
        <tr r="M602" s="1"/>
      </tp>
      <tp>
        <v>211226300</v>
        <stp/>
        <stp>P</stp>
        <stp>0</stp>
        <stp>STK</stp>
        <stp>N025320</stp>
        <stp>누적거래대금</stp>
        <stp/>
        <stp/>
        <tr r="M473" s="1"/>
      </tp>
      <tp>
        <v>2477201800</v>
        <stp/>
        <stp>P</stp>
        <stp>0</stp>
        <stp>STK</stp>
        <stp>N222800</stp>
        <stp>누적거래대금</stp>
        <stp/>
        <stp/>
        <tr r="M220" s="1"/>
      </tp>
      <tp>
        <v>1845366250</v>
        <stp/>
        <stp>P</stp>
        <stp>0</stp>
        <stp>STK</stp>
        <stp>N323410</stp>
        <stp>누적거래대금</stp>
        <stp/>
        <stp/>
        <tr r="M69" s="3"/>
        <tr r="M72" s="1"/>
      </tp>
      <tp>
        <v>309150550</v>
        <stp/>
        <stp>P</stp>
        <stp>0</stp>
        <stp>STK</stp>
        <stp>N220100</stp>
        <stp>누적거래대금</stp>
        <stp/>
        <stp/>
        <tr r="M458" s="1"/>
      </tp>
      <tp>
        <v>9311777350</v>
        <stp/>
        <stp>P</stp>
        <stp>0</stp>
        <stp>STK</stp>
        <stp>N117730</stp>
        <stp>누적거래대금</stp>
        <stp/>
        <stp/>
        <tr r="M411" s="1"/>
      </tp>
      <tp>
        <v>244182500</v>
        <stp/>
        <stp>P</stp>
        <stp>0</stp>
        <stp>STK</stp>
        <stp>N014620</stp>
        <stp>누적거래대금</stp>
        <stp/>
        <stp/>
        <tr r="M361" s="1"/>
      </tp>
      <tp>
        <v>297675850</v>
        <stp/>
        <stp>P</stp>
        <stp>0</stp>
        <stp>STK</stp>
        <stp>N014820</stp>
        <stp>누적거래대금</stp>
        <stp/>
        <stp/>
        <tr r="M381" s="1"/>
        <tr r="M252" s="3"/>
      </tp>
      <tp>
        <v>2166750</v>
        <stp/>
        <stp>P</stp>
        <stp>0</stp>
        <stp>STK</stp>
        <stp>N215200</stp>
        <stp>누적거래대금</stp>
        <stp/>
        <stp/>
        <tr r="M535" s="1"/>
      </tp>
      <tp>
        <v>16333700</v>
        <stp/>
        <stp>P</stp>
        <stp>0</stp>
        <stp>STK</stp>
        <stp>N215000</stp>
        <stp>누적거래대금</stp>
        <stp/>
        <stp/>
        <tr r="M592" s="1"/>
      </tp>
      <tp>
        <v>1070800950</v>
        <stp/>
        <stp>P</stp>
        <stp>0</stp>
        <stp>STK</stp>
        <stp>N310210</stp>
        <stp>누적거래대금</stp>
        <stp/>
        <stp/>
        <tr r="M145" s="1"/>
      </tp>
      <tp>
        <v>7747253000</v>
        <stp/>
        <stp>P</stp>
        <stp>0</stp>
        <stp>STK</stp>
        <stp>N010120</stp>
        <stp>누적거래대금</stp>
        <stp/>
        <stp/>
        <tr r="M55" s="3"/>
        <tr r="M55" s="1"/>
      </tp>
      <tp>
        <v>122762040</v>
        <stp/>
        <stp>P</stp>
        <stp>0</stp>
        <stp>STK</stp>
        <stp>N006220</stp>
        <stp>누적거래대금</stp>
        <stp/>
        <stp/>
        <tr r="M512" s="1"/>
        <tr r="M315" s="3"/>
      </tp>
      <tp>
        <v>24198500</v>
        <stp/>
        <stp>P</stp>
        <stp>0</stp>
        <stp>STK</stp>
        <stp>N006120</stp>
        <stp>누적거래대금</stp>
        <stp/>
        <stp/>
        <tr r="M291" s="1"/>
        <tr r="M219" s="3"/>
      </tp>
      <tp>
        <v>12024837525</v>
        <stp/>
        <stp>P</stp>
        <stp>0</stp>
        <stp>STK</stp>
        <stp>N004020</stp>
        <stp>누적거래대금</stp>
        <stp/>
        <stp/>
        <tr r="M105" s="3"/>
        <tr r="M122" s="1"/>
      </tp>
      <tp>
        <v>463404000</v>
        <stp/>
        <stp>P</stp>
        <stp>0</stp>
        <stp>STK</stp>
        <stp>N104830</stp>
        <stp>누적거래대금</stp>
        <stp/>
        <stp/>
        <tr r="M504" s="1"/>
      </tp>
      <tp>
        <v>24726350</v>
        <stp/>
        <stp>P</stp>
        <stp>0</stp>
        <stp>STK</stp>
        <stp>N105630</stp>
        <stp>누적거래대금</stp>
        <stp/>
        <stp/>
        <tr r="M280" s="3"/>
        <tr r="M441" s="1"/>
      </tp>
      <tp>
        <v>5172199670</v>
        <stp/>
        <stp>P</stp>
        <stp>0</stp>
        <stp>STK</stp>
        <stp>N005420</stp>
        <stp>누적거래대금</stp>
        <stp/>
        <stp/>
        <tr r="M276" s="3"/>
        <tr r="M443" s="1"/>
      </tp>
      <tp>
        <v>1465740</v>
        <stp/>
        <stp>P</stp>
        <stp>0</stp>
        <stp>STK</stp>
        <stp>N002320</stp>
        <stp>누적거래대금</stp>
        <stp/>
        <stp/>
        <tr r="M619" s="1"/>
        <tr r="M357" s="3"/>
      </tp>
      <tp>
        <v>409902750</v>
        <stp/>
        <stp>P</stp>
        <stp>0</stp>
        <stp>STK</stp>
        <stp>N002020</stp>
        <stp>누적거래대금</stp>
        <stp/>
        <stp/>
        <tr r="M279" s="3"/>
        <tr r="M440" s="1"/>
      </tp>
      <tp>
        <v>26711790</v>
        <stp/>
        <stp>P</stp>
        <stp>0</stp>
        <stp>STK</stp>
        <stp>N003220</stp>
        <stp>누적거래대금</stp>
        <stp/>
        <stp/>
        <tr r="M667" s="1"/>
        <tr r="M370" s="3"/>
      </tp>
      <tp>
        <v>14487300</v>
        <stp/>
        <stp>P</stp>
        <stp>0</stp>
        <stp>STK</stp>
        <stp>N003120</stp>
        <stp>누적거래대금</stp>
        <stp/>
        <stp/>
        <tr r="M630" s="1"/>
        <tr r="M363" s="3"/>
      </tp>
      <tp>
        <v>1547200</v>
        <stp/>
        <stp>P</stp>
        <stp>0</stp>
        <stp>STK</stp>
        <stp>N003920</stp>
        <stp>누적거래대금</stp>
        <stp/>
        <stp/>
        <tr r="M355" s="3"/>
        <tr r="M617" s="1"/>
      </tp>
      <tp>
        <v>19060356500</v>
        <stp/>
        <stp>P</stp>
        <stp>0</stp>
        <stp>STK</stp>
        <stp>N000720</stp>
        <stp>누적거래대금</stp>
        <stp/>
        <stp/>
        <tr r="M65" s="1"/>
        <tr r="M63" s="3"/>
      </tp>
      <tp>
        <v>133275350</v>
        <stp/>
        <stp>P</stp>
        <stp>0</stp>
        <stp>STK</stp>
        <stp>N000320</stp>
        <stp>누적거래대금</stp>
        <stp/>
        <stp/>
        <tr r="M365" s="3"/>
        <tr r="M654" s="1"/>
      </tp>
      <tp>
        <v>287573300</v>
        <stp/>
        <stp>P</stp>
        <stp>0</stp>
        <stp>STK</stp>
        <stp>N000120</stp>
        <stp>누적거래대금</stp>
        <stp/>
        <stp/>
        <tr r="M194" s="1"/>
        <tr r="M159" s="3"/>
      </tp>
      <tp>
        <v>1119253300</v>
        <stp/>
        <stp>P</stp>
        <stp>0</stp>
        <stp>STK</stp>
        <stp>N001720</stp>
        <stp>누적거래대금</stp>
        <stp/>
        <stp/>
        <tr r="M155" s="3"/>
        <tr r="M181" s="1"/>
      </tp>
      <tp>
        <v>5108480</v>
        <stp/>
        <stp>P</stp>
        <stp>0</stp>
        <stp>STK</stp>
        <stp>N101730</stp>
        <stp>누적거래대금</stp>
        <stp/>
        <stp/>
        <tr r="M472" s="1"/>
      </tp>
      <tp>
        <v>212159200</v>
        <stp/>
        <stp>P</stp>
        <stp>0</stp>
        <stp>STK</stp>
        <stp>N001120</stp>
        <stp>누적거래대금</stp>
        <stp/>
        <stp/>
        <tr r="M201" s="3"/>
        <tr r="M257" s="1"/>
      </tp>
      <tp>
        <v>1436800</v>
        <stp/>
        <stp>P</stp>
        <stp>0</stp>
        <stp>STK</stp>
        <stp>N101930</stp>
        <stp>누적거래대금</stp>
        <stp/>
        <stp/>
        <tr r="M522" s="1"/>
      </tp>
      <tp>
        <v>682464300</v>
        <stp/>
        <stp>P</stp>
        <stp>0</stp>
        <stp>STK</stp>
        <stp>N001820</stp>
        <stp>누적거래대금</stp>
        <stp/>
        <stp/>
        <tr r="M595" s="1"/>
        <tr r="M344" s="3"/>
      </tp>
      <tp>
        <v>327219000</v>
        <stp/>
        <stp>P</stp>
        <stp>0</stp>
        <stp>STK</stp>
        <stp>N309710</stp>
        <stp>누적거래대금</stp>
        <stp/>
        <stp/>
        <tr r="M514" s="1"/>
      </tp>
      <tp>
        <v>7913935210</v>
        <stp/>
        <stp>P</stp>
        <stp>0</stp>
        <stp>STK</stp>
        <stp>N009520</stp>
        <stp>누적거래대금</stp>
        <stp/>
        <stp/>
        <tr r="M363" s="1"/>
      </tp>
      <tp>
        <v>1247177200</v>
        <stp/>
        <stp>P</stp>
        <stp>0</stp>
        <stp>STK</stp>
        <stp>N009420</stp>
        <stp>누적거래대금</stp>
        <stp/>
        <stp/>
        <tr r="M187" s="1"/>
        <tr r="M152" s="3"/>
      </tp>
      <tp>
        <v>219442000</v>
        <stp/>
        <stp>P</stp>
        <stp>0</stp>
        <stp>STK</stp>
        <stp>N096530</stp>
        <stp>누적거래대금</stp>
        <stp/>
        <stp/>
        <tr r="M275" s="1"/>
      </tp>
      <tp>
        <v>2258429900</v>
        <stp/>
        <stp>P</stp>
        <stp>0</stp>
        <stp>STK</stp>
        <stp>N097230</stp>
        <stp>누적거래대금</stp>
        <stp/>
        <stp/>
        <tr r="M164" s="3"/>
        <tr r="M195" s="1"/>
      </tp>
      <tp>
        <v>142360150</v>
        <stp/>
        <stp>P</stp>
        <stp>0</stp>
        <stp>STK</stp>
        <stp>N394800</stp>
        <stp>누적거래대금</stp>
        <stp/>
        <stp/>
        <tr r="M495" s="1"/>
      </tp>
      <tp>
        <v>7922489100</v>
        <stp/>
        <stp>P</stp>
        <stp>0</stp>
        <stp>STK</stp>
        <stp>N295310</stp>
        <stp>누적거래대금</stp>
        <stp/>
        <stp/>
        <tr r="M305" s="1"/>
      </tp>
      <tp>
        <v>56096290</v>
        <stp/>
        <stp>P</stp>
        <stp>0</stp>
        <stp>STK</stp>
        <stp>N092730</stp>
        <stp>누적거래대금</stp>
        <stp/>
        <stp/>
        <tr r="M645" s="1"/>
      </tp>
      <tp>
        <v>0</v>
        <stp/>
        <stp>P</stp>
        <stp>0</stp>
        <stp>STK</stp>
        <stp>N092230</stp>
        <stp>누적거래대금</stp>
        <stp/>
        <stp/>
        <tr r="M352" s="3"/>
        <tr r="M615" s="1"/>
      </tp>
      <tp>
        <v>1203932300</v>
        <stp/>
        <stp>P</stp>
        <stp>0</stp>
        <stp>STK</stp>
        <stp>N192820</stp>
        <stp>누적거래대금</stp>
        <stp/>
        <stp/>
        <tr r="M161" s="3"/>
        <tr r="M205" s="1"/>
      </tp>
      <tp>
        <v>3205039100</v>
        <stp/>
        <stp>P</stp>
        <stp>0</stp>
        <stp>STK</stp>
        <stp>N090430</stp>
        <stp>누적거래대금</stp>
        <stp/>
        <stp/>
        <tr r="M90" s="1"/>
        <tr r="M84" s="3"/>
      </tp>
      <tp>
        <v>205074700</v>
        <stp/>
        <stp>P</stp>
        <stp>0</stp>
        <stp>STK</stp>
        <stp>N484870</stp>
        <stp>누적거래대금</stp>
        <stp/>
        <stp/>
        <tr r="M203" s="3"/>
        <tr r="M256" s="1"/>
      </tp>
      <tp>
        <v>241467000</v>
        <stp/>
        <stp>P</stp>
        <stp>0</stp>
        <stp>STK</stp>
        <stp>N382900</stp>
        <stp>누적거래대금</stp>
        <stp/>
        <stp/>
        <tr r="M651" s="1"/>
      </tp>
      <tp>
        <v>138709030</v>
        <stp/>
        <stp>P</stp>
        <stp>0</stp>
        <stp>STK</stp>
        <stp>N383800</stp>
        <stp>누적거래대금</stp>
        <stp/>
        <stp/>
        <tr r="M272" s="3"/>
        <tr r="M417" s="1"/>
      </tp>
      <tp>
        <v>132438000</v>
        <stp/>
        <stp>P</stp>
        <stp>0</stp>
        <stp>STK</stp>
        <stp>N481070</stp>
        <stp>누적거래대금</stp>
        <stp/>
        <stp/>
        <tr r="M588" s="1"/>
      </tp>
      <tp>
        <v>6243592800</v>
        <stp/>
        <stp>P</stp>
        <stp>0</stp>
        <stp>STK</stp>
        <stp>N089030</stp>
        <stp>누적거래대금</stp>
        <stp/>
        <stp/>
        <tr r="M247" s="1"/>
      </tp>
      <tp>
        <v>262978300</v>
        <stp/>
        <stp>P</stp>
        <stp>0</stp>
        <stp>STK</stp>
        <stp>N376300</stp>
        <stp>누적거래대금</stp>
        <stp/>
        <stp/>
        <tr r="M364" s="1"/>
      </tp>
      <tp>
        <v>2129773700</v>
        <stp/>
        <stp>P</stp>
        <stp>0</stp>
        <stp>STK</stp>
        <stp>N376900</stp>
        <stp>누적거래대금</stp>
        <stp/>
        <stp/>
        <tr r="M310" s="1"/>
      </tp>
      <tp>
        <v>6956769250</v>
        <stp/>
        <stp>P</stp>
        <stp>0</stp>
        <stp>STK</stp>
        <stp>N377300</stp>
        <stp>누적거래대금</stp>
        <stp/>
        <stp/>
        <tr r="M86" s="3"/>
        <tr r="M92" s="1"/>
      </tp>
      <tp>
        <v>8667359000</v>
        <stp/>
        <stp>P</stp>
        <stp>0</stp>
        <stp>STK</stp>
        <stp>N277810</stp>
        <stp>누적거래대금</stp>
        <stp/>
        <stp/>
        <tr r="M71" s="1"/>
      </tp>
      <tp>
        <v>3801033900</v>
        <stp/>
        <stp>P</stp>
        <stp>0</stp>
        <stp>STK</stp>
        <stp>N375500</stp>
        <stp>누적거래대금</stp>
        <stp/>
        <stp/>
        <tr r="M235" s="1"/>
        <tr r="M187" s="3"/>
      </tp>
      <tp>
        <v>30720312650</v>
        <stp/>
        <stp>P</stp>
        <stp>0</stp>
        <stp>STK</stp>
        <stp>N272210</stp>
        <stp>누적거래대금</stp>
        <stp/>
        <stp/>
        <tr r="M49" s="3"/>
        <tr r="M50" s="1"/>
      </tp>
      <tp>
        <v>10062221600</v>
        <stp/>
        <stp>P</stp>
        <stp>0</stp>
        <stp>STK</stp>
        <stp>N178320</stp>
        <stp>누적거래대금</stp>
        <stp/>
        <stp/>
        <tr r="M228" s="1"/>
      </tp>
      <tp>
        <v>723210200</v>
        <stp/>
        <stp>P</stp>
        <stp>0</stp>
        <stp>STK</stp>
        <stp>N078930</stp>
        <stp>누적거래대금</stp>
        <stp/>
        <stp/>
        <tr r="M101" s="1"/>
        <tr r="M94" s="3"/>
      </tp>
      <tp>
        <v>225697270</v>
        <stp/>
        <stp>P</stp>
        <stp>0</stp>
        <stp>STK</stp>
        <stp>N178920</stp>
        <stp>누적거래대금</stp>
        <stp/>
        <stp/>
        <tr r="M307" s="3"/>
        <tr r="M501" s="1"/>
      </tp>
      <tp>
        <v>93446350</v>
        <stp/>
        <stp>P</stp>
        <stp>0</stp>
        <stp>STK</stp>
        <stp>N462870</stp>
        <stp>누적거래대금</stp>
        <stp/>
        <stp/>
        <tr r="M172" s="3"/>
        <tr r="M214" s="1"/>
      </tp>
      <tp>
        <v>3680448850</v>
        <stp/>
        <stp>P</stp>
        <stp>0</stp>
        <stp>STK</stp>
        <stp>N353200</stp>
        <stp>누적거래대금</stp>
        <stp/>
        <stp/>
        <tr r="M176" s="1"/>
        <tr r="M153" s="3"/>
      </tp>
      <tp>
        <v>125493500</v>
        <stp/>
        <stp>P</stp>
        <stp>0</stp>
        <stp>STK</stp>
        <stp>N053030</stp>
        <stp>누적거래대금</stp>
        <stp/>
        <stp/>
        <tr r="M506" s="1"/>
      </tp>
      <tp>
        <v>1696951700</v>
        <stp/>
        <stp>P</stp>
        <stp>0</stp>
        <stp>STK</stp>
        <stp>N458870</stp>
        <stp>누적거래대금</stp>
        <stp/>
        <stp/>
        <tr r="M221" s="1"/>
      </tp>
      <tp>
        <v>27902050</v>
        <stp/>
        <stp>P</stp>
        <stp>0</stp>
        <stp>STK</stp>
        <stp>N145720</stp>
        <stp>누적거래대금</stp>
        <stp/>
        <stp/>
        <tr r="M290" s="3"/>
        <tr r="M467" s="1"/>
      </tp>
      <tp>
        <v>1760597500</v>
        <stp/>
        <stp>P</stp>
        <stp>0</stp>
        <stp>STK</stp>
        <stp>N145020</stp>
        <stp>누적거래대금</stp>
        <stp/>
        <stp/>
        <tr r="M158" s="1"/>
      </tp>
      <tp>
        <v>1611573000</v>
        <stp/>
        <stp>P</stp>
        <stp>0</stp>
        <stp>STK</stp>
        <stp>N240810</stp>
        <stp>누적거래대금</stp>
        <stp/>
        <stp/>
        <tr r="M130" s="1"/>
      </tp>
      <tp>
        <v>427795500</v>
        <stp/>
        <stp>P</stp>
        <stp>0</stp>
        <stp>STK</stp>
        <stp>N241710</stp>
        <stp>누적거래대금</stp>
        <stp/>
        <stp/>
        <tr r="M357" s="1"/>
      </tp>
      <tp>
        <v>207497800</v>
        <stp/>
        <stp>P</stp>
        <stp>0</stp>
        <stp>STK</stp>
        <stp>N441270</stp>
        <stp>누적거래대금</stp>
        <stp/>
        <stp/>
        <tr r="M569" s="1"/>
      </tp>
      <tp>
        <v>51507800</v>
        <stp/>
        <stp>P</stp>
        <stp>0</stp>
        <stp>STK</stp>
        <stp>N041830</stp>
        <stp>누적거래대금</stp>
        <stp/>
        <stp/>
        <tr r="M543" s="1"/>
      </tp>
      <tp>
        <v>19123500</v>
        <stp/>
        <stp>P</stp>
        <stp>0</stp>
        <stp>STK</stp>
        <stp>N036530</stp>
        <stp>누적거래대금</stp>
        <stp/>
        <stp/>
        <tr r="M325" s="1"/>
        <tr r="M234" s="3"/>
      </tp>
      <tp>
        <v>1454759600</v>
        <stp/>
        <stp>P</stp>
        <stp>0</stp>
        <stp>STK</stp>
        <stp>N036930</stp>
        <stp>누적거래대금</stp>
        <stp/>
        <stp/>
        <tr r="M248" s="1"/>
      </tp>
      <tp>
        <v>340086050</v>
        <stp/>
        <stp>P</stp>
        <stp>0</stp>
        <stp>STK</stp>
        <stp>N036830</stp>
        <stp>누적거래대금</stp>
        <stp/>
        <stp/>
        <tr r="M349" s="1"/>
      </tp>
      <tp>
        <v>3574811000</v>
        <stp/>
        <stp>P</stp>
        <stp>0</stp>
        <stp>STK</stp>
        <stp>N034730</stp>
        <stp>누적거래대금</stp>
        <stp/>
        <stp/>
        <tr r="M38" s="1"/>
        <tr r="M37" s="3"/>
      </tp>
      <tp>
        <v>125251670</v>
        <stp/>
        <stp>P</stp>
        <stp>0</stp>
        <stp>STK</stp>
        <stp>N034230</stp>
        <stp>누적거래대금</stp>
        <stp/>
        <stp/>
        <tr r="M189" s="3"/>
        <tr r="M242" s="1"/>
      </tp>
      <tp>
        <v>2659407400</v>
        <stp/>
        <stp>P</stp>
        <stp>0</stp>
        <stp>STK</stp>
        <stp>N032830</stp>
        <stp>누적거래대금</stp>
        <stp/>
        <stp/>
        <tr r="M24" s="3"/>
        <tr r="M24" s="1"/>
      </tp>
      <tp>
        <v>11099355500</v>
        <stp/>
        <stp>P</stp>
        <stp>0</stp>
        <stp>STK</stp>
        <stp>N030530</stp>
        <stp>누적거래대금</stp>
        <stp/>
        <stp/>
        <tr r="M146" s="1"/>
      </tp>
      <tp>
        <v>44310530</v>
        <stp/>
        <stp>P</stp>
        <stp>0</stp>
        <stp>STK</stp>
        <stp>N031430</stp>
        <stp>누적거래대금</stp>
        <stp/>
        <stp/>
        <tr r="M547" s="1"/>
        <tr r="M323" s="3"/>
      </tp>
      <tp>
        <v>240204450</v>
        <stp/>
        <stp>P</stp>
        <stp>0</stp>
        <stp>STK</stp>
        <stp>N039130</stp>
        <stp>누적거래대금</stp>
        <stp/>
        <stp/>
        <tr r="M385" s="1"/>
        <tr r="M260" s="3"/>
      </tp>
      <tp>
        <v>2184230000</v>
        <stp/>
        <stp>P</stp>
        <stp>0</stp>
        <stp>STK</stp>
        <stp>N039030</stp>
        <stp>누적거래대금</stp>
        <stp/>
        <stp/>
        <tr r="M136" s="1"/>
      </tp>
      <tp>
        <v>77304150</v>
        <stp/>
        <stp>P</stp>
        <stp>0</stp>
        <stp>STK</stp>
        <stp>N126720</stp>
        <stp>누적거래대금</stp>
        <stp/>
        <stp/>
        <tr r="M327" s="3"/>
        <tr r="M544" s="1"/>
      </tp>
      <tp>
        <v>740081000</v>
        <stp/>
        <stp>P</stp>
        <stp>0</stp>
        <stp>STK</stp>
        <stp>N127120</stp>
        <stp>누적거래대금</stp>
        <stp/>
        <stp/>
        <tr r="M402" s="1"/>
      </tp>
      <tp>
        <v>1006006170</v>
        <stp/>
        <stp>P</stp>
        <stp>0</stp>
        <stp>STK</stp>
        <stp>N424870</stp>
        <stp>누적거래대금</stp>
        <stp/>
        <stp/>
        <tr r="M353" s="1"/>
      </tp>
      <tp>
        <v>3335219550</v>
        <stp/>
        <stp>P</stp>
        <stp>0</stp>
        <stp>STK</stp>
        <stp>N322000</stp>
        <stp>누적거래대금</stp>
        <stp/>
        <stp/>
        <tr r="M420" s="1"/>
        <tr r="M273" s="3"/>
      </tp>
      <tp>
        <v>163264700</v>
        <stp/>
        <stp>P</stp>
        <stp>0</stp>
        <stp>STK</stp>
        <stp>N023530</stp>
        <stp>누적거래대금</stp>
        <stp/>
        <stp/>
        <tr r="M163" s="3"/>
        <tr r="M200" s="1"/>
      </tp>
      <tp>
        <v>355201100</v>
        <stp/>
        <stp>P</stp>
        <stp>0</stp>
        <stp>STK</stp>
        <stp>N420770</stp>
        <stp>누적거래대금</stp>
        <stp/>
        <stp/>
        <tr r="M384" s="1"/>
      </tp>
      <tp>
        <v>6014500</v>
        <stp/>
        <stp>P</stp>
        <stp>0</stp>
        <stp>STK</stp>
        <stp>N029530</stp>
        <stp>누적거래대금</stp>
        <stp/>
        <stp/>
        <tr r="M309" s="3"/>
        <tr r="M499" s="1"/>
      </tp>
      <tp>
        <v>6117162950</v>
        <stp/>
        <stp>P</stp>
        <stp>0</stp>
        <stp>STK</stp>
        <stp>N014830</stp>
        <stp>누적거래대금</stp>
        <stp/>
        <stp/>
        <tr r="M484" s="1"/>
        <tr r="M299" s="3"/>
      </tp>
      <tp>
        <v>126896540</v>
        <stp/>
        <stp>P</stp>
        <stp>0</stp>
        <stp>STK</stp>
        <stp>N012630</stp>
        <stp>누적거래대금</stp>
        <stp/>
        <stp/>
        <tr r="M309" s="1"/>
        <tr r="M228" s="3"/>
      </tp>
      <tp>
        <v>34465684750</v>
        <stp/>
        <stp>P</stp>
        <stp>0</stp>
        <stp>STK</stp>
        <stp>N012330</stp>
        <stp>누적거래대금</stp>
        <stp/>
        <stp/>
        <tr r="M21" s="3"/>
        <tr r="M19" s="1"/>
      </tp>
      <tp>
        <v>43194700</v>
        <stp/>
        <stp>P</stp>
        <stp>0</stp>
        <stp>STK</stp>
        <stp>N013030</stp>
        <stp>누적거래대금</stp>
        <stp/>
        <stp/>
        <tr r="M555" s="1"/>
      </tp>
      <tp>
        <v>20250242000</v>
        <stp/>
        <stp>P</stp>
        <stp>0</stp>
        <stp>STK</stp>
        <stp>N010130</stp>
        <stp>누적거래대금</stp>
        <stp/>
        <stp/>
        <tr r="M25" s="1"/>
        <tr r="M25" s="3"/>
      </tp>
      <tp>
        <v>1047376800</v>
        <stp/>
        <stp>P</stp>
        <stp>0</stp>
        <stp>STK</stp>
        <stp>N218410</stp>
        <stp>누적거래대금</stp>
        <stp/>
        <stp/>
        <tr r="M324" s="1"/>
      </tp>
      <tp>
        <v>8111002410</v>
        <stp/>
        <stp>P</stp>
        <stp>0</stp>
        <stp>STK</stp>
        <stp>N006730</stp>
        <stp>누적거래대금</stp>
        <stp/>
        <stp/>
        <tr r="M323" s="1"/>
      </tp>
      <tp>
        <v>236581300</v>
        <stp/>
        <stp>P</stp>
        <stp>0</stp>
        <stp>STK</stp>
        <stp>N306200</stp>
        <stp>누적거래대금</stp>
        <stp/>
        <stp/>
        <tr r="M589" s="1"/>
        <tr r="M341" s="3"/>
      </tp>
      <tp>
        <v>197933650</v>
        <stp/>
        <stp>P</stp>
        <stp>0</stp>
        <stp>STK</stp>
        <stp>N304100</stp>
        <stp>누적거래대금</stp>
        <stp/>
        <stp/>
        <tr r="M591" s="1"/>
      </tp>
      <tp>
        <v>351203318500</v>
        <stp/>
        <stp>P</stp>
        <stp>0</stp>
        <stp>STK</stp>
        <stp>N005930</stp>
        <stp>누적거래대금</stp>
        <stp/>
        <stp/>
        <tr r="M6" s="1"/>
        <tr r="M6" s="3"/>
      </tp>
      <tp>
        <v>116320500</v>
        <stp/>
        <stp>P</stp>
        <stp>0</stp>
        <stp>STK</stp>
        <stp>N005830</stp>
        <stp>누적거래대금</stp>
        <stp/>
        <stp/>
        <tr r="M75" s="1"/>
        <tr r="M70" s="3"/>
      </tp>
      <tp>
        <v>1155500</v>
        <stp/>
        <stp>P</stp>
        <stp>0</stp>
        <stp>STK</stp>
        <stp>N002030</stp>
        <stp>누적거래대금</stp>
        <stp/>
        <stp/>
        <tr r="M278" s="3"/>
        <tr r="M430" s="1"/>
      </tp>
      <tp>
        <v>5873625000</v>
        <stp/>
        <stp>P</stp>
        <stp>0</stp>
        <stp>STK</stp>
        <stp>N003230</stp>
        <stp>누적거래대금</stp>
        <stp/>
        <stp/>
        <tr r="M71" s="3"/>
        <tr r="M77" s="1"/>
      </tp>
      <tp>
        <v>125646100</v>
        <stp/>
        <stp>P</stp>
        <stp>0</stp>
        <stp>STK</stp>
        <stp>N003030</stp>
        <stp>누적거래대금</stp>
        <stp/>
        <stp/>
        <tr r="M285" s="3"/>
        <tr r="M466" s="1"/>
      </tp>
      <tp>
        <v>2698138200</v>
        <stp/>
        <stp>P</stp>
        <stp>0</stp>
        <stp>STK</stp>
        <stp>N403870</stp>
        <stp>누적거래대금</stp>
        <stp/>
        <stp/>
        <tr r="M157" s="1"/>
      </tp>
      <tp>
        <v>1047349300</v>
        <stp/>
        <stp>P</stp>
        <stp>0</stp>
        <stp>STK</stp>
        <stp>N200710</stp>
        <stp>누적거래대금</stp>
        <stp/>
        <stp/>
        <tr r="M491" s="1"/>
      </tp>
      <tp>
        <v>7149400</v>
        <stp/>
        <stp>P</stp>
        <stp>0</stp>
        <stp>STK</stp>
        <stp>N001630</stp>
        <stp>누적거래대금</stp>
        <stp/>
        <stp/>
        <tr r="M681" s="1"/>
        <tr r="M376" s="3"/>
      </tp>
      <tp>
        <v>54501670</v>
        <stp/>
        <stp>P</stp>
        <stp>0</stp>
        <stp>STK</stp>
        <stp>N001530</stp>
        <stp>누적거래대금</stp>
        <stp/>
        <stp/>
        <tr r="M546" s="1"/>
        <tr r="M325" s="3"/>
      </tp>
      <tp>
        <v>4098379200</v>
        <stp/>
        <stp>P</stp>
        <stp>0</stp>
        <stp>STK</stp>
        <stp>N001430</stp>
        <stp>누적거래대금</stp>
        <stp/>
        <stp/>
        <tr r="M163" s="1"/>
        <tr r="M141" s="3"/>
      </tp>
      <tp>
        <v>716000</v>
        <stp/>
        <stp>P</stp>
        <stp>0</stp>
        <stp>STK</stp>
        <stp>N001130</stp>
        <stp>누적거래대금</stp>
        <stp/>
        <stp/>
        <tr r="M375" s="3"/>
        <tr r="M680" s="1"/>
      </tp>
      <tp>
        <v>851359850</v>
        <stp/>
        <stp>P</stp>
        <stp>0</stp>
        <stp>STK</stp>
        <stp>N008730</stp>
        <stp>누적거래대금</stp>
        <stp/>
        <stp/>
        <tr r="M397" s="1"/>
        <tr r="M262" s="3"/>
      </tp>
      <tp>
        <v>172477700</v>
        <stp/>
        <stp>P</stp>
        <stp>0</stp>
        <stp>STK</stp>
        <stp>N108320</stp>
        <stp>누적거래대금</stp>
        <stp/>
        <stp/>
        <tr r="M345" s="1"/>
        <tr r="M241" s="3"/>
      </tp>
      <tp>
        <v>177910900</v>
        <stp/>
        <stp>P</stp>
        <stp>0</stp>
        <stp>STK</stp>
        <stp>N008930</stp>
        <stp>누적거래대금</stp>
        <stp/>
        <stp/>
        <tr r="M140" s="3"/>
        <tr r="M165" s="1"/>
      </tp>
      <tp>
        <v>13213934125</v>
        <stp/>
        <stp>P</stp>
        <stp>0</stp>
        <stp>STK</stp>
        <stp>N009830</stp>
        <stp>누적거래대금</stp>
        <stp/>
        <stp/>
        <tr r="M103" s="3"/>
        <tr r="M113" s="1"/>
      </tp>
      <tp>
        <v>1318037500</v>
        <stp/>
        <stp>P</stp>
        <stp>0</stp>
        <stp>STK</stp>
        <stp>N095340</stp>
        <stp>누적거래대금</stp>
        <stp/>
        <stp/>
        <tr r="M198" s="1"/>
      </tp>
      <tp>
        <v>32477800</v>
        <stp/>
        <stp>P</stp>
        <stp>0</stp>
        <stp>STK</stp>
        <stp>N185750</stp>
        <stp>누적거래대금</stp>
        <stp/>
        <stp/>
        <tr r="M290" s="1"/>
        <tr r="M218" s="3"/>
      </tp>
      <tp>
        <v>3334961700</v>
        <stp/>
        <stp>P</stp>
        <stp>0</stp>
        <stp>STK</stp>
        <stp>N082740</stp>
        <stp>누적거래대금</stp>
        <stp/>
        <stp/>
        <tr r="M116" s="1"/>
        <tr r="M110" s="3"/>
      </tp>
      <tp>
        <v>61460300</v>
        <stp/>
        <stp>P</stp>
        <stp>0</stp>
        <stp>STK</stp>
        <stp>N280360</stp>
        <stp>누적거래대금</stp>
        <stp/>
        <stp/>
        <tr r="M307" s="1"/>
        <tr r="M224" s="3"/>
      </tp>
      <tp>
        <v>13733740</v>
        <stp/>
        <stp>P</stp>
        <stp>0</stp>
        <stp>STK</stp>
        <stp>N381970</stp>
        <stp>누적거래대금</stp>
        <stp/>
        <stp/>
        <tr r="M376" s="1"/>
        <tr r="M255" s="3"/>
      </tp>
      <tp>
        <v>337698000</v>
        <stp/>
        <stp>P</stp>
        <stp>0</stp>
        <stp>STK</stp>
        <stp>N389470</stp>
        <stp>누적거래대금</stp>
        <stp/>
        <stp/>
        <tr r="M326" s="1"/>
      </tp>
      <tp>
        <v>19543800</v>
        <stp/>
        <stp>P</stp>
        <stp>0</stp>
        <stp>STK</stp>
        <stp>N176750</stp>
        <stp>누적거래대금</stp>
        <stp/>
        <stp/>
        <tr r="M675" s="1"/>
      </tp>
      <tp>
        <v>220395600</v>
        <stp/>
        <stp>P</stp>
        <stp>0</stp>
        <stp>STK</stp>
        <stp>N376270</stp>
        <stp>누적거래대금</stp>
        <stp/>
        <stp/>
        <tr r="M552" s="1"/>
      </tp>
      <tp>
        <v>2256475250</v>
        <stp/>
        <stp>P</stp>
        <stp>0</stp>
        <stp>STK</stp>
        <stp>N475400</stp>
        <stp>누적거래대금</stp>
        <stp/>
        <stp/>
        <tr r="M460" s="1"/>
      </tp>
      <tp>
        <v>374120250</v>
        <stp/>
        <stp>P</stp>
        <stp>0</stp>
        <stp>STK</stp>
        <stp>N372170</stp>
        <stp>누적거래대금</stp>
        <stp/>
        <stp/>
        <tr r="M677" s="1"/>
      </tp>
      <tp>
        <v>105677970</v>
        <stp/>
        <stp>P</stp>
        <stp>0</stp>
        <stp>STK</stp>
        <stp>N073240</stp>
        <stp>누적거래대금</stp>
        <stp/>
        <stp/>
        <tr r="M180" s="3"/>
        <tr r="M224" s="1"/>
      </tp>
      <tp>
        <v>49941604625</v>
        <stp/>
        <stp>P</stp>
        <stp>0</stp>
        <stp>STK</stp>
        <stp>N270660</stp>
        <stp>누적거래대금</stp>
        <stp/>
        <stp/>
        <tr r="M539" s="1"/>
      </tp>
      <tp>
        <v>163923500</v>
        <stp/>
        <stp>P</stp>
        <stp>0</stp>
        <stp>STK</stp>
        <stp>N271560</stp>
        <stp>누적거래대금</stp>
        <stp/>
        <stp/>
        <tr r="M114" s="1"/>
        <tr r="M106" s="3"/>
      </tp>
      <tp>
        <v>144903750</v>
        <stp/>
        <stp>P</stp>
        <stp>0</stp>
        <stp>STK</stp>
        <stp>N078340</stp>
        <stp>누적거래대금</stp>
        <stp/>
        <stp/>
        <tr r="M540" s="1"/>
      </tp>
      <tp>
        <v>25597500</v>
        <stp/>
        <stp>P</stp>
        <stp>0</stp>
        <stp>STK</stp>
        <stp>N079940</stp>
        <stp>누적거래대금</stp>
        <stp/>
        <stp/>
        <tr r="M517" s="1"/>
      </tp>
      <tp>
        <v>18945208050</v>
        <stp/>
        <stp>P</stp>
        <stp>0</stp>
        <stp>STK</stp>
        <stp>N466100</stp>
        <stp>누적거래대금</stp>
        <stp/>
        <stp/>
        <tr r="M216" s="1"/>
      </tp>
      <tp>
        <v>5666821000</v>
        <stp/>
        <stp>P</stp>
        <stp>0</stp>
        <stp>STK</stp>
        <stp>N267260</stp>
        <stp>누적거래대금</stp>
        <stp/>
        <stp/>
        <tr r="M26" s="1"/>
        <tr r="M26" s="3"/>
      </tp>
      <tp>
        <v>2109197200</v>
        <stp/>
        <stp>P</stp>
        <stp>0</stp>
        <stp>STK</stp>
        <stp>N062040</stp>
        <stp>누적거래대금</stp>
        <stp/>
        <stp/>
        <tr r="M112" s="3"/>
        <tr r="M119" s="1"/>
      </tp>
      <tp>
        <v>11568543300</v>
        <stp/>
        <stp>P</stp>
        <stp>0</stp>
        <stp>STK</stp>
        <stp>N455900</stp>
        <stp>누적거래대금</stp>
        <stp/>
        <stp/>
        <tr r="M415" s="1"/>
      </tp>
      <tp>
        <v>710790430</v>
        <stp/>
        <stp>P</stp>
        <stp>0</stp>
        <stp>STK</stp>
        <stp>N358570</stp>
        <stp>누적거래대금</stp>
        <stp/>
        <stp/>
        <tr r="M336" s="1"/>
      </tp>
      <tp>
        <v>282719500</v>
        <stp/>
        <stp>P</stp>
        <stp>0</stp>
        <stp>STK</stp>
        <stp>N259960</stp>
        <stp>누적거래대금</stp>
        <stp/>
        <stp/>
        <tr r="M64" s="3"/>
        <tr r="M67" s="1"/>
      </tp>
      <tp>
        <v>6281889530</v>
        <stp/>
        <stp>P</stp>
        <stp>0</stp>
        <stp>STK</stp>
        <stp>N047040</stp>
        <stp>누적거래대금</stp>
        <stp/>
        <stp/>
        <tr r="M173" s="3"/>
        <tr r="M208" s="1"/>
      </tp>
      <tp>
        <v>81154050</v>
        <stp/>
        <stp>P</stp>
        <stp>0</stp>
        <stp>STK</stp>
        <stp>N340570</stp>
        <stp>누적거래대금</stp>
        <stp/>
        <stp/>
        <tr r="M572" s="1"/>
      </tp>
      <tp>
        <v>1555054000</v>
        <stp/>
        <stp>P</stp>
        <stp>0</stp>
        <stp>STK</stp>
        <stp>N241560</stp>
        <stp>누적거래대금</stp>
        <stp/>
        <stp/>
        <tr r="M93" s="3"/>
        <tr r="M100" s="1"/>
      </tp>
      <tp>
        <v>10780813000</v>
        <stp/>
        <stp>P</stp>
        <stp>0</stp>
        <stp>STK</stp>
        <stp>N348370</stp>
        <stp>누적거래대금</stp>
        <stp/>
        <stp/>
        <tr r="M263" s="1"/>
      </tp>
      <tp>
        <v>1551524400</v>
        <stp/>
        <stp>P</stp>
        <stp>0</stp>
        <stp>STK</stp>
        <stp>N448900</stp>
        <stp>누적거래대금</stp>
        <stp/>
        <stp/>
        <tr r="M486" s="1"/>
      </tp>
      <tp>
        <v>1156333600</v>
        <stp/>
        <stp>P</stp>
        <stp>0</stp>
        <stp>STK</stp>
        <stp>N036540</stp>
        <stp>누적거래대금</stp>
        <stp/>
        <stp/>
        <tr r="M331" s="1"/>
      </tp>
      <tp>
        <v>1198411610</v>
        <stp/>
        <stp>P</stp>
        <stp>0</stp>
        <stp>STK</stp>
        <stp>N336570</stp>
        <stp>누적거래대금</stp>
        <stp/>
        <stp/>
        <tr r="M372" s="1"/>
      </tp>
      <tp>
        <v>982264080</v>
        <stp/>
        <stp>P</stp>
        <stp>0</stp>
        <stp>STK</stp>
        <stp>N336370</stp>
        <stp>누적거래대금</stp>
        <stp/>
        <stp/>
        <tr r="M457" s="1"/>
        <tr r="M286" s="3"/>
      </tp>
      <tp>
        <v>184255340</v>
        <stp/>
        <stp>P</stp>
        <stp>0</stp>
        <stp>STK</stp>
        <stp>N032640</stp>
        <stp>누적거래대금</stp>
        <stp/>
        <stp/>
        <tr r="M87" s="3"/>
        <tr r="M96" s="1"/>
      </tp>
      <tp>
        <v>115111190</v>
        <stp/>
        <stp>P</stp>
        <stp>0</stp>
        <stp>STK</stp>
        <stp>N033640</stp>
        <stp>누적거래대금</stp>
        <stp/>
        <stp/>
        <tr r="M561" s="1"/>
      </tp>
      <tp>
        <v>673922600</v>
        <stp/>
        <stp>P</stp>
        <stp>0</stp>
        <stp>STK</stp>
        <stp>N033240</stp>
        <stp>누적거래대금</stp>
        <stp/>
        <stp/>
        <tr r="M461" s="1"/>
        <tr r="M297" s="3"/>
      </tp>
      <tp>
        <v>31549650</v>
        <stp/>
        <stp>P</stp>
        <stp>0</stp>
        <stp>STK</stp>
        <stp>N230360</stp>
        <stp>누적거래대금</stp>
        <stp/>
        <stp/>
        <tr r="M482" s="1"/>
      </tp>
      <tp>
        <v>837535050</v>
        <stp/>
        <stp>P</stp>
        <stp>0</stp>
        <stp>STK</stp>
        <stp>N039440</stp>
        <stp>누적거래대금</stp>
        <stp/>
        <stp/>
        <tr r="M494" s="1"/>
      </tp>
      <tp>
        <v>1506490</v>
        <stp/>
        <stp>P</stp>
        <stp>0</stp>
        <stp>STK</stp>
        <stp>N039840</stp>
        <stp>누적거래대금</stp>
        <stp/>
        <stp/>
        <tr r="M693" s="1"/>
      </tp>
      <tp>
        <v>432692400</v>
        <stp/>
        <stp>P</stp>
        <stp>0</stp>
        <stp>STK</stp>
        <stp>N025540</stp>
        <stp>누적거래대금</stp>
        <stp/>
        <stp/>
        <tr r="M248" s="3"/>
        <tr r="M352" s="1"/>
      </tp>
      <tp>
        <v>243582000</v>
        <stp/>
        <stp>P</stp>
        <stp>0</stp>
        <stp>STK</stp>
        <stp>N021240</stp>
        <stp>누적거래대금</stp>
        <stp/>
        <stp/>
        <tr r="M103" s="1"/>
        <tr r="M95" s="3"/>
      </tp>
      <tp>
        <v>270329850</v>
        <stp/>
        <stp>P</stp>
        <stp>0</stp>
        <stp>STK</stp>
        <stp>N228760</stp>
        <stp>누적거래대금</stp>
        <stp/>
        <stp/>
        <tr r="M449" s="1"/>
      </tp>
      <tp>
        <v>2379361370</v>
        <stp/>
        <stp>P</stp>
        <stp>0</stp>
        <stp>STK</stp>
        <stp>N417200</stp>
        <stp>누적거래대금</stp>
        <stp/>
        <stp/>
        <tr r="M333" s="1"/>
      </tp>
      <tp>
        <v>39855400</v>
        <stp/>
        <stp>P</stp>
        <stp>0</stp>
        <stp>STK</stp>
        <stp>N017940</stp>
        <stp>누적거래대금</stp>
        <stp/>
        <stp/>
        <tr r="M444" s="1"/>
        <tr r="M282" s="3"/>
      </tp>
      <tp>
        <v>198073480</v>
        <stp/>
        <stp>P</stp>
        <stp>0</stp>
        <stp>STK</stp>
        <stp>N014940</stp>
        <stp>누적거래대금</stp>
        <stp/>
        <stp/>
        <tr r="M550" s="1"/>
      </tp>
      <tp>
        <v>13625640875</v>
        <stp/>
        <stp>P</stp>
        <stp>0</stp>
        <stp>STK</stp>
        <stp>N010140</stp>
        <stp>누적거래대금</stp>
        <stp/>
        <stp/>
        <tr r="M31" s="3"/>
        <tr r="M30" s="1"/>
      </tp>
      <tp>
        <v>748729950</v>
        <stp/>
        <stp>P</stp>
        <stp>0</stp>
        <stp>STK</stp>
        <stp>N119850</stp>
        <stp>누적거래대금</stp>
        <stp/>
        <stp/>
        <tr r="M432" s="1"/>
      </tp>
      <tp>
        <v>57084600</v>
        <stp/>
        <stp>P</stp>
        <stp>0</stp>
        <stp>STK</stp>
        <stp>N006040</stp>
        <stp>누적거래대금</stp>
        <stp/>
        <stp/>
        <tr r="M181" s="3"/>
        <tr r="M227" s="1"/>
      </tp>
      <tp>
        <v>449509400</v>
        <stp/>
        <stp>P</stp>
        <stp>0</stp>
        <stp>STK</stp>
        <stp>N007340</stp>
        <stp>누적거래대금</stp>
        <stp/>
        <stp/>
        <tr r="M251" s="1"/>
        <tr r="M198" s="3"/>
      </tp>
      <tp>
        <v>56056010</v>
        <stp/>
        <stp>P</stp>
        <stp>0</stp>
        <stp>STK</stp>
        <stp>N005440</stp>
        <stp>누적거래대금</stp>
        <stp/>
        <stp/>
        <tr r="M204" s="3"/>
        <tr r="M265" s="1"/>
      </tp>
      <tp>
        <v>1662652950</v>
        <stp/>
        <stp>P</stp>
        <stp>0</stp>
        <stp>STK</stp>
        <stp>N005940</stp>
        <stp>누적거래대금</stp>
        <stp/>
        <stp/>
        <tr r="M80" s="3"/>
        <tr r="M85" s="1"/>
      </tp>
      <tp>
        <v>48298800</v>
        <stp/>
        <stp>P</stp>
        <stp>0</stp>
        <stp>STK</stp>
        <stp>N002240</stp>
        <stp>누적거래대금</stp>
        <stp/>
        <stp/>
        <tr r="M426" s="1"/>
        <tr r="M277" s="3"/>
      </tp>
      <tp>
        <v>1279100</v>
        <stp/>
        <stp>P</stp>
        <stp>0</stp>
        <stp>STK</stp>
        <stp>N002840</stp>
        <stp>누적거래대금</stp>
        <stp/>
        <stp/>
        <tr r="M392" s="1"/>
        <tr r="M261" s="3"/>
      </tp>
      <tp>
        <v>377199900</v>
        <stp/>
        <stp>P</stp>
        <stp>0</stp>
        <stp>STK</stp>
        <stp>N003540</stp>
        <stp>누적거래대금</stp>
        <stp/>
        <stp/>
        <tr r="M200" s="3"/>
        <tr r="M259" s="1"/>
      </tp>
      <tp>
        <v>367183000</v>
        <stp/>
        <stp>P</stp>
        <stp>0</stp>
        <stp>STK</stp>
        <stp>N003240</stp>
        <stp>누적거래대금</stp>
        <stp/>
        <stp/>
        <tr r="M239" s="3"/>
        <tr r="M341" s="1"/>
      </tp>
      <tp>
        <v>43915500</v>
        <stp/>
        <stp>P</stp>
        <stp>0</stp>
        <stp>STK</stp>
        <stp>N000640</stp>
        <stp>누적거래대금</stp>
        <stp/>
        <stp/>
        <tr r="M394" s="1"/>
        <tr r="M264" s="3"/>
      </tp>
      <tp>
        <v>31344650</v>
        <stp/>
        <stp>P</stp>
        <stp>0</stp>
        <stp>STK</stp>
        <stp>N000240</stp>
        <stp>누적거래대금</stp>
        <stp/>
        <stp/>
        <tr r="M145" s="3"/>
        <tr r="M171" s="1"/>
      </tp>
      <tp>
        <v>36511371600</v>
        <stp/>
        <stp>P</stp>
        <stp>0</stp>
        <stp>STK</stp>
        <stp>N001440</stp>
        <stp>누적거래대금</stp>
        <stp/>
        <stp/>
        <tr r="M97" s="3"/>
        <tr r="M107" s="1"/>
      </tp>
      <tp>
        <v>1042946500</v>
        <stp/>
        <stp>P</stp>
        <stp>0</stp>
        <stp>STK</stp>
        <stp>N001040</stp>
        <stp>누적거래대금</stp>
        <stp/>
        <stp/>
        <tr r="M96" s="3"/>
        <tr r="M102" s="1"/>
      </tp>
      <tp>
        <v>291500</v>
        <stp/>
        <stp>P</stp>
        <stp>0</stp>
        <stp>STK</stp>
        <stp>N001940</stp>
        <stp>누적거래대금</stp>
        <stp/>
        <stp/>
        <tr r="M328" s="3"/>
        <tr r="M551" s="1"/>
      </tp>
      <tp>
        <v>1320458500</v>
        <stp/>
        <stp>P</stp>
        <stp>0</stp>
        <stp>STK</stp>
        <stp>N009540</stp>
        <stp>누적거래대금</stp>
        <stp/>
        <stp/>
        <tr r="M27" s="3"/>
        <tr r="M27" s="1"/>
      </tp>
      <tp>
        <v>43207600</v>
        <stp/>
        <stp>P</stp>
        <stp>0</stp>
        <stp>STK</stp>
        <stp>N009240</stp>
        <stp>누적거래대금</stp>
        <stp/>
        <stp/>
        <tr r="M301" s="1"/>
        <tr r="M223" s="3"/>
      </tp>
      <tp>
        <v>672042500</v>
        <stp/>
        <stp>P</stp>
        <stp>0</stp>
        <stp>STK</stp>
        <stp>N097950</stp>
        <stp>누적거래대금</stp>
        <stp/>
        <stp/>
        <tr r="M128" s="3"/>
        <tr r="M147" s="1"/>
      </tp>
      <tp>
        <v>32702300</v>
        <stp/>
        <stp>P</stp>
        <stp>0</stp>
        <stp>STK</stp>
        <stp>N294570</stp>
        <stp>누적거래대금</stp>
        <stp/>
        <stp/>
        <tr r="M647" s="1"/>
      </tp>
      <tp>
        <v>141757900</v>
        <stp/>
        <stp>P</stp>
        <stp>0</stp>
        <stp>STK</stp>
        <stp>N294870</stp>
        <stp>누적거래대금</stp>
        <stp/>
        <stp/>
        <tr r="M202" s="3"/>
        <tr r="M264" s="1"/>
      </tp>
      <tp>
        <v>588111500</v>
        <stp/>
        <stp>P</stp>
        <stp>0</stp>
        <stp>STK</stp>
        <stp>N195940</stp>
        <stp>누적거래대금</stp>
        <stp/>
        <stp/>
        <tr r="M262" s="1"/>
      </tp>
      <tp>
        <v>2722690</v>
        <stp/>
        <stp>P</stp>
        <stp>0</stp>
        <stp>STK</stp>
        <stp>N093050</stp>
        <stp>누적거래대금</stp>
        <stp/>
        <stp/>
        <tr r="M293" s="3"/>
        <tr r="M468" s="1"/>
      </tp>
      <tp>
        <v>106164190</v>
        <stp/>
        <stp>P</stp>
        <stp>0</stp>
        <stp>STK</stp>
        <stp>N086450</stp>
        <stp>누적거래대금</stp>
        <stp/>
        <stp/>
        <tr r="M368" s="1"/>
      </tp>
      <tp>
        <v>7599280</v>
        <stp/>
        <stp>P</stp>
        <stp>0</stp>
        <stp>STK</stp>
        <stp>N084850</stp>
        <stp>누적거래대금</stp>
        <stp/>
        <stp/>
        <tr r="M695" s="1"/>
      </tp>
      <tp>
        <v>13845613725</v>
        <stp/>
        <stp>P</stp>
        <stp>0</stp>
        <stp>STK</stp>
        <stp>N484810</stp>
        <stp>누적거래대금</stp>
        <stp/>
        <stp/>
        <tr r="M559" s="1"/>
      </tp>
      <tp>
        <v>7811484000</v>
        <stp/>
        <stp>P</stp>
        <stp>0</stp>
        <stp>STK</stp>
        <stp>N083650</stp>
        <stp>누적거래대금</stp>
        <stp/>
        <stp/>
        <tr r="M212" s="1"/>
      </tp>
      <tp>
        <v>662549200</v>
        <stp/>
        <stp>P</stp>
        <stp>0</stp>
        <stp>STK</stp>
        <stp>N083450</stp>
        <stp>누적거래대금</stp>
        <stp/>
        <stp/>
        <tr r="M477" s="1"/>
      </tp>
      <tp>
        <v>230300700</v>
        <stp/>
        <stp>P</stp>
        <stp>0</stp>
        <stp>STK</stp>
        <stp>N180640</stp>
        <stp>누적거래대금</stp>
        <stp/>
        <stp/>
        <tr r="M76" s="3"/>
        <tr r="M80" s="1"/>
      </tp>
      <tp>
        <v>1324283780</v>
        <stp/>
        <stp>P</stp>
        <stp>0</stp>
        <stp>STK</stp>
        <stp>N088350</stp>
        <stp>누적거래대금</stp>
        <stp/>
        <stp/>
        <tr r="M161" s="1"/>
        <tr r="M137" s="3"/>
      </tp>
      <tp>
        <v>123349850</v>
        <stp/>
        <stp>P</stp>
        <stp>0</stp>
        <stp>STK</stp>
        <stp>N389260</stp>
        <stp>누적거래대금</stp>
        <stp/>
        <stp/>
        <tr r="M612" s="1"/>
      </tp>
      <tp>
        <v>5006646200</v>
        <stp/>
        <stp>P</stp>
        <stp>0</stp>
        <stp>STK</stp>
        <stp>N071050</stp>
        <stp>누적거래대금</stp>
        <stp/>
        <stp/>
        <tr r="M68" s="3"/>
        <tr r="M70" s="1"/>
      </tp>
      <tp>
        <v>18401260250</v>
        <stp/>
        <stp>P</stp>
        <stp>0</stp>
        <stp>STK</stp>
        <stp>N278470</stp>
        <stp>누적거래대금</stp>
        <stp/>
        <stp/>
        <tr r="M67" s="3"/>
        <tr r="M74" s="1"/>
      </tp>
      <tp>
        <v>323494200</v>
        <stp/>
        <stp>P</stp>
        <stp>0</stp>
        <stp>STK</stp>
        <stp>N078350</stp>
        <stp>누적거래대금</stp>
        <stp/>
        <stp/>
        <tr r="M566" s="1"/>
      </tp>
      <tp>
        <v>2123331000</v>
        <stp/>
        <stp>P</stp>
        <stp>0</stp>
        <stp>STK</stp>
        <stp>N079550</stp>
        <stp>누적거래대금</stp>
        <stp/>
        <stp/>
        <tr r="M66" s="1"/>
        <tr r="M62" s="3"/>
      </tp>
      <tp>
        <v>10563368700</v>
        <stp/>
        <stp>P</stp>
        <stp>0</stp>
        <stp>STK</stp>
        <stp>N267270</stp>
        <stp>누적거래대금</stp>
        <stp/>
        <stp/>
        <tr r="M213" s="1"/>
        <tr r="M174" s="3"/>
      </tp>
      <tp>
        <v>24462400</v>
        <stp/>
        <stp>P</stp>
        <stp>0</stp>
        <stp>STK</stp>
        <stp>N064550</stp>
        <stp>누적거래대금</stp>
        <stp/>
        <stp/>
        <tr r="M613" s="1"/>
      </tp>
      <tp>
        <v>9000347250</v>
        <stp/>
        <stp>P</stp>
        <stp>0</stp>
        <stp>STK</stp>
        <stp>N064350</stp>
        <stp>누적거래대금</stp>
        <stp/>
        <stp/>
        <tr r="M34" s="1"/>
        <tr r="M34" s="3"/>
      </tp>
      <tp>
        <v>2734965900</v>
        <stp/>
        <stp>P</stp>
        <stp>0</stp>
        <stp>STK</stp>
        <stp>N065350</stp>
        <stp>누적거래대금</stp>
        <stp/>
        <stp/>
        <tr r="M239" s="1"/>
      </tp>
      <tp>
        <v>302355050</v>
        <stp/>
        <stp>P</stp>
        <stp>0</stp>
        <stp>STK</stp>
        <stp>N060250</stp>
        <stp>누적거래대금</stp>
        <stp/>
        <stp/>
        <tr r="M437" s="1"/>
      </tp>
      <tp>
        <v>234795450</v>
        <stp/>
        <stp>P</stp>
        <stp>0</stp>
        <stp>STK</stp>
        <stp>N469610</stp>
        <stp>누적거래대금</stp>
        <stp/>
        <stp/>
        <tr r="M696" s="1"/>
      </tp>
      <tp>
        <v>404949400</v>
        <stp/>
        <stp>P</stp>
        <stp>0</stp>
        <stp>STK</stp>
        <stp>N356860</stp>
        <stp>누적거래대금</stp>
        <stp/>
        <stp/>
        <tr r="M453" s="1"/>
      </tp>
      <tp>
        <v>8828800</v>
        <stp/>
        <stp>P</stp>
        <stp>0</stp>
        <stp>STK</stp>
        <stp>N057050</stp>
        <stp>누적거래대금</stp>
        <stp/>
        <stp/>
        <tr r="M268" s="3"/>
        <tr r="M410" s="1"/>
      </tp>
      <tp>
        <v>44702000</v>
        <stp/>
        <stp>P</stp>
        <stp>0</stp>
        <stp>STK</stp>
        <stp>N054950</stp>
        <stp>누적거래대금</stp>
        <stp/>
        <stp/>
        <tr r="M614" s="1"/>
      </tp>
      <tp>
        <v>19347682100</v>
        <stp/>
        <stp>P</stp>
        <stp>0</stp>
        <stp>STK</stp>
        <stp>N454910</stp>
        <stp>누적거래대금</stp>
        <stp/>
        <stp/>
        <tr r="M82" s="3"/>
        <tr r="M87" s="1"/>
      </tp>
      <tp>
        <v>1750288250</v>
        <stp/>
        <stp>P</stp>
        <stp>0</stp>
        <stp>STK</stp>
        <stp>N055550</stp>
        <stp>누적거래대금</stp>
        <stp/>
        <stp/>
        <tr r="M22" s="1"/>
        <tr r="M22" s="3"/>
      </tp>
      <tp>
        <v>473769600</v>
        <stp/>
        <stp>P</stp>
        <stp>0</stp>
        <stp>STK</stp>
        <stp>N251270</stp>
        <stp>누적거래대금</stp>
        <stp/>
        <stp/>
        <tr r="M108" s="3"/>
        <tr r="M120" s="1"/>
      </tp>
      <tp>
        <v>381806600</v>
        <stp/>
        <stp>P</stp>
        <stp>0</stp>
        <stp>STK</stp>
        <stp>N251970</stp>
        <stp>누적거래대금</stp>
        <stp/>
        <stp/>
        <tr r="M393" s="1"/>
      </tp>
      <tp>
        <v>5571142000</v>
        <stp/>
        <stp>P</stp>
        <stp>0</stp>
        <stp>STK</stp>
        <stp>N459510</stp>
        <stp>누적거래대금</stp>
        <stp/>
        <stp/>
        <tr r="M490" s="1"/>
      </tp>
      <tp>
        <v>8440757800</v>
        <stp/>
        <stp>P</stp>
        <stp>0</stp>
        <stp>STK</stp>
        <stp>N047050</stp>
        <stp>누적거래대금</stp>
        <stp/>
        <stp/>
        <tr r="M65" s="3"/>
        <tr r="M68" s="1"/>
      </tp>
      <tp>
        <v>2880010</v>
        <stp/>
        <stp>P</stp>
        <stp>0</stp>
        <stp>STK</stp>
        <stp>N043150</stp>
        <stp>누적거래대금</stp>
        <stp/>
        <stp/>
        <tr r="M642" s="1"/>
      </tp>
      <tp>
        <v>15747050</v>
        <stp/>
        <stp>P</stp>
        <stp>0</stp>
        <stp>STK</stp>
        <stp>N243070</stp>
        <stp>누적거래대금</stp>
        <stp/>
        <stp/>
        <tr r="M611" s="1"/>
      </tp>
      <tp>
        <v>3096750</v>
        <stp/>
        <stp>P</stp>
        <stp>0</stp>
        <stp>STK</stp>
        <stp>N241770</stp>
        <stp>누적거래대금</stp>
        <stp/>
        <stp/>
        <tr r="M683" s="1"/>
      </tp>
      <tp>
        <v>110898710</v>
        <stp/>
        <stp>P</stp>
        <stp>0</stp>
        <stp>STK</stp>
        <stp>N248070</stp>
        <stp>누적거래대금</stp>
        <stp/>
        <stp/>
        <tr r="M258" s="3"/>
        <tr r="M377" s="1"/>
      </tp>
      <tp>
        <v>4235256450</v>
        <stp/>
        <stp>P</stp>
        <stp>0</stp>
        <stp>STK</stp>
        <stp>N336260</stp>
        <stp>누적거래대금</stp>
        <stp/>
        <stp/>
        <tr r="M150" s="3"/>
        <tr r="M183" s="1"/>
      </tp>
      <tp>
        <v>8064200</v>
        <stp/>
        <stp>P</stp>
        <stp>0</stp>
        <stp>STK</stp>
        <stp>N034950</stp>
        <stp>누적거래대금</stp>
        <stp/>
        <stp/>
        <tr r="M508" s="1"/>
      </tp>
      <tp>
        <v>253495170</v>
        <stp/>
        <stp>P</stp>
        <stp>0</stp>
        <stp>STK</stp>
        <stp>N035250</stp>
        <stp>누적거래대금</stp>
        <stp/>
        <stp/>
        <tr r="M128" s="1"/>
        <tr r="M118" s="3"/>
      </tp>
      <tp>
        <v>628830</v>
        <stp/>
        <stp>P</stp>
        <stp>0</stp>
        <stp>STK</stp>
        <stp>N035150</stp>
        <stp>누적거래대금</stp>
        <stp/>
        <stp/>
        <tr r="M663" s="1"/>
        <tr r="M372" s="3"/>
      </tp>
      <tp>
        <v>781970000</v>
        <stp/>
        <stp>P</stp>
        <stp>0</stp>
        <stp>STK</stp>
        <stp>N032350</stp>
        <stp>누적거래대금</stp>
        <stp/>
        <stp/>
        <tr r="M223" s="1"/>
        <tr r="M176" s="3"/>
      </tp>
      <tp>
        <v>295745800</v>
        <stp/>
        <stp>P</stp>
        <stp>0</stp>
        <stp>STK</stp>
        <stp>N138040</stp>
        <stp>누적거래대금</stp>
        <stp/>
        <stp/>
        <tr r="M44" s="1"/>
        <tr r="M44" s="3"/>
      </tp>
      <tp>
        <v>795553200</v>
        <stp/>
        <stp>P</stp>
        <stp>0</stp>
        <stp>STK</stp>
        <stp>N126340</stp>
        <stp>누적거래대금</stp>
        <stp/>
        <stp/>
        <tr r="M431" s="1"/>
      </tp>
      <tp>
        <v>62212980</v>
        <stp/>
        <stp>P</stp>
        <stp>0</stp>
        <stp>STK</stp>
        <stp>N225570</stp>
        <stp>누적거래대금</stp>
        <stp/>
        <stp/>
        <tr r="M354" s="1"/>
      </tp>
      <tp>
        <v>186840090</v>
        <stp/>
        <stp>P</stp>
        <stp>0</stp>
        <stp>STK</stp>
        <stp>N122640</stp>
        <stp>누적거래대금</stp>
        <stp/>
        <stp/>
        <tr r="M541" s="1"/>
      </tp>
      <tp>
        <v>28024129100</v>
        <stp/>
        <stp>P</stp>
        <stp>0</stp>
        <stp>STK</stp>
        <stp>N020150</stp>
        <stp>누적거래대금</stp>
        <stp/>
        <stp/>
        <tr r="M225" s="1"/>
        <tr r="M170" s="3"/>
      </tp>
      <tp>
        <v>558357950</v>
        <stp/>
        <stp>P</stp>
        <stp>0</stp>
        <stp>STK</stp>
        <stp>N028050</stp>
        <stp>누적거래대금</stp>
        <stp/>
        <stp/>
        <tr r="M110" s="1"/>
        <tr r="M101" s="3"/>
      </tp>
      <tp>
        <v>3953679500</v>
        <stp/>
        <stp>P</stp>
        <stp>0</stp>
        <stp>STK</stp>
        <stp>N128940</stp>
        <stp>누적거래대금</stp>
        <stp/>
        <stp/>
        <tr r="M106" s="1"/>
        <tr r="M98" s="3"/>
      </tp>
      <tp>
        <v>655481100</v>
        <stp/>
        <stp>P</stp>
        <stp>0</stp>
        <stp>STK</stp>
        <stp>N214370</stp>
        <stp>누적거래대금</stp>
        <stp/>
        <stp/>
        <tr r="M126" s="1"/>
      </tp>
      <tp>
        <v>34990050</v>
        <stp/>
        <stp>P</stp>
        <stp>0</stp>
        <stp>STK</stp>
        <stp>N114840</stp>
        <stp>누적거래대금</stp>
        <stp/>
        <stp/>
        <tr r="M661" s="1"/>
      </tp>
      <tp>
        <v>1917149960</v>
        <stp/>
        <stp>P</stp>
        <stp>0</stp>
        <stp>STK</stp>
        <stp>N015750</stp>
        <stp>누적거래대금</stp>
        <stp/>
        <stp/>
        <tr r="M404" s="1"/>
      </tp>
      <tp>
        <v>20589700</v>
        <stp/>
        <stp>P</stp>
        <stp>0</stp>
        <stp>STK</stp>
        <stp>N012750</stp>
        <stp>누적거래대금</stp>
        <stp/>
        <stp/>
        <tr r="M153" s="1"/>
        <tr r="M132" s="3"/>
      </tp>
      <tp>
        <v>9200908000</v>
        <stp/>
        <stp>P</stp>
        <stp>0</stp>
        <stp>STK</stp>
        <stp>N012450</stp>
        <stp>누적거래대금</stp>
        <stp/>
        <stp/>
        <tr r="M11" s="3"/>
        <tr r="M12" s="1"/>
      </tp>
      <tp>
        <v>399629950</v>
        <stp/>
        <stp>P</stp>
        <stp>0</stp>
        <stp>STK</stp>
        <stp>N112040</stp>
        <stp>누적거래대금</stp>
        <stp/>
        <stp/>
        <tr r="M334" s="1"/>
      </tp>
      <tp>
        <v>1679828100</v>
        <stp/>
        <stp>P</stp>
        <stp>0</stp>
        <stp>STK</stp>
        <stp>N010950</stp>
        <stp>누적거래대금</stp>
        <stp/>
        <stp/>
        <tr r="M69" s="1"/>
        <tr r="M66" s="3"/>
      </tp>
      <tp>
        <v>9227900</v>
        <stp/>
        <stp>P</stp>
        <stp>0</stp>
        <stp>STK</stp>
        <stp>N018250</stp>
        <stp>누적거래대금</stp>
        <stp/>
        <stp/>
        <tr r="M343" s="3"/>
        <tr r="M590" s="1"/>
      </tp>
      <tp>
        <v>650944200</v>
        <stp/>
        <stp>P</stp>
        <stp>0</stp>
        <stp>STK</stp>
        <stp>N319660</stp>
        <stp>누적거래대금</stp>
        <stp/>
        <stp/>
        <tr r="M284" s="1"/>
      </tp>
      <tp>
        <v>378176500</v>
        <stp/>
        <stp>P</stp>
        <stp>0</stp>
        <stp>STK</stp>
        <stp>N006650</stp>
        <stp>누적거래대금</stp>
        <stp/>
        <stp/>
        <tr r="M225" s="3"/>
        <tr r="M306" s="1"/>
      </tp>
      <tp>
        <v>4074025100</v>
        <stp/>
        <stp>P</stp>
        <stp>0</stp>
        <stp>STK</stp>
        <stp>N107640</stp>
        <stp>누적거래대금</stp>
        <stp/>
        <stp/>
        <tr r="M524" s="1"/>
      </tp>
      <tp>
        <v>121683600</v>
        <stp/>
        <stp>P</stp>
        <stp>0</stp>
        <stp>STK</stp>
        <stp>N304360</stp>
        <stp>누적거래대금</stp>
        <stp/>
        <stp/>
        <tr r="M557" s="1"/>
      </tp>
      <tp>
        <v>1542300500</v>
        <stp/>
        <stp>P</stp>
        <stp>0</stp>
        <stp>STK</stp>
        <stp>N204270</stp>
        <stp>누적거래대금</stp>
        <stp/>
        <stp/>
        <tr r="M294" s="1"/>
      </tp>
      <tp>
        <v>64685820</v>
        <stp/>
        <stp>P</stp>
        <stp>0</stp>
        <stp>STK</stp>
        <stp>N005250</stp>
        <stp>누적거래대금</stp>
        <stp/>
        <stp/>
        <tr r="M389" s="1"/>
        <tr r="M263" s="3"/>
      </tp>
      <tp>
        <v>5858722550</v>
        <stp/>
        <stp>P</stp>
        <stp>0</stp>
        <stp>STK</stp>
        <stp>N005850</stp>
        <stp>누적거래대금</stp>
        <stp/>
        <stp/>
        <tr r="M144" s="1"/>
        <tr r="M135" s="3"/>
      </tp>
      <tp>
        <v>4547096050</v>
        <stp/>
        <stp>P</stp>
        <stp>0</stp>
        <stp>STK</stp>
        <stp>N105840</stp>
        <stp>누적거래대금</stp>
        <stp/>
        <stp/>
        <tr r="M451" s="1"/>
        <tr r="M288" s="3"/>
      </tp>
      <tp>
        <v>79863550</v>
        <stp/>
        <stp>P</stp>
        <stp>0</stp>
        <stp>STK</stp>
        <stp>N102940</stp>
        <stp>누적거래대금</stp>
        <stp/>
        <stp/>
        <tr r="M424" s="1"/>
      </tp>
      <tp>
        <v>705624000</v>
        <stp/>
        <stp>P</stp>
        <stp>0</stp>
        <stp>STK</stp>
        <stp>N003550</stp>
        <stp>누적거래대금</stp>
        <stp/>
        <stp/>
        <tr r="M58" s="3"/>
        <tr r="M62" s="1"/>
      </tp>
      <tp>
        <v>2425769900</v>
        <stp/>
        <stp>P</stp>
        <stp>0</stp>
        <stp>STK</stp>
        <stp>N103140</stp>
        <stp>누적거래대금</stp>
        <stp/>
        <stp/>
        <tr r="M124" s="3"/>
        <tr r="M141" s="1"/>
      </tp>
      <tp>
        <v>77897330</v>
        <stp/>
        <stp>P</stp>
        <stp>0</stp>
        <stp>STK</stp>
        <stp>N003850</stp>
        <stp>누적거래대금</stp>
        <stp/>
        <stp/>
        <tr r="M366" s="1"/>
        <tr r="M254" s="3"/>
      </tp>
      <tp>
        <v>223622400</v>
        <stp/>
        <stp>P</stp>
        <stp>0</stp>
        <stp>STK</stp>
        <stp>N200670</stp>
        <stp>누적거래대금</stp>
        <stp/>
        <stp/>
        <tr r="M507" s="1"/>
      </tp>
      <tp>
        <v>46844912750</v>
        <stp/>
        <stp>P</stp>
        <stp>0</stp>
        <stp>STK</stp>
        <stp>N000250</stp>
        <stp>누적거래대금</stp>
        <stp/>
        <stp/>
        <tr r="M97" s="1"/>
      </tp>
      <tp>
        <v>19312862000</v>
        <stp/>
        <stp>P</stp>
        <stp>0</stp>
        <stp>STK</stp>
        <stp>N000150</stp>
        <stp>누적거래대금</stp>
        <stp/>
        <stp/>
        <tr r="M61" s="1"/>
        <tr r="M56" s="3"/>
      </tp>
      <tp>
        <v>864194600</v>
        <stp/>
        <stp>P</stp>
        <stp>0</stp>
        <stp>STK</stp>
        <stp>N100840</stp>
        <stp>누적거래대금</stp>
        <stp/>
        <stp/>
        <tr r="M245" s="3"/>
        <tr r="M347" s="1"/>
      </tp>
      <tp>
        <v>20913670</v>
        <stp/>
        <stp>P</stp>
        <stp>0</stp>
        <stp>STK</stp>
        <stp>N001750</stp>
        <stp>누적거래대금</stp>
        <stp/>
        <stp/>
        <tr r="M682" s="1"/>
        <tr r="M377" s="3"/>
      </tp>
      <tp>
        <v>300623100</v>
        <stp/>
        <stp>P</stp>
        <stp>0</stp>
        <stp>STK</stp>
        <stp>N001450</stp>
        <stp>누적거래대금</stp>
        <stp/>
        <stp/>
        <tr r="M151" s="3"/>
        <tr r="M180" s="1"/>
      </tp>
      <tp>
        <v>80597800</v>
        <stp/>
        <stp>P</stp>
        <stp>0</stp>
        <stp>STK</stp>
        <stp>N009450</stp>
        <stp>누적거래대금</stp>
        <stp/>
        <stp/>
        <tr r="M243" s="3"/>
        <tr r="M348" s="1"/>
      </tp>
      <tp>
        <v>15835981500</v>
        <stp/>
        <stp>P</stp>
        <stp>0</stp>
        <stp>STK</stp>
        <stp>N009150</stp>
        <stp>누적거래대금</stp>
        <stp/>
        <stp/>
        <tr r="M39" s="3"/>
        <tr r="M39" s="1"/>
      </tp>
      <tp>
        <v>71356222750</v>
        <stp/>
        <stp>P</stp>
        <stp>0</stp>
        <stp>STK</stp>
        <stp>N196170</stp>
        <stp>누적거래대금</stp>
        <stp/>
        <stp/>
        <tr r="M42" s="1"/>
      </tp>
      <tp>
        <v>596923840</v>
        <stp/>
        <stp>P</stp>
        <stp>0</stp>
        <stp>STK</stp>
        <stp>N094360</stp>
        <stp>누적거래대금</stp>
        <stp/>
        <stp/>
        <tr r="M556" s="1"/>
      </tp>
      <tp>
        <v>32460660</v>
        <stp/>
        <stp>P</stp>
        <stp>0</stp>
        <stp>STK</stp>
        <stp>N194370</stp>
        <stp>누적거래대금</stp>
        <stp/>
        <stp/>
        <tr r="M347" s="3"/>
        <tr r="M599" s="1"/>
      </tp>
      <tp>
        <v>1153002500</v>
        <stp/>
        <stp>P</stp>
        <stp>0</stp>
        <stp>STK</stp>
        <stp>N494120</stp>
        <stp>누적거래대금</stp>
        <stp/>
        <stp/>
        <tr r="M526" s="1"/>
      </tp>
      <tp>
        <v>33185400</v>
        <stp/>
        <stp>P</stp>
        <stp>0</stp>
        <stp>STK</stp>
        <stp>N095660</stp>
        <stp>누적거래대금</stp>
        <stp/>
        <stp/>
        <tr r="M445" s="1"/>
      </tp>
      <tp>
        <v>858307700</v>
        <stp/>
        <stp>P</stp>
        <stp>0</stp>
        <stp>STK</stp>
        <stp>N195870</stp>
        <stp>누적거래대금</stp>
        <stp/>
        <stp/>
        <tr r="M236" s="3"/>
        <tr r="M332" s="1"/>
      </tp>
      <tp>
        <v>109478660</v>
        <stp/>
        <stp>P</stp>
        <stp>0</stp>
        <stp>STK</stp>
        <stp>N092460</stp>
        <stp>누적거래대금</stp>
        <stp/>
        <stp/>
        <tr r="M640" s="1"/>
      </tp>
      <tp>
        <v>101973590</v>
        <stp/>
        <stp>P</stp>
        <stp>0</stp>
        <stp>STK</stp>
        <stp>N090460</stp>
        <stp>누적거래대금</stp>
        <stp/>
        <stp/>
        <tr r="M455" s="1"/>
        <tr r="M283" s="3"/>
      </tp>
      <tp>
        <v>7473886100</v>
        <stp/>
        <stp>P</stp>
        <stp>0</stp>
        <stp>STK</stp>
        <stp>N090360</stp>
        <stp>누적거래대금</stp>
        <stp/>
        <stp/>
        <tr r="M329" s="1"/>
      </tp>
      <tp>
        <v>19200932400</v>
        <stp/>
        <stp>P</stp>
        <stp>0</stp>
        <stp>STK</stp>
        <stp>N098460</stp>
        <stp>누적거래대금</stp>
        <stp/>
        <stp/>
        <tr r="M202" s="1"/>
      </tp>
      <tp>
        <v>7404776000</v>
        <stp/>
        <stp>P</stp>
        <stp>0</stp>
        <stp>STK</stp>
        <stp>N298040</stp>
        <stp>누적거래대금</stp>
        <stp/>
        <stp/>
        <tr r="M36" s="3"/>
        <tr r="M37" s="1"/>
      </tp>
      <tp>
        <v>17010350</v>
        <stp/>
        <stp>P</stp>
        <stp>0</stp>
        <stp>STK</stp>
        <stp>N286940</stp>
        <stp>누적거래대금</stp>
        <stp/>
        <stp/>
        <tr r="M593" s="1"/>
        <tr r="M349" s="3"/>
      </tp>
      <tp>
        <v>462863800</v>
        <stp/>
        <stp>P</stp>
        <stp>0</stp>
        <stp>STK</stp>
        <stp>N287840</stp>
        <stp>누적거래대금</stp>
        <stp/>
        <stp/>
        <tr r="M380" s="1"/>
      </tp>
      <tp>
        <v>13990400</v>
        <stp/>
        <stp>P</stp>
        <stp>0</stp>
        <stp>STK</stp>
        <stp>N284740</stp>
        <stp>누적거래대금</stp>
        <stp/>
        <stp/>
        <tr r="M292" s="3"/>
        <tr r="M470" s="1"/>
      </tp>
      <tp>
        <v>122145650</v>
        <stp/>
        <stp>P</stp>
        <stp>0</stp>
        <stp>STK</stp>
        <stp>N484120</stp>
        <stp>누적거래대금</stp>
        <stp/>
        <stp/>
        <tr r="M671" s="1"/>
      </tp>
      <tp>
        <v>1098464550</v>
        <stp/>
        <stp>P</stp>
        <stp>0</stp>
        <stp>STK</stp>
        <stp>N085660</stp>
        <stp>누적거래대금</stp>
        <stp/>
        <stp/>
        <tr r="M268" s="1"/>
      </tp>
      <tp>
        <v>502867400</v>
        <stp/>
        <stp>P</stp>
        <stp>0</stp>
        <stp>STK</stp>
        <stp>N380550</stp>
        <stp>누적거래대금</stp>
        <stp/>
        <stp/>
        <tr r="M660" s="1"/>
      </tp>
      <tp>
        <v>71845809200</v>
        <stp/>
        <stp>P</stp>
        <stp>0</stp>
        <stp>STK</stp>
        <stp>N281740</stp>
        <stp>누적거래대금</stp>
        <stp/>
        <stp/>
        <tr r="M288" s="1"/>
      </tp>
      <tp>
        <v>12600650</v>
        <stp/>
        <stp>P</stp>
        <stp>0</stp>
        <stp>STK</stp>
        <stp>N081660</stp>
        <stp>누적거래대금</stp>
        <stp/>
        <stp/>
        <tr r="M189" s="1"/>
        <tr r="M154" s="3"/>
      </tp>
      <tp>
        <v>659142300</v>
        <stp/>
        <stp>P</stp>
        <stp>0</stp>
        <stp>STK</stp>
        <stp>N389650</stp>
        <stp>누적거래대금</stp>
        <stp/>
        <stp/>
        <tr r="M427" s="1"/>
      </tp>
      <tp>
        <v>17734950</v>
        <stp/>
        <stp>P</stp>
        <stp>0</stp>
        <stp>STK</stp>
        <stp>N089860</stp>
        <stp>누적거래대금</stp>
        <stp/>
        <stp/>
        <tr r="M220" s="3"/>
        <tr r="M297" s="1"/>
      </tp>
      <tp>
        <v>63892440</v>
        <stp/>
        <stp>P</stp>
        <stp>0</stp>
        <stp>STK</stp>
        <stp>N271940</stp>
        <stp>누적거래대금</stp>
        <stp/>
        <stp/>
        <tr r="M481" s="1"/>
        <tr r="M298" s="3"/>
      </tp>
      <tp>
        <v>34472880</v>
        <stp/>
        <stp>P</stp>
        <stp>0</stp>
        <stp>STK</stp>
        <stp>N078160</stp>
        <stp>누적거래대금</stp>
        <stp/>
        <stp/>
        <tr r="M435" s="1"/>
      </tp>
      <tp>
        <v>46348600</v>
        <stp/>
        <stp>P</stp>
        <stp>0</stp>
        <stp>STK</stp>
        <stp>N067160</stp>
        <stp>누적거래대금</stp>
        <stp/>
        <stp/>
        <tr r="M370" s="1"/>
      </tp>
      <tp>
        <v>487426400</v>
        <stp/>
        <stp>P</stp>
        <stp>0</stp>
        <stp>STK</stp>
        <stp>N064760</stp>
        <stp>누적거래대금</stp>
        <stp/>
        <stp/>
        <tr r="M215" s="1"/>
      </tp>
      <tp>
        <v>5374506750</v>
        <stp/>
        <stp>P</stp>
        <stp>0</stp>
        <stp>STK</stp>
        <stp>N064960</stp>
        <stp>누적거래대금</stp>
        <stp/>
        <stp/>
        <tr r="M299" s="1"/>
        <tr r="M226" s="3"/>
      </tp>
      <tp>
        <v>30699800</v>
        <stp/>
        <stp>P</stp>
        <stp>0</stp>
        <stp>STK</stp>
        <stp>N065660</stp>
        <stp>누적거래대금</stp>
        <stp/>
        <stp/>
        <tr r="M553" s="1"/>
      </tp>
      <tp>
        <v>351348100</v>
        <stp/>
        <stp>P</stp>
        <stp>0</stp>
        <stp>STK</stp>
        <stp>N068760</stp>
        <stp>누적거래대금</stp>
        <stp/>
        <stp/>
        <tr r="M168" s="1"/>
      </tp>
      <tp>
        <v>18094930</v>
        <stp/>
        <stp>P</stp>
        <stp>0</stp>
        <stp>STK</stp>
        <stp>N069260</stp>
        <stp>누적거래대금</stp>
        <stp/>
        <stp/>
        <tr r="M251" s="3"/>
        <tr r="M369" s="1"/>
      </tp>
      <tp>
        <v>118443900</v>
        <stp/>
        <stp>P</stp>
        <stp>0</stp>
        <stp>STK</stp>
        <stp>N069960</stp>
        <stp>누적거래대금</stp>
        <stp/>
        <stp/>
        <tr r="M203" s="1"/>
        <tr r="M169" s="3"/>
      </tp>
      <tp>
        <v>415852500</v>
        <stp/>
        <stp>P</stp>
        <stp>0</stp>
        <stp>STK</stp>
        <stp>N357550</stp>
        <stp>누적거래대금</stp>
        <stp/>
        <stp/>
        <tr r="M609" s="1"/>
      </tp>
      <tp>
        <v>1350270</v>
        <stp/>
        <stp>P</stp>
        <stp>0</stp>
        <stp>STK</stp>
        <stp>N051360</stp>
        <stp>누적거래대금</stp>
        <stp/>
        <stp/>
        <tr r="M672" s="1"/>
      </tp>
      <tp>
        <v>44394796550</v>
        <stp/>
        <stp>P</stp>
        <stp>0</stp>
        <stp>STK</stp>
        <stp>N247540</stp>
        <stp>누적거래대금</stp>
        <stp/>
        <stp/>
        <tr r="M54" s="1"/>
      </tp>
      <tp>
        <v>5933712400</v>
        <stp/>
        <stp>P</stp>
        <stp>0</stp>
        <stp>STK</stp>
        <stp>N347850</stp>
        <stp>누적거래대금</stp>
        <stp/>
        <stp/>
        <tr r="M138" s="1"/>
      </tp>
      <tp>
        <v>37355069500</v>
        <stp/>
        <stp>P</stp>
        <stp>0</stp>
        <stp>STK</stp>
        <stp>N042660</stp>
        <stp>누적거래대금</stp>
        <stp/>
        <stp/>
        <tr r="M20" s="1"/>
        <tr r="M19" s="3"/>
      </tp>
      <tp>
        <v>3756543000</v>
        <stp/>
        <stp>P</stp>
        <stp>0</stp>
        <stp>STK</stp>
        <stp>N036460</stp>
        <stp>누적거래대금</stp>
        <stp/>
        <stp/>
        <tr r="M119" s="3"/>
        <tr r="M134" s="1"/>
      </tp>
      <tp>
        <v>241618100</v>
        <stp/>
        <stp>P</stp>
        <stp>0</stp>
        <stp>STK</stp>
        <stp>N035760</stp>
        <stp>누적거래대금</stp>
        <stp/>
        <stp/>
        <tr r="M260" s="1"/>
      </tp>
      <tp>
        <v>798008920</v>
        <stp/>
        <stp>P</stp>
        <stp>0</stp>
        <stp>STK</stp>
        <stp>N232140</stp>
        <stp>누적거래대금</stp>
        <stp/>
        <stp/>
        <tr r="M280" s="1"/>
      </tp>
      <tp>
        <v>3177294700</v>
        <stp/>
        <stp>P</stp>
        <stp>0</stp>
        <stp>STK</stp>
        <stp>N131970</stp>
        <stp>누적거래대금</stp>
        <stp/>
        <stp/>
        <tr r="M308" s="1"/>
      </tp>
      <tp>
        <v>287507100</v>
        <stp/>
        <stp>P</stp>
        <stp>0</stp>
        <stp>STK</stp>
        <stp>N026960</stp>
        <stp>누적거래대금</stp>
        <stp/>
        <stp/>
        <tr r="M172" s="1"/>
        <tr r="M144" s="3"/>
      </tp>
      <tp>
        <v>372057550</v>
        <stp/>
        <stp>P</stp>
        <stp>0</stp>
        <stp>STK</stp>
        <stp>N425420</stp>
        <stp>누적거래대금</stp>
        <stp/>
        <stp/>
        <tr r="M532" s="1"/>
      </tp>
      <tp>
        <v>1844047700</v>
        <stp/>
        <stp>P</stp>
        <stp>0</stp>
        <stp>STK</stp>
        <stp>N122870</stp>
        <stp>누적거래대금</stp>
        <stp/>
        <stp/>
        <tr r="M270" s="1"/>
      </tp>
      <tp>
        <v>578794600</v>
        <stp/>
        <stp>P</stp>
        <stp>0</stp>
        <stp>STK</stp>
        <stp>N023160</stp>
        <stp>누적거래대금</stp>
        <stp/>
        <stp/>
        <tr r="M386" s="1"/>
      </tp>
      <tp>
        <v>42861520</v>
        <stp/>
        <stp>P</stp>
        <stp>0</stp>
        <stp>STK</stp>
        <stp>N020560</stp>
        <stp>누적거래대금</stp>
        <stp/>
        <stp/>
        <tr r="M192" s="3"/>
        <tr r="M243" s="1"/>
      </tp>
      <tp>
        <v>1481470000</v>
        <stp/>
        <stp>P</stp>
        <stp>0</stp>
        <stp>STK</stp>
        <stp>N028260</stp>
        <stp>누적거래대금</stp>
        <stp/>
        <stp/>
        <tr r="M17" s="1"/>
        <tr r="M17" s="3"/>
      </tp>
      <tp>
        <v>2356313450</v>
        <stp/>
        <stp>P</stp>
        <stp>0</stp>
        <stp>STK</stp>
        <stp>N229640</stp>
        <stp>누적거래대금</stp>
        <stp/>
        <stp/>
        <tr r="M289" s="1"/>
        <tr r="M214" s="3"/>
      </tp>
      <tp>
        <v>21841850</v>
        <stp/>
        <stp>P</stp>
        <stp>0</stp>
        <stp>STK</stp>
        <stp>N029460</stp>
        <stp>누적거래대금</stp>
        <stp/>
        <stp/>
        <tr r="M329" s="3"/>
        <tr r="M554" s="1"/>
      </tp>
      <tp>
        <v>4935537300</v>
        <stp/>
        <stp>P</stp>
        <stp>0</stp>
        <stp>STK</stp>
        <stp>N016360</stp>
        <stp>누적거래대금</stp>
        <stp/>
        <stp/>
        <tr r="M88" s="1"/>
        <tr r="M83" s="3"/>
      </tp>
      <tp>
        <v>241174200</v>
        <stp/>
        <stp>P</stp>
        <stp>0</stp>
        <stp>STK</stp>
        <stp>N317450</stp>
        <stp>누적거래대금</stp>
        <stp/>
        <stp/>
        <tr r="M238" s="3"/>
        <tr r="M339" s="1"/>
      </tp>
      <tp>
        <v>702694950</v>
        <stp/>
        <stp>P</stp>
        <stp>0</stp>
        <stp>STK</stp>
        <stp>N017960</stp>
        <stp>누적거래대금</stp>
        <stp/>
        <stp/>
        <tr r="M178" s="3"/>
        <tr r="M218" s="1"/>
      </tp>
      <tp>
        <v>297902160</v>
        <stp/>
        <stp>P</stp>
        <stp>0</stp>
        <stp>STK</stp>
        <stp>N017860</stp>
        <stp>누적거래대금</stp>
        <stp/>
        <stp/>
        <tr r="M594" s="1"/>
        <tr r="M338" s="3"/>
      </tp>
      <tp>
        <v>51684426250</v>
        <stp/>
        <stp>P</stp>
        <stp>0</stp>
        <stp>STK</stp>
        <stp>N015760</stp>
        <stp>누적거래대금</stp>
        <stp/>
        <stp/>
        <tr r="M20" s="3"/>
        <tr r="M21" s="1"/>
      </tp>
      <tp>
        <v>9509900</v>
        <stp/>
        <stp>P</stp>
        <stp>0</stp>
        <stp>STK</stp>
        <stp>N015360</stp>
        <stp>누적거래대금</stp>
        <stp/>
        <stp/>
        <tr r="M330" s="3"/>
        <tr r="M549" s="1"/>
      </tp>
      <tp>
        <v>2711180400</v>
        <stp/>
        <stp>P</stp>
        <stp>0</stp>
        <stp>STK</stp>
        <stp>N010060</stp>
        <stp>누적거래대금</stp>
        <stp/>
        <stp/>
        <tr r="M199" s="1"/>
        <tr r="M165" s="3"/>
      </tp>
      <tp>
        <v>139048150</v>
        <stp/>
        <stp>P</stp>
        <stp>0</stp>
        <stp>STK</stp>
        <stp>N011760</stp>
        <stp>누적거래대금</stp>
        <stp/>
        <stp/>
        <tr r="M636" s="1"/>
        <tr r="M361" s="3"/>
      </tp>
      <tp>
        <v>36618900</v>
        <stp/>
        <stp>P</stp>
        <stp>0</stp>
        <stp>STK</stp>
        <stp>N111770</stp>
        <stp>누적거래대금</stp>
        <stp/>
        <stp/>
        <tr r="M135" s="1"/>
        <tr r="M120" s="3"/>
      </tp>
      <tp>
        <v>3624320700</v>
        <stp/>
        <stp>P</stp>
        <stp>0</stp>
        <stp>STK</stp>
        <stp>N018260</stp>
        <stp>누적거래대금</stp>
        <stp/>
        <stp/>
        <tr r="M59" s="3"/>
        <tr r="M60" s="1"/>
      </tp>
      <tp>
        <v>106271150</v>
        <stp/>
        <stp>P</stp>
        <stp>0</stp>
        <stp>STK</stp>
        <stp>N206640</stp>
        <stp>누적거래대금</stp>
        <stp/>
        <stp/>
        <tr r="M629" s="1"/>
      </tp>
      <tp>
        <v>849398920</v>
        <stp/>
        <stp>P</stp>
        <stp>0</stp>
        <stp>STK</stp>
        <stp>N006360</stp>
        <stp>누적거래대금</stp>
        <stp/>
        <stp/>
        <tr r="M191" s="3"/>
        <tr r="M240" s="1"/>
      </tp>
      <tp>
        <v>15354518500</v>
        <stp/>
        <stp>P</stp>
        <stp>0</stp>
        <stp>STK</stp>
        <stp>N006260</stp>
        <stp>누적거래대금</stp>
        <stp/>
        <stp/>
        <tr r="M89" s="1"/>
        <tr r="M85" s="3"/>
      </tp>
      <tp>
        <v>14209958000</v>
        <stp/>
        <stp>P</stp>
        <stp>0</stp>
        <stp>STK</stp>
        <stp>N007660</stp>
        <stp>누적거래대금</stp>
        <stp/>
        <stp/>
        <tr r="M81" s="3"/>
        <tr r="M86" s="1"/>
      </tp>
      <tp>
        <v>89902900</v>
        <stp/>
        <stp>P</stp>
        <stp>0</stp>
        <stp>STK</stp>
        <stp>N007160</stp>
        <stp>누적거래대금</stp>
        <stp/>
        <stp/>
        <tr r="M649" s="1"/>
        <tr r="M362" s="3"/>
      </tp>
      <tp>
        <v>4664915000</v>
        <stp/>
        <stp>P</stp>
        <stp>0</stp>
        <stp>STK</stp>
        <stp>N207940</stp>
        <stp>누적거래대금</stp>
        <stp/>
        <stp/>
        <tr r="M10" s="3"/>
        <tr r="M10" s="1"/>
      </tp>
      <tp>
        <v>27388991500</v>
        <stp/>
        <stp>P</stp>
        <stp>0</stp>
        <stp>STK</stp>
        <stp>N307950</stp>
        <stp>누적거래대금</stp>
        <stp/>
        <stp/>
        <tr r="M60" s="3"/>
        <tr r="M58" s="1"/>
      </tp>
      <tp>
        <v>24926560</v>
        <stp/>
        <stp>P</stp>
        <stp>0</stp>
        <stp>STK</stp>
        <stp>N004360</stp>
        <stp>누적거래대금</stp>
        <stp/>
        <stp/>
        <tr r="M367" s="3"/>
        <tr r="M659" s="1"/>
      </tp>
      <tp>
        <v>5644000</v>
        <stp/>
        <stp>P</stp>
        <stp>0</stp>
        <stp>STK</stp>
        <stp>N002960</stp>
        <stp>누적거래대금</stp>
        <stp/>
        <stp/>
        <tr r="M281" s="3"/>
        <tr r="M442" s="1"/>
      </tp>
      <tp>
        <v>1048189250</v>
        <stp/>
        <stp>P</stp>
        <stp>0</stp>
        <stp>STK</stp>
        <stp>N003160</stp>
        <stp>누적거래대금</stp>
        <stp/>
        <stp/>
        <tr r="M242" s="3"/>
        <tr r="M342" s="1"/>
      </tp>
      <tp>
        <v>12882350</v>
        <stp/>
        <stp>P</stp>
        <stp>0</stp>
        <stp>STK</stp>
        <stp>N003960</stp>
        <stp>누적거래대금</stp>
        <stp/>
        <stp/>
        <tr r="M346" s="3"/>
        <tr r="M598" s="1"/>
      </tp>
      <tp>
        <v>178500740500</v>
        <stp/>
        <stp>P</stp>
        <stp>0</stp>
        <stp>STK</stp>
        <stp>N000660</stp>
        <stp>누적거래대금</stp>
        <stp/>
        <stp/>
        <tr r="M7" s="3"/>
        <tr r="M7" s="1"/>
      </tp>
      <tp>
        <v>17383100</v>
        <stp/>
        <stp>P</stp>
        <stp>0</stp>
        <stp>STK</stp>
        <stp>N001460</stp>
        <stp>누적거래대금</stp>
        <stp/>
        <stp/>
        <tr r="M657" s="1"/>
        <tr r="M366" s="3"/>
      </tp>
      <tp>
        <v>465066550</v>
        <stp/>
        <stp>P</stp>
        <stp>0</stp>
        <stp>STK</stp>
        <stp>N001060</stp>
        <stp>누적거래대금</stp>
        <stp/>
        <stp/>
        <tr r="M271" s="3"/>
        <tr r="M407" s="1"/>
      </tp>
      <tp>
        <v>27213700</v>
        <stp/>
        <stp>P</stp>
        <stp>0</stp>
        <stp>STK</stp>
        <stp>N108670</stp>
        <stp>누적거래대금</stp>
        <stp/>
        <stp/>
        <tr r="M665" s="1"/>
        <tr r="M369" s="3"/>
      </tp>
      <tp>
        <v>36437140</v>
        <stp/>
        <stp>P</stp>
        <stp>0</stp>
        <stp>STK</stp>
        <stp>N008060</stp>
        <stp>누적거래대금</stp>
        <stp/>
        <stp/>
        <tr r="M585" s="1"/>
        <tr r="M340" s="3"/>
      </tp>
      <tp>
        <v>12276525050</v>
        <stp/>
        <stp>P</stp>
        <stp>0</stp>
        <stp>STK</stp>
        <stp>N096770</stp>
        <stp>누적거래대금</stp>
        <stp/>
        <stp/>
        <tr r="M47" s="1"/>
        <tr r="M45" s="3"/>
      </tp>
      <tp>
        <v>496882250</v>
        <stp/>
        <stp>P</stp>
        <stp>0</stp>
        <stp>STK</stp>
        <stp>N094170</stp>
        <stp>누적거래대금</stp>
        <stp/>
        <stp/>
        <tr r="M436" s="1"/>
      </tp>
      <tp>
        <v>7619427700</v>
        <stp/>
        <stp>P</stp>
        <stp>0</stp>
        <stp>STK</stp>
        <stp>N093370</stp>
        <stp>누적거래대금</stp>
        <stp/>
        <stp/>
        <tr r="M355" s="1"/>
        <tr r="M240" s="3"/>
      </tp>
      <tp>
        <v>2161957800</v>
        <stp/>
        <stp>P</stp>
        <stp>0</stp>
        <stp>STK</stp>
        <stp>N290650</stp>
        <stp>누적거래대금</stp>
        <stp/>
        <stp/>
        <tr r="M266" s="1"/>
      </tp>
      <tp>
        <v>947003100</v>
        <stp/>
        <stp>P</stp>
        <stp>0</stp>
        <stp>STK</stp>
        <stp>N098070</stp>
        <stp>누적거래대금</stp>
        <stp/>
        <stp/>
        <tr r="M510" s="1"/>
      </tp>
      <tp>
        <v>445892500</v>
        <stp/>
        <stp>P</stp>
        <stp>0</stp>
        <stp>STK</stp>
        <stp>N298050</stp>
        <stp>누적거래대금</stp>
        <stp/>
        <stp/>
        <tr r="M233" s="3"/>
        <tr r="M318" s="1"/>
      </tp>
      <tp>
        <v>665702800</v>
        <stp/>
        <stp>P</stp>
        <stp>0</stp>
        <stp>STK</stp>
        <stp>N084370</stp>
        <stp>누적거래대금</stp>
        <stp/>
        <stp/>
        <tr r="M219" s="1"/>
      </tp>
      <tp>
        <v>716559850</v>
        <stp/>
        <stp>P</stp>
        <stp>0</stp>
        <stp>STK</stp>
        <stp>N082270</stp>
        <stp>누적거래대금</stp>
        <stp/>
        <stp/>
        <tr r="M313" s="1"/>
      </tp>
      <tp>
        <v>676414950</v>
        <stp/>
        <stp>P</stp>
        <stp>0</stp>
        <stp>STK</stp>
        <stp>N089970</stp>
        <stp>누적거래대금</stp>
        <stp/>
        <stp/>
        <tr r="M406" s="1"/>
      </tp>
      <tp>
        <v>4369660300</v>
        <stp/>
        <stp>P</stp>
        <stp>0</stp>
        <stp>STK</stp>
        <stp>N476830</stp>
        <stp>누적거래대금</stp>
        <stp/>
        <stp/>
        <tr r="M209" s="1"/>
      </tp>
      <tp>
        <v>894461950</v>
        <stp/>
        <stp>P</stp>
        <stp>0</stp>
        <stp>STK</stp>
        <stp>N077970</stp>
        <stp>누적거래대금</stp>
        <stp/>
        <stp/>
        <tr r="M197" s="3"/>
        <tr r="M246" s="1"/>
      </tp>
      <tp>
        <v>3785599600</v>
        <stp/>
        <stp>P</stp>
        <stp>0</stp>
        <stp>STK</stp>
        <stp>N475830</stp>
        <stp>누적거래대금</stp>
        <stp/>
        <stp/>
        <tr r="M197" s="1"/>
      </tp>
      <tp>
        <v>2118788800</v>
        <stp/>
        <stp>P</stp>
        <stp>0</stp>
        <stp>STK</stp>
        <stp>N071970</stp>
        <stp>누적거래대금</stp>
        <stp/>
        <stp/>
        <tr r="M148" s="1"/>
        <tr r="M130" s="3"/>
      </tp>
      <tp>
        <v>71517272520</v>
        <stp/>
        <stp>P</stp>
        <stp>0</stp>
        <stp>STK</stp>
        <stp>N378340</stp>
        <stp>누적거래대금</stp>
        <stp/>
        <stp/>
        <tr r="M648" s="1"/>
      </tp>
      <tp>
        <v>640499870</v>
        <stp/>
        <stp>P</stp>
        <stp>0</stp>
        <stp>STK</stp>
        <stp>N079370</stp>
        <stp>누적거래대금</stp>
        <stp/>
        <stp/>
        <tr r="M487" s="1"/>
      </tp>
      <tp>
        <v>11203960600</v>
        <stp/>
        <stp>P</stp>
        <stp>0</stp>
        <stp>STK</stp>
        <stp>N066570</stp>
        <stp>누적거래대금</stp>
        <stp/>
        <stp/>
        <tr r="M46" s="3"/>
        <tr r="M45" s="1"/>
      </tp>
      <tp>
        <v>27700413900</v>
        <stp/>
        <stp>P</stp>
        <stp>0</stp>
        <stp>STK</stp>
        <stp>N066970</stp>
        <stp>누적거래대금</stp>
        <stp/>
        <stp/>
        <tr r="M102" s="3"/>
        <tr r="M115" s="1"/>
      </tp>
      <tp>
        <v>1971455000</v>
        <stp/>
        <stp>P</stp>
        <stp>0</stp>
        <stp>STK</stp>
        <stp>N267250</stp>
        <stp>누적거래대금</stp>
        <stp/>
        <stp/>
        <tr r="M41" s="1"/>
        <tr r="M41" s="3"/>
      </tp>
      <tp>
        <v>2675088500</v>
        <stp/>
        <stp>P</stp>
        <stp>0</stp>
        <stp>STK</stp>
        <stp>N365340</stp>
        <stp>누적거래대금</stp>
        <stp/>
        <stp/>
        <tr r="M419" s="1"/>
      </tp>
      <tp>
        <v>1276360750</v>
        <stp/>
        <stp>P</stp>
        <stp>0</stp>
        <stp>STK</stp>
        <stp>N263750</stp>
        <stp>누적거래대금</stp>
        <stp/>
        <stp/>
        <tr r="M162" s="1"/>
      </tp>
      <tp>
        <v>475604600</v>
        <stp/>
        <stp>P</stp>
        <stp>0</stp>
        <stp>STK</stp>
        <stp>N060370</stp>
        <stp>누적거래대금</stp>
        <stp/>
        <stp/>
        <tr r="M253" s="1"/>
      </tp>
      <tp>
        <v>370741610</v>
        <stp/>
        <stp>P</stp>
        <stp>0</stp>
        <stp>STK</stp>
        <stp>N460930</stp>
        <stp>누적거래대금</stp>
        <stp/>
        <stp/>
        <tr r="M396" s="1"/>
      </tp>
      <tp>
        <v>960875600</v>
        <stp/>
        <stp>P</stp>
        <stp>0</stp>
        <stp>STK</stp>
        <stp>N468530</stp>
        <stp>누적거래대금</stp>
        <stp/>
        <stp/>
        <tr r="M337" s="1"/>
      </tp>
      <tp>
        <v>182860670</v>
        <stp/>
        <stp>P</stp>
        <stp>0</stp>
        <stp>STK</stp>
        <stp>N168360</stp>
        <stp>누적거래대금</stp>
        <stp/>
        <stp/>
        <tr r="M582" s="1"/>
      </tp>
      <tp>
        <v>8653194000</v>
        <stp/>
        <stp>P</stp>
        <stp>0</stp>
        <stp>STK</stp>
        <stp>N068270</stp>
        <stp>누적거래대금</stp>
        <stp/>
        <stp/>
        <tr r="M18" s="1"/>
        <tr r="M18" s="3"/>
      </tp>
      <tp>
        <v>322609250</v>
        <stp/>
        <stp>P</stp>
        <stp>0</stp>
        <stp>STK</stp>
        <stp>N452430</stp>
        <stp>누적거래대금</stp>
        <stp/>
        <stp/>
        <tr r="M658" s="1"/>
      </tp>
      <tp>
        <v>210265600</v>
        <stp/>
        <stp>P</stp>
        <stp>0</stp>
        <stp>STK</stp>
        <stp>N253450</stp>
        <stp>누적거래대금</stp>
        <stp/>
        <stp/>
        <tr r="M261" s="1"/>
      </tp>
      <tp>
        <v>2199999400</v>
        <stp/>
        <stp>P</stp>
        <stp>0</stp>
        <stp>STK</stp>
        <stp>N058470</stp>
        <stp>누적거래대금</stp>
        <stp/>
        <stp/>
        <tr r="M109" s="1"/>
      </tp>
      <tp>
        <v>211063400</v>
        <stp/>
        <stp>P</stp>
        <stp>0</stp>
        <stp>STK</stp>
        <stp>N058970</stp>
        <stp>누적거래대금</stp>
        <stp/>
        <stp/>
        <tr r="M509" s="1"/>
      </tp>
      <tp>
        <v>331443050</v>
        <stp/>
        <stp>P</stp>
        <stp>0</stp>
        <stp>STK</stp>
        <stp>N043370</stp>
        <stp>누적거래대금</stp>
        <stp/>
        <stp/>
        <tr r="M650" s="1"/>
      </tp>
      <tp>
        <v>232834500</v>
        <stp/>
        <stp>P</stp>
        <stp>0</stp>
        <stp>STK</stp>
        <stp>N140860</stp>
        <stp>누적거래대금</stp>
        <stp/>
        <stp/>
        <tr r="M238" s="1"/>
      </tp>
      <tp>
        <v>1756112150</v>
        <stp/>
        <stp>P</stp>
        <stp>0</stp>
        <stp>STK</stp>
        <stp>N049070</stp>
        <stp>누적거래대금</stp>
        <stp/>
        <stp/>
        <tr r="M519" s="1"/>
      </tp>
      <tp>
        <v>1451162500</v>
        <stp/>
        <stp>P</stp>
        <stp>0</stp>
        <stp>STK</stp>
        <stp>N036570</stp>
        <stp>누적거래대금</stp>
        <stp/>
        <stp/>
        <tr r="M111" s="1"/>
        <tr r="M100" s="3"/>
      </tp>
      <tp>
        <v>5042331700</v>
        <stp/>
        <stp>P</stp>
        <stp>0</stp>
        <stp>STK</stp>
        <stp>N437730</stp>
        <stp>누적거래대금</stp>
        <stp/>
        <stp/>
        <tr r="M192" s="1"/>
      </tp>
      <tp>
        <v>15300370</v>
        <stp/>
        <stp>P</stp>
        <stp>0</stp>
        <stp>STK</stp>
        <stp>N033270</stp>
        <stp>누적거래대금</stp>
        <stp/>
        <stp/>
        <tr r="M356" s="3"/>
        <tr r="M625" s="1"/>
      </tp>
      <tp>
        <v>456655410</v>
        <stp/>
        <stp>P</stp>
        <stp>0</stp>
        <stp>STK</stp>
        <stp>N130660</stp>
        <stp>누적거래대금</stp>
        <stp/>
        <stp/>
        <tr r="M321" s="3"/>
        <tr r="M518" s="1"/>
      </tp>
      <tp>
        <v>205313400</v>
        <stp/>
        <stp>P</stp>
        <stp>0</stp>
        <stp>STK</stp>
        <stp>N338840</stp>
        <stp>누적거래대금</stp>
        <stp/>
        <stp/>
        <tr r="M580" s="1"/>
      </tp>
      <tp>
        <v>3251038100</v>
        <stp/>
        <stp>P</stp>
        <stp>0</stp>
        <stp>STK</stp>
        <stp>N226950</stp>
        <stp>누적거래대금</stp>
        <stp/>
        <stp/>
        <tr r="M186" s="1"/>
      </tp>
      <tp>
        <v>2792830</v>
        <stp/>
        <stp>P</stp>
        <stp>0</stp>
        <stp>STK</stp>
        <stp>N025770</stp>
        <stp>누적거래대금</stp>
        <stp/>
        <stp/>
        <tr r="M633" s="1"/>
      </tp>
      <tp>
        <v>1024301390</v>
        <stp/>
        <stp>P</stp>
        <stp>0</stp>
        <stp>STK</stp>
        <stp>N028670</stp>
        <stp>누적거래대금</stp>
        <stp/>
        <stp/>
        <tr r="M188" s="1"/>
        <tr r="M157" s="3"/>
      </tp>
      <tp>
        <v>1722288900</v>
        <stp/>
        <stp>P</stp>
        <stp>0</stp>
        <stp>STK</stp>
        <stp>N316140</stp>
        <stp>누적거래대금</stp>
        <stp/>
        <stp/>
        <tr r="M40" s="1"/>
        <tr r="M38" s="3"/>
      </tp>
      <tp>
        <v>5274009600</v>
        <stp/>
        <stp>P</stp>
        <stp>0</stp>
        <stp>STK</stp>
        <stp>N017670</stp>
        <stp>누적거래대금</stp>
        <stp/>
        <stp/>
        <tr r="M63" s="1"/>
        <tr r="M61" s="3"/>
      </tp>
      <tp>
        <v>10560646500</v>
        <stp/>
        <stp>P</stp>
        <stp>0</stp>
        <stp>STK</stp>
        <stp>N214450</stp>
        <stp>누적거래대금</stp>
        <stp/>
        <stp/>
        <tr r="M117" s="1"/>
      </tp>
      <tp>
        <v>607708500</v>
        <stp/>
        <stp>P</stp>
        <stp>0</stp>
        <stp>STK</stp>
        <stp>N214150</stp>
        <stp>누적거래대금</stp>
        <stp/>
        <stp/>
        <tr r="M129" s="1"/>
      </tp>
      <tp>
        <v>2714362600</v>
        <stp/>
        <stp>P</stp>
        <stp>0</stp>
        <stp>STK</stp>
        <stp>N011170</stp>
        <stp>누적거래대금</stp>
        <stp/>
        <stp/>
        <tr r="M149" s="1"/>
        <tr r="M126" s="3"/>
      </tp>
      <tp>
        <v>4105172500</v>
        <stp/>
        <stp>P</stp>
        <stp>0</stp>
        <stp>STK</stp>
        <stp>N011070</stp>
        <stp>누적거래대금</stp>
        <stp/>
        <stp/>
        <tr r="M88" s="3"/>
        <tr r="M94" s="1"/>
      </tp>
      <tp>
        <v>25365370</v>
        <stp/>
        <stp>P</stp>
        <stp>0</stp>
        <stp>STK</stp>
        <stp>N211050</stp>
        <stp>누적거래대금</stp>
        <stp/>
        <stp/>
        <tr r="M421" s="1"/>
      </tp>
      <tp>
        <v>209240000</v>
        <stp/>
        <stp>P</stp>
        <stp>0</stp>
        <stp>STK</stp>
        <stp>N018670</stp>
        <stp>누적거래대금</stp>
        <stp/>
        <stp/>
        <tr r="M167" s="3"/>
        <tr r="M206" s="1"/>
      </tp>
      <tp>
        <v>142607600</v>
        <stp/>
        <stp>P</stp>
        <stp>0</stp>
        <stp>STK</stp>
        <stp>N419530</stp>
        <stp>누적거래대금</stp>
        <stp/>
        <stp/>
        <tr r="M577" s="1"/>
      </tp>
      <tp>
        <v>105356380</v>
        <stp/>
        <stp>P</stp>
        <stp>0</stp>
        <stp>STK</stp>
        <stp>N019170</stp>
        <stp>누적거래대금</stp>
        <stp/>
        <stp/>
        <tr r="M269" s="3"/>
        <tr r="M408" s="1"/>
      </tp>
      <tp>
        <v>105194030</v>
        <stp/>
        <stp>P</stp>
        <stp>0</stp>
        <stp>STK</stp>
        <stp>N206650</stp>
        <stp>누적거래대금</stp>
        <stp/>
        <stp/>
        <tr r="M531" s="1"/>
      </tp>
      <tp>
        <v>207619200</v>
        <stp/>
        <stp>P</stp>
        <stp>0</stp>
        <stp>STK</stp>
        <stp>N007070</stp>
        <stp>누적거래대금</stp>
        <stp/>
        <stp/>
        <tr r="M232" s="1"/>
        <tr r="M183" s="3"/>
      </tp>
      <tp>
        <v>484260000</v>
        <stp/>
        <stp>P</stp>
        <stp>0</stp>
        <stp>STK</stp>
        <stp>N004370</stp>
        <stp>누적거래대금</stp>
        <stp/>
        <stp/>
        <tr r="M179" s="1"/>
        <tr r="M149" s="3"/>
      </tp>
      <tp>
        <v>103244000</v>
        <stp/>
        <stp>P</stp>
        <stp>0</stp>
        <stp>STK</stp>
        <stp>N004170</stp>
        <stp>누적거래대금</stp>
        <stp/>
        <stp/>
        <tr r="M160" s="1"/>
        <tr r="M136" s="3"/>
      </tp>
      <tp>
        <v>1622567600</v>
        <stp/>
        <stp>P</stp>
        <stp>0</stp>
        <stp>STK</stp>
        <stp>N105560</stp>
        <stp>누적거래대금</stp>
        <stp/>
        <stp/>
        <tr r="M16" s="3"/>
        <tr r="M16" s="1"/>
      </tp>
      <tp>
        <v>31862540300</v>
        <stp/>
        <stp>P</stp>
        <stp>0</stp>
        <stp>STK</stp>
        <stp>N005070</stp>
        <stp>누적거래대금</stp>
        <stp/>
        <stp/>
        <tr r="M252" s="1"/>
        <tr r="M195" s="3"/>
      </tp>
      <tp>
        <v>425152500</v>
        <stp/>
        <stp>P</stp>
        <stp>0</stp>
        <stp>STK</stp>
        <stp>N302440</stp>
        <stp>누적거래대금</stp>
        <stp/>
        <stp/>
        <tr r="M116" s="3"/>
        <tr r="M131" s="1"/>
      </tp>
      <tp>
        <v>136856100</v>
        <stp/>
        <stp>P</stp>
        <stp>0</stp>
        <stp>STK</stp>
        <stp>N402030</stp>
        <stp>누적거래대금</stp>
        <stp/>
        <stp/>
        <tr r="M641" s="1"/>
      </tp>
      <tp>
        <v>64311187750</v>
        <stp/>
        <stp>P</stp>
        <stp>0</stp>
        <stp>STK</stp>
        <stp>N003670</stp>
        <stp>누적거래대금</stp>
        <stp/>
        <stp/>
        <tr r="M43" s="3"/>
        <tr r="M46" s="1"/>
      </tp>
      <tp>
        <v>190171850</v>
        <stp/>
        <stp>P</stp>
        <stp>0</stp>
        <stp>STK</stp>
        <stp>N003570</stp>
        <stp>누적거래대금</stp>
        <stp/>
        <stp/>
        <tr r="M186" s="3"/>
        <tr r="M234" s="1"/>
      </tp>
      <tp>
        <v>218047600</v>
        <stp/>
        <stp>P</stp>
        <stp>0</stp>
        <stp>STK</stp>
        <stp>N000670</stp>
        <stp>누적거래대금</stp>
        <stp/>
        <stp/>
        <tr r="M321" s="1"/>
        <tr r="M231" s="3"/>
      </tp>
      <tp>
        <v>24702849750</v>
        <stp/>
        <stp>P</stp>
        <stp>0</stp>
        <stp>STK</stp>
        <stp>N000270</stp>
        <stp>누적거래대금</stp>
        <stp/>
        <stp/>
        <tr r="M11" s="1"/>
        <tr r="M12" s="3"/>
      </tp>
      <tp>
        <v>155647700</v>
        <stp/>
        <stp>P</stp>
        <stp>0</stp>
        <stp>STK</stp>
        <stp>N000070</stp>
        <stp>누적거래대금</stp>
        <stp/>
        <stp/>
        <tr r="M311" s="3"/>
        <tr r="M502" s="1"/>
      </tp>
      <tp>
        <v>1291656280</v>
        <stp/>
        <stp>P</stp>
        <stp>0</stp>
        <stp>STK</stp>
        <stp>N101360</stp>
        <stp>누적거래대금</stp>
        <stp/>
        <stp/>
        <tr r="M597" s="1"/>
      </tp>
      <tp>
        <v>877750300</v>
        <stp/>
        <stp>P</stp>
        <stp>0</stp>
        <stp>STK</stp>
        <stp>N001270</stp>
        <stp>누적거래대금</stp>
        <stp/>
        <stp/>
        <tr r="M274" s="3"/>
        <tr r="M412" s="1"/>
      </tp>
      <tp>
        <v>80101950</v>
        <stp/>
        <stp>P</stp>
        <stp>0</stp>
        <stp>STK</stp>
        <stp>N101160</stp>
        <stp>누적거래대금</stp>
        <stp/>
        <stp/>
        <tr r="M558" s="1"/>
      </tp>
      <tp>
        <v>374384500</v>
        <stp/>
        <stp>P</stp>
        <stp>0</stp>
        <stp>STK</stp>
        <stp>N008770</stp>
        <stp>누적거래대금</stp>
        <stp/>
        <stp/>
        <tr r="M226" s="1"/>
        <tr r="M179" s="3"/>
      </tp>
      <tp>
        <v>225940210</v>
        <stp/>
        <stp>P</stp>
        <stp>0</stp>
        <stp>STK</stp>
        <stp>N108860</stp>
        <stp>누적거래대금</stp>
        <stp/>
        <stp/>
        <tr r="M600" s="1"/>
      </tp>
      <tp>
        <v>6609500</v>
        <stp/>
        <stp>P</stp>
        <stp>0</stp>
        <stp>STK</stp>
        <stp>N009970</stp>
        <stp>누적거래대금</stp>
        <stp/>
        <stp/>
        <tr r="M138" s="3"/>
        <tr r="M173" s="1"/>
      </tp>
      <tp>
        <v>258840901950</v>
        <stp/>
        <stp>P</stp>
        <stp>0</stp>
        <stp>STK</stp>
        <stp>N078520</stp>
        <stp>시가총액</stp>
        <stp/>
        <stp/>
        <tr r="H670" s="1"/>
        <tr r="H368" s="3"/>
      </tp>
      <tp>
        <v>849510780300</v>
        <stp/>
        <stp>P</stp>
        <stp>0</stp>
        <stp>STK</stp>
        <stp>N358570</stp>
        <stp>시가총액</stp>
        <stp/>
        <stp/>
        <tr r="H336" s="1"/>
      </tp>
      <tp>
        <v>868594712000</v>
        <stp/>
        <stp>P</stp>
        <stp>0</stp>
        <stp>STK</stp>
        <stp>N468530</stp>
        <stp>시가총액</stp>
        <stp/>
        <stp/>
        <tr r="H337" s="1"/>
      </tp>
      <tp>
        <v>296407881000</v>
        <stp/>
        <stp>P</stp>
        <stp>0</stp>
        <stp>STK</stp>
        <stp>N308430</stp>
        <stp>시가총액</stp>
        <stp/>
        <stp/>
        <tr r="H622" s="1"/>
      </tp>
      <tp>
        <v>557037568000</v>
        <stp/>
        <stp>P</stp>
        <stp>0</stp>
        <stp>STK</stp>
        <stp>N048410</stp>
        <stp>시가총액</stp>
        <stp/>
        <stp/>
        <tr r="H452" s="1"/>
      </tp>
      <tp>
        <v>902442200100</v>
        <stp/>
        <stp>P</stp>
        <stp>0</stp>
        <stp>STK</stp>
        <stp>N218410</stp>
        <stp>시가총액</stp>
        <stp/>
        <stp/>
        <tr r="H324" s="1"/>
      </tp>
      <tp>
        <v>10742597985000</v>
        <stp/>
        <stp>P</stp>
        <stp>0</stp>
        <stp>STK</stp>
        <stp>N278470</stp>
        <stp>시가총액</stp>
        <stp/>
        <stp/>
        <tr r="H74" s="1"/>
        <tr r="H67" s="3"/>
      </tp>
      <tp>
        <v>1966958730750</v>
        <stp/>
        <stp>P</stp>
        <stp>0</stp>
        <stp>STK</stp>
        <stp>N098460</stp>
        <stp>시가총액</stp>
        <stp/>
        <stp/>
        <tr r="H202" s="1"/>
      </tp>
      <tp>
        <v>4961391435000</v>
        <stp/>
        <stp>P</stp>
        <stp>0</stp>
        <stp>STK</stp>
        <stp>N058470</stp>
        <stp>시가총액</stp>
        <stp/>
        <stp/>
        <tr r="H109" s="1"/>
      </tp>
      <tp>
        <v>3569671560000</v>
        <stp/>
        <stp>P</stp>
        <stp>0</stp>
        <stp>STK</stp>
        <stp>N108490</stp>
        <stp>시가총액</stp>
        <stp/>
        <stp/>
        <tr r="H132" s="1"/>
      </tp>
      <tp>
        <v>332500000000</v>
        <stp/>
        <stp>P</stp>
        <stp>0</stp>
        <stp>STK</stp>
        <stp>N138490</stp>
        <stp>시가총액</stp>
        <stp/>
        <stp/>
        <tr r="H345" s="3"/>
        <tr r="H608" s="1"/>
      </tp>
      <tp>
        <v>241216006050</v>
        <stp/>
        <stp>P</stp>
        <stp>0</stp>
        <stp>STK</stp>
        <stp>N008490</stp>
        <stp>시가총액</stp>
        <stp/>
        <stp/>
        <tr r="H686" s="1"/>
        <tr r="H379" s="3"/>
      </tp>
      <tp>
        <v>1095989691500</v>
        <stp/>
        <stp>P</stp>
        <stp>0</stp>
        <stp>STK</stp>
        <stp>N388720</stp>
        <stp>시가총액</stp>
        <stp/>
        <stp/>
        <tr r="H283" s="1"/>
      </tp>
      <tp>
        <v>691920000000</v>
        <stp/>
        <stp>P</stp>
        <stp>0</stp>
        <stp>STK</stp>
        <stp>N008730</stp>
        <stp>시가총액</stp>
        <stp/>
        <stp/>
        <tr r="H397" s="1"/>
        <tr r="H262" s="3"/>
      </tp>
      <tp>
        <v>562006736550</v>
        <stp/>
        <stp>P</stp>
        <stp>0</stp>
        <stp>STK</stp>
        <stp>N228760</stp>
        <stp>시가총액</stp>
        <stp/>
        <stp/>
        <tr r="H449" s="1"/>
      </tp>
      <tp>
        <v>2668965312000</v>
        <stp/>
        <stp>P</stp>
        <stp>0</stp>
        <stp>STK</stp>
        <stp>N068760</stp>
        <stp>시가총액</stp>
        <stp/>
        <stp/>
        <tr r="H168" s="1"/>
      </tp>
      <tp>
        <v>1781864693400</v>
        <stp/>
        <stp>P</stp>
        <stp>0</stp>
        <stp>STK</stp>
        <stp>N008770</stp>
        <stp>시가총액</stp>
        <stp/>
        <stp/>
        <tr r="H179" s="3"/>
        <tr r="H226" s="1"/>
      </tp>
      <tp>
        <v>383567737500</v>
        <stp/>
        <stp>P</stp>
        <stp>0</stp>
        <stp>STK</stp>
        <stp>N138610</stp>
        <stp>시가총액</stp>
        <stp/>
        <stp/>
        <tr r="H545" s="1"/>
      </tp>
      <tp>
        <v>1164140593600</v>
        <stp/>
        <stp>P</stp>
        <stp>0</stp>
        <stp>STK</stp>
        <stp>N078600</stp>
        <stp>시가총액</stp>
        <stp/>
        <stp/>
        <tr r="H317" s="1"/>
      </tp>
      <tp>
        <v>2299792232000</v>
        <stp/>
        <stp>P</stp>
        <stp>0</stp>
        <stp>STK</stp>
        <stp>N058610</stp>
        <stp>시가총액</stp>
        <stp/>
        <stp/>
        <tr r="H178" s="1"/>
      </tp>
      <tp>
        <v>260062430000</v>
        <stp/>
        <stp>P</stp>
        <stp>0</stp>
        <stp>STK</stp>
        <stp>N108670</stp>
        <stp>시가총액</stp>
        <stp/>
        <stp/>
        <tr r="H665" s="1"/>
        <tr r="H369" s="3"/>
      </tp>
      <tp>
        <v>2121783498000</v>
        <stp/>
        <stp>P</stp>
        <stp>0</stp>
        <stp>STK</stp>
        <stp>N018670</stp>
        <stp>시가총액</stp>
        <stp/>
        <stp/>
        <tr r="H167" s="3"/>
        <tr r="H206" s="1"/>
      </tp>
      <tp>
        <v>2349433005240</v>
        <stp/>
        <stp>P</stp>
        <stp>0</stp>
        <stp>STK</stp>
        <stp>N028670</stp>
        <stp>시가총액</stp>
        <stp/>
        <stp/>
        <tr r="H188" s="1"/>
        <tr r="H157" s="3"/>
      </tp>
      <tp>
        <v>1105904998800</v>
        <stp/>
        <stp>P</stp>
        <stp>0</stp>
        <stp>STK</stp>
        <stp>N328130</stp>
        <stp>시가총액</stp>
        <stp/>
        <stp/>
        <tr r="H295" s="1"/>
      </tp>
      <tp>
        <v>583364492640</v>
        <stp/>
        <stp>P</stp>
        <stp>0</stp>
        <stp>STK</stp>
        <stp>N078160</stp>
        <stp>시가총액</stp>
        <stp/>
        <stp/>
        <tr r="H435" s="1"/>
      </tp>
      <tp>
        <v>1644519160000</v>
        <stp/>
        <stp>P</stp>
        <stp>0</stp>
        <stp>STK</stp>
        <stp>N298020</stp>
        <stp>시가총액</stp>
        <stp/>
        <stp/>
        <tr r="H231" s="1"/>
        <tr r="H188" s="3"/>
      </tp>
      <tp>
        <v>4909800000000</v>
        <stp/>
        <stp>P</stp>
        <stp>0</stp>
        <stp>STK</stp>
        <stp>N028050</stp>
        <stp>시가총액</stp>
        <stp/>
        <stp/>
        <tr r="H101" s="3"/>
        <tr r="H110" s="1"/>
      </tp>
      <tp>
        <v>19046606725100</v>
        <stp/>
        <stp>P</stp>
        <stp>0</stp>
        <stp>STK</stp>
        <stp>N138040</stp>
        <stp>시가총액</stp>
        <stp/>
        <stp/>
        <tr r="H44" s="1"/>
        <tr r="H44" s="3"/>
      </tp>
      <tp>
        <v>745933281600</v>
        <stp/>
        <stp>P</stp>
        <stp>0</stp>
        <stp>STK</stp>
        <stp>N248070</stp>
        <stp>시가총액</stp>
        <stp/>
        <stp/>
        <tr r="H258" s="3"/>
        <tr r="H377" s="1"/>
      </tp>
      <tp>
        <v>337206992500</v>
        <stp/>
        <stp>P</stp>
        <stp>0</stp>
        <stp>STK</stp>
        <stp>N008060</stp>
        <stp>시가총액</stp>
        <stp/>
        <stp/>
        <tr r="H340" s="3"/>
        <tr r="H585" s="1"/>
      </tp>
      <tp>
        <v>21502407688000</v>
        <stp/>
        <stp>P</stp>
        <stp>0</stp>
        <stp>STK</stp>
        <stp>N298040</stp>
        <stp>시가총액</stp>
        <stp/>
        <stp/>
        <tr r="H36" s="3"/>
        <tr r="H37" s="1"/>
      </tp>
      <tp>
        <v>414818559300</v>
        <stp/>
        <stp>P</stp>
        <stp>0</stp>
        <stp>STK</stp>
        <stp>N098070</stp>
        <stp>시가총액</stp>
        <stp/>
        <stp/>
        <tr r="H510" s="1"/>
      </tp>
      <tp>
        <v>976628664000</v>
        <stp/>
        <stp>P</stp>
        <stp>0</stp>
        <stp>STK</stp>
        <stp>N298050</stp>
        <stp>시가총액</stp>
        <stp/>
        <stp/>
        <tr r="H233" s="3"/>
        <tr r="H318" s="1"/>
      </tp>
      <tp>
        <v>7105602167400</v>
        <stp/>
        <stp>P</stp>
        <stp>0</stp>
        <stp>STK</stp>
        <stp>N028300</stp>
        <stp>시가총액</stp>
        <stp/>
        <stp/>
        <tr r="H93" s="1"/>
      </tp>
      <tp>
        <v>620507195800</v>
        <stp/>
        <stp>P</stp>
        <stp>0</stp>
        <stp>STK</stp>
        <stp>N478340</stp>
        <stp>시가총액</stp>
        <stp/>
        <stp/>
        <tr r="H422" s="1"/>
      </tp>
      <tp>
        <v>279741000000</v>
        <stp/>
        <stp>P</stp>
        <stp>0</stp>
        <stp>STK</stp>
        <stp>N018310</stp>
        <stp>시가총액</stp>
        <stp/>
        <stp/>
        <tr r="H644" s="1"/>
      </tp>
      <tp>
        <v>829479300000</v>
        <stp/>
        <stp>P</stp>
        <stp>0</stp>
        <stp>STK</stp>
        <stp>N108320</stp>
        <stp>시가총액</stp>
        <stp/>
        <stp/>
        <tr r="H345" s="1"/>
        <tr r="H241" s="3"/>
      </tp>
      <tp>
        <v>1757214624550</v>
        <stp/>
        <stp>P</stp>
        <stp>0</stp>
        <stp>STK</stp>
        <stp>N178320</stp>
        <stp>시가총액</stp>
        <stp/>
        <stp/>
        <tr r="H228" s="1"/>
      </tp>
      <tp>
        <v>1453034044000</v>
        <stp/>
        <stp>P</stp>
        <stp>0</stp>
        <stp>STK</stp>
        <stp>N348370</stp>
        <stp>시가총액</stp>
        <stp/>
        <stp/>
        <tr r="H263" s="1"/>
      </tp>
      <tp>
        <v>408881935500</v>
        <stp/>
        <stp>P</stp>
        <stp>0</stp>
        <stp>STK</stp>
        <stp>N078340</stp>
        <stp>시가총액</stp>
        <stp/>
        <stp/>
        <tr r="H540" s="1"/>
      </tp>
      <tp>
        <v>348334128700</v>
        <stp/>
        <stp>P</stp>
        <stp>0</stp>
        <stp>STK</stp>
        <stp>N078350</stp>
        <stp>시가총액</stp>
        <stp/>
        <stp/>
        <tr r="H566" s="1"/>
      </tp>
      <tp>
        <v>2827065150000</v>
        <stp/>
        <stp>P</stp>
        <stp>0</stp>
        <stp>STK</stp>
        <stp>N088350</stp>
        <stp>시가총액</stp>
        <stp/>
        <stp/>
        <tr r="H161" s="1"/>
        <tr r="H137" s="3"/>
      </tp>
      <tp>
        <v>329968402000</v>
        <stp/>
        <stp>P</stp>
        <stp>0</stp>
        <stp>STK</stp>
        <stp>N168360</stp>
        <stp>시가총액</stp>
        <stp/>
        <stp/>
        <tr r="H582" s="1"/>
      </tp>
      <tp>
        <v>382253928420</v>
        <stp/>
        <stp>P</stp>
        <stp>0</stp>
        <stp>STK</stp>
        <stp>N378340</stp>
        <stp>시가총액</stp>
        <stp/>
        <stp/>
        <tr r="H648" s="1"/>
      </tp>
      <tp>
        <v>255447791100</v>
        <stp/>
        <stp>P</stp>
        <stp>0</stp>
        <stp>STK</stp>
        <stp>N108380</stp>
        <stp>시가총액</stp>
        <stp/>
        <stp/>
        <tr r="H669" s="1"/>
      </tp>
      <tp>
        <v>9999704931000</v>
        <stp/>
        <stp>P</stp>
        <stp>0</stp>
        <stp>STK</stp>
        <stp>N298380</stp>
        <stp>시가총액</stp>
        <stp/>
        <stp/>
        <tr r="H73" s="1"/>
      </tp>
      <tp>
        <v>282136733450</v>
        <stp/>
        <stp>P</stp>
        <stp>0</stp>
        <stp>STK</stp>
        <stp>N338220</stp>
        <stp>시가총액</stp>
        <stp/>
        <stp/>
        <tr r="H643" s="1"/>
      </tp>
      <tp>
        <v>748058157000</v>
        <stp/>
        <stp>P</stp>
        <stp>0</stp>
        <stp>STK</stp>
        <stp>N348210</stp>
        <stp>시가총액</stp>
        <stp/>
        <stp/>
        <tr r="H360" s="1"/>
      </tp>
      <tp>
        <v>968068627200</v>
        <stp/>
        <stp>P</stp>
        <stp>0</stp>
        <stp>STK</stp>
        <stp>N388210</stp>
        <stp>시가총액</stp>
        <stp/>
        <stp/>
        <tr r="H302" s="1"/>
      </tp>
      <tp>
        <v>339103565400</v>
        <stp/>
        <stp>P</stp>
        <stp>0</stp>
        <stp>STK</stp>
        <stp>N018250</stp>
        <stp>시가총액</stp>
        <stp/>
        <stp/>
        <tr r="H590" s="1"/>
        <tr r="H343" s="3"/>
      </tp>
      <tp>
        <v>13208390460000</v>
        <stp/>
        <stp>P</stp>
        <stp>0</stp>
        <stp>STK</stp>
        <stp>N018260</stp>
        <stp>시가총액</stp>
        <stp/>
        <stp/>
        <tr r="H60" s="1"/>
        <tr r="H59" s="3"/>
      </tp>
      <tp>
        <v>50822986656000</v>
        <stp/>
        <stp>P</stp>
        <stp>0</stp>
        <stp>STK</stp>
        <stp>N028260</stp>
        <stp>시가총액</stp>
        <stp/>
        <stp/>
        <tr r="H17" s="1"/>
        <tr r="H17" s="3"/>
      </tp>
      <tp>
        <v>47808920583000</v>
        <stp/>
        <stp>P</stp>
        <stp>0</stp>
        <stp>STK</stp>
        <stp>N068270</stp>
        <stp>시가총액</stp>
        <stp/>
        <stp/>
        <tr r="H18" s="1"/>
        <tr r="H18" s="3"/>
      </tp>
      <tp>
        <v>590866480580</v>
        <stp/>
        <stp>P</stp>
        <stp>0</stp>
        <stp>STK</stp>
        <stp>N018290</stp>
        <stp>시가총액</stp>
        <stp/>
        <stp/>
        <tr r="H439" s="1"/>
      </tp>
      <tp>
        <v>685500000000</v>
        <stp/>
        <stp>P</stp>
        <stp>0</stp>
        <stp>STK</stp>
        <stp>N268280</stp>
        <stp>시가총액</stp>
        <stp/>
        <stp/>
        <tr r="H265" s="3"/>
        <tr r="H388" s="1"/>
      </tp>
      <tp>
        <v>621932578400</v>
        <stp/>
        <stp>P</stp>
        <stp>0</stp>
        <stp>STK</stp>
        <stp>N278280</stp>
        <stp>시가총액</stp>
        <stp/>
        <stp/>
        <tr r="H434" s="1"/>
      </tp>
      <tp>
        <v>295718667420</v>
        <stp/>
        <stp>P</stp>
        <stp>0</stp>
        <stp>STK</stp>
        <stp>N448280</stp>
        <stp>시가총액</stp>
        <stp/>
        <stp/>
        <tr r="H638" s="1"/>
      </tp>
      <tp>
        <v>231306007100</v>
        <stp/>
        <stp>P</stp>
        <stp>0</stp>
        <stp>STK</stp>
        <stp>N488280</stp>
        <stp>시가총액</stp>
        <stp/>
        <stp/>
        <tr r="H687" s="1"/>
      </tp>
      <tp>
        <v>4884547499420</v>
        <stp/>
        <stp>P</stp>
        <stp>0</stp>
        <stp>STK</stp>
        <stp>N138930</stp>
        <stp>시가총액</stp>
        <stp/>
        <stp/>
        <tr r="H112" s="1"/>
        <tr r="H104" s="3"/>
      </tp>
      <tp>
        <v>2667270450000</v>
        <stp/>
        <stp>P</stp>
        <stp>0</stp>
        <stp>STK</stp>
        <stp>N008930</stp>
        <stp>시가총액</stp>
        <stp/>
        <stp/>
        <tr r="H140" s="3"/>
        <tr r="H165" s="1"/>
      </tp>
      <tp>
        <v>5658546520200</v>
        <stp/>
        <stp>P</stp>
        <stp>0</stp>
        <stp>STK</stp>
        <stp>N078930</stp>
        <stp>시가총액</stp>
        <stp/>
        <stp/>
        <tr r="H101" s="1"/>
        <tr r="H94" s="3"/>
      </tp>
      <tp>
        <v>477202732500</v>
        <stp/>
        <stp>P</stp>
        <stp>0</stp>
        <stp>STK</stp>
        <stp>N178920</stp>
        <stp>시가총액</stp>
        <stp/>
        <stp/>
        <tr r="H501" s="1"/>
        <tr r="H307" s="3"/>
      </tp>
      <tp>
        <v>422713772800</v>
        <stp/>
        <stp>P</stp>
        <stp>0</stp>
        <stp>STK</stp>
        <stp>N448900</stp>
        <stp>시가총액</stp>
        <stp/>
        <stp/>
        <tr r="H486" s="1"/>
      </tp>
      <tp>
        <v>5483104148000</v>
        <stp/>
        <stp>P</stp>
        <stp>0</stp>
        <stp>STK</stp>
        <stp>N128940</stp>
        <stp>시가총액</stp>
        <stp/>
        <stp/>
        <tr r="H98" s="3"/>
        <tr r="H106" s="1"/>
      </tp>
      <tp>
        <v>439999552800</v>
        <stp/>
        <stp>P</stp>
        <stp>0</stp>
        <stp>STK</stp>
        <stp>N058970</stp>
        <stp>시가총액</stp>
        <stp/>
        <stp/>
        <tr r="H509" s="1"/>
      </tp>
      <tp>
        <v>2025274212000</v>
        <stp/>
        <stp>P</stp>
        <stp>0</stp>
        <stp>STK</stp>
        <stp>N458870</stp>
        <stp>시가총액</stp>
        <stp/>
        <stp/>
        <tr r="H221" s="1"/>
      </tp>
      <tp>
        <v>321900888400</v>
        <stp/>
        <stp>P</stp>
        <stp>0</stp>
        <stp>STK</stp>
        <stp>N108860</stp>
        <stp>시가총액</stp>
        <stp/>
        <stp/>
        <tr r="H600" s="1"/>
      </tp>
      <tp>
        <v>334676686050</v>
        <stp/>
        <stp>P</stp>
        <stp>0</stp>
        <stp>STK</stp>
        <stp>N338840</stp>
        <stp>시가총액</stp>
        <stp/>
        <stp/>
        <tr r="H580" s="1"/>
      </tp>
      <tp>
        <v>3427716923680</v>
        <stp/>
        <stp>P</stp>
        <stp>0</stp>
        <stp>STK</stp>
        <stp>N018880</stp>
        <stp>시가총액</stp>
        <stp/>
        <stp/>
        <tr r="H142" s="1"/>
        <tr r="H122" s="3"/>
      </tp>
      <tp>
        <v>784548524520</v>
        <stp/>
        <stp>P</stp>
        <stp>0</stp>
        <stp>STK</stp>
        <stp>N009520</stp>
        <stp>시가총액</stp>
        <stp/>
        <stp/>
        <tr r="H363" s="1"/>
      </tp>
      <tp>
        <v>466201341250</v>
        <stp/>
        <stp>P</stp>
        <stp>0</stp>
        <stp>STK</stp>
        <stp>N029530</stp>
        <stp>시가총액</stp>
        <stp/>
        <stp/>
        <tr r="H309" s="3"/>
        <tr r="H499" s="1"/>
      </tp>
      <tp>
        <v>30467826438000</v>
        <stp/>
        <stp>P</stp>
        <stp>0</stp>
        <stp>STK</stp>
        <stp>N009540</stp>
        <stp>시가총액</stp>
        <stp/>
        <stp/>
        <tr r="H27" s="1"/>
        <tr r="H27" s="3"/>
      </tp>
      <tp>
        <v>416515531300</v>
        <stp/>
        <stp>P</stp>
        <stp>0</stp>
        <stp>STK</stp>
        <stp>N459510</stp>
        <stp>시가총액</stp>
        <stp/>
        <stp/>
        <tr r="H490" s="1"/>
      </tp>
      <tp>
        <v>11792000000000</v>
        <stp/>
        <stp>P</stp>
        <stp>0</stp>
        <stp>STK</stp>
        <stp>N079550</stp>
        <stp>시가총액</stp>
        <stp/>
        <stp/>
        <tr r="H66" s="1"/>
        <tr r="H62" s="3"/>
      </tp>
      <tp>
        <v>368419312500</v>
        <stp/>
        <stp>P</stp>
        <stp>0</stp>
        <stp>STK</stp>
        <stp>N419530</stp>
        <stp>시가총액</stp>
        <stp/>
        <stp/>
        <tr r="H577" s="1"/>
      </tp>
      <tp>
        <v>1151632372800</v>
        <stp/>
        <stp>P</stp>
        <stp>0</stp>
        <stp>STK</stp>
        <stp>N249420</stp>
        <stp>시가총액</stp>
        <stp/>
        <stp/>
        <tr r="H285" s="1"/>
        <tr r="H217" s="3"/>
      </tp>
      <tp>
        <v>2515386719700</v>
        <stp/>
        <stp>P</stp>
        <stp>0</stp>
        <stp>STK</stp>
        <stp>N009420</stp>
        <stp>시가총액</stp>
        <stp/>
        <stp/>
        <tr r="H187" s="1"/>
        <tr r="H152" s="3"/>
      </tp>
      <tp>
        <v>438821915700</v>
        <stp/>
        <stp>P</stp>
        <stp>0</stp>
        <stp>STK</stp>
        <stp>N199430</stp>
        <stp>시가총액</stp>
        <stp/>
        <stp/>
        <tr r="H485" s="1"/>
      </tp>
      <tp>
        <v>456682534150</v>
        <stp/>
        <stp>P</stp>
        <stp>0</stp>
        <stp>STK</stp>
        <stp>N039440</stp>
        <stp>시가총액</stp>
        <stp/>
        <stp/>
        <tr r="H494" s="1"/>
      </tp>
      <tp>
        <v>966908695500</v>
        <stp/>
        <stp>P</stp>
        <stp>0</stp>
        <stp>STK</stp>
        <stp>N389470</stp>
        <stp>시가총액</stp>
        <stp/>
        <stp/>
        <tr r="H326" s="1"/>
      </tp>
      <tp>
        <v>823125448000</v>
        <stp/>
        <stp>P</stp>
        <stp>0</stp>
        <stp>STK</stp>
        <stp>N009450</stp>
        <stp>시가총액</stp>
        <stp/>
        <stp/>
        <tr r="H243" s="3"/>
        <tr r="H348" s="1"/>
      </tp>
      <tp>
        <v>377752558650</v>
        <stp/>
        <stp>P</stp>
        <stp>0</stp>
        <stp>STK</stp>
        <stp>N029460</stp>
        <stp>시가총액</stp>
        <stp/>
        <stp/>
        <tr r="H329" s="3"/>
        <tr r="H554" s="1"/>
      </tp>
      <tp>
        <v>9067129731000</v>
        <stp/>
        <stp>P</stp>
        <stp>0</stp>
        <stp>STK</stp>
        <stp>N039490</stp>
        <stp>시가총액</stp>
        <stp/>
        <stp/>
        <tr r="H75" s="3"/>
        <tr r="H82" s="1"/>
      </tp>
      <tp>
        <v>2373240434000</v>
        <stp/>
        <stp>P</stp>
        <stp>0</stp>
        <stp>STK</stp>
        <stp>N139480</stp>
        <stp>시가총액</stp>
        <stp/>
        <stp/>
        <tr r="H191" s="1"/>
        <tr r="H158" s="3"/>
      </tp>
      <tp>
        <v>698345284000</v>
        <stp/>
        <stp>P</stp>
        <stp>0</stp>
        <stp>STK</stp>
        <stp>N399720</stp>
        <stp>시가총액</stp>
        <stp/>
        <stp/>
        <tr r="H383" s="1"/>
      </tp>
      <tp>
        <v>413530082350</v>
        <stp/>
        <stp>P</stp>
        <stp>0</stp>
        <stp>STK</stp>
        <stp>N309710</stp>
        <stp>시가총액</stp>
        <stp/>
        <stp/>
        <tr r="H514" s="1"/>
      </tp>
      <tp>
        <v>6256380114000</v>
        <stp/>
        <stp>P</stp>
        <stp>0</stp>
        <stp>STK</stp>
        <stp>N029780</stp>
        <stp>시가총액</stp>
        <stp/>
        <stp/>
        <tr r="H98" s="1"/>
        <tr r="H92" s="3"/>
      </tp>
      <tp>
        <v>2781910289000</v>
        <stp/>
        <stp>P</stp>
        <stp>0</stp>
        <stp>STK</stp>
        <stp>N489790</stp>
        <stp>시가총액</stp>
        <stp/>
        <stp/>
        <tr r="H139" s="3"/>
        <tr r="H170" s="1"/>
      </tp>
      <tp>
        <v>830912237900</v>
        <stp/>
        <stp>P</stp>
        <stp>0</stp>
        <stp>STK</stp>
        <stp>N499790</stp>
        <stp>시가총액</stp>
        <stp/>
        <stp/>
        <tr r="H237" s="3"/>
        <tr r="H359" s="1"/>
      </tp>
      <tp>
        <v>1910626217500</v>
        <stp/>
        <stp>P</stp>
        <stp>0</stp>
        <stp>STK</stp>
        <stp>N069620</stp>
        <stp>시가총액</stp>
        <stp/>
        <stp/>
        <tr r="H217" s="1"/>
        <tr r="H175" s="3"/>
      </tp>
      <tp>
        <v>1129701846000</v>
        <stp/>
        <stp>P</stp>
        <stp>0</stp>
        <stp>STK</stp>
        <stp>N319660</stp>
        <stp>시가총액</stp>
        <stp/>
        <stp/>
        <tr r="H284" s="1"/>
      </tp>
      <tp>
        <v>205500235000</v>
        <stp/>
        <stp>P</stp>
        <stp>0</stp>
        <stp>STK</stp>
        <stp>N469610</stp>
        <stp>시가총액</stp>
        <stp/>
        <stp/>
        <tr r="H696" s="1"/>
      </tp>
      <tp>
        <v>1197432768900</v>
        <stp/>
        <stp>P</stp>
        <stp>0</stp>
        <stp>STK</stp>
        <stp>N229640</stp>
        <stp>시가총액</stp>
        <stp/>
        <stp/>
        <tr r="H214" s="3"/>
        <tr r="H289" s="1"/>
      </tp>
      <tp>
        <v>625136113200</v>
        <stp/>
        <stp>P</stp>
        <stp>0</stp>
        <stp>STK</stp>
        <stp>N389650</stp>
        <stp>시가총액</stp>
        <stp/>
        <stp/>
        <tr r="H427" s="1"/>
      </tp>
      <tp>
        <v>286951500000</v>
        <stp/>
        <stp>P</stp>
        <stp>0</stp>
        <stp>STK</stp>
        <stp>N009680</stp>
        <stp>시가총액</stp>
        <stp/>
        <stp/>
        <tr r="H359" s="3"/>
        <tr r="H632" s="1"/>
      </tp>
      <tp>
        <v>2303356520220</v>
        <stp/>
        <stp>P</stp>
        <stp>0</stp>
        <stp>STK</stp>
        <stp>N139130</stp>
        <stp>시가총액</stp>
        <stp/>
        <stp/>
        <tr r="H193" s="1"/>
        <tr r="H160" s="3"/>
      </tp>
      <tp>
        <v>697046940000</v>
        <stp/>
        <stp>P</stp>
        <stp>0</stp>
        <stp>STK</stp>
        <stp>N039130</stp>
        <stp>시가총액</stp>
        <stp/>
        <stp/>
        <tr r="H385" s="1"/>
        <tr r="H260" s="3"/>
      </tp>
      <tp>
        <v>21250356512000</v>
        <stp/>
        <stp>P</stp>
        <stp>0</stp>
        <stp>STK</stp>
        <stp>N009150</stp>
        <stp>시가총액</stp>
        <stp/>
        <stp/>
        <tr r="H39" s="1"/>
        <tr r="H39" s="3"/>
      </tp>
      <tp>
        <v>653304926700</v>
        <stp/>
        <stp>P</stp>
        <stp>0</stp>
        <stp>STK</stp>
        <stp>N019170</stp>
        <stp>시가총액</stp>
        <stp/>
        <stp/>
        <tr r="H269" s="3"/>
        <tr r="H408" s="1"/>
      </tp>
      <tp>
        <v>422401267800</v>
        <stp/>
        <stp>P</stp>
        <stp>0</stp>
        <stp>STK</stp>
        <stp>N099190</stp>
        <stp>시가총액</stp>
        <stp/>
        <stp/>
        <tr r="H529" s="1"/>
      </tp>
      <tp>
        <v>65390843175000</v>
        <stp/>
        <stp>P</stp>
        <stp>0</stp>
        <stp>STK</stp>
        <stp>N329180</stp>
        <stp>시가총액</stp>
        <stp/>
        <stp/>
        <tr r="H13" s="1"/>
        <tr r="H13" s="3"/>
      </tp>
      <tp>
        <v>524492268300</v>
        <stp/>
        <stp>P</stp>
        <stp>0</stp>
        <stp>STK</stp>
        <stp>N089010</stp>
        <stp>시가총액</stp>
        <stp/>
        <stp/>
        <tr r="H463" s="1"/>
      </tp>
      <tp>
        <v>249840937500</v>
        <stp/>
        <stp>P</stp>
        <stp>0</stp>
        <stp>STK</stp>
        <stp>N299030</stp>
        <stp>시가총액</stp>
        <stp/>
        <stp/>
        <tr r="H691" s="1"/>
      </tp>
      <tp>
        <v>3658906350000</v>
        <stp/>
        <stp>P</stp>
        <stp>0</stp>
        <stp>STK</stp>
        <stp>N039030</stp>
        <stp>시가총액</stp>
        <stp/>
        <stp/>
        <tr r="H136" s="1"/>
      </tp>
      <tp>
        <v>1383953640750</v>
        <stp/>
        <stp>P</stp>
        <stp>0</stp>
        <stp>STK</stp>
        <stp>N089030</stp>
        <stp>시가총액</stp>
        <stp/>
        <stp/>
        <tr r="H247" s="1"/>
      </tp>
      <tp>
        <v>381840000000</v>
        <stp/>
        <stp>P</stp>
        <stp>0</stp>
        <stp>STK</stp>
        <stp>N049070</stp>
        <stp>시가총액</stp>
        <stp/>
        <stp/>
        <tr r="H519" s="1"/>
      </tp>
      <tp>
        <v>417286661040</v>
        <stp/>
        <stp>P</stp>
        <stp>0</stp>
        <stp>STK</stp>
        <stp>N069080</stp>
        <stp>시가총액</stp>
        <stp/>
        <stp/>
        <tr r="H523" s="1"/>
      </tp>
      <tp>
        <v>427734758400</v>
        <stp/>
        <stp>P</stp>
        <stp>0</stp>
        <stp>STK</stp>
        <stp>N059090</stp>
        <stp>시가총액</stp>
        <stp/>
        <stp/>
        <tr r="H515" s="1"/>
      </tp>
      <tp>
        <v>231003966000</v>
        <stp/>
        <stp>P</stp>
        <stp>0</stp>
        <stp>STK</stp>
        <stp>N439090</stp>
        <stp>시가총액</stp>
        <stp/>
        <stp/>
        <tr r="H692" s="1"/>
      </tp>
      <tp>
        <v>815733384000</v>
        <stp/>
        <stp>P</stp>
        <stp>0</stp>
        <stp>STK</stp>
        <stp>N189300</stp>
        <stp>시가총액</stp>
        <stp/>
        <stp/>
        <tr r="H356" s="1"/>
      </tp>
      <tp>
        <v>475180286800</v>
        <stp/>
        <stp>P</stp>
        <stp>0</stp>
        <stp>STK</stp>
        <stp>N079370</stp>
        <stp>시가총액</stp>
        <stp/>
        <stp/>
        <tr r="H487" s="1"/>
      </tp>
      <tp>
        <v>1583888486400</v>
        <stp/>
        <stp>P</stp>
        <stp>0</stp>
        <stp>STK</stp>
        <stp>N039200</stp>
        <stp>시가총액</stp>
        <stp/>
        <stp/>
        <tr r="H236" s="1"/>
      </tp>
      <tp>
        <v>2719957627200</v>
        <stp/>
        <stp>P</stp>
        <stp>0</stp>
        <stp>STK</stp>
        <stp>N439260</stp>
        <stp>시가총액</stp>
        <stp/>
        <stp/>
        <tr r="H169" s="1"/>
        <tr r="H143" s="3"/>
      </tp>
      <tp>
        <v>1041376314000</v>
        <stp/>
        <stp>P</stp>
        <stp>0</stp>
        <stp>STK</stp>
        <stp>N009240</stp>
        <stp>시가총액</stp>
        <stp/>
        <stp/>
        <tr r="H223" s="3"/>
        <tr r="H301" s="1"/>
      </tp>
      <tp>
        <v>316043973000</v>
        <stp/>
        <stp>P</stp>
        <stp>0</stp>
        <stp>STK</stp>
        <stp>N389260</stp>
        <stp>시가총액</stp>
        <stp/>
        <stp/>
        <tr r="H612" s="1"/>
      </tp>
      <tp>
        <v>762794452080</v>
        <stp/>
        <stp>P</stp>
        <stp>0</stp>
        <stp>STK</stp>
        <stp>N069260</stp>
        <stp>시가총액</stp>
        <stp/>
        <stp/>
        <tr r="H251" s="3"/>
        <tr r="H369" s="1"/>
      </tp>
      <tp>
        <v>497941562170</v>
        <stp/>
        <stp>P</stp>
        <stp>0</stp>
        <stp>STK</stp>
        <stp>N009900</stp>
        <stp>시가총액</stp>
        <stp/>
        <stp/>
        <tr r="H295" s="3"/>
        <tr r="H464" s="1"/>
      </tp>
      <tp>
        <v>796752957000</v>
        <stp/>
        <stp>P</stp>
        <stp>0</stp>
        <stp>STK</stp>
        <stp>N079900</stp>
        <stp>시가총액</stp>
        <stp/>
        <stp/>
        <tr r="H259" s="3"/>
        <tr r="H382" s="1"/>
      </tp>
      <tp>
        <v>412630090200</v>
        <stp/>
        <stp>P</stp>
        <stp>0</stp>
        <stp>STK</stp>
        <stp>N179900</stp>
        <stp>시가총액</stp>
        <stp/>
        <stp/>
        <tr r="H525" s="1"/>
      </tp>
      <tp>
        <v>11211006031500</v>
        <stp/>
        <stp>P</stp>
        <stp>0</stp>
        <stp>STK</stp>
        <stp>N259960</stp>
        <stp>시가총액</stp>
        <stp/>
        <stp/>
        <tr r="H64" s="3"/>
        <tr r="H67" s="1"/>
      </tp>
      <tp>
        <v>428790853800</v>
        <stp/>
        <stp>P</stp>
        <stp>0</stp>
        <stp>STK</stp>
        <stp>N079940</stp>
        <stp>시가총액</stp>
        <stp/>
        <stp/>
        <tr r="H517" s="1"/>
      </tp>
      <tp>
        <v>2059221983000</v>
        <stp/>
        <stp>P</stp>
        <stp>0</stp>
        <stp>STK</stp>
        <stp>N069960</stp>
        <stp>시가총액</stp>
        <stp/>
        <stp/>
        <tr r="H169" s="3"/>
        <tr r="H203" s="1"/>
      </tp>
      <tp>
        <v>2622901749100</v>
        <stp/>
        <stp>P</stp>
        <stp>0</stp>
        <stp>STK</stp>
        <stp>N009970</stp>
        <stp>시가총액</stp>
        <stp/>
        <stp/>
        <tr r="H138" s="3"/>
        <tr r="H173" s="1"/>
      </tp>
      <tp>
        <v>591983603750</v>
        <stp/>
        <stp>P</stp>
        <stp>0</stp>
        <stp>STK</stp>
        <stp>N089970</stp>
        <stp>시가총액</stp>
        <stp/>
        <stp/>
        <tr r="H406" s="1"/>
      </tp>
      <tp>
        <v>258702618660</v>
        <stp/>
        <stp>P</stp>
        <stp>0</stp>
        <stp>STK</stp>
        <stp>N089980</stp>
        <stp>시가총액</stp>
        <stp/>
        <stp/>
        <tr r="H678" s="1"/>
      </tp>
      <tp>
        <v>529527183000</v>
        <stp/>
        <stp>P</stp>
        <stp>0</stp>
        <stp>STK</stp>
        <stp>N199800</stp>
        <stp>시가총액</stp>
        <stp/>
        <stp/>
        <tr r="H471" s="1"/>
      </tp>
      <tp>
        <v>5062235185200</v>
        <stp/>
        <stp>P</stp>
        <stp>0</stp>
        <stp>STK</stp>
        <stp>N009830</stp>
        <stp>시가총액</stp>
        <stp/>
        <stp/>
        <tr r="H113" s="1"/>
        <tr r="H103" s="3"/>
      </tp>
      <tp>
        <v>573244478650</v>
        <stp/>
        <stp>P</stp>
        <stp>0</stp>
        <stp>STK</stp>
        <stp>N119850</stp>
        <stp>시가총액</stp>
        <stp/>
        <stp/>
        <tr r="H432" s="1"/>
      </tp>
      <tp>
        <v>228563883300</v>
        <stp/>
        <stp>P</stp>
        <stp>0</stp>
        <stp>STK</stp>
        <stp>N039840</stp>
        <stp>시가총액</stp>
        <stp/>
        <stp/>
        <tr r="H693" s="1"/>
      </tp>
      <tp>
        <v>1111067272800</v>
        <stp/>
        <stp>P</stp>
        <stp>0</stp>
        <stp>STK</stp>
        <stp>N089860</stp>
        <stp>시가총액</stp>
        <stp/>
        <stp/>
        <tr r="H220" s="3"/>
        <tr r="H297" s="1"/>
      </tp>
      <tp>
        <v>437013748700</v>
        <stp/>
        <stp>P</stp>
        <stp>0</stp>
        <stp>STK</stp>
        <stp>N089890</stp>
        <stp>시가총액</stp>
        <stp/>
        <stp/>
        <tr r="H520" s="1"/>
      </tp>
      <tp>
        <v>14405849727200</v>
        <stp/>
        <stp>P</stp>
        <stp>0</stp>
        <stp>STK</stp>
        <stp>N086520</stp>
        <stp>시가총액</stp>
        <stp/>
        <stp/>
        <tr r="H64" s="1"/>
      </tp>
      <tp>
        <v>921169559000</v>
        <stp/>
        <stp>P</stp>
        <stp>0</stp>
        <stp>STK</stp>
        <stp>N036530</stp>
        <stp>시가총액</stp>
        <stp/>
        <stp/>
        <tr r="H325" s="1"/>
        <tr r="H234" s="3"/>
      </tp>
      <tp>
        <v>1263869054800</v>
        <stp/>
        <stp>P</stp>
        <stp>0</stp>
        <stp>STK</stp>
        <stp>N096530</stp>
        <stp>시가총액</stp>
        <stp/>
        <stp/>
        <tr r="H275" s="1"/>
      </tp>
      <tp>
        <v>863416590750</v>
        <stp/>
        <stp>P</stp>
        <stp>0</stp>
        <stp>STK</stp>
        <stp>N036540</stp>
        <stp>시가총액</stp>
        <stp/>
        <stp/>
        <tr r="H331" s="1"/>
      </tp>
      <tp>
        <v>763835935530</v>
        <stp/>
        <stp>P</stp>
        <stp>0</stp>
        <stp>STK</stp>
        <stp>N336570</stp>
        <stp>시가총액</stp>
        <stp/>
        <stp/>
        <tr r="H372" s="1"/>
      </tp>
      <tp>
        <v>4965897071000</v>
        <stp/>
        <stp>P</stp>
        <stp>0</stp>
        <stp>STK</stp>
        <stp>N036570</stp>
        <stp>시가총액</stp>
        <stp/>
        <stp/>
        <tr r="H100" s="3"/>
        <tr r="H111" s="1"/>
      </tp>
      <tp>
        <v>17265957022000</v>
        <stp/>
        <stp>P</stp>
        <stp>0</stp>
        <stp>STK</stp>
        <stp>N066570</stp>
        <stp>시가총액</stp>
        <stp/>
        <stp/>
        <tr r="H46" s="3"/>
        <tr r="H45" s="1"/>
      </tp>
      <tp>
        <v>494857229600</v>
        <stp/>
        <stp>P</stp>
        <stp>0</stp>
        <stp>STK</stp>
        <stp>N016590</stp>
        <stp>시가총액</stp>
        <stp/>
        <stp/>
        <tr r="H294" s="3"/>
        <tr r="H462" s="1"/>
      </tp>
      <tp>
        <v>31549234995000</v>
        <stp/>
        <stp>P</stp>
        <stp>0</stp>
        <stp>STK</stp>
        <stp>N006400</stp>
        <stp>시가총액</stp>
        <stp/>
        <stp/>
        <tr r="H31" s="1"/>
        <tr r="H28" s="3"/>
      </tp>
      <tp>
        <v>753991101400</v>
        <stp/>
        <stp>P</stp>
        <stp>0</stp>
        <stp>STK</stp>
        <stp>N086450</stp>
        <stp>시가총액</stp>
        <stp/>
        <stp/>
        <tr r="H368" s="1"/>
      </tp>
      <tp>
        <v>3766370400000</v>
        <stp/>
        <stp>P</stp>
        <stp>0</stp>
        <stp>STK</stp>
        <stp>N036460</stp>
        <stp>시가총액</stp>
        <stp/>
        <stp/>
        <tr r="H134" s="1"/>
        <tr r="H119" s="3"/>
      </tp>
      <tp>
        <v>991434114210</v>
        <stp/>
        <stp>P</stp>
        <stp>0</stp>
        <stp>STK</stp>
        <stp>N006730</stp>
        <stp>시가총액</stp>
        <stp/>
        <stp/>
        <tr r="H323" s="1"/>
      </tp>
      <tp>
        <v>372864600000</v>
        <stp/>
        <stp>P</stp>
        <stp>0</stp>
        <stp>STK</stp>
        <stp>N126720</stp>
        <stp>시가총액</stp>
        <stp/>
        <stp/>
        <tr r="H544" s="1"/>
        <tr r="H327" s="3"/>
      </tp>
      <tp>
        <v>248414070600</v>
        <stp/>
        <stp>P</stp>
        <stp>0</stp>
        <stp>STK</stp>
        <stp>N176750</stp>
        <stp>시가총액</stp>
        <stp/>
        <stp/>
        <tr r="H675" s="1"/>
      </tp>
      <tp>
        <v>19069154486400</v>
        <stp/>
        <stp>P</stp>
        <stp>0</stp>
        <stp>STK</stp>
        <stp>N096770</stp>
        <stp>시가총액</stp>
        <stp/>
        <stp/>
        <tr r="H45" s="3"/>
        <tr r="H47" s="1"/>
      </tp>
      <tp>
        <v>28389233028000</v>
        <stp/>
        <stp>P</stp>
        <stp>0</stp>
        <stp>STK</stp>
        <stp>N086790</stp>
        <stp>시가총액</stp>
        <stp/>
        <stp/>
        <tr r="H30" s="3"/>
        <tr r="H29" s="1"/>
      </tp>
      <tp>
        <v>505112029100</v>
        <stp/>
        <stp>P</stp>
        <stp>0</stp>
        <stp>STK</stp>
        <stp>N016610</stp>
        <stp>시가총액</stp>
        <stp/>
        <stp/>
        <tr r="H302" s="3"/>
        <tr r="H483" s="1"/>
      </tp>
      <tp>
        <v>499580815920</v>
        <stp/>
        <stp>P</stp>
        <stp>0</stp>
        <stp>STK</stp>
        <stp>N036620</stp>
        <stp>시가총액</stp>
        <stp/>
        <stp/>
        <tr r="H478" s="1"/>
      </tp>
      <tp>
        <v>1044550000000</v>
        <stp/>
        <stp>P</stp>
        <stp>0</stp>
        <stp>STK</stp>
        <stp>N006650</stp>
        <stp>시가총액</stp>
        <stp/>
        <stp/>
        <tr r="H306" s="1"/>
        <tr r="H225" s="3"/>
      </tp>
      <tp>
        <v>292407672000</v>
        <stp/>
        <stp>P</stp>
        <stp>0</stp>
        <stp>STK</stp>
        <stp>N206640</stp>
        <stp>시가총액</stp>
        <stp/>
        <stp/>
        <tr r="H629" s="1"/>
      </tp>
      <tp>
        <v>408162776910</v>
        <stp/>
        <stp>P</stp>
        <stp>0</stp>
        <stp>STK</stp>
        <stp>N206650</stp>
        <stp>시가총액</stp>
        <stp/>
        <stp/>
        <tr r="H531" s="1"/>
      </tp>
      <tp>
        <v>206940317000</v>
        <stp/>
        <stp>P</stp>
        <stp>0</stp>
        <stp>STK</stp>
        <stp>N356680</stp>
        <stp>시가총액</stp>
        <stp/>
        <stp/>
        <tr r="H694" s="1"/>
      </tp>
      <tp>
        <v>377360645400</v>
        <stp/>
        <stp>P</stp>
        <stp>0</stp>
        <stp>STK</stp>
        <stp>N006110</stp>
        <stp>시가총액</stp>
        <stp/>
        <stp/>
        <tr r="H331" s="3"/>
        <tr r="H568" s="1"/>
      </tp>
      <tp>
        <v>1154080079500</v>
        <stp/>
        <stp>P</stp>
        <stp>0</stp>
        <stp>STK</stp>
        <stp>N006120</stp>
        <stp>시가총액</stp>
        <stp/>
        <stp/>
        <tr r="H291" s="1"/>
        <tr r="H219" s="3"/>
      </tp>
      <tp>
        <v>1252888728000</v>
        <stp/>
        <stp>P</stp>
        <stp>0</stp>
        <stp>STK</stp>
        <stp>N456160</stp>
        <stp>시가총액</stp>
        <stp/>
        <stp/>
        <tr r="H278" s="1"/>
      </tp>
      <tp>
        <v>1714460735400</v>
        <stp/>
        <stp>P</stp>
        <stp>0</stp>
        <stp>STK</stp>
        <stp>N466100</stp>
        <stp>시가총액</stp>
        <stp/>
        <stp/>
        <tr r="H216" s="1"/>
      </tp>
      <tp>
        <v>20064670500000</v>
        <stp/>
        <stp>P</stp>
        <stp>0</stp>
        <stp>STK</stp>
        <stp>N196170</stp>
        <stp>시가총액</stp>
        <stp/>
        <stp/>
        <tr r="H42" s="1"/>
      </tp>
      <tp>
        <v>21435028544000</v>
        <stp/>
        <stp>P</stp>
        <stp>0</stp>
        <stp>STK</stp>
        <stp>N316140</stp>
        <stp>시가총액</stp>
        <stp/>
        <stp/>
        <tr r="H38" s="3"/>
        <tr r="H40" s="1"/>
      </tp>
      <tp>
        <v>935423198000</v>
        <stp/>
        <stp>P</stp>
        <stp>0</stp>
        <stp>STK</stp>
        <stp>N056190</stp>
        <stp>시가총액</stp>
        <stp/>
        <stp/>
        <tr r="H327" s="1"/>
      </tp>
      <tp>
        <v>300120629600</v>
        <stp/>
        <stp>P</stp>
        <stp>0</stp>
        <stp>STK</stp>
        <stp>N416180</stp>
        <stp>시가총액</stp>
        <stp/>
        <stp/>
        <tr r="H634" s="1"/>
      </tp>
      <tp>
        <v>9178312900000</v>
        <stp/>
        <stp>P</stp>
        <stp>0</stp>
        <stp>STK</stp>
        <stp>N326030</stp>
        <stp>시가총액</stp>
        <stp/>
        <stp/>
        <tr r="H72" s="3"/>
        <tr r="H78" s="1"/>
      </tp>
      <tp>
        <v>645474889500</v>
        <stp/>
        <stp>P</stp>
        <stp>0</stp>
        <stp>STK</stp>
        <stp>N456040</stp>
        <stp>시가총액</stp>
        <stp/>
        <stp/>
        <tr r="H270" s="3"/>
        <tr r="H409" s="1"/>
      </tp>
      <tp>
        <v>803941214400</v>
        <stp/>
        <stp>P</stp>
        <stp>0</stp>
        <stp>STK</stp>
        <stp>N476060</stp>
        <stp>시가총액</stp>
        <stp/>
        <stp/>
        <tr r="H340" s="1"/>
      </tp>
      <tp>
        <v>1814482224600</v>
        <stp/>
        <stp>P</stp>
        <stp>0</stp>
        <stp>STK</stp>
        <stp>N006040</stp>
        <stp>시가총액</stp>
        <stp/>
        <stp/>
        <tr r="H181" s="3"/>
        <tr r="H227" s="1"/>
      </tp>
      <tp>
        <v>1046238954600</v>
        <stp/>
        <stp>P</stp>
        <stp>0</stp>
        <stp>STK</stp>
        <stp>N166090</stp>
        <stp>시가총액</stp>
        <stp/>
        <stp/>
        <tr r="H300" s="1"/>
      </tp>
      <tp>
        <v>245389034850</v>
        <stp/>
        <stp>P</stp>
        <stp>0</stp>
        <stp>STK</stp>
        <stp>N226320</stp>
        <stp>시가총액</stp>
        <stp/>
        <stp/>
        <tr r="H373" s="3"/>
        <tr r="H676" s="1"/>
      </tp>
      <tp>
        <v>790488919800</v>
        <stp/>
        <stp>P</stp>
        <stp>0</stp>
        <stp>STK</stp>
        <stp>N376300</stp>
        <stp>시가총액</stp>
        <stp/>
        <stp/>
        <tr r="H364" s="1"/>
      </tp>
      <tp>
        <v>557525711360</v>
        <stp/>
        <stp>P</stp>
        <stp>0</stp>
        <stp>STK</stp>
        <stp>N336370</stp>
        <stp>시가총액</stp>
        <stp/>
        <stp/>
        <tr r="H457" s="1"/>
        <tr r="H286" s="3"/>
      </tp>
      <tp>
        <v>588526079200</v>
        <stp/>
        <stp>P</stp>
        <stp>0</stp>
        <stp>STK</stp>
        <stp>N126340</stp>
        <stp>시가총액</stp>
        <stp/>
        <stp/>
        <tr r="H431" s="1"/>
      </tp>
      <tp>
        <v>1612355271600</v>
        <stp/>
        <stp>P</stp>
        <stp>0</stp>
        <stp>STK</stp>
        <stp>N006360</stp>
        <stp>시가총액</stp>
        <stp/>
        <stp/>
        <tr r="H240" s="1"/>
        <tr r="H191" s="3"/>
      </tp>
      <tp>
        <v>7635150000000</v>
        <stp/>
        <stp>P</stp>
        <stp>0</stp>
        <stp>STK</stp>
        <stp>N016360</stp>
        <stp>시가총액</stp>
        <stp/>
        <stp/>
        <tr r="H83" s="3"/>
        <tr r="H88" s="1"/>
      </tp>
      <tp>
        <v>252975488220</v>
        <stp/>
        <stp>P</stp>
        <stp>0</stp>
        <stp>STK</stp>
        <stp>N086390</stp>
        <stp>시가총액</stp>
        <stp/>
        <stp/>
        <tr r="H674" s="1"/>
      </tp>
      <tp>
        <v>288243696200</v>
        <stp/>
        <stp>P</stp>
        <stp>0</stp>
        <stp>STK</stp>
        <stp>N036200</stp>
        <stp>시가총액</stp>
        <stp/>
        <stp/>
        <tr r="H626" s="1"/>
      </tp>
      <tp>
        <v>435439376640</v>
        <stp/>
        <stp>P</stp>
        <stp>0</stp>
        <stp>STK</stp>
        <stp>N006220</stp>
        <stp>시가총액</stp>
        <stp/>
        <stp/>
        <tr r="H315" s="3"/>
        <tr r="H512" s="1"/>
      </tp>
      <tp>
        <v>334197421650</v>
        <stp/>
        <stp>P</stp>
        <stp>0</stp>
        <stp>STK</stp>
        <stp>N236200</stp>
        <stp>시가총액</stp>
        <stp/>
        <stp/>
        <tr r="H664" s="1"/>
      </tp>
      <tp>
        <v>337236070000</v>
        <stp/>
        <stp>P</stp>
        <stp>0</stp>
        <stp>STK</stp>
        <stp>N306200</stp>
        <stp>시가총액</stp>
        <stp/>
        <stp/>
        <tr r="H589" s="1"/>
        <tr r="H341" s="3"/>
      </tp>
      <tp>
        <v>394390757700</v>
        <stp/>
        <stp>P</stp>
        <stp>0</stp>
        <stp>STK</stp>
        <stp>N376270</stp>
        <stp>시가총액</stp>
        <stp/>
        <stp/>
        <tr r="H552" s="1"/>
      </tp>
      <tp>
        <v>2433091920900</v>
        <stp/>
        <stp>P</stp>
        <stp>0</stp>
        <stp>STK</stp>
        <stp>N336260</stp>
        <stp>시가총액</stp>
        <stp/>
        <stp/>
        <tr r="H150" s="3"/>
        <tr r="H183" s="1"/>
      </tp>
      <tp>
        <v>7291000000000</v>
        <stp/>
        <stp>P</stp>
        <stp>0</stp>
        <stp>STK</stp>
        <stp>N006260</stp>
        <stp>시가총액</stp>
        <stp/>
        <stp/>
        <tr r="H85" s="3"/>
        <tr r="H89" s="1"/>
      </tp>
      <tp>
        <v>1797389544400</v>
        <stp/>
        <stp>P</stp>
        <stp>0</stp>
        <stp>STK</stp>
        <stp>N006280</stp>
        <stp>시가총액</stp>
        <stp/>
        <stp/>
        <tr r="H229" s="1"/>
        <tr r="H184" s="3"/>
      </tp>
      <tp>
        <v>19350000000000</v>
        <stp/>
        <stp>P</stp>
        <stp>0</stp>
        <stp>STK</stp>
        <stp>N086280</stp>
        <stp>시가총액</stp>
        <stp/>
        <stp/>
        <tr r="H40" s="3"/>
        <tr r="H36" s="1"/>
      </tp>
      <tp>
        <v>877279339400</v>
        <stp/>
        <stp>P</stp>
        <stp>0</stp>
        <stp>STK</stp>
        <stp>N086900</stp>
        <stp>시가총액</stp>
        <stp/>
        <stp/>
        <tr r="H338" s="1"/>
      </tp>
      <tp>
        <v>1481861863350</v>
        <stp/>
        <stp>P</stp>
        <stp>0</stp>
        <stp>STK</stp>
        <stp>N036930</stp>
        <stp>시가총액</stp>
        <stp/>
        <stp/>
        <tr r="H248" s="1"/>
      </tp>
      <tp>
        <v>989806104800</v>
        <stp/>
        <stp>P</stp>
        <stp>0</stp>
        <stp>STK</stp>
        <stp>N376900</stp>
        <stp>시가총액</stp>
        <stp/>
        <stp/>
        <tr r="H310" s="1"/>
      </tp>
      <tp>
        <v>2622110000000</v>
        <stp/>
        <stp>P</stp>
        <stp>0</stp>
        <stp>STK</stp>
        <stp>N026960</stp>
        <stp>시가총액</stp>
        <stp/>
        <stp/>
        <tr r="H172" s="1"/>
        <tr r="H144" s="3"/>
      </tp>
      <tp>
        <v>322255517100</v>
        <stp/>
        <stp>P</stp>
        <stp>0</stp>
        <stp>STK</stp>
        <stp>N286940</stp>
        <stp>시가총액</stp>
        <stp/>
        <stp/>
        <tr r="H349" s="3"/>
        <tr r="H593" s="1"/>
      </tp>
      <tp>
        <v>2394520123800</v>
        <stp/>
        <stp>P</stp>
        <stp>0</stp>
        <stp>STK</stp>
        <stp>N226950</stp>
        <stp>시가총액</stp>
        <stp/>
        <stp/>
        <tr r="H186" s="1"/>
      </tp>
      <tp>
        <v>5029864250000</v>
        <stp/>
        <stp>P</stp>
        <stp>0</stp>
        <stp>STK</stp>
        <stp>N066970</stp>
        <stp>시가총액</stp>
        <stp/>
        <stp/>
        <tr r="H102" s="3"/>
        <tr r="H115" s="1"/>
      </tp>
      <tp>
        <v>933992514000</v>
        <stp/>
        <stp>P</stp>
        <stp>0</stp>
        <stp>STK</stp>
        <stp>N486990</stp>
        <stp>시가총액</stp>
        <stp/>
        <stp/>
        <tr r="H315" s="1"/>
      </tp>
      <tp>
        <v>18203452061400</v>
        <stp/>
        <stp>P</stp>
        <stp>0</stp>
        <stp>STK</stp>
        <stp>N006800</stp>
        <stp>시가총액</stp>
        <stp/>
        <stp/>
        <tr r="H48" s="1"/>
        <tr r="H47" s="3"/>
      </tp>
      <tp>
        <v>498525000000</v>
        <stp/>
        <stp>P</stp>
        <stp>0</stp>
        <stp>STK</stp>
        <stp>N016800</stp>
        <stp>시가총액</stp>
        <stp/>
        <stp/>
        <tr r="H475" s="1"/>
        <tr r="H296" s="3"/>
      </tp>
      <tp>
        <v>228000000000</v>
        <stp/>
        <stp>P</stp>
        <stp>0</stp>
        <stp>STK</stp>
        <stp>N036800</stp>
        <stp>시가총액</stp>
        <stp/>
        <stp/>
        <tr r="H688" s="1"/>
      </tp>
      <tp>
        <v>813482693400</v>
        <stp/>
        <stp>P</stp>
        <stp>0</stp>
        <stp>STK</stp>
        <stp>N036810</stp>
        <stp>시가총액</stp>
        <stp/>
        <stp/>
        <tr r="H379" s="1"/>
      </tp>
      <tp>
        <v>834369428800</v>
        <stp/>
        <stp>P</stp>
        <stp>0</stp>
        <stp>STK</stp>
        <stp>N036830</stp>
        <stp>시가총액</stp>
        <stp/>
        <stp/>
        <tr r="H349" s="1"/>
      </tp>
      <tp>
        <v>544727702000</v>
        <stp/>
        <stp>P</stp>
        <stp>0</stp>
        <stp>STK</stp>
        <stp>N356860</stp>
        <stp>시가총액</stp>
        <stp/>
        <stp/>
        <tr r="H453" s="1"/>
      </tp>
      <tp>
        <v>1956311416800</v>
        <stp/>
        <stp>P</stp>
        <stp>0</stp>
        <stp>STK</stp>
        <stp>N476830</stp>
        <stp>시가총액</stp>
        <stp/>
        <stp/>
        <tr r="H209" s="1"/>
      </tp>
      <tp>
        <v>428451639000</v>
        <stp/>
        <stp>P</stp>
        <stp>0</stp>
        <stp>STK</stp>
        <stp>N026890</stp>
        <stp>시가총액</stp>
        <stp/>
        <stp/>
        <tr r="H318" s="3"/>
        <tr r="H530" s="1"/>
      </tp>
      <tp>
        <v>307575417080</v>
        <stp/>
        <stp>P</stp>
        <stp>0</stp>
        <stp>STK</stp>
        <stp>N036890</stp>
        <stp>시가총액</stp>
        <stp/>
        <stp/>
        <tr r="H621" s="1"/>
      </tp>
      <tp>
        <v>353913778000</v>
        <stp/>
        <stp>P</stp>
        <stp>0</stp>
        <stp>STK</stp>
        <stp>N046890</stp>
        <stp>시가총액</stp>
        <stp/>
        <stp/>
        <tr r="H576" s="1"/>
      </tp>
      <tp>
        <v>530745750000</v>
        <stp/>
        <stp>P</stp>
        <stp>0</stp>
        <stp>STK</stp>
        <stp>N097520</stp>
        <stp>시가총액</stp>
        <stp/>
        <stp/>
        <tr r="H447" s="1"/>
        <tr r="H287" s="3"/>
      </tp>
      <tp>
        <v>16978313318400</v>
        <stp/>
        <stp>P</stp>
        <stp>0</stp>
        <stp>STK</stp>
        <stp>N247540</stp>
        <stp>시가총액</stp>
        <stp/>
        <stp/>
        <tr r="H54" s="1"/>
      </tp>
      <tp>
        <v>339846500000</v>
        <stp/>
        <stp>P</stp>
        <stp>0</stp>
        <stp>STK</stp>
        <stp>N357550</stp>
        <stp>시가총액</stp>
        <stp/>
        <stp/>
        <tr r="H609" s="1"/>
      </tp>
      <tp>
        <v>375147083250</v>
        <stp/>
        <stp>P</stp>
        <stp>0</stp>
        <stp>STK</stp>
        <stp>N217590</stp>
        <stp>시가총액</stp>
        <stp/>
        <stp/>
        <tr r="H542" s="1"/>
        <tr r="H326" s="3"/>
      </tp>
      <tp>
        <v>1073189978400</v>
        <stp/>
        <stp>P</stp>
        <stp>0</stp>
        <stp>STK</stp>
        <stp>N137400</stp>
        <stp>시가총액</stp>
        <stp/>
        <stp/>
        <tr r="H322" s="1"/>
      </tp>
      <tp>
        <v>855560000000</v>
        <stp/>
        <stp>P</stp>
        <stp>0</stp>
        <stp>STK</stp>
        <stp>N317450</stp>
        <stp>시가총액</stp>
        <stp/>
        <stp/>
        <tr r="H339" s="1"/>
        <tr r="H238" s="3"/>
      </tp>
      <tp>
        <v>773682179260</v>
        <stp/>
        <stp>P</stp>
        <stp>0</stp>
        <stp>STK</stp>
        <stp>N007700</stp>
        <stp>시가총액</stp>
        <stp/>
        <stp/>
        <tr r="H249" s="3"/>
        <tr r="H362" s="1"/>
      </tp>
      <tp>
        <v>2966837538000</v>
        <stp/>
        <stp>P</stp>
        <stp>0</stp>
        <stp>STK</stp>
        <stp>N257720</stp>
        <stp>시가총액</stp>
        <stp/>
        <stp/>
        <tr r="H156" s="1"/>
      </tp>
      <tp>
        <v>246275030500</v>
        <stp/>
        <stp>P</stp>
        <stp>0</stp>
        <stp>STK</stp>
        <stp>N037710</stp>
        <stp>시가총액</stp>
        <stp/>
        <stp/>
        <tr r="H673" s="1"/>
        <tr r="H374" s="3"/>
      </tp>
      <tp>
        <v>575303204800</v>
        <stp/>
        <stp>P</stp>
        <stp>0</stp>
        <stp>STK</stp>
        <stp>N117730</stp>
        <stp>시가총액</stp>
        <stp/>
        <stp/>
        <tr r="H411" s="1"/>
      </tp>
      <tp>
        <v>2092699422000</v>
        <stp/>
        <stp>P</stp>
        <stp>0</stp>
        <stp>STK</stp>
        <stp>N437730</stp>
        <stp>시가총액</stp>
        <stp/>
        <stp/>
        <tr r="H192" s="1"/>
      </tp>
      <tp>
        <v>2516366101000</v>
        <stp/>
        <stp>P</stp>
        <stp>0</stp>
        <stp>STK</stp>
        <stp>N357780</stp>
        <stp>시가총액</stp>
        <stp/>
        <stp/>
        <tr r="H167" s="1"/>
      </tp>
      <tp>
        <v>451434310800</v>
        <stp/>
        <stp>P</stp>
        <stp>0</stp>
        <stp>STK</stp>
        <stp>N107640</stp>
        <stp>시가총액</stp>
        <stp/>
        <stp/>
        <tr r="H524" s="1"/>
      </tp>
      <tp>
        <v>8229173449900</v>
        <stp/>
        <stp>P</stp>
        <stp>0</stp>
        <stp>STK</stp>
        <stp>N007660</stp>
        <stp>시가총액</stp>
        <stp/>
        <stp/>
        <tr r="H81" s="3"/>
        <tr r="H86" s="1"/>
      </tp>
      <tp>
        <v>13596210354900</v>
        <stp/>
        <stp>P</stp>
        <stp>0</stp>
        <stp>STK</stp>
        <stp>N017670</stp>
        <stp>시가총액</stp>
        <stp/>
        <stp/>
        <tr r="H61" s="3"/>
        <tr r="H63" s="1"/>
      </tp>
      <tp>
        <v>340798617600</v>
        <stp/>
        <stp>P</stp>
        <stp>0</stp>
        <stp>STK</stp>
        <stp>N007690</stp>
        <stp>시가총액</stp>
        <stp/>
        <stp/>
        <tr r="H586" s="1"/>
        <tr r="H339" s="3"/>
      </tp>
      <tp>
        <v>2486272248400</v>
        <stp/>
        <stp>P</stp>
        <stp>0</stp>
        <stp>STK</stp>
        <stp>N237690</stp>
        <stp>시가총액</stp>
        <stp/>
        <stp/>
        <tr r="H182" s="1"/>
      </tp>
      <tp>
        <v>719190922200</v>
        <stp/>
        <stp>P</stp>
        <stp>0</stp>
        <stp>STK</stp>
        <stp>N127120</stp>
        <stp>시가총액</stp>
        <stp/>
        <stp/>
        <tr r="H402" s="1"/>
      </tp>
      <tp>
        <v>284000000000</v>
        <stp/>
        <stp>P</stp>
        <stp>0</stp>
        <stp>STK</stp>
        <stp>N007160</stp>
        <stp>시가총액</stp>
        <stp/>
        <stp/>
        <tr r="H362" s="3"/>
        <tr r="H649" s="1"/>
      </tp>
      <tp>
        <v>752907238500</v>
        <stp/>
        <stp>P</stp>
        <stp>0</stp>
        <stp>STK</stp>
        <stp>N067160</stp>
        <stp>시가총액</stp>
        <stp/>
        <stp/>
        <tr r="H370" s="1"/>
      </tp>
      <tp>
        <v>2936244816000</v>
        <stp/>
        <stp>P</stp>
        <stp>0</stp>
        <stp>STK</stp>
        <stp>N457190</stp>
        <stp>시가총액</stp>
        <stp/>
        <stp/>
        <tr r="H127" s="3"/>
        <tr r="H159" s="1"/>
      </tp>
      <tp>
        <v>1104716317600</v>
        <stp/>
        <stp>P</stp>
        <stp>0</stp>
        <stp>STK</stp>
        <stp>N397030</stp>
        <stp>시가총액</stp>
        <stp/>
        <stp/>
        <tr r="H293" s="1"/>
      </tp>
      <tp>
        <v>5584505325000</v>
        <stp/>
        <stp>P</stp>
        <stp>0</stp>
        <stp>STK</stp>
        <stp>N087010</stp>
        <stp>시가총액</stp>
        <stp/>
        <stp/>
        <tr r="H108" s="1"/>
      </tp>
      <tp>
        <v>2132144132940</v>
        <stp/>
        <stp>P</stp>
        <stp>0</stp>
        <stp>STK</stp>
        <stp>N047040</stp>
        <stp>시가총액</stp>
        <stp/>
        <stp/>
        <tr r="H208" s="1"/>
        <tr r="H173" s="3"/>
      </tp>
      <tp>
        <v>11223873874400</v>
        <stp/>
        <stp>P</stp>
        <stp>0</stp>
        <stp>STK</stp>
        <stp>N047050</stp>
        <stp>시가총액</stp>
        <stp/>
        <stp/>
        <tr r="H68" s="1"/>
        <tr r="H65" s="3"/>
      </tp>
      <tp>
        <v>645600000000</v>
        <stp/>
        <stp>P</stp>
        <stp>0</stp>
        <stp>STK</stp>
        <stp>N057050</stp>
        <stp>시가총액</stp>
        <stp/>
        <stp/>
        <tr r="H268" s="3"/>
        <tr r="H410" s="1"/>
      </tp>
      <tp>
        <v>1772477198000</v>
        <stp/>
        <stp>P</stp>
        <stp>0</stp>
        <stp>STK</stp>
        <stp>N007070</stp>
        <stp>시가총액</stp>
        <stp/>
        <stp/>
        <tr r="H232" s="1"/>
        <tr r="H183" s="3"/>
      </tp>
      <tp>
        <v>293584570500</v>
        <stp/>
        <stp>P</stp>
        <stp>0</stp>
        <stp>STK</stp>
        <stp>N067080</stp>
        <stp>시가총액</stp>
        <stp/>
        <stp/>
        <tr r="H620" s="1"/>
      </tp>
      <tp>
        <v>384140715840</v>
        <stp/>
        <stp>P</stp>
        <stp>0</stp>
        <stp>STK</stp>
        <stp>N317330</stp>
        <stp>시가총액</stp>
        <stp/>
        <stp/>
        <tr r="H574" s="1"/>
      </tp>
      <tp>
        <v>1003212600480</v>
        <stp/>
        <stp>P</stp>
        <stp>0</stp>
        <stp>STK</stp>
        <stp>N137310</stp>
        <stp>시가총액</stp>
        <stp/>
        <stp/>
        <tr r="H312" s="1"/>
        <tr r="H227" s="3"/>
      </tp>
      <tp>
        <v>1559045870000</v>
        <stp/>
        <stp>P</stp>
        <stp>0</stp>
        <stp>STK</stp>
        <stp>N007310</stp>
        <stp>시가총액</stp>
        <stp/>
        <stp/>
        <tr r="H244" s="1"/>
        <tr r="H194" s="3"/>
      </tp>
      <tp>
        <v>1689323942950</v>
        <stp/>
        <stp>P</stp>
        <stp>0</stp>
        <stp>STK</stp>
        <stp>N067310</stp>
        <stp>시가총액</stp>
        <stp/>
        <stp/>
        <tr r="H230" s="1"/>
      </tp>
      <tp>
        <v>7270809070000</v>
        <stp/>
        <stp>P</stp>
        <stp>0</stp>
        <stp>STK</stp>
        <stp>N377300</stp>
        <stp>시가총액</stp>
        <stp/>
        <stp/>
        <tr r="H86" s="3"/>
        <tr r="H92" s="1"/>
      </tp>
      <tp>
        <v>1494952600750</v>
        <stp/>
        <stp>P</stp>
        <stp>0</stp>
        <stp>STK</stp>
        <stp>N007340</stp>
        <stp>시가총액</stp>
        <stp/>
        <stp/>
        <tr r="H198" s="3"/>
        <tr r="H251" s="1"/>
      </tp>
      <tp>
        <v>1288056769440</v>
        <stp/>
        <stp>P</stp>
        <stp>0</stp>
        <stp>STK</stp>
        <stp>N007390</stp>
        <stp>시가총액</stp>
        <stp/>
        <stp/>
        <tr r="H272" s="1"/>
      </tp>
      <tp>
        <v>320000000000</v>
        <stp/>
        <stp>P</stp>
        <stp>0</stp>
        <stp>STK</stp>
        <stp>N017390</stp>
        <stp>시가총액</stp>
        <stp/>
        <stp/>
        <tr r="H601" s="1"/>
        <tr r="H350" s="3"/>
      </tp>
      <tp>
        <v>2153543954400</v>
        <stp/>
        <stp>P</stp>
        <stp>0</stp>
        <stp>STK</stp>
        <stp>N097230</stp>
        <stp>시가총액</stp>
        <stp/>
        <stp/>
        <tr r="H195" s="1"/>
        <tr r="H164" s="3"/>
      </tp>
      <tp>
        <v>903839524240</v>
        <stp/>
        <stp>P</stp>
        <stp>0</stp>
        <stp>STK</stp>
        <stp>N417200</stp>
        <stp>시가총액</stp>
        <stp/>
        <stp/>
        <tr r="H333" s="1"/>
      </tp>
      <tp>
        <v>31469148855000</v>
        <stp/>
        <stp>P</stp>
        <stp>0</stp>
        <stp>STK</stp>
        <stp>N267260</stp>
        <stp>시가총액</stp>
        <stp/>
        <stp/>
        <tr r="H26" s="1"/>
        <tr r="H26" s="3"/>
      </tp>
      <tp>
        <v>2082913560000</v>
        <stp/>
        <stp>P</stp>
        <stp>0</stp>
        <stp>STK</stp>
        <stp>N267270</stp>
        <stp>시가총액</stp>
        <stp/>
        <stp/>
        <tr r="H213" s="1"/>
        <tr r="H174" s="3"/>
      </tp>
      <tp>
        <v>19274312740000</v>
        <stp/>
        <stp>P</stp>
        <stp>0</stp>
        <stp>STK</stp>
        <stp>N267250</stp>
        <stp>시가총액</stp>
        <stp/>
        <stp/>
        <tr r="H41" s="3"/>
        <tr r="H41" s="1"/>
      </tp>
      <tp>
        <v>581532581880</v>
        <stp/>
        <stp>P</stp>
        <stp>0</stp>
        <stp>STK</stp>
        <stp>N047920</stp>
        <stp>시가총액</stp>
        <stp/>
        <stp/>
        <tr r="H448" s="1"/>
      </tp>
      <tp>
        <v>565950000000</v>
        <stp/>
        <stp>P</stp>
        <stp>0</stp>
        <stp>STK</stp>
        <stp>N017940</stp>
        <stp>시가총액</stp>
        <stp/>
        <stp/>
        <tr r="H444" s="1"/>
        <tr r="H282" s="3"/>
      </tp>
      <tp>
        <v>3229122897000</v>
        <stp/>
        <stp>P</stp>
        <stp>0</stp>
        <stp>STK</stp>
        <stp>N097950</stp>
        <stp>시가총액</stp>
        <stp/>
        <stp/>
        <tr r="H147" s="1"/>
        <tr r="H128" s="3"/>
      </tp>
      <tp>
        <v>83045966094000</v>
        <stp/>
        <stp>P</stp>
        <stp>0</stp>
        <stp>STK</stp>
        <stp>N207940</stp>
        <stp>시가총액</stp>
        <stp/>
        <stp/>
        <tr r="H10" s="1"/>
        <tr r="H10" s="3"/>
      </tp>
      <tp>
        <v>12834423576000</v>
        <stp/>
        <stp>P</stp>
        <stp>0</stp>
        <stp>STK</stp>
        <stp>N307950</stp>
        <stp>시가총액</stp>
        <stp/>
        <stp/>
        <tr r="H60" s="3"/>
        <tr r="H58" s="1"/>
      </tp>
      <tp>
        <v>1847940891200</v>
        <stp/>
        <stp>P</stp>
        <stp>0</stp>
        <stp>STK</stp>
        <stp>N017960</stp>
        <stp>시가총액</stp>
        <stp/>
        <stp/>
        <tr r="H178" s="3"/>
        <tr r="H218" s="1"/>
      </tp>
      <tp>
        <v>1509567168800</v>
        <stp/>
        <stp>P</stp>
        <stp>0</stp>
        <stp>STK</stp>
        <stp>N077970</stp>
        <stp>시가총액</stp>
        <stp/>
        <stp/>
        <tr r="H197" s="3"/>
        <tr r="H246" s="1"/>
      </tp>
      <tp>
        <v>263629147200</v>
        <stp/>
        <stp>P</stp>
        <stp>0</stp>
        <stp>STK</stp>
        <stp>N267980</stp>
        <stp>시가총액</stp>
        <stp/>
        <stp/>
        <tr r="H655" s="1"/>
      </tp>
      <tp>
        <v>3655137997500</v>
        <stp/>
        <stp>P</stp>
        <stp>0</stp>
        <stp>STK</stp>
        <stp>N017800</stp>
        <stp>시가총액</stp>
        <stp/>
        <stp/>
        <tr r="H121" s="3"/>
        <tr r="H137" s="1"/>
      </tp>
      <tp>
        <v>1473934862400</v>
        <stp/>
        <stp>P</stp>
        <stp>0</stp>
        <stp>STK</stp>
        <stp>N007810</stp>
        <stp>시가총액</stp>
        <stp/>
        <stp/>
        <tr r="H250" s="1"/>
        <tr r="H199" s="3"/>
      </tp>
      <tp>
        <v>494042224320</v>
        <stp/>
        <stp>P</stp>
        <stp>0</stp>
        <stp>STK</stp>
        <stp>N017810</stp>
        <stp>시가총액</stp>
        <stp/>
        <stp/>
        <tr r="H301" s="3"/>
        <tr r="H479" s="1"/>
      </tp>
      <tp>
        <v>16141877719200</v>
        <stp/>
        <stp>P</stp>
        <stp>0</stp>
        <stp>STK</stp>
        <stp>N047810</stp>
        <stp>시가총액</stp>
        <stp/>
        <stp/>
        <tr r="H52" s="3"/>
        <tr r="H53" s="1"/>
      </tp>
      <tp>
        <v>9670829213000</v>
        <stp/>
        <stp>P</stp>
        <stp>0</stp>
        <stp>STK</stp>
        <stp>N277810</stp>
        <stp>시가총액</stp>
        <stp/>
        <stp/>
        <tr r="H71" s="1"/>
      </tp>
      <tp>
        <v>337792712520</v>
        <stp/>
        <stp>P</stp>
        <stp>0</stp>
        <stp>STK</stp>
        <stp>N017860</stp>
        <stp>시가총액</stp>
        <stp/>
        <stp/>
        <tr r="H594" s="1"/>
        <tr r="H338" s="3"/>
      </tp>
      <tp>
        <v>3465420228000</v>
        <stp/>
        <stp>P</stp>
        <stp>0</stp>
        <stp>STK</stp>
        <stp>N347850</stp>
        <stp>시가총액</stp>
        <stp/>
        <stp/>
        <tr r="H138" s="1"/>
      </tp>
      <tp>
        <v>751545090000</v>
        <stp/>
        <stp>P</stp>
        <stp>0</stp>
        <stp>STK</stp>
        <stp>N287840</stp>
        <stp>시가총액</stp>
        <stp/>
        <stp/>
        <tr r="H380" s="1"/>
      </tp>
      <tp>
        <v>234024021350</v>
        <stp/>
        <stp>P</stp>
        <stp>0</stp>
        <stp>STK</stp>
        <stp>N237880</stp>
        <stp>시가총액</stp>
        <stp/>
        <stp/>
        <tr r="H690" s="1"/>
      </tp>
      <tp>
        <v>353137688400</v>
        <stp/>
        <stp>P</stp>
        <stp>0</stp>
        <stp>STK</stp>
        <stp>N144510</stp>
        <stp>시가총액</stp>
        <stp/>
        <stp/>
        <tr r="H575" s="1"/>
      </tp>
      <tp>
        <v>309207286180</v>
        <stp/>
        <stp>P</stp>
        <stp>0</stp>
        <stp>STK</stp>
        <stp>N064550</stp>
        <stp>시가총액</stp>
        <stp/>
        <stp/>
        <tr r="H613" s="1"/>
      </tp>
      <tp>
        <v>273990523800</v>
        <stp/>
        <stp>P</stp>
        <stp>0</stp>
        <stp>STK</stp>
        <stp>N294570</stp>
        <stp>시가총액</stp>
        <stp/>
        <stp/>
        <tr r="H647" s="1"/>
      </tp>
      <tp>
        <v>529966387000</v>
        <stp/>
        <stp>P</stp>
        <stp>0</stp>
        <stp>STK</stp>
        <stp>N484590</stp>
        <stp>시가총액</stp>
        <stp/>
        <stp/>
        <tr r="H450" s="1"/>
      </tp>
      <tp>
        <v>6704507601600</v>
        <stp/>
        <stp>P</stp>
        <stp>0</stp>
        <stp>STK</stp>
        <stp>N064400</stp>
        <stp>시가총액</stp>
        <stp/>
        <stp/>
        <tr r="H89" s="3"/>
        <tr r="H91" s="1"/>
      </tp>
      <tp>
        <v>627689768500</v>
        <stp/>
        <stp>P</stp>
        <stp>0</stp>
        <stp>STK</stp>
        <stp>N214430</stp>
        <stp>시가총액</stp>
        <stp/>
        <stp/>
        <tr r="H414" s="1"/>
      </tp>
      <tp>
        <v>4820796672000</v>
        <stp/>
        <stp>P</stp>
        <stp>0</stp>
        <stp>STK</stp>
        <stp>N214450</stp>
        <stp>시가총액</stp>
        <stp/>
        <stp/>
        <tr r="H117" s="1"/>
      </tp>
      <tp>
        <v>374252654520</v>
        <stp/>
        <stp>P</stp>
        <stp>0</stp>
        <stp>STK</stp>
        <stp>N094480</stp>
        <stp>시가총액</stp>
        <stp/>
        <stp/>
        <tr r="H564" s="1"/>
      </tp>
      <tp>
        <v>905800000000</v>
        <stp/>
        <stp>P</stp>
        <stp>0</stp>
        <stp>STK</stp>
        <stp>N004490</stp>
        <stp>시가총액</stp>
        <stp/>
        <stp/>
        <tr r="H235" s="3"/>
        <tr r="H330" s="1"/>
      </tp>
      <tp>
        <v>640236192000</v>
        <stp/>
        <stp>P</stp>
        <stp>0</stp>
        <stp>STK</stp>
        <stp>N044490</stp>
        <stp>시가총액</stp>
        <stp/>
        <stp/>
        <tr r="H391" s="1"/>
      </tp>
      <tp>
        <v>414816930000</v>
        <stp/>
        <stp>P</stp>
        <stp>0</stp>
        <stp>STK</stp>
        <stp>N194480</stp>
        <stp>시가총액</stp>
        <stp/>
        <stp/>
        <tr r="H534" s="1"/>
      </tp>
      <tp>
        <v>490706384400</v>
        <stp/>
        <stp>P</stp>
        <stp>0</stp>
        <stp>STK</stp>
        <stp>N004700</stp>
        <stp>시가총액</stp>
        <stp/>
        <stp/>
        <tr r="H497" s="1"/>
        <tr r="H306" s="3"/>
      </tp>
      <tp>
        <v>364500000000</v>
        <stp/>
        <stp>P</stp>
        <stp>0</stp>
        <stp>STK</stp>
        <stp>N104700</stp>
        <stp>시가총액</stp>
        <stp/>
        <stp/>
        <tr r="H565" s="1"/>
        <tr r="H332" s="3"/>
      </tp>
      <tp>
        <v>255628578240</v>
        <stp/>
        <stp>P</stp>
        <stp>0</stp>
        <stp>STK</stp>
        <stp>N194700</stp>
        <stp>시가총액</stp>
        <stp/>
        <stp/>
        <tr r="H668" s="1"/>
      </tp>
      <tp>
        <v>323756684960</v>
        <stp/>
        <stp>P</stp>
        <stp>0</stp>
        <stp>STK</stp>
        <stp>N024720</stp>
        <stp>시가총액</stp>
        <stp/>
        <stp/>
        <tr r="H348" s="3"/>
        <tr r="H602" s="1"/>
      </tp>
      <tp>
        <v>21062035221500</v>
        <stp/>
        <stp>P</stp>
        <stp>0</stp>
        <stp>STK</stp>
        <stp>N034730</stp>
        <stp>시가총액</stp>
        <stp/>
        <stp/>
        <tr r="H38" s="1"/>
        <tr r="H37" s="3"/>
      </tp>
      <tp>
        <v>1930685143200</v>
        <stp/>
        <stp>P</stp>
        <stp>0</stp>
        <stp>STK</stp>
        <stp>N064760</stp>
        <stp>시가총액</stp>
        <stp/>
        <stp/>
        <tr r="H215" s="1"/>
      </tp>
      <tp>
        <v>512692990500</v>
        <stp/>
        <stp>P</stp>
        <stp>0</stp>
        <stp>STK</stp>
        <stp>N284740</stp>
        <stp>시가총액</stp>
        <stp/>
        <stp/>
        <tr r="H292" s="3"/>
        <tr r="H470" s="1"/>
      </tp>
      <tp>
        <v>619082400000</v>
        <stp/>
        <stp>P</stp>
        <stp>0</stp>
        <stp>STK</stp>
        <stp>N074600</stp>
        <stp>시가총액</stp>
        <stp/>
        <stp/>
        <tr r="H405" s="1"/>
      </tp>
      <tp>
        <v>764852083200</v>
        <stp/>
        <stp>P</stp>
        <stp>0</stp>
        <stp>STK</stp>
        <stp>N014620</stp>
        <stp>시가총액</stp>
        <stp/>
        <stp/>
        <tr r="H361" s="1"/>
      </tp>
      <tp>
        <v>3196524990000</v>
        <stp/>
        <stp>P</stp>
        <stp>0</stp>
        <stp>STK</stp>
        <stp>N014680</stp>
        <stp>시가총액</stp>
        <stp/>
        <stp/>
        <tr r="H129" s="3"/>
        <tr r="H152" s="1"/>
      </tp>
      <tp>
        <v>521070712500</v>
        <stp/>
        <stp>P</stp>
        <stp>0</stp>
        <stp>STK</stp>
        <stp>N004690</stp>
        <stp>시가총액</stp>
        <stp/>
        <stp/>
        <tr r="H291" s="3"/>
        <tr r="H465" s="1"/>
      </tp>
      <tp>
        <v>352710120120</v>
        <stp/>
        <stp>P</stp>
        <stp>0</stp>
        <stp>STK</stp>
        <stp>N084690</stp>
        <stp>시가총액</stp>
        <stp/>
        <stp/>
        <tr r="H587" s="1"/>
        <tr r="H342" s="3"/>
      </tp>
      <tp>
        <v>16745943249000</v>
        <stp/>
        <stp>P</stp>
        <stp>0</stp>
        <stp>STK</stp>
        <stp>N024110</stp>
        <stp>시가총액</stp>
        <stp/>
        <stp/>
        <tr r="H50" s="3"/>
        <tr r="H52" s="1"/>
      </tp>
      <tp>
        <v>636788543600</v>
        <stp/>
        <stp>P</stp>
        <stp>0</stp>
        <stp>STK</stp>
        <stp>N084110</stp>
        <stp>시가총액</stp>
        <stp/>
        <stp/>
        <tr r="H423" s="1"/>
      </tp>
      <tp>
        <v>344867514420</v>
        <stp/>
        <stp>P</stp>
        <stp>0</stp>
        <stp>STK</stp>
        <stp>N034120</stp>
        <stp>시가총액</stp>
        <stp/>
        <stp/>
        <tr r="H336" s="3"/>
        <tr r="H581" s="1"/>
      </tp>
      <tp>
        <v>331218386500</v>
        <stp/>
        <stp>P</stp>
        <stp>0</stp>
        <stp>STK</stp>
        <stp>N304100</stp>
        <stp>시가총액</stp>
        <stp/>
        <stp/>
        <tr r="H591" s="1"/>
      </tp>
      <tp>
        <v>255892017000</v>
        <stp/>
        <stp>P</stp>
        <stp>0</stp>
        <stp>STK</stp>
        <stp>N484120</stp>
        <stp>시가총액</stp>
        <stp/>
        <stp/>
        <tr r="H671" s="1"/>
      </tp>
      <tp>
        <v>421953102800</v>
        <stp/>
        <stp>P</stp>
        <stp>0</stp>
        <stp>STK</stp>
        <stp>N494120</stp>
        <stp>시가총액</stp>
        <stp/>
        <stp/>
        <tr r="H526" s="1"/>
      </tp>
      <tp>
        <v>2772989537500</v>
        <stp/>
        <stp>P</stp>
        <stp>0</stp>
        <stp>STK</stp>
        <stp>N004170</stp>
        <stp>시가총액</stp>
        <stp/>
        <stp/>
        <tr r="H136" s="3"/>
        <tr r="H160" s="1"/>
      </tp>
      <tp>
        <v>3923788974100</v>
        <stp/>
        <stp>P</stp>
        <stp>0</stp>
        <stp>STK</stp>
        <stp>N214150</stp>
        <stp>시가총액</stp>
        <stp/>
        <stp/>
        <tr r="H129" s="1"/>
      </tp>
      <tp>
        <v>556204297600</v>
        <stp/>
        <stp>P</stp>
        <stp>0</stp>
        <stp>STK</stp>
        <stp>N094170</stp>
        <stp>시가총액</stp>
        <stp/>
        <stp/>
        <tr r="H436" s="1"/>
      </tp>
      <tp>
        <v>479357747300</v>
        <stp/>
        <stp>P</stp>
        <stp>0</stp>
        <stp>STK</stp>
        <stp>N114190</stp>
        <stp>시가총액</stp>
        <stp/>
        <stp/>
        <tr r="H563" s="1"/>
      </tp>
      <tp>
        <v>1176480000000</v>
        <stp/>
        <stp>P</stp>
        <stp>0</stp>
        <stp>STK</stp>
        <stp>N004000</stp>
        <stp>시가총액</stp>
        <stp/>
        <stp/>
        <tr r="H216" s="3"/>
        <tr r="H287" s="1"/>
      </tp>
      <tp>
        <v>237164008950</v>
        <stp/>
        <stp>P</stp>
        <stp>0</stp>
        <stp>STK</stp>
        <stp>N084010</stp>
        <stp>시가총액</stp>
        <stp/>
        <stp/>
        <tr r="H378" s="3"/>
        <tr r="H684" s="1"/>
      </tp>
      <tp>
        <v>4623896450250</v>
        <stp/>
        <stp>P</stp>
        <stp>0</stp>
        <stp>STK</stp>
        <stp>N004020</stp>
        <stp>시가총액</stp>
        <stp/>
        <stp/>
        <tr r="H122" s="1"/>
        <tr r="H105" s="3"/>
      </tp>
      <tp>
        <v>57778615369200</v>
        <stp/>
        <stp>P</stp>
        <stp>0</stp>
        <stp>STK</stp>
        <stp>N034020</stp>
        <stp>시가총액</stp>
        <stp/>
        <stp/>
        <tr r="H14" s="1"/>
        <tr r="H14" s="3"/>
      </tp>
      <tp>
        <v>810309277000</v>
        <stp/>
        <stp>P</stp>
        <stp>0</stp>
        <stp>STK</stp>
        <stp>N114090</stp>
        <stp>시가총액</stp>
        <stp/>
        <stp/>
        <tr r="H351" s="1"/>
        <tr r="H244" s="3"/>
      </tp>
      <tp>
        <v>3099169920000</v>
        <stp/>
        <stp>P</stp>
        <stp>0</stp>
        <stp>STK</stp>
        <stp>N204320</stp>
        <stp>시가총액</stp>
        <stp/>
        <stp/>
        <tr r="H125" s="3"/>
        <tr r="H139" s="1"/>
      </tp>
      <tp>
        <v>742800000000</v>
        <stp/>
        <stp>P</stp>
        <stp>0</stp>
        <stp>STK</stp>
        <stp>N214320</stp>
        <stp>시가총액</stp>
        <stp/>
        <stp/>
        <tr r="H256" s="3"/>
        <tr r="H375" s="1"/>
      </tp>
      <tp>
        <v>480416041990</v>
        <stp/>
        <stp>P</stp>
        <stp>0</stp>
        <stp>STK</stp>
        <stp>N034310</stp>
        <stp>시가총액</stp>
        <stp/>
        <stp/>
        <tr r="H488" s="1"/>
        <tr r="H304" s="3"/>
      </tp>
      <tp>
        <v>364863236400</v>
        <stp/>
        <stp>P</stp>
        <stp>0</stp>
        <stp>STK</stp>
        <stp>N304360</stp>
        <stp>시가총액</stp>
        <stp/>
        <stp/>
        <tr r="H557" s="1"/>
      </tp>
      <tp>
        <v>4066225500000</v>
        <stp/>
        <stp>P</stp>
        <stp>0</stp>
        <stp>STK</stp>
        <stp>N214370</stp>
        <stp>시가총액</stp>
        <stp/>
        <stp/>
        <tr r="H126" s="1"/>
      </tp>
      <tp>
        <v>22428741211500</v>
        <stp/>
        <stp>P</stp>
        <stp>0</stp>
        <stp>STK</stp>
        <stp>N064350</stp>
        <stp>시가총액</stp>
        <stp/>
        <stp/>
        <tr r="H34" s="3"/>
        <tr r="H34" s="1"/>
      </tp>
      <tp>
        <v>260927980950</v>
        <stp/>
        <stp>P</stp>
        <stp>0</stp>
        <stp>STK</stp>
        <stp>N004360</stp>
        <stp>시가총액</stp>
        <stp/>
        <stp/>
        <tr r="H659" s="1"/>
        <tr r="H367" s="3"/>
      </tp>
      <tp>
        <v>365790720060</v>
        <stp/>
        <stp>P</stp>
        <stp>0</stp>
        <stp>STK</stp>
        <stp>N094360</stp>
        <stp>시가총액</stp>
        <stp/>
        <stp/>
        <tr r="H556" s="1"/>
      </tp>
      <tp>
        <v>330500873620</v>
        <stp/>
        <stp>P</stp>
        <stp>0</stp>
        <stp>STK</stp>
        <stp>N194370</stp>
        <stp>시가총액</stp>
        <stp/>
        <stp/>
        <tr r="H599" s="1"/>
        <tr r="H347" s="3"/>
      </tp>
      <tp>
        <v>2490841899000</v>
        <stp/>
        <stp>P</stp>
        <stp>0</stp>
        <stp>STK</stp>
        <stp>N004370</stp>
        <stp>시가총액</stp>
        <stp/>
        <stp/>
        <tr r="H149" s="3"/>
        <tr r="H179" s="1"/>
      </tp>
      <tp>
        <v>1720994754200</v>
        <stp/>
        <stp>P</stp>
        <stp>0</stp>
        <stp>STK</stp>
        <stp>N084370</stp>
        <stp>시가총액</stp>
        <stp/>
        <stp/>
        <tr r="H219" s="1"/>
      </tp>
      <tp>
        <v>6325000000000</v>
        <stp/>
        <stp>P</stp>
        <stp>0</stp>
        <stp>STK</stp>
        <stp>N034220</stp>
        <stp>시가총액</stp>
        <stp/>
        <stp/>
        <tr r="H99" s="1"/>
        <tr r="H91" s="3"/>
      </tp>
      <tp>
        <v>1606008615420</v>
        <stp/>
        <stp>P</stp>
        <stp>0</stp>
        <stp>STK</stp>
        <stp>N034230</stp>
        <stp>시가총액</stp>
        <stp/>
        <stp/>
        <tr r="H242" s="1"/>
        <tr r="H189" s="3"/>
      </tp>
      <tp>
        <v>1177216283100</v>
        <stp/>
        <stp>P</stp>
        <stp>0</stp>
        <stp>STK</stp>
        <stp>N204270</stp>
        <stp>시가총액</stp>
        <stp/>
        <stp/>
        <tr r="H294" s="1"/>
      </tp>
      <tp>
        <v>293392400700</v>
        <stp/>
        <stp>P</stp>
        <stp>0</stp>
        <stp>STK</stp>
        <stp>N394280</stp>
        <stp>시가총액</stp>
        <stp/>
        <stp/>
        <tr r="H624" s="1"/>
      </tp>
      <tp>
        <v>355681030850</v>
        <stp/>
        <stp>P</stp>
        <stp>0</stp>
        <stp>STK</stp>
        <stp>N314930</stp>
        <stp>시가총액</stp>
        <stp/>
        <stp/>
        <tr r="H573" s="1"/>
      </tp>
      <tp>
        <v>370058127320</v>
        <stp/>
        <stp>P</stp>
        <stp>0</stp>
        <stp>STK</stp>
        <stp>N014940</stp>
        <stp>시가총액</stp>
        <stp/>
        <stp/>
        <tr r="H550" s="1"/>
      </tp>
      <tp>
        <v>441337960800</v>
        <stp/>
        <stp>P</stp>
        <stp>0</stp>
        <stp>STK</stp>
        <stp>N034950</stp>
        <stp>시가총액</stp>
        <stp/>
        <stp/>
        <tr r="H508" s="1"/>
      </tp>
      <tp>
        <v>309501235200</v>
        <stp/>
        <stp>P</stp>
        <stp>0</stp>
        <stp>STK</stp>
        <stp>N054950</stp>
        <stp>시가총액</stp>
        <stp/>
        <stp/>
        <tr r="H614" s="1"/>
      </tp>
      <tp>
        <v>7395959718000</v>
        <stp/>
        <stp>P</stp>
        <stp>0</stp>
        <stp>STK</stp>
        <stp>N454910</stp>
        <stp>시가총액</stp>
        <stp/>
        <stp/>
        <tr r="H82" s="3"/>
        <tr r="H87" s="1"/>
      </tp>
      <tp>
        <v>1037724635200</v>
        <stp/>
        <stp>P</stp>
        <stp>0</stp>
        <stp>STK</stp>
        <stp>N064960</stp>
        <stp>시가총액</stp>
        <stp/>
        <stp/>
        <tr r="H299" s="1"/>
        <tr r="H226" s="3"/>
      </tp>
      <tp>
        <v>232657532770</v>
        <stp/>
        <stp>P</stp>
        <stp>0</stp>
        <stp>STK</stp>
        <stp>N004980</stp>
        <stp>시가총액</stp>
        <stp/>
        <stp/>
        <tr r="H380" s="3"/>
        <tr r="H689" s="1"/>
      </tp>
      <tp>
        <v>3110558877050</v>
        <stp/>
        <stp>P</stp>
        <stp>0</stp>
        <stp>STK</stp>
        <stp>N004990</stp>
        <stp>시가총액</stp>
        <stp/>
        <stp/>
        <tr r="H150" s="1"/>
        <tr r="H131" s="3"/>
      </tp>
      <tp>
        <v>2552912067500</v>
        <stp/>
        <stp>P</stp>
        <stp>0</stp>
        <stp>STK</stp>
        <stp>N004800</stp>
        <stp>시가총액</stp>
        <stp/>
        <stp/>
        <tr r="H148" s="3"/>
        <tr r="H174" s="1"/>
      </tp>
      <tp>
        <v>332538613620</v>
        <stp/>
        <stp>P</stp>
        <stp>0</stp>
        <stp>STK</stp>
        <stp>N114810</stp>
        <stp>시가총액</stp>
        <stp/>
        <stp/>
        <tr r="H603" s="1"/>
      </tp>
      <tp>
        <v>432800875200</v>
        <stp/>
        <stp>P</stp>
        <stp>0</stp>
        <stp>STK</stp>
        <stp>N344820</stp>
        <stp>시가총액</stp>
        <stp/>
        <stp/>
        <tr r="H516" s="1"/>
        <tr r="H316" s="3"/>
      </tp>
      <tp>
        <v>451366400000</v>
        <stp/>
        <stp>P</stp>
        <stp>0</stp>
        <stp>STK</stp>
        <stp>N104830</stp>
        <stp>시가총액</stp>
        <stp/>
        <stp/>
        <tr r="H504" s="1"/>
      </tp>
      <tp>
        <v>787113306300</v>
        <stp/>
        <stp>P</stp>
        <stp>0</stp>
        <stp>STK</stp>
        <stp>N014820</stp>
        <stp>시가총액</stp>
        <stp/>
        <stp/>
        <tr r="H381" s="1"/>
        <tr r="H252" s="3"/>
      </tp>
      <tp>
        <v>374528943360</v>
        <stp/>
        <stp>P</stp>
        <stp>0</stp>
        <stp>STK</stp>
        <stp>N064820</stp>
        <stp>시가총액</stp>
        <stp/>
        <stp/>
        <tr r="H548" s="1"/>
      </tp>
      <tp>
        <v>557650240000</v>
        <stp/>
        <stp>P</stp>
        <stp>0</stp>
        <stp>STK</stp>
        <stp>N014830</stp>
        <stp>시가총액</stp>
        <stp/>
        <stp/>
        <tr r="H484" s="1"/>
        <tr r="H299" s="3"/>
      </tp>
      <tp>
        <v>770575066910</v>
        <stp/>
        <stp>P</stp>
        <stp>0</stp>
        <stp>STK</stp>
        <stp>N424870</stp>
        <stp>시가총액</stp>
        <stp/>
        <stp/>
        <tr r="H353" s="1"/>
      </tp>
      <tp>
        <v>1335554010000</v>
        <stp/>
        <stp>P</stp>
        <stp>0</stp>
        <stp>STK</stp>
        <stp>N484870</stp>
        <stp>시가총액</stp>
        <stp/>
        <stp/>
        <tr r="H203" s="3"/>
        <tr r="H256" s="1"/>
      </tp>
      <tp>
        <v>453553877280</v>
        <stp/>
        <stp>P</stp>
        <stp>0</stp>
        <stp>STK</stp>
        <stp>N394800</stp>
        <stp>시가총액</stp>
        <stp/>
        <stp/>
        <tr r="H495" s="1"/>
      </tp>
      <tp>
        <v>267938853000</v>
        <stp/>
        <stp>P</stp>
        <stp>0</stp>
        <stp>STK</stp>
        <stp>N114840</stp>
        <stp>시가총액</stp>
        <stp/>
        <stp/>
        <tr r="H661" s="1"/>
      </tp>
      <tp>
        <v>210951286200</v>
        <stp/>
        <stp>P</stp>
        <stp>0</stp>
        <stp>STK</stp>
        <stp>N084850</stp>
        <stp>시가총액</stp>
        <stp/>
        <stp/>
        <tr r="H695" s="1"/>
      </tp>
      <tp>
        <v>361551411000</v>
        <stp/>
        <stp>P</stp>
        <stp>0</stp>
        <stp>STK</stp>
        <stp>N484810</stp>
        <stp>시가총액</stp>
        <stp/>
        <stp/>
        <tr r="H559" s="1"/>
      </tp>
      <tp>
        <v>1344509532000</v>
        <stp/>
        <stp>P</stp>
        <stp>0</stp>
        <stp>STK</stp>
        <stp>N294870</stp>
        <stp>시가총액</stp>
        <stp/>
        <stp/>
        <tr r="H202" s="3"/>
        <tr r="H264" s="1"/>
      </tp>
      <tp>
        <v>254811600000</v>
        <stp/>
        <stp>P</stp>
        <stp>0</stp>
        <stp>STK</stp>
        <stp>N005500</stp>
        <stp>시가총액</stp>
        <stp/>
        <stp/>
        <tr r="H371" s="3"/>
        <tr r="H666" s="1"/>
      </tp>
      <tp>
        <v>286417123630</v>
        <stp/>
        <stp>P</stp>
        <stp>0</stp>
        <stp>STK</stp>
        <stp>N265520</stp>
        <stp>시가총액</stp>
        <stp/>
        <stp/>
        <tr r="H639" s="1"/>
      </tp>
      <tp>
        <v>382353287670</v>
        <stp/>
        <stp>P</stp>
        <stp>0</stp>
        <stp>STK</stp>
        <stp>N095500</stp>
        <stp>시가총액</stp>
        <stp/>
        <stp/>
        <tr r="H596" s="1"/>
      </tp>
      <tp>
        <v>353900528000</v>
        <stp/>
        <stp>P</stp>
        <stp>0</stp>
        <stp>STK</stp>
        <stp>N475560</stp>
        <stp>시가총액</stp>
        <stp/>
        <stp/>
        <tr r="H571" s="1"/>
        <tr r="H334" s="3"/>
      </tp>
      <tp>
        <v>1713160158325</v>
        <stp/>
        <stp>P</stp>
        <stp>0</stp>
        <stp>STK</stp>
        <stp>N375500</stp>
        <stp>시가총액</stp>
        <stp/>
        <stp/>
        <tr r="H235" s="1"/>
        <tr r="H187" s="3"/>
      </tp>
      <tp>
        <v>761659500000</v>
        <stp/>
        <stp>P</stp>
        <stp>0</stp>
        <stp>STK</stp>
        <stp>N025540</stp>
        <stp>시가총액</stp>
        <stp/>
        <stp/>
        <tr r="H248" s="3"/>
        <tr r="H352" s="1"/>
      </tp>
      <tp>
        <v>796908105400</v>
        <stp/>
        <stp>P</stp>
        <stp>0</stp>
        <stp>STK</stp>
        <stp>N225570</stp>
        <stp>시가총액</stp>
        <stp/>
        <stp/>
        <tr r="H354" s="1"/>
      </tp>
      <tp>
        <v>40441728002200</v>
        <stp/>
        <stp>P</stp>
        <stp>0</stp>
        <stp>STK</stp>
        <stp>N055550</stp>
        <stp>시가총액</stp>
        <stp/>
        <stp/>
        <tr r="H22" s="3"/>
        <tr r="H22" s="1"/>
      </tp>
      <tp>
        <v>51154068012300</v>
        <stp/>
        <stp>P</stp>
        <stp>0</stp>
        <stp>STK</stp>
        <stp>N105560</stp>
        <stp>시가총액</stp>
        <stp/>
        <stp/>
        <tr r="H16" s="1"/>
        <tr r="H16" s="3"/>
      </tp>
      <tp>
        <v>1092646544320</v>
        <stp/>
        <stp>P</stp>
        <stp>0</stp>
        <stp>STK</stp>
        <stp>N075580</stp>
        <stp>시가총액</stp>
        <stp/>
        <stp/>
        <tr r="H296" s="1"/>
        <tr r="H222" s="3"/>
      </tp>
      <tp>
        <v>622213293600</v>
        <stp/>
        <stp>P</stp>
        <stp>0</stp>
        <stp>STK</stp>
        <stp>N005420</stp>
        <stp>시가총액</stp>
        <stp/>
        <stp/>
        <tr r="H443" s="1"/>
        <tr r="H276" s="3"/>
      </tp>
      <tp>
        <v>38742601586000</v>
        <stp/>
        <stp>P</stp>
        <stp>0</stp>
        <stp>STK</stp>
        <stp>N035420</stp>
        <stp>시가총액</stp>
        <stp/>
        <stp/>
        <tr r="H23" s="3"/>
        <tr r="H23" s="1"/>
      </tp>
      <tp>
        <v>1342336031610</v>
        <stp/>
        <stp>P</stp>
        <stp>0</stp>
        <stp>STK</stp>
        <stp>N005440</stp>
        <stp>시가총액</stp>
        <stp/>
        <stp/>
        <tr r="H265" s="1"/>
        <tr r="H204" s="3"/>
      </tp>
      <tp>
        <v>458120067300</v>
        <stp/>
        <stp>P</stp>
        <stp>0</stp>
        <stp>STK</stp>
        <stp>N475400</stp>
        <stp>시가총액</stp>
        <stp/>
        <stp/>
        <tr r="H460" s="1"/>
      </tp>
      <tp>
        <v>410252353000</v>
        <stp/>
        <stp>P</stp>
        <stp>0</stp>
        <stp>STK</stp>
        <stp>N425420</stp>
        <stp>시가총액</stp>
        <stp/>
        <stp/>
        <tr r="H532" s="1"/>
      </tp>
      <tp>
        <v>700115111360</v>
        <stp/>
        <stp>P</stp>
        <stp>0</stp>
        <stp>STK</stp>
        <stp>N125490</stp>
        <stp>시가총액</stp>
        <stp/>
        <stp/>
        <tr r="H374" s="1"/>
      </tp>
      <tp>
        <v>31037787092000</v>
        <stp/>
        <stp>P</stp>
        <stp>0</stp>
        <stp>STK</stp>
        <stp>N005490</stp>
        <stp>시가총액</stp>
        <stp/>
        <stp/>
        <tr r="H28" s="1"/>
        <tr r="H29" s="3"/>
      </tp>
      <tp>
        <v>260088048000</v>
        <stp/>
        <stp>P</stp>
        <stp>0</stp>
        <stp>STK</stp>
        <stp>N005710</stp>
        <stp>시가총액</stp>
        <stp/>
        <stp/>
        <tr r="H656" s="1"/>
      </tp>
      <tp>
        <v>25841720848000</v>
        <stp/>
        <stp>P</stp>
        <stp>0</stp>
        <stp>STK</stp>
        <stp>N035720</stp>
        <stp>시가총액</stp>
        <stp/>
        <stp/>
        <tr r="H32" s="3"/>
        <tr r="H32" s="1"/>
      </tp>
      <tp>
        <v>519128127000</v>
        <stp/>
        <stp>P</stp>
        <stp>0</stp>
        <stp>STK</stp>
        <stp>N145720</stp>
        <stp>시가총액</stp>
        <stp/>
        <stp/>
        <tr r="H467" s="1"/>
        <tr r="H290" s="3"/>
      </tp>
      <tp>
        <v>1159433520000</v>
        <stp/>
        <stp>P</stp>
        <stp>0</stp>
        <stp>STK</stp>
        <stp>N185750</stp>
        <stp>시가총액</stp>
        <stp/>
        <stp/>
        <tr r="H218" s="3"/>
        <tr r="H290" s="1"/>
      </tp>
      <tp>
        <v>607200000000</v>
        <stp/>
        <stp>P</stp>
        <stp>0</stp>
        <stp>STK</stp>
        <stp>N015750</stp>
        <stp>시가총액</stp>
        <stp/>
        <stp/>
        <tr r="H404" s="1"/>
      </tp>
      <tp>
        <v>40893111704900</v>
        <stp/>
        <stp>P</stp>
        <stp>0</stp>
        <stp>STK</stp>
        <stp>N015760</stp>
        <stp>시가총액</stp>
        <stp/>
        <stp/>
        <tr r="H20" s="3"/>
        <tr r="H21" s="1"/>
      </tp>
      <tp>
        <v>1410044602200</v>
        <stp/>
        <stp>P</stp>
        <stp>0</stp>
        <stp>STK</stp>
        <stp>N035760</stp>
        <stp>시가총액</stp>
        <stp/>
        <stp/>
        <tr r="H260" s="1"/>
      </tp>
      <tp>
        <v>287572001280</v>
        <stp/>
        <stp>P</stp>
        <stp>0</stp>
        <stp>STK</stp>
        <stp>N025770</stp>
        <stp>시가총액</stp>
        <stp/>
        <stp/>
        <tr r="H633" s="1"/>
      </tp>
      <tp>
        <v>269482364520</v>
        <stp/>
        <stp>P</stp>
        <stp>0</stp>
        <stp>STK</stp>
        <stp>N035600</stp>
        <stp>시가총액</stp>
        <stp/>
        <stp/>
        <tr r="H652" s="1"/>
      </tp>
      <tp>
        <v>434039152700</v>
        <stp/>
        <stp>P</stp>
        <stp>0</stp>
        <stp>STK</stp>
        <stp>N005610</stp>
        <stp>시가총액</stp>
        <stp/>
        <stp/>
        <tr r="H313" s="3"/>
        <tr r="H511" s="1"/>
      </tp>
      <tp>
        <v>950851670600</v>
        <stp/>
        <stp>P</stp>
        <stp>0</stp>
        <stp>STK</stp>
        <stp>N095610</stp>
        <stp>시가총액</stp>
        <stp/>
        <stp/>
        <tr r="H319" s="1"/>
      </tp>
      <tp>
        <v>567600000000</v>
        <stp/>
        <stp>P</stp>
        <stp>0</stp>
        <stp>STK</stp>
        <stp>N105630</stp>
        <stp>시가총액</stp>
        <stp/>
        <stp/>
        <tr r="H280" s="3"/>
        <tr r="H441" s="1"/>
      </tp>
      <tp>
        <v>1591375539110</v>
        <stp/>
        <stp>P</stp>
        <stp>0</stp>
        <stp>STK</stp>
        <stp>N085620</stp>
        <stp>시가총액</stp>
        <stp/>
        <stp/>
        <tr r="H241" s="1"/>
        <tr r="H190" s="3"/>
      </tp>
      <tp>
        <v>388236680000</v>
        <stp/>
        <stp>P</stp>
        <stp>0</stp>
        <stp>STK</stp>
        <stp>N065660</stp>
        <stp>시가총액</stp>
        <stp/>
        <stp/>
        <tr r="H553" s="1"/>
      </tp>
      <tp>
        <v>1242404126560</v>
        <stp/>
        <stp>P</stp>
        <stp>0</stp>
        <stp>STK</stp>
        <stp>N085660</stp>
        <stp>시가총액</stp>
        <stp/>
        <stp/>
        <tr r="H268" s="1"/>
      </tp>
      <tp>
        <v>567184375200</v>
        <stp/>
        <stp>P</stp>
        <stp>0</stp>
        <stp>STK</stp>
        <stp>N095660</stp>
        <stp>시가총액</stp>
        <stp/>
        <stp/>
        <tr r="H445" s="1"/>
      </tp>
      <tp>
        <v>281834365500</v>
        <stp/>
        <stp>P</stp>
        <stp>0</stp>
        <stp>STK</stp>
        <stp>N065680</stp>
        <stp>시가총액</stp>
        <stp/>
        <stp/>
        <tr r="H635" s="1"/>
      </tp>
      <tp>
        <v>817431049680</v>
        <stp/>
        <stp>P</stp>
        <stp>0</stp>
        <stp>STK</stp>
        <stp>N005690</stp>
        <stp>시가총액</stp>
        <stp/>
        <stp/>
        <tr r="H358" s="1"/>
        <tr r="H246" s="3"/>
      </tp>
      <tp>
        <v>2189626640700</v>
        <stp/>
        <stp>P</stp>
        <stp>0</stp>
        <stp>STK</stp>
        <stp>N445680</stp>
        <stp>시가총액</stp>
        <stp/>
        <stp/>
        <tr r="H204" s="1"/>
      </tp>
      <tp>
        <v>437400000000</v>
        <stp/>
        <stp>P</stp>
        <stp>0</stp>
        <stp>STK</stp>
        <stp>N045100</stp>
        <stp>시가총액</stp>
        <stp/>
        <stp/>
        <tr r="H500" s="1"/>
      </tp>
      <tp>
        <v>676768542100</v>
        <stp/>
        <stp>P</stp>
        <stp>0</stp>
        <stp>STK</stp>
        <stp>N475150</stp>
        <stp>시가총액</stp>
        <stp/>
        <stp/>
        <tr r="H267" s="3"/>
        <tr r="H399" s="1"/>
      </tp>
      <tp>
        <v>1162477075200</v>
        <stp/>
        <stp>P</stp>
        <stp>0</stp>
        <stp>STK</stp>
        <stp>N285130</stp>
        <stp>시가총액</stp>
        <stp/>
        <stp/>
        <tr r="H215" s="3"/>
        <tr r="H292" s="1"/>
      </tp>
      <tp>
        <v>253490830110</v>
        <stp/>
        <stp>P</stp>
        <stp>0</stp>
        <stp>STK</stp>
        <stp>N035150</stp>
        <stp>시가총액</stp>
        <stp/>
        <stp/>
        <tr r="H663" s="1"/>
        <tr r="H372" s="3"/>
      </tp>
      <tp>
        <v>730055709200</v>
        <stp/>
        <stp>P</stp>
        <stp>0</stp>
        <stp>STK</stp>
        <stp>N005180</stp>
        <stp>시가총액</stp>
        <stp/>
        <stp/>
        <tr r="H257" s="3"/>
        <tr r="H378" s="1"/>
      </tp>
      <tp>
        <v>332596995000</v>
        <stp/>
        <stp>P</stp>
        <stp>0</stp>
        <stp>STK</stp>
        <stp>N215000</stp>
        <stp>시가총액</stp>
        <stp/>
        <stp/>
        <tr r="H592" s="1"/>
      </tp>
      <tp>
        <v>3192896563500</v>
        <stp/>
        <stp>P</stp>
        <stp>0</stp>
        <stp>STK</stp>
        <stp>N145020</stp>
        <stp>시가총액</stp>
        <stp/>
        <stp/>
        <tr r="H158" s="1"/>
      </tp>
      <tp>
        <v>1638542102400</v>
        <stp/>
        <stp>P</stp>
        <stp>0</stp>
        <stp>STK</stp>
        <stp>N005070</stp>
        <stp>시가총액</stp>
        <stp/>
        <stp/>
        <tr r="H252" s="1"/>
        <tr r="H195" s="3"/>
      </tp>
      <tp>
        <v>303316459650</v>
        <stp/>
        <stp>P</stp>
        <stp>0</stp>
        <stp>STK</stp>
        <stp>N005090</stp>
        <stp>시가총액</stp>
        <stp/>
        <stp/>
        <tr r="H353" s="3"/>
        <tr r="H623" s="1"/>
      </tp>
      <tp>
        <v>328862305800</v>
        <stp/>
        <stp>P</stp>
        <stp>0</stp>
        <stp>STK</stp>
        <stp>N445090</stp>
        <stp>시가총액</stp>
        <stp/>
        <stp/>
        <tr r="H606" s="1"/>
      </tp>
      <tp>
        <v>1220173246000</v>
        <stp/>
        <stp>P</stp>
        <stp>0</stp>
        <stp>STK</stp>
        <stp>N005300</stp>
        <stp>시가총액</stp>
        <stp/>
        <stp/>
        <tr r="H281" s="1"/>
        <tr r="H210" s="3"/>
      </tp>
      <tp>
        <v>502713218580</v>
        <stp/>
        <stp>P</stp>
        <stp>0</stp>
        <stp>STK</stp>
        <stp>N025320</stp>
        <stp>시가총액</stp>
        <stp/>
        <stp/>
        <tr r="H473" s="1"/>
      </tp>
      <tp>
        <v>4595207344200</v>
        <stp/>
        <stp>P</stp>
        <stp>0</stp>
        <stp>STK</stp>
        <stp>N175330</stp>
        <stp>시가총액</stp>
        <stp/>
        <stp/>
        <tr r="H118" s="1"/>
        <tr r="H107" s="3"/>
      </tp>
      <tp>
        <v>1041418962500</v>
        <stp/>
        <stp>P</stp>
        <stp>0</stp>
        <stp>STK</stp>
        <stp>N295310</stp>
        <stp>시가총액</stp>
        <stp/>
        <stp/>
        <tr r="H305" s="1"/>
      </tp>
      <tp>
        <v>2176937856600</v>
        <stp/>
        <stp>P</stp>
        <stp>0</stp>
        <stp>STK</stp>
        <stp>N095340</stp>
        <stp>시가총액</stp>
        <stp/>
        <stp/>
        <tr r="H198" s="1"/>
      </tp>
      <tp>
        <v>1629798116400</v>
        <stp/>
        <stp>P</stp>
        <stp>0</stp>
        <stp>STK</stp>
        <stp>N065350</stp>
        <stp>시가총액</stp>
        <stp/>
        <stp/>
        <tr r="H239" s="1"/>
      </tp>
      <tp>
        <v>377910000000</v>
        <stp/>
        <stp>P</stp>
        <stp>0</stp>
        <stp>STK</stp>
        <stp>N015360</stp>
        <stp>시가총액</stp>
        <stp/>
        <stp/>
        <tr r="H549" s="1"/>
        <tr r="H330" s="3"/>
      </tp>
      <tp>
        <v>675396619200</v>
        <stp/>
        <stp>P</stp>
        <stp>0</stp>
        <stp>STK</stp>
        <stp>N365340</stp>
        <stp>시가총액</stp>
        <stp/>
        <stp/>
        <tr r="H419" s="1"/>
      </tp>
      <tp>
        <v>109135889278000</v>
        <stp/>
        <stp>P</stp>
        <stp>0</stp>
        <stp>STK</stp>
        <stp>N005380</stp>
        <stp>시가총액</stp>
        <stp/>
        <stp/>
        <tr r="H8" s="1"/>
        <tr r="H8" s="3"/>
      </tp>
      <tp>
        <v>408907771200</v>
        <stp/>
        <stp>P</stp>
        <stp>0</stp>
        <stp>STK</stp>
        <stp>N215200</stp>
        <stp>시가총액</stp>
        <stp/>
        <stp/>
        <tr r="H535" s="1"/>
      </tp>
      <tp>
        <v>691784969100</v>
        <stp/>
        <stp>P</stp>
        <stp>0</stp>
        <stp>STK</stp>
        <stp>N005250</stp>
        <stp>시가총액</stp>
        <stp/>
        <stp/>
        <tr r="H263" s="3"/>
        <tr r="H389" s="1"/>
      </tp>
      <tp>
        <v>3825256140000</v>
        <stp/>
        <stp>P</stp>
        <stp>0</stp>
        <stp>STK</stp>
        <stp>N035250</stp>
        <stp>시가총액</stp>
        <stp/>
        <stp/>
        <tr r="H118" s="3"/>
        <tr r="H128" s="1"/>
      </tp>
      <tp>
        <v>2069433383500</v>
        <stp/>
        <stp>P</stp>
        <stp>0</stp>
        <stp>STK</stp>
        <stp>N005290</stp>
        <stp>시가총액</stp>
        <stp/>
        <stp/>
        <tr r="H201" s="1"/>
      </tp>
      <tp>
        <v>456026710700</v>
        <stp/>
        <stp>P</stp>
        <stp>0</stp>
        <stp>STK</stp>
        <stp>N025900</stp>
        <stp>시가총액</stp>
        <stp/>
        <stp/>
        <tr r="H527" s="1"/>
      </tp>
      <tp>
        <v>2437528951200</v>
        <stp/>
        <stp>P</stp>
        <stp>0</stp>
        <stp>STK</stp>
        <stp>N035900</stp>
        <stp>시가총액</stp>
        <stp/>
        <stp/>
        <tr r="H185" s="1"/>
      </tp>
      <tp>
        <v>590154588200</v>
        <stp/>
        <stp>P</stp>
        <stp>0</stp>
        <stp>STK</stp>
        <stp>N475960</stp>
        <stp>시가총액</stp>
        <stp/>
        <stp/>
        <tr r="H428" s="1"/>
      </tp>
      <tp>
        <v>908072457234800</v>
        <stp/>
        <stp>P</stp>
        <stp>0</stp>
        <stp>STK</stp>
        <stp>N005930</stp>
        <stp>시가총액</stp>
        <stp/>
        <stp/>
        <tr r="H6" s="1"/>
        <tr r="H6" s="3"/>
      </tp>
      <tp>
        <v>8409727108400</v>
        <stp/>
        <stp>P</stp>
        <stp>0</stp>
        <stp>STK</stp>
        <stp>N005940</stp>
        <stp>시가총액</stp>
        <stp/>
        <stp/>
        <tr r="H80" s="3"/>
        <tr r="H85" s="1"/>
      </tp>
      <tp>
        <v>589699553750</v>
        <stp/>
        <stp>P</stp>
        <stp>0</stp>
        <stp>STK</stp>
        <stp>N455900</stp>
        <stp>시가총액</stp>
        <stp/>
        <stp/>
        <tr r="H415" s="1"/>
      </tp>
      <tp>
        <v>1359834768000</v>
        <stp/>
        <stp>P</stp>
        <stp>0</stp>
        <stp>STK</stp>
        <stp>N195940</stp>
        <stp>시가총액</stp>
        <stp/>
        <stp/>
        <tr r="H262" s="1"/>
      </tp>
      <tp>
        <v>738656380800</v>
        <stp/>
        <stp>P</stp>
        <stp>0</stp>
        <stp>STK</stp>
        <stp>N025980</stp>
        <stp>시가총액</stp>
        <stp/>
        <stp/>
        <tr r="H373" s="1"/>
      </tp>
      <tp>
        <v>480606723400</v>
        <stp/>
        <stp>P</stp>
        <stp>0</stp>
        <stp>STK</stp>
        <stp>N145990</stp>
        <stp>시가총액</stp>
        <stp/>
        <stp/>
        <tr r="H492" s="1"/>
        <tr r="H305" s="3"/>
      </tp>
      <tp>
        <v>557228335800</v>
        <stp/>
        <stp>P</stp>
        <stp>0</stp>
        <stp>STK</stp>
        <stp>N005810</stp>
        <stp>시가총액</stp>
        <stp/>
        <stp/>
        <tr r="H446" s="1"/>
        <tr r="H284" s="3"/>
      </tp>
      <tp>
        <v>8943597600000</v>
        <stp/>
        <stp>P</stp>
        <stp>0</stp>
        <stp>STK</stp>
        <stp>N005830</stp>
        <stp>시가총액</stp>
        <stp/>
        <stp/>
        <tr r="H75" s="1"/>
        <tr r="H70" s="3"/>
      </tp>
      <tp>
        <v>2777621496000</v>
        <stp/>
        <stp>P</stp>
        <stp>0</stp>
        <stp>STK</stp>
        <stp>N005850</stp>
        <stp>시가총액</stp>
        <stp/>
        <stp/>
        <tr r="H144" s="1"/>
        <tr r="H135" s="3"/>
      </tp>
      <tp>
        <v>503931866500</v>
        <stp/>
        <stp>P</stp>
        <stp>0</stp>
        <stp>STK</stp>
        <stp>N105840</stp>
        <stp>시가총액</stp>
        <stp/>
        <stp/>
        <tr r="H451" s="1"/>
        <tr r="H288" s="3"/>
      </tp>
      <tp>
        <v>889100000000</v>
        <stp/>
        <stp>P</stp>
        <stp>0</stp>
        <stp>STK</stp>
        <stp>N195870</stp>
        <stp>시가총액</stp>
        <stp/>
        <stp/>
        <tr r="H236" s="3"/>
        <tr r="H332" s="1"/>
      </tp>
      <tp>
        <v>2288849270400</v>
        <stp/>
        <stp>P</stp>
        <stp>0</stp>
        <stp>STK</stp>
        <stp>N475830</stp>
        <stp>시가총액</stp>
        <stp/>
        <stp/>
        <tr r="H197" s="1"/>
      </tp>
      <tp>
        <v>631551581870</v>
        <stp/>
        <stp>P</stp>
        <stp>0</stp>
        <stp>STK</stp>
        <stp>N032500</stp>
        <stp>시가총액</stp>
        <stp/>
        <stp/>
        <tr r="H413" s="1"/>
      </tp>
      <tp>
        <v>2941053491200</v>
        <stp/>
        <stp>P</stp>
        <stp>0</stp>
        <stp>STK</stp>
        <stp>N012510</stp>
        <stp>시가총액</stp>
        <stp/>
        <stp/>
        <tr r="H155" s="1"/>
        <tr r="H133" s="3"/>
      </tp>
      <tp>
        <v>338944534600</v>
        <stp/>
        <stp>P</stp>
        <stp>0</stp>
        <stp>STK</stp>
        <stp>N042520</stp>
        <stp>시가총액</stp>
        <stp/>
        <stp/>
        <tr r="H604" s="1"/>
      </tp>
      <tp>
        <v>623308854800</v>
        <stp/>
        <stp>P</stp>
        <stp>0</stp>
        <stp>STK</stp>
        <stp>N052400</stp>
        <stp>시가총액</stp>
        <stp/>
        <stp/>
        <tr r="H418" s="1"/>
      </tp>
      <tp>
        <v>970847650500</v>
        <stp/>
        <stp>P</stp>
        <stp>0</stp>
        <stp>STK</stp>
        <stp>N192400</stp>
        <stp>시가총액</stp>
        <stp/>
        <stp/>
        <tr r="H232" s="3"/>
        <tr r="H320" s="1"/>
      </tp>
      <tp>
        <v>65898026478000</v>
        <stp/>
        <stp>P</stp>
        <stp>0</stp>
        <stp>STK</stp>
        <stp>N012450</stp>
        <stp>시가총액</stp>
        <stp/>
        <stp/>
        <tr r="H12" s="1"/>
        <tr r="H11" s="3"/>
      </tp>
      <tp>
        <v>279058880800</v>
        <stp/>
        <stp>P</stp>
        <stp>0</stp>
        <stp>STK</stp>
        <stp>N092460</stp>
        <stp>시가총액</stp>
        <stp/>
        <stp/>
        <tr r="H640" s="1"/>
      </tp>
      <tp>
        <v>3874674229400</v>
        <stp/>
        <stp>P</stp>
        <stp>0</stp>
        <stp>STK</stp>
        <stp>N302440</stp>
        <stp>시가총액</stp>
        <stp/>
        <stp/>
        <tr r="H116" s="3"/>
        <tr r="H131" s="1"/>
      </tp>
      <tp>
        <v>278180857100</v>
        <stp/>
        <stp>P</stp>
        <stp>0</stp>
        <stp>STK</stp>
        <stp>N452430</stp>
        <stp>시가총액</stp>
        <stp/>
        <stp/>
        <tr r="H658" s="1"/>
      </tp>
      <tp>
        <v>430704871600</v>
        <stp/>
        <stp>P</stp>
        <stp>0</stp>
        <stp>STK</stp>
        <stp>N352480</stp>
        <stp>시가총액</stp>
        <stp/>
        <stp/>
        <tr r="H528" s="1"/>
      </tp>
      <tp>
        <v>695817613200</v>
        <stp/>
        <stp>P</stp>
        <stp>0</stp>
        <stp>STK</stp>
        <stp>N102710</stp>
        <stp>시가총액</stp>
        <stp/>
        <stp/>
        <tr r="H398" s="1"/>
      </tp>
      <tp>
        <v>16193542780000</v>
        <stp/>
        <stp>P</stp>
        <stp>0</stp>
        <stp>STK</stp>
        <stp>N042700</stp>
        <stp>시가총액</stp>
        <stp/>
        <stp/>
        <tr r="H51" s="3"/>
        <tr r="H51" s="1"/>
      </tp>
      <tp>
        <v>410506495020</v>
        <stp/>
        <stp>P</stp>
        <stp>0</stp>
        <stp>STK</stp>
        <stp>N002710</stp>
        <stp>시가총액</stp>
        <stp/>
        <stp/>
        <tr r="H324" s="3"/>
        <tr r="H567" s="1"/>
      </tp>
      <tp>
        <v>408125520000</v>
        <stp/>
        <stp>P</stp>
        <stp>0</stp>
        <stp>STK</stp>
        <stp>N072710</stp>
        <stp>시가총액</stp>
        <stp/>
        <stp/>
        <tr r="H536" s="1"/>
        <tr r="H320" s="3"/>
      </tp>
      <tp>
        <v>303730391550</v>
        <stp/>
        <stp>P</stp>
        <stp>0</stp>
        <stp>STK</stp>
        <stp>N092730</stp>
        <stp>시가총액</stp>
        <stp/>
        <stp/>
        <tr r="H645" s="1"/>
      </tp>
      <tp>
        <v>4447732668600</v>
        <stp/>
        <stp>P</stp>
        <stp>0</stp>
        <stp>STK</stp>
        <stp>N082740</stp>
        <stp>시가총액</stp>
        <stp/>
        <stp/>
        <tr r="H110" s="3"/>
        <tr r="H116" s="1"/>
      </tp>
      <tp>
        <v>2960135966200</v>
        <stp/>
        <stp>P</stp>
        <stp>0</stp>
        <stp>STK</stp>
        <stp>N012750</stp>
        <stp>시가총액</stp>
        <stp/>
        <stp/>
        <tr r="H153" s="1"/>
        <tr r="H132" s="3"/>
      </tp>
      <tp>
        <v>2129479224000</v>
        <stp/>
        <stp>P</stp>
        <stp>0</stp>
        <stp>STK</stp>
        <stp>N002790</stp>
        <stp>시가총액</stp>
        <stp/>
        <stp/>
        <tr r="H166" s="3"/>
        <tr r="H207" s="1"/>
      </tp>
      <tp>
        <v>294342640000</v>
        <stp/>
        <stp>P</stp>
        <stp>0</stp>
        <stp>STK</stp>
        <stp>N092790</stp>
        <stp>시가총액</stp>
        <stp/>
        <stp/>
        <tr r="H607" s="1"/>
        <tr r="H351" s="3"/>
      </tp>
      <tp>
        <v>1720593242400</v>
        <stp/>
        <stp>P</stp>
        <stp>0</stp>
        <stp>STK</stp>
        <stp>N112610</stp>
        <stp>시가총액</stp>
        <stp/>
        <stp/>
        <tr r="H185" s="3"/>
        <tr r="H237" s="1"/>
      </tp>
      <tp>
        <v>1015609257000</v>
        <stp/>
        <stp>P</stp>
        <stp>0</stp>
        <stp>STK</stp>
        <stp>N012630</stp>
        <stp>시가총액</stp>
        <stp/>
        <stp/>
        <tr r="H228" s="3"/>
        <tr r="H309" s="1"/>
      </tp>
      <tp>
        <v>6580672115050</v>
        <stp/>
        <stp>P</stp>
        <stp>0</stp>
        <stp>STK</stp>
        <stp>N032640</stp>
        <stp>시가총액</stp>
        <stp/>
        <stp/>
        <tr r="H87" s="3"/>
        <tr r="H96" s="1"/>
      </tp>
      <tp>
        <v>396679674180</v>
        <stp/>
        <stp>P</stp>
        <stp>0</stp>
        <stp>STK</stp>
        <stp>N122640</stp>
        <stp>시가총액</stp>
        <stp/>
        <stp/>
        <tr r="H541" s="1"/>
      </tp>
      <tp>
        <v>43204288554000</v>
        <stp/>
        <stp>P</stp>
        <stp>0</stp>
        <stp>STK</stp>
        <stp>N042660</stp>
        <stp>시가총액</stp>
        <stp/>
        <stp/>
        <tr r="H20" s="1"/>
        <tr r="H19" s="3"/>
      </tp>
      <tp>
        <v>5243784000000</v>
        <stp/>
        <stp>P</stp>
        <stp>0</stp>
        <stp>STK</stp>
        <stp>N052690</stp>
        <stp>시가총액</stp>
        <stp/>
        <stp/>
        <tr r="H104" s="1"/>
        <tr r="H99" s="3"/>
      </tp>
      <tp>
        <v>15701203919000</v>
        <stp/>
        <stp>P</stp>
        <stp>0</stp>
        <stp>STK</stp>
        <stp>N0126Z0</stp>
        <stp>시가총액</stp>
        <stp/>
        <stp/>
        <tr r="H57" s="1"/>
        <tr r="H54" s="3"/>
      </tp>
      <tp>
        <v>6165008260950</v>
        <stp/>
        <stp>P</stp>
        <stp>0</stp>
        <stp>STK</stp>
        <stp>N022100</stp>
        <stp>시가총액</stp>
        <stp/>
        <stp/>
        <tr r="H95" s="1"/>
        <tr r="H90" s="3"/>
      </tp>
      <tp>
        <v>260116964800</v>
        <stp/>
        <stp>P</stp>
        <stp>0</stp>
        <stp>STK</stp>
        <stp>N372170</stp>
        <stp>시가총액</stp>
        <stp/>
        <stp/>
        <tr r="H677" s="1"/>
      </tp>
      <tp>
        <v>1188837121500</v>
        <stp/>
        <stp>P</stp>
        <stp>0</stp>
        <stp>STK</stp>
        <stp>N232140</stp>
        <stp>시가총액</stp>
        <stp/>
        <stp/>
        <tr r="H280" s="1"/>
      </tp>
      <tp>
        <v>694762000000</v>
        <stp/>
        <stp>P</stp>
        <stp>0</stp>
        <stp>STK</stp>
        <stp>N032190</stp>
        <stp>시가총액</stp>
        <stp/>
        <stp/>
        <tr r="H387" s="1"/>
      </tp>
      <tp>
        <v>770034464500</v>
        <stp/>
        <stp>P</stp>
        <stp>0</stp>
        <stp>STK</stp>
        <stp>N042000</stp>
        <stp>시가총액</stp>
        <stp/>
        <stp/>
        <tr r="H367" s="1"/>
      </tp>
      <tp>
        <v>593107896000</v>
        <stp/>
        <stp>P</stp>
        <stp>0</stp>
        <stp>STK</stp>
        <stp>N002020</stp>
        <stp>시가총액</stp>
        <stp/>
        <stp/>
        <tr r="H279" s="3"/>
        <tr r="H440" s="1"/>
      </tp>
      <tp>
        <v>597958371000</v>
        <stp/>
        <stp>P</stp>
        <stp>0</stp>
        <stp>STK</stp>
        <stp>N002030</stp>
        <stp>시가총액</stp>
        <stp/>
        <stp/>
        <tr r="H430" s="1"/>
        <tr r="H278" s="3"/>
      </tp>
      <tp>
        <v>663040000000</v>
        <stp/>
        <stp>P</stp>
        <stp>0</stp>
        <stp>STK</stp>
        <stp>N322000</stp>
        <stp>시가총액</stp>
        <stp/>
        <stp/>
        <tr r="H420" s="1"/>
        <tr r="H273" s="3"/>
      </tp>
      <tp>
        <v>4291600600000</v>
        <stp/>
        <stp>P</stp>
        <stp>0</stp>
        <stp>STK</stp>
        <stp>N062040</stp>
        <stp>시가총액</stp>
        <stp/>
        <stp/>
        <tr r="H119" s="1"/>
        <tr r="H112" s="3"/>
      </tp>
      <tp>
        <v>879265709700</v>
        <stp/>
        <stp>P</stp>
        <stp>0</stp>
        <stp>STK</stp>
        <stp>N112040</stp>
        <stp>시가총액</stp>
        <stp/>
        <stp/>
        <tr r="H334" s="1"/>
      </tp>
      <tp>
        <v>277888233600</v>
        <stp/>
        <stp>P</stp>
        <stp>0</stp>
        <stp>STK</stp>
        <stp>N402030</stp>
        <stp>시가총액</stp>
        <stp/>
        <stp/>
        <tr r="H641" s="1"/>
      </tp>
      <tp>
        <v>1098440796600</v>
        <stp/>
        <stp>P</stp>
        <stp>0</stp>
        <stp>STK</stp>
        <stp>N192080</stp>
        <stp>시가총액</stp>
        <stp/>
        <stp/>
        <tr r="H298" s="1"/>
        <tr r="H221" s="3"/>
      </tp>
      <tp>
        <v>778360700340</v>
        <stp/>
        <stp>P</stp>
        <stp>0</stp>
        <stp>STK</stp>
        <stp>N222080</stp>
        <stp>시가총액</stp>
        <stp/>
        <stp/>
        <tr r="H438" s="1"/>
      </tp>
      <tp>
        <v>679638518000</v>
        <stp/>
        <stp>P</stp>
        <stp>0</stp>
        <stp>STK</stp>
        <stp>N0120G0</stp>
        <stp>시가총액</stp>
        <stp/>
        <stp/>
        <tr r="H275" s="3"/>
        <tr r="H433" s="1"/>
      </tp>
      <tp>
        <v>58316461272500</v>
        <stp/>
        <stp>P</stp>
        <stp>0</stp>
        <stp>STK</stp>
        <stp>N402340</stp>
        <stp>시가총액</stp>
        <stp/>
        <stp/>
        <tr r="H15" s="3"/>
        <tr r="H15" s="1"/>
      </tp>
      <tp>
        <v>637921538800</v>
        <stp/>
        <stp>P</stp>
        <stp>0</stp>
        <stp>STK</stp>
        <stp>N372320</stp>
        <stp>시가총액</stp>
        <stp/>
        <stp/>
        <tr r="H400" s="1"/>
      </tp>
      <tp>
        <v>2074068720000</v>
        <stp/>
        <stp>P</stp>
        <stp>0</stp>
        <stp>STK</stp>
        <stp>N282330</stp>
        <stp>시가총액</stp>
        <stp/>
        <stp/>
        <tr r="H171" s="3"/>
        <tr r="H210" s="1"/>
      </tp>
      <tp>
        <v>297235045100</v>
        <stp/>
        <stp>P</stp>
        <stp>0</stp>
        <stp>STK</stp>
        <stp>N002320</stp>
        <stp>시가총액</stp>
        <stp/>
        <stp/>
        <tr r="H357" s="3"/>
        <tr r="H619" s="1"/>
      </tp>
      <tp>
        <v>40557464601000</v>
        <stp/>
        <stp>P</stp>
        <stp>0</stp>
        <stp>STK</stp>
        <stp>N012330</stp>
        <stp>시가총액</stp>
        <stp/>
        <stp/>
        <tr r="H21" s="3"/>
        <tr r="H19" s="1"/>
      </tp>
      <tp>
        <v>1877131822400</v>
        <stp/>
        <stp>P</stp>
        <stp>0</stp>
        <stp>STK</stp>
        <stp>N032350</stp>
        <stp>시가총액</stp>
        <stp/>
        <stp/>
        <tr r="H176" s="3"/>
        <tr r="H223" s="1"/>
      </tp>
      <tp>
        <v>4065560482500</v>
        <stp/>
        <stp>P</stp>
        <stp>0</stp>
        <stp>STK</stp>
        <stp>N002380</stp>
        <stp>시가총액</stp>
        <stp/>
        <stp/>
        <tr r="H115" s="3"/>
        <tr r="H127" s="1"/>
      </tp>
      <tp>
        <v>17153880521200</v>
        <stp/>
        <stp>P</stp>
        <stp>0</stp>
        <stp>STK</stp>
        <stp>N272210</stp>
        <stp>시가총액</stp>
        <stp/>
        <stp/>
        <tr r="H49" s="3"/>
        <tr r="H50" s="1"/>
      </tp>
      <tp>
        <v>304174512000</v>
        <stp/>
        <stp>P</stp>
        <stp>0</stp>
        <stp>STK</stp>
        <stp>N092230</stp>
        <stp>시가총액</stp>
        <stp/>
        <stp/>
        <tr r="H615" s="1"/>
        <tr r="H352" s="3"/>
      </tp>
      <tp>
        <v>591300000000</v>
        <stp/>
        <stp>P</stp>
        <stp>0</stp>
        <stp>STK</stp>
        <stp>N002240</stp>
        <stp>시가총액</stp>
        <stp/>
        <stp/>
        <tr r="H426" s="1"/>
        <tr r="H277" s="3"/>
      </tp>
      <tp>
        <v>983782966450</v>
        <stp/>
        <stp>P</stp>
        <stp>0</stp>
        <stp>STK</stp>
        <stp>N082270</stp>
        <stp>시가총액</stp>
        <stp/>
        <stp/>
        <tr r="H313" s="1"/>
      </tp>
      <tp>
        <v>554985275300</v>
        <stp/>
        <stp>P</stp>
        <stp>0</stp>
        <stp>STK</stp>
        <stp>N272290</stp>
        <stp>시가총액</stp>
        <stp/>
        <stp/>
        <tr r="H469" s="1"/>
      </tp>
      <tp>
        <v>958929938550</v>
        <stp/>
        <stp>P</stp>
        <stp>0</stp>
        <stp>STK</stp>
        <stp>N082920</stp>
        <stp>시가총액</stp>
        <stp/>
        <stp/>
        <tr r="H328" s="1"/>
      </tp>
      <tp>
        <v>271152950000</v>
        <stp/>
        <stp>P</stp>
        <stp>0</stp>
        <stp>STK</stp>
        <stp>N382900</stp>
        <stp>시가총액</stp>
        <stp/>
        <stp/>
        <tr r="H651" s="1"/>
      </tp>
      <tp>
        <v>644710594050</v>
        <stp/>
        <stp>P</stp>
        <stp>0</stp>
        <stp>STK</stp>
        <stp>N102940</stp>
        <stp>시가총액</stp>
        <stp/>
        <stp/>
        <tr r="H424" s="1"/>
      </tp>
      <tp>
        <v>564200000000</v>
        <stp/>
        <stp>P</stp>
        <stp>0</stp>
        <stp>STK</stp>
        <stp>N002960</stp>
        <stp>시가총액</stp>
        <stp/>
        <stp/>
        <tr r="H442" s="1"/>
        <tr r="H281" s="3"/>
      </tp>
      <tp>
        <v>304704642000</v>
        <stp/>
        <stp>P</stp>
        <stp>0</stp>
        <stp>STK</stp>
        <stp>N002810</stp>
        <stp>시가총액</stp>
        <stp/>
        <stp/>
        <tr r="H616" s="1"/>
        <tr r="H354" s="3"/>
      </tp>
      <tp>
        <v>16421869653000</v>
        <stp/>
        <stp>P</stp>
        <stp>0</stp>
        <stp>STK</stp>
        <stp>N352820</stp>
        <stp>시가총액</stp>
        <stp/>
        <stp/>
        <tr r="H56" s="1"/>
        <tr r="H53" s="3"/>
      </tp>
      <tp>
        <v>293039708680</v>
        <stp/>
        <stp>P</stp>
        <stp>0</stp>
        <stp>STK</stp>
        <stp>N472850</stp>
        <stp>시가총액</stp>
        <stp/>
        <stp/>
        <tr r="H637" s="1"/>
      </tp>
      <tp>
        <v>1796160685800</v>
        <stp/>
        <stp>P</stp>
        <stp>0</stp>
        <stp>STK</stp>
        <stp>N222800</stp>
        <stp>시가총액</stp>
        <stp/>
        <stp/>
        <tr r="H220" s="1"/>
      </tp>
      <tp>
        <v>35780000000000</v>
        <stp/>
        <stp>P</stp>
        <stp>0</stp>
        <stp>STK</stp>
        <stp>N032830</stp>
        <stp>시가총액</stp>
        <stp/>
        <stp/>
        <tr r="H24" s="1"/>
        <tr r="H24" s="3"/>
      </tp>
      <tp>
        <v>2016481248000</v>
        <stp/>
        <stp>P</stp>
        <stp>0</stp>
        <stp>STK</stp>
        <stp>N462870</stp>
        <stp>시가총액</stp>
        <stp/>
        <stp/>
        <tr r="H172" s="3"/>
        <tr r="H214" s="1"/>
      </tp>
      <tp>
        <v>2209749402300</v>
        <stp/>
        <stp>P</stp>
        <stp>0</stp>
        <stp>STK</stp>
        <stp>N192820</stp>
        <stp>시가총액</stp>
        <stp/>
        <stp/>
        <tr r="H205" s="1"/>
        <tr r="H161" s="3"/>
      </tp>
      <tp>
        <v>675450000000</v>
        <stp/>
        <stp>P</stp>
        <stp>0</stp>
        <stp>STK</stp>
        <stp>N002840</stp>
        <stp>시가총액</stp>
        <stp/>
        <stp/>
        <tr r="H392" s="1"/>
        <tr r="H261" s="3"/>
      </tp>
      <tp>
        <v>1327064479000</v>
        <stp/>
        <stp>P</stp>
        <stp>0</stp>
        <stp>STK</stp>
        <stp>N122870</stp>
        <stp>시가총액</stp>
        <stp/>
        <stp/>
        <tr r="H270" s="1"/>
      </tp>
      <tp>
        <v>800719489800</v>
        <stp/>
        <stp>P</stp>
        <stp>0</stp>
        <stp>STK</stp>
        <stp>N033500</stp>
        <stp>시가총액</stp>
        <stp/>
        <stp/>
        <tr r="H344" s="1"/>
      </tp>
      <tp>
        <v>395744919100</v>
        <stp/>
        <stp>P</stp>
        <stp>0</stp>
        <stp>STK</stp>
        <stp>N403550</stp>
        <stp>시가총액</stp>
        <stp/>
        <stp/>
        <tr r="H537" s="1"/>
        <tr r="H322" s="3"/>
      </tp>
      <tp>
        <v>302382014200</v>
        <stp/>
        <stp>P</stp>
        <stp>0</stp>
        <stp>STK</stp>
        <stp>N093520</stp>
        <stp>시가총액</stp>
        <stp/>
        <stp/>
        <tr r="H627" s="1"/>
      </tp>
      <tp>
        <v>2186720761500</v>
        <stp/>
        <stp>P</stp>
        <stp>0</stp>
        <stp>STK</stp>
        <stp>N023530</stp>
        <stp>시가총액</stp>
        <stp/>
        <stp/>
        <tr r="H163" s="3"/>
        <tr r="H200" s="1"/>
      </tp>
      <tp>
        <v>1429271210000</v>
        <stp/>
        <stp>P</stp>
        <stp>0</stp>
        <stp>STK</stp>
        <stp>N003540</stp>
        <stp>시가총액</stp>
        <stp/>
        <stp/>
        <tr r="H259" s="1"/>
        <tr r="H200" s="3"/>
      </tp>
      <tp>
        <v>13725721065000</v>
        <stp/>
        <stp>P</stp>
        <stp>0</stp>
        <stp>STK</stp>
        <stp>N003550</stp>
        <stp>시가총액</stp>
        <stp/>
        <stp/>
        <tr r="H62" s="1"/>
        <tr r="H58" s="3"/>
      </tp>
      <tp>
        <v>1669285389400</v>
        <stp/>
        <stp>P</stp>
        <stp>0</stp>
        <stp>STK</stp>
        <stp>N003570</stp>
        <stp>시가총액</stp>
        <stp/>
        <stp/>
        <tr r="H186" s="3"/>
        <tr r="H234" s="1"/>
      </tp>
      <tp>
        <v>2884966095000</v>
        <stp/>
        <stp>P</stp>
        <stp>0</stp>
        <stp>STK</stp>
        <stp>N103590</stp>
        <stp>시가총액</stp>
        <stp/>
        <stp/>
        <tr r="H154" s="1"/>
        <tr r="H134" s="3"/>
      </tp>
      <tp>
        <v>1803638003400</v>
        <stp/>
        <stp>P</stp>
        <stp>0</stp>
        <stp>STK</stp>
        <stp>N023590</stp>
        <stp>시가총액</stp>
        <stp/>
        <stp/>
        <tr r="H222" s="1"/>
        <tr r="H182" s="3"/>
      </tp>
      <tp>
        <v>496160244840</v>
        <stp/>
        <stp>P</stp>
        <stp>0</stp>
        <stp>STK</stp>
        <stp>N253590</stp>
        <stp>시가총액</stp>
        <stp/>
        <stp/>
        <tr r="H474" s="1"/>
      </tp>
      <tp>
        <v>901371797700</v>
        <stp/>
        <stp>P</stp>
        <stp>0</stp>
        <stp>STK</stp>
        <stp>N213420</stp>
        <stp>시가총액</stp>
        <stp/>
        <stp/>
        <tr r="H335" s="1"/>
      </tp>
      <tp>
        <v>10327297611050</v>
        <stp/>
        <stp>P</stp>
        <stp>0</stp>
        <stp>STK</stp>
        <stp>N323410</stp>
        <stp>시가총액</stp>
        <stp/>
        <stp/>
        <tr r="H72" s="1"/>
        <tr r="H69" s="3"/>
      </tp>
      <tp>
        <v>477337000000</v>
        <stp/>
        <stp>P</stp>
        <stp>0</stp>
        <stp>STK</stp>
        <stp>N083450</stp>
        <stp>시가총액</stp>
        <stp/>
        <stp/>
        <tr r="H477" s="1"/>
      </tp>
      <tp>
        <v>1373673358600</v>
        <stp/>
        <stp>P</stp>
        <stp>0</stp>
        <stp>STK</stp>
        <stp>N253450</stp>
        <stp>시가총액</stp>
        <stp/>
        <stp/>
        <tr r="H261" s="1"/>
      </tp>
      <tp>
        <v>8892528963150</v>
        <stp/>
        <stp>P</stp>
        <stp>0</stp>
        <stp>STK</stp>
        <stp>N003490</stp>
        <stp>시가총액</stp>
        <stp/>
        <stp/>
        <tr r="H79" s="1"/>
        <tr r="H73" s="3"/>
      </tp>
      <tp>
        <v>1290237911070</v>
        <stp/>
        <stp>P</stp>
        <stp>0</stp>
        <stp>STK</stp>
        <stp>N293490</stp>
        <stp>시가총액</stp>
        <stp/>
        <stp/>
        <tr r="H273" s="1"/>
      </tp>
      <tp>
        <v>2797994085250</v>
        <stp/>
        <stp>P</stp>
        <stp>0</stp>
        <stp>STK</stp>
        <stp>N263750</stp>
        <stp>시가총액</stp>
        <stp/>
        <stp/>
        <tr r="H162" s="1"/>
      </tp>
      <tp>
        <v>17012232209000</v>
        <stp/>
        <stp>P</stp>
        <stp>0</stp>
        <stp>STK</stp>
        <stp>N033780</stp>
        <stp>시가총액</stp>
        <stp/>
        <stp/>
        <tr r="H48" s="3"/>
        <tr r="H49" s="1"/>
      </tp>
      <tp>
        <v>404800000000</v>
        <stp/>
        <stp>P</stp>
        <stp>0</stp>
        <stp>STK</stp>
        <stp>N053610</stp>
        <stp>시가총액</stp>
        <stp/>
        <stp/>
        <tr r="H538" s="1"/>
      </tp>
      <tp>
        <v>1834114420000</v>
        <stp/>
        <stp>P</stp>
        <stp>0</stp>
        <stp>STK</stp>
        <stp>N483650</stp>
        <stp>시가총액</stp>
        <stp/>
        <stp/>
        <tr r="H233" s="1"/>
        <tr r="H177" s="3"/>
      </tp>
      <tp>
        <v>362260063420</v>
        <stp/>
        <stp>P</stp>
        <stp>0</stp>
        <stp>STK</stp>
        <stp>N033640</stp>
        <stp>시가총액</stp>
        <stp/>
        <stp/>
        <tr r="H561" s="1"/>
      </tp>
      <tp>
        <v>1906173500000</v>
        <stp/>
        <stp>P</stp>
        <stp>0</stp>
        <stp>STK</stp>
        <stp>N083650</stp>
        <stp>시가총액</stp>
        <stp/>
        <stp/>
        <tr r="H212" s="1"/>
      </tp>
      <tp>
        <v>19167910410000</v>
        <stp/>
        <stp>P</stp>
        <stp>0</stp>
        <stp>STK</stp>
        <stp>N003670</stp>
        <stp>시가총액</stp>
        <stp/>
        <stp/>
        <tr r="H43" s="3"/>
        <tr r="H46" s="1"/>
      </tp>
      <tp>
        <v>2158617023480</v>
        <stp/>
        <stp>P</stp>
        <stp>0</stp>
        <stp>STK</stp>
        <stp>N003690</stp>
        <stp>시가총액</stp>
        <stp/>
        <stp/>
        <tr r="H162" s="3"/>
        <tr r="H196" s="1"/>
      </tp>
      <tp>
        <v>627237071450</v>
        <stp/>
        <stp>P</stp>
        <stp>0</stp>
        <stp>STK</stp>
        <stp>N033100</stp>
        <stp>시가총액</stp>
        <stp/>
        <stp/>
        <tr r="H403" s="1"/>
      </tp>
      <tp>
        <v>279965000000</v>
        <stp/>
        <stp>P</stp>
        <stp>0</stp>
        <stp>STK</stp>
        <stp>N003120</stp>
        <stp>시가총액</stp>
        <stp/>
        <stp/>
        <tr r="H363" s="3"/>
        <tr r="H630" s="1"/>
      </tp>
      <tp>
        <v>3360110932200</v>
        <stp/>
        <stp>P</stp>
        <stp>0</stp>
        <stp>STK</stp>
        <stp>N103140</stp>
        <stp>시가총액</stp>
        <stp/>
        <stp/>
        <tr r="H124" s="3"/>
        <tr r="H141" s="1"/>
      </tp>
      <tp>
        <v>285201715200</v>
        <stp/>
        <stp>P</stp>
        <stp>0</stp>
        <stp>STK</stp>
        <stp>N043150</stp>
        <stp>시가총액</stp>
        <stp/>
        <stp/>
        <tr r="H642" s="1"/>
      </tp>
      <tp>
        <v>795230000000</v>
        <stp/>
        <stp>P</stp>
        <stp>0</stp>
        <stp>STK</stp>
        <stp>N003160</stp>
        <stp>시가총액</stp>
        <stp/>
        <stp/>
        <tr r="H342" s="1"/>
        <tr r="H242" s="3"/>
      </tp>
      <tp>
        <v>678400000000</v>
        <stp/>
        <stp>P</stp>
        <stp>0</stp>
        <stp>STK</stp>
        <stp>N023160</stp>
        <stp>시가총액</stp>
        <stp/>
        <stp/>
        <tr r="H386" s="1"/>
      </tp>
      <tp>
        <v>436115640980</v>
        <stp/>
        <stp>P</stp>
        <stp>0</stp>
        <stp>STK</stp>
        <stp>N183190</stp>
        <stp>시가총액</stp>
        <stp/>
        <stp/>
        <tr r="H314" s="3"/>
        <tr r="H513" s="1"/>
      </tp>
      <tp>
        <v>8482088582000</v>
        <stp/>
        <stp>P</stp>
        <stp>0</stp>
        <stp>STK</stp>
        <stp>N443060</stp>
        <stp>시가총액</stp>
        <stp/>
        <stp/>
        <tr r="H83" s="1"/>
        <tr r="H79" s="3"/>
      </tp>
      <tp>
        <v>542557067000</v>
        <stp/>
        <stp>P</stp>
        <stp>0</stp>
        <stp>STK</stp>
        <stp>N003030</stp>
        <stp>시가총액</stp>
        <stp/>
        <stp/>
        <tr r="H285" s="3"/>
        <tr r="H466" s="1"/>
      </tp>
      <tp>
        <v>373050164800</v>
        <stp/>
        <stp>P</stp>
        <stp>0</stp>
        <stp>STK</stp>
        <stp>N013030</stp>
        <stp>시가총액</stp>
        <stp/>
        <stp/>
        <tr r="H555" s="1"/>
      </tp>
      <tp>
        <v>439929170480</v>
        <stp/>
        <stp>P</stp>
        <stp>0</stp>
        <stp>STK</stp>
        <stp>N053030</stp>
        <stp>시가총액</stp>
        <stp/>
        <stp/>
        <tr r="H506" s="1"/>
      </tp>
      <tp>
        <v>311471290000</v>
        <stp/>
        <stp>P</stp>
        <stp>0</stp>
        <stp>STK</stp>
        <stp>N243070</stp>
        <stp>시가총액</stp>
        <stp/>
        <stp/>
        <tr r="H611" s="1"/>
      </tp>
      <tp>
        <v>510238000000</v>
        <stp/>
        <stp>P</stp>
        <stp>0</stp>
        <stp>STK</stp>
        <stp>N093050</stp>
        <stp>시가총액</stp>
        <stp/>
        <stp/>
        <tr r="H293" s="3"/>
        <tr r="H468" s="1"/>
      </tp>
      <tp>
        <v>1290751956000</v>
        <stp/>
        <stp>P</stp>
        <stp>0</stp>
        <stp>STK</stp>
        <stp>N003090</stp>
        <stp>시가총액</stp>
        <stp/>
        <stp/>
        <tr r="H206" s="3"/>
        <tr r="H269" s="1"/>
      </tp>
      <tp>
        <v>480992990400</v>
        <stp/>
        <stp>P</stp>
        <stp>0</stp>
        <stp>STK</stp>
        <stp>N003300</stp>
        <stp>시가총액</stp>
        <stp/>
        <stp/>
        <tr r="H303" s="3"/>
        <tr r="H489" s="1"/>
      </tp>
      <tp>
        <v>494259350760</v>
        <stp/>
        <stp>P</stp>
        <stp>0</stp>
        <stp>STK</stp>
        <stp>N453340</stp>
        <stp>시가총액</stp>
        <stp/>
        <stp/>
        <tr r="H300" s="3"/>
        <tr r="H480" s="1"/>
      </tp>
      <tp>
        <v>1014686348000</v>
        <stp/>
        <stp>P</stp>
        <stp>0</stp>
        <stp>STK</stp>
        <stp>N183300</stp>
        <stp>시가총액</stp>
        <stp/>
        <stp/>
        <tr r="H303" s="1"/>
      </tp>
      <tp>
        <v>511788340800</v>
        <stp/>
        <stp>P</stp>
        <stp>0</stp>
        <stp>STK</stp>
        <stp>N383310</stp>
        <stp>시가총액</stp>
        <stp/>
        <stp/>
        <tr r="H476" s="1"/>
      </tp>
      <tp>
        <v>583648000000</v>
        <stp/>
        <stp>P</stp>
        <stp>0</stp>
        <stp>STK</stp>
        <stp>N093320</stp>
        <stp>시가총액</stp>
        <stp/>
        <stp/>
        <tr r="H429" s="1"/>
      </tp>
      <tp>
        <v>252000000000</v>
        <stp/>
        <stp>P</stp>
        <stp>0</stp>
        <stp>STK</stp>
        <stp>N043370</stp>
        <stp>시가총액</stp>
        <stp/>
        <stp/>
        <tr r="H650" s="1"/>
      </tp>
      <tp>
        <v>870913279600</v>
        <stp/>
        <stp>P</stp>
        <stp>0</stp>
        <stp>STK</stp>
        <stp>N093370</stp>
        <stp>시가총액</stp>
        <stp/>
        <stp/>
        <tr r="H355" s="1"/>
        <tr r="H240" s="3"/>
      </tp>
      <tp>
        <v>1271263798350</v>
        <stp/>
        <stp>P</stp>
        <stp>0</stp>
        <stp>STK</stp>
        <stp>N003380</stp>
        <stp>시가총액</stp>
        <stp/>
        <stp/>
        <tr r="H276" s="1"/>
      </tp>
      <tp>
        <v>287918400000</v>
        <stp/>
        <stp>P</stp>
        <stp>0</stp>
        <stp>STK</stp>
        <stp>N003200</stp>
        <stp>시가총액</stp>
        <stp/>
        <stp/>
        <tr r="H618" s="1"/>
        <tr r="H358" s="3"/>
      </tp>
      <tp>
        <v>98865000000000</v>
        <stp/>
        <stp>P</stp>
        <stp>0</stp>
        <stp>STK</stp>
        <stp>N373220</stp>
        <stp>시가총액</stp>
        <stp/>
        <stp/>
        <tr r="H9" s="1"/>
        <tr r="H9" s="3"/>
      </tp>
      <tp>
        <v>2543589780000</v>
        <stp/>
        <stp>P</stp>
        <stp>0</stp>
        <stp>STK</stp>
        <stp>N383220</stp>
        <stp>시가총액</stp>
        <stp/>
        <stp/>
        <tr r="H147" s="3"/>
        <tr r="H175" s="1"/>
      </tp>
      <tp>
        <v>257917204500</v>
        <stp/>
        <stp>P</stp>
        <stp>0</stp>
        <stp>STK</stp>
        <stp>N003220</stp>
        <stp>시가총액</stp>
        <stp/>
        <stp/>
        <tr r="H667" s="1"/>
        <tr r="H370" s="3"/>
      </tp>
      <tp>
        <v>9453933825000</v>
        <stp/>
        <stp>P</stp>
        <stp>0</stp>
        <stp>STK</stp>
        <stp>N003230</stp>
        <stp>시가총액</stp>
        <stp/>
        <stp/>
        <tr r="H71" s="3"/>
        <tr r="H77" s="1"/>
      </tp>
      <tp>
        <v>2456021172500</v>
        <stp/>
        <stp>P</stp>
        <stp>0</stp>
        <stp>STK</stp>
        <stp>N353200</stp>
        <stp>시가총액</stp>
        <stp/>
        <stp/>
        <tr r="H153" s="3"/>
        <tr r="H176" s="1"/>
      </tp>
      <tp>
        <v>874019000000</v>
        <stp/>
        <stp>P</stp>
        <stp>0</stp>
        <stp>STK</stp>
        <stp>N003240</stp>
        <stp>시가총액</stp>
        <stp/>
        <stp/>
        <tr r="H239" s="3"/>
        <tr r="H341" s="1"/>
      </tp>
      <tp>
        <v>491699973600</v>
        <stp/>
        <stp>P</stp>
        <stp>0</stp>
        <stp>STK</stp>
        <stp>N033240</stp>
        <stp>시가총액</stp>
        <stp/>
        <stp/>
        <tr r="H297" s="3"/>
        <tr r="H461" s="1"/>
      </tp>
      <tp>
        <v>1798249396620</v>
        <stp/>
        <stp>P</stp>
        <stp>0</stp>
        <stp>STK</stp>
        <stp>N073240</stp>
        <stp>시가총액</stp>
        <stp/>
        <stp/>
        <tr r="H180" s="3"/>
        <tr r="H224" s="1"/>
      </tp>
      <tp>
        <v>301359015900</v>
        <stp/>
        <stp>P</stp>
        <stp>0</stp>
        <stp>STK</stp>
        <stp>N033270</stp>
        <stp>시가총액</stp>
        <stp/>
        <stp/>
        <tr r="H356" s="3"/>
        <tr r="H625" s="1"/>
      </tp>
      <tp>
        <v>1471660222500</v>
        <stp/>
        <stp>P</stp>
        <stp>0</stp>
        <stp>STK</stp>
        <stp>N323280</stp>
        <stp>시가총액</stp>
        <stp/>
        <stp/>
        <tr r="H255" s="1"/>
      </tp>
      <tp>
        <v>301200000000</v>
        <stp/>
        <stp>P</stp>
        <stp>0</stp>
        <stp>STK</stp>
        <stp>N003920</stp>
        <stp>시가총액</stp>
        <stp/>
        <stp/>
        <tr r="H355" s="3"/>
        <tr r="H617" s="1"/>
      </tp>
      <tp>
        <v>325338578500</v>
        <stp/>
        <stp>P</stp>
        <stp>0</stp>
        <stp>STK</stp>
        <stp>N003960</stp>
        <stp>시가총액</stp>
        <stp/>
        <stp/>
        <tr r="H598" s="1"/>
        <tr r="H346" s="3"/>
      </tp>
      <tp>
        <v>293185231300</v>
        <stp/>
        <stp>P</stp>
        <stp>0</stp>
        <stp>STK</stp>
        <stp>N473980</stp>
        <stp>시가총액</stp>
        <stp/>
        <stp/>
        <tr r="H646" s="1"/>
      </tp>
      <tp>
        <v>664252408200</v>
        <stp/>
        <stp>P</stp>
        <stp>0</stp>
        <stp>STK</stp>
        <stp>N053800</stp>
        <stp>시가총액</stp>
        <stp/>
        <stp/>
        <tr r="H401" s="1"/>
      </tp>
      <tp>
        <v>342989139000</v>
        <stp/>
        <stp>P</stp>
        <stp>0</stp>
        <stp>STK</stp>
        <stp>N403850</stp>
        <stp>시가총액</stp>
        <stp/>
        <stp/>
        <tr r="H578" s="1"/>
      </tp>
      <tp>
        <v>2792970740000</v>
        <stp/>
        <stp>P</stp>
        <stp>0</stp>
        <stp>STK</stp>
        <stp>N403870</stp>
        <stp>시가총액</stp>
        <stp/>
        <stp/>
        <tr r="H157" s="1"/>
      </tp>
      <tp>
        <v>628552885600</v>
        <stp/>
        <stp>P</stp>
        <stp>0</stp>
        <stp>STK</stp>
        <stp>N383800</stp>
        <stp>시가총액</stp>
        <stp/>
        <stp/>
        <tr r="H417" s="1"/>
        <tr r="H272" s="3"/>
      </tp>
      <tp>
        <v>768653374720</v>
        <stp/>
        <stp>P</stp>
        <stp>0</stp>
        <stp>STK</stp>
        <stp>N003850</stp>
        <stp>시가총액</stp>
        <stp/>
        <stp/>
        <tr r="H366" s="1"/>
        <tr r="H254" s="3"/>
      </tp>
      <tp>
        <v>275066559360</v>
        <stp/>
        <stp>P</stp>
        <stp>0</stp>
        <stp>STK</stp>
        <stp>N013890</stp>
        <stp>시가총액</stp>
        <stp/>
        <stp/>
        <tr r="H653" s="1"/>
        <tr r="H364" s="3"/>
      </tp>
      <tp>
        <v>1469028612000</v>
        <stp/>
        <stp>P</stp>
        <stp>0</stp>
        <stp>STK</stp>
        <stp>N000500</stp>
        <stp>시가총액</stp>
        <stp/>
        <stp/>
        <tr r="H249" s="1"/>
        <tr r="H196" s="3"/>
      </tp>
      <tp>
        <v>338492139700</v>
        <stp/>
        <stp>P</stp>
        <stp>0</stp>
        <stp>STK</stp>
        <stp>N190510</stp>
        <stp>시가총액</stp>
        <stp/>
        <stp/>
        <tr r="H579" s="1"/>
      </tp>
      <tp>
        <v>556134112000</v>
        <stp/>
        <stp>P</stp>
        <stp>0</stp>
        <stp>STK</stp>
        <stp>N030520</stp>
        <stp>시가총액</stp>
        <stp/>
        <stp/>
        <tr r="H454" s="1"/>
      </tp>
      <tp>
        <v>3062485946650</v>
        <stp/>
        <stp>P</stp>
        <stp>0</stp>
        <stp>STK</stp>
        <stp>N030530</stp>
        <stp>시가총액</stp>
        <stp/>
        <stp/>
        <tr r="H146" s="1"/>
      </tp>
      <tp>
        <v>361696000000</v>
        <stp/>
        <stp>P</stp>
        <stp>0</stp>
        <stp>STK</stp>
        <stp>N340570</stp>
        <stp>시가총액</stp>
        <stp/>
        <stp/>
        <tr r="H572" s="1"/>
      </tp>
      <tp>
        <v>1588188381810</v>
        <stp/>
        <stp>P</stp>
        <stp>0</stp>
        <stp>STK</stp>
        <stp>N020560</stp>
        <stp>시가총액</stp>
        <stp/>
        <stp/>
        <tr r="H243" s="1"/>
        <tr r="H192" s="3"/>
      </tp>
      <tp>
        <v>247859643900</v>
        <stp/>
        <stp>P</stp>
        <stp>0</stp>
        <stp>STK</stp>
        <stp>N380550</stp>
        <stp>시가총액</stp>
        <stp/>
        <stp/>
        <tr r="H660" s="1"/>
      </tp>
      <tp>
        <v>3321812191600</v>
        <stp/>
        <stp>P</stp>
        <stp>0</stp>
        <stp>STK</stp>
        <stp>N140410</stp>
        <stp>시가총액</stp>
        <stp/>
        <stp/>
        <tr r="H151" s="1"/>
      </tp>
      <tp>
        <v>7375936909900</v>
        <stp/>
        <stp>P</stp>
        <stp>0</stp>
        <stp>STK</stp>
        <stp>N090430</stp>
        <stp>시가총액</stp>
        <stp/>
        <stp/>
        <tr r="H90" s="1"/>
        <tr r="H84" s="3"/>
      </tp>
      <tp>
        <v>555229030860</v>
        <stp/>
        <stp>P</stp>
        <stp>0</stp>
        <stp>STK</stp>
        <stp>N090460</stp>
        <stp>시가총액</stp>
        <stp/>
        <stp/>
        <tr r="H455" s="1"/>
        <tr r="H283" s="3"/>
      </tp>
      <tp>
        <v>294610560300</v>
        <stp/>
        <stp>P</stp>
        <stp>0</stp>
        <stp>STK</stp>
        <stp>N000490</stp>
        <stp>시가총액</stp>
        <stp/>
        <stp/>
        <tr r="H628" s="1"/>
        <tr r="H360" s="3"/>
      </tp>
      <tp>
        <v>1216437756860</v>
        <stp/>
        <stp>P</stp>
        <stp>0</stp>
        <stp>STK</stp>
        <stp>N300720</stp>
        <stp>시가총액</stp>
        <stp/>
        <stp/>
        <tr r="H279" s="1"/>
        <tr r="H211" s="3"/>
      </tp>
      <tp>
        <v>12048693773000</v>
        <stp/>
        <stp>P</stp>
        <stp>0</stp>
        <stp>STK</stp>
        <stp>N000720</stp>
        <stp>시가총액</stp>
        <stp/>
        <stp/>
        <tr r="H65" s="1"/>
        <tr r="H63" s="3"/>
      </tp>
      <tp>
        <v>328169346120</v>
        <stp/>
        <stp>P</stp>
        <stp>0</stp>
        <stp>STK</stp>
        <stp>N060720</stp>
        <stp>시가총액</stp>
        <stp/>
        <stp/>
        <tr r="H570" s="1"/>
      </tp>
      <tp>
        <v>451611619200</v>
        <stp/>
        <stp>P</stp>
        <stp>0</stp>
        <stp>STK</stp>
        <stp>N200710</stp>
        <stp>시가총액</stp>
        <stp/>
        <stp/>
        <tr r="H491" s="1"/>
      </tp>
      <tp>
        <v>654069112800</v>
        <stp/>
        <stp>P</stp>
        <stp>0</stp>
        <stp>STK</stp>
        <stp>N420770</stp>
        <stp>시가총액</stp>
        <stp/>
        <stp/>
        <tr r="H384" s="1"/>
      </tp>
      <tp>
        <v>681589054220</v>
        <stp/>
        <stp>P</stp>
        <stp>0</stp>
        <stp>STK</stp>
        <stp>N100790</stp>
        <stp>시가총액</stp>
        <stp/>
        <stp/>
        <tr r="H390" s="1"/>
      </tp>
      <tp>
        <v>686753704000</v>
        <stp/>
        <stp>P</stp>
        <stp>0</stp>
        <stp>STK</stp>
        <stp>N010780</stp>
        <stp>시가총액</stp>
        <stp/>
        <stp/>
        <tr r="H395" s="1"/>
        <tr r="H266" s="3"/>
      </tp>
      <tp>
        <v>297523504200</v>
        <stp/>
        <stp>P</stp>
        <stp>0</stp>
        <stp>STK</stp>
        <stp>N0007C0</stp>
        <stp>시가총액</stp>
        <stp/>
        <stp/>
        <tr r="H685" s="1"/>
      </tp>
      <tp>
        <v>1219403682700</v>
        <stp/>
        <stp>P</stp>
        <stp>0</stp>
        <stp>STK</stp>
        <stp>N030610</stp>
        <stp>시가총액</stp>
        <stp/>
        <stp/>
        <tr r="H286" s="1"/>
        <tr r="H213" s="3"/>
      </tp>
      <tp>
        <v>681750066200</v>
        <stp/>
        <stp>P</stp>
        <stp>0</stp>
        <stp>STK</stp>
        <stp>N000640</stp>
        <stp>시가총액</stp>
        <stp/>
        <stp/>
        <tr r="H264" s="3"/>
        <tr r="H394" s="1"/>
      </tp>
      <tp>
        <v>357239911450</v>
        <stp/>
        <stp>P</stp>
        <stp>0</stp>
        <stp>STK</stp>
        <stp>N270660</stp>
        <stp>시가총액</stp>
        <stp/>
        <stp/>
        <tr r="H539" s="1"/>
      </tp>
      <tp>
        <v>465480598500</v>
        <stp/>
        <stp>P</stp>
        <stp>0</stp>
        <stp>STK</stp>
        <stp>N200670</stp>
        <stp>시가총액</stp>
        <stp/>
        <stp/>
        <tr r="H507" s="1"/>
      </tp>
      <tp>
        <v>8665743814200</v>
        <stp/>
        <stp>P</stp>
        <stp>0</stp>
        <stp>STK</stp>
        <stp>N180640</stp>
        <stp>시가총액</stp>
        <stp/>
        <stp/>
        <tr r="H80" s="1"/>
        <tr r="H76" s="3"/>
      </tp>
      <tp>
        <v>548185780845000</v>
        <stp/>
        <stp>P</stp>
        <stp>0</stp>
        <stp>STK</stp>
        <stp>N000660</stp>
        <stp>시가총액</stp>
        <stp/>
        <stp/>
        <tr r="H7" s="3"/>
        <tr r="H7" s="1"/>
      </tp>
      <tp>
        <v>988863865000</v>
        <stp/>
        <stp>P</stp>
        <stp>0</stp>
        <stp>STK</stp>
        <stp>N000670</stp>
        <stp>시가총액</stp>
        <stp/>
        <stp/>
        <tr r="H231" s="3"/>
        <tr r="H321" s="1"/>
      </tp>
      <tp>
        <v>394786000000</v>
        <stp/>
        <stp>P</stp>
        <stp>0</stp>
        <stp>STK</stp>
        <stp>N130660</stp>
        <stp>시가총액</stp>
        <stp/>
        <stp/>
        <tr r="H321" s="3"/>
        <tr r="H518" s="1"/>
      </tp>
      <tp>
        <v>1326566164200</v>
        <stp/>
        <stp>P</stp>
        <stp>0</stp>
        <stp>STK</stp>
        <stp>N290650</stp>
        <stp>시가총액</stp>
        <stp/>
        <stp/>
        <tr r="H266" s="1"/>
      </tp>
      <tp>
        <v>336632752400</v>
        <stp/>
        <stp>P</stp>
        <stp>0</stp>
        <stp>STK</stp>
        <stp>N010690</stp>
        <stp>시가총액</stp>
        <stp/>
        <stp/>
        <tr r="H560" s="1"/>
        <tr r="H335" s="3"/>
      </tp>
      <tp>
        <v>8468657478300</v>
        <stp/>
        <stp>P</stp>
        <stp>0</stp>
        <stp>STK</stp>
        <stp>N000100</stp>
        <stp>시가총액</stp>
        <stp/>
        <stp/>
        <tr r="H84" s="1"/>
        <tr r="H78" s="3"/>
      </tp>
      <tp>
        <v>1303028958850</v>
        <stp/>
        <stp>P</stp>
        <stp>0</stp>
        <stp>STK</stp>
        <stp>N120110</stp>
        <stp>시가총액</stp>
        <stp/>
        <stp/>
        <tr r="H277" s="1"/>
        <tr r="H207" s="3"/>
      </tp>
      <tp>
        <v>364458763620</v>
        <stp/>
        <stp>P</stp>
        <stp>0</stp>
        <stp>STK</stp>
        <stp>N200130</stp>
        <stp>시가총액</stp>
        <stp/>
        <stp/>
        <tr r="H562" s="1"/>
      </tp>
      <tp>
        <v>2283515634400</v>
        <stp/>
        <stp>P</stp>
        <stp>0</stp>
        <stp>STK</stp>
        <stp>N000120</stp>
        <stp>시가총액</stp>
        <stp/>
        <stp/>
        <tr r="H194" s="1"/>
        <tr r="H159" s="3"/>
      </tp>
      <tp>
        <v>15150000000000</v>
        <stp/>
        <stp>P</stp>
        <stp>0</stp>
        <stp>STK</stp>
        <stp>N010120</stp>
        <stp>시가총액</stp>
        <stp/>
        <stp/>
        <tr r="H55" s="1"/>
        <tr r="H55" s="3"/>
      </tp>
      <tp>
        <v>527044370000</v>
        <stp/>
        <stp>P</stp>
        <stp>0</stp>
        <stp>STK</stp>
        <stp>N220100</stp>
        <stp>시가총액</stp>
        <stp/>
        <stp/>
        <tr r="H458" s="1"/>
      </tp>
      <tp>
        <v>32373974919000</v>
        <stp/>
        <stp>P</stp>
        <stp>0</stp>
        <stp>STK</stp>
        <stp>N010130</stp>
        <stp>시가총액</stp>
        <stp/>
        <stp/>
        <tr r="H25" s="1"/>
        <tr r="H25" s="3"/>
      </tp>
      <tp>
        <v>27060000000000</v>
        <stp/>
        <stp>P</stp>
        <stp>0</stp>
        <stp>STK</stp>
        <stp>N010140</stp>
        <stp>시가총액</stp>
        <stp/>
        <stp/>
        <tr r="H31" s="3"/>
        <tr r="H30" s="1"/>
      </tp>
      <tp>
        <v>14687808345000</v>
        <stp/>
        <stp>P</stp>
        <stp>0</stp>
        <stp>STK</stp>
        <stp>N000150</stp>
        <stp>시가총액</stp>
        <stp/>
        <stp/>
        <tr r="H61" s="1"/>
        <tr r="H56" s="3"/>
      </tp>
      <tp>
        <v>2149602256150</v>
        <stp/>
        <stp>P</stp>
        <stp>0</stp>
        <stp>STK</stp>
        <stp>N020150</stp>
        <stp>시가총액</stp>
        <stp/>
        <stp/>
        <tr r="H225" s="1"/>
        <tr r="H170" s="3"/>
      </tp>
      <tp>
        <v>2159071200000</v>
        <stp/>
        <stp>P</stp>
        <stp>0</stp>
        <stp>STK</stp>
        <stp>N160190</stp>
        <stp>시가총액</stp>
        <stp/>
        <stp/>
        <tr r="H190" s="1"/>
      </tp>
      <tp>
        <v>1002085074270</v>
        <stp/>
        <stp>P</stp>
        <stp>0</stp>
        <stp>STK</stp>
        <stp>N030190</stp>
        <stp>시가총액</stp>
        <stp/>
        <stp/>
        <tr r="H229" s="3"/>
        <tr r="H314" s="1"/>
      </tp>
      <tp>
        <v>341053754400</v>
        <stp/>
        <stp>P</stp>
        <stp>0</stp>
        <stp>STK</stp>
        <stp>N020000</stp>
        <stp>시가총액</stp>
        <stp/>
        <stp/>
        <tr r="H584" s="1"/>
        <tr r="H337" s="3"/>
      </tp>
      <tp>
        <v>2404361602500</v>
        <stp/>
        <stp>P</stp>
        <stp>0</stp>
        <stp>STK</stp>
        <stp>N030000</stp>
        <stp>시가총액</stp>
        <stp/>
        <stp/>
        <tr r="H156" s="3"/>
        <tr r="H184" s="1"/>
      </tp>
      <tp>
        <v>2283369373600</v>
        <stp/>
        <stp>P</stp>
        <stp>0</stp>
        <stp>STK</stp>
        <stp>N010060</stp>
        <stp>시가총액</stp>
        <stp/>
        <stp/>
        <tr r="H165" s="3"/>
        <tr r="H199" s="1"/>
      </tp>
      <tp>
        <v>458028269000</v>
        <stp/>
        <stp>P</stp>
        <stp>0</stp>
        <stp>STK</stp>
        <stp>N000070</stp>
        <stp>시가총액</stp>
        <stp/>
        <stp/>
        <tr r="H311" s="3"/>
        <tr r="H502" s="1"/>
      </tp>
      <tp>
        <v>1263807670220</v>
        <stp/>
        <stp>P</stp>
        <stp>0</stp>
        <stp>STK</stp>
        <stp>N000080</stp>
        <stp>시가총액</stp>
        <stp/>
        <stp/>
        <tr r="H208" s="3"/>
        <tr r="H274" s="1"/>
      </tp>
      <tp>
        <v>1216449171630</v>
        <stp/>
        <stp>P</stp>
        <stp>0</stp>
        <stp>STK</stp>
        <stp>N100090</stp>
        <stp>시가총액</stp>
        <stp/>
        <stp/>
        <tr r="H282" s="1"/>
        <tr r="H212" s="3"/>
      </tp>
      <tp>
        <v>262106561880</v>
        <stp/>
        <stp>P</stp>
        <stp>0</stp>
        <stp>STK</stp>
        <stp>N300080</stp>
        <stp>시가총액</stp>
        <stp/>
        <stp/>
        <tr r="H662" s="1"/>
      </tp>
      <tp>
        <v>4402866249600</v>
        <stp/>
        <stp>P</stp>
        <stp>0</stp>
        <stp>STK</stp>
        <stp>N450080</stp>
        <stp>시가총액</stp>
        <stp/>
        <stp/>
        <tr r="H121" s="1"/>
        <tr r="H109" s="3"/>
      </tp>
      <tp>
        <v>281107843650</v>
        <stp/>
        <stp>P</stp>
        <stp>0</stp>
        <stp>STK</stp>
        <stp>N000320</stp>
        <stp>시가총액</stp>
        <stp/>
        <stp/>
        <tr r="H365" s="3"/>
        <tr r="H654" s="1"/>
      </tp>
      <tp>
        <v>491640301880</v>
        <stp/>
        <stp>P</stp>
        <stp>0</stp>
        <stp>STK</stp>
        <stp>N230360</stp>
        <stp>시가총액</stp>
        <stp/>
        <stp/>
        <tr r="H482" s="1"/>
      </tp>
      <tp>
        <v>1046764575000</v>
        <stp/>
        <stp>P</stp>
        <stp>0</stp>
        <stp>STK</stp>
        <stp>N280360</stp>
        <stp>시가총액</stp>
        <stp/>
        <stp/>
        <tr r="H224" s="3"/>
        <tr r="H307" s="1"/>
      </tp>
      <tp>
        <v>818025000000</v>
        <stp/>
        <stp>P</stp>
        <stp>0</stp>
        <stp>STK</stp>
        <stp>N090360</stp>
        <stp>시가총액</stp>
        <stp/>
        <stp/>
        <tr r="H329" s="1"/>
      </tp>
      <tp>
        <v>1415672943400</v>
        <stp/>
        <stp>P</stp>
        <stp>0</stp>
        <stp>STK</stp>
        <stp>N060370</stp>
        <stp>시가총액</stp>
        <stp/>
        <stp/>
        <tr r="H253" s="1"/>
      </tp>
      <tp>
        <v>13886394843500</v>
        <stp/>
        <stp>P</stp>
        <stp>0</stp>
        <stp>STK</stp>
        <stp>N030200</stp>
        <stp>시가총액</stp>
        <stp/>
        <stp/>
        <tr r="H57" s="3"/>
        <tr r="H59" s="1"/>
      </tp>
      <tp>
        <v>773272119600</v>
        <stp/>
        <stp>P</stp>
        <stp>0</stp>
        <stp>STK</stp>
        <stp>N000210</stp>
        <stp>시가총액</stp>
        <stp/>
        <stp/>
        <tr r="H365" s="1"/>
        <tr r="H250" s="3"/>
      </tp>
      <tp>
        <v>3308994427900</v>
        <stp/>
        <stp>P</stp>
        <stp>0</stp>
        <stp>STK</stp>
        <stp>N310210</stp>
        <stp>시가총액</stp>
        <stp/>
        <stp/>
        <tr r="H145" s="1"/>
      </tp>
      <tp>
        <v>1024674281750</v>
        <stp/>
        <stp>P</stp>
        <stp>0</stp>
        <stp>STK</stp>
        <stp>N080220</stp>
        <stp>시가총액</stp>
        <stp/>
        <stp/>
        <tr r="H304" s="1"/>
      </tp>
      <tp>
        <v>2563251480000</v>
        <stp/>
        <stp>P</stp>
        <stp>0</stp>
        <stp>STK</stp>
        <stp>N000240</stp>
        <stp>시가총액</stp>
        <stp/>
        <stp/>
        <tr r="H171" s="1"/>
        <tr r="H145" s="3"/>
      </tp>
      <tp>
        <v>7963811744000</v>
        <stp/>
        <stp>P</stp>
        <stp>0</stp>
        <stp>STK</stp>
        <stp>N000250</stp>
        <stp>시가총액</stp>
        <stp/>
        <stp/>
        <tr r="H97" s="1"/>
      </tp>
      <tp>
        <v>576304767850</v>
        <stp/>
        <stp>P</stp>
        <stp>0</stp>
        <stp>STK</stp>
        <stp>N060250</stp>
        <stp>시가총액</stp>
        <stp/>
        <stp/>
        <tr r="H437" s="1"/>
      </tp>
      <tp>
        <v>63285946975800</v>
        <stp/>
        <stp>P</stp>
        <stp>0</stp>
        <stp>STK</stp>
        <stp>N000270</stp>
        <stp>시가총액</stp>
        <stp/>
        <stp/>
        <tr r="H12" s="3"/>
        <tr r="H11" s="1"/>
      </tp>
      <tp>
        <v>767150113300</v>
        <stp/>
        <stp>P</stp>
        <stp>0</stp>
        <stp>STK</stp>
        <stp>N060280</stp>
        <stp>시가총액</stp>
        <stp/>
        <stp/>
        <tr r="H346" s="1"/>
      </tp>
      <tp>
        <v>494718543480</v>
        <stp/>
        <stp>P</stp>
        <stp>0</stp>
        <stp>STK</stp>
        <stp>N450950</stp>
        <stp>시가총액</stp>
        <stp/>
        <stp/>
        <tr r="H498" s="1"/>
      </tp>
      <tp>
        <v>469503080200</v>
        <stp/>
        <stp>P</stp>
        <stp>0</stp>
        <stp>STK</stp>
        <stp>N170900</stp>
        <stp>시가총액</stp>
        <stp/>
        <stp/>
        <tr r="H310" s="3"/>
        <tr r="H496" s="1"/>
      </tp>
      <tp>
        <v>10988080499200</v>
        <stp/>
        <stp>P</stp>
        <stp>0</stp>
        <stp>STK</stp>
        <stp>N010950</stp>
        <stp>시가총액</stp>
        <stp/>
        <stp/>
        <tr r="H69" s="1"/>
        <tr r="H66" s="3"/>
      </tp>
      <tp>
        <v>658367840340</v>
        <stp/>
        <stp>P</stp>
        <stp>0</stp>
        <stp>STK</stp>
        <stp>N460930</stp>
        <stp>시가총액</stp>
        <stp/>
        <stp/>
        <tr r="H396" s="1"/>
      </tp>
      <tp>
        <v>335286000000</v>
        <stp/>
        <stp>P</stp>
        <stp>0</stp>
        <stp>STK</stp>
        <stp>N110990</stp>
        <stp>시가총액</stp>
        <stp/>
        <stp/>
        <tr r="H583" s="1"/>
      </tp>
      <tp>
        <v>425201963550</v>
        <stp/>
        <stp>P</stp>
        <stp>0</stp>
        <stp>STK</stp>
        <stp>N060980</stp>
        <stp>시가총액</stp>
        <stp/>
        <stp/>
        <tr r="H312" s="3"/>
        <tr r="H505" s="1"/>
      </tp>
      <tp>
        <v>4011123013600</v>
        <stp/>
        <stp>P</stp>
        <stp>0</stp>
        <stp>STK</stp>
        <stp>N000990</stp>
        <stp>시가총액</stp>
        <stp/>
        <stp/>
        <tr r="H113" s="3"/>
        <tr r="H125" s="1"/>
      </tp>
      <tp>
        <v>3298229211000</v>
        <stp/>
        <stp>P</stp>
        <stp>0</stp>
        <stp>STK</stp>
        <stp>N0009K0</stp>
        <stp>시가총액</stp>
        <stp/>
        <stp/>
        <tr r="H143" s="1"/>
      </tp>
      <tp>
        <v>22453443640000</v>
        <stp/>
        <stp>P</stp>
        <stp>0</stp>
        <stp>STK</stp>
        <stp>N000810</stp>
        <stp>시가총액</stp>
        <stp/>
        <stp/>
        <tr r="H35" s="3"/>
        <tr r="H35" s="1"/>
      </tp>
      <tp>
        <v>411746541100</v>
        <stp/>
        <stp>P</stp>
        <stp>0</stp>
        <stp>STK</stp>
        <stp>N460860</stp>
        <stp>시가총액</stp>
        <stp/>
        <stp/>
        <tr r="H319" s="3"/>
        <tr r="H533" s="1"/>
      </tp>
      <tp>
        <v>3735284866100</v>
        <stp/>
        <stp>P</stp>
        <stp>0</stp>
        <stp>STK</stp>
        <stp>N240810</stp>
        <stp>시가총액</stp>
        <stp/>
        <stp/>
        <tr r="H130" s="1"/>
      </tp>
      <tp>
        <v>804482458700</v>
        <stp/>
        <stp>P</stp>
        <stp>0</stp>
        <stp>STK</stp>
        <stp>N100840</stp>
        <stp>시가총액</stp>
        <stp/>
        <stp/>
        <tr r="H347" s="1"/>
        <tr r="H245" s="3"/>
      </tp>
      <tp>
        <v>1640673856500</v>
        <stp/>
        <stp>P</stp>
        <stp>0</stp>
        <stp>STK</stp>
        <stp>N140860</stp>
        <stp>시가총액</stp>
        <stp/>
        <stp/>
        <tr r="H238" s="1"/>
      </tp>
      <tp>
        <v>8837634856500</v>
        <stp/>
        <stp>P</stp>
        <stp>0</stp>
        <stp>STK</stp>
        <stp>N000880</stp>
        <stp>시가총액</stp>
        <stp/>
        <stp/>
        <tr r="H76" s="1"/>
        <tr r="H74" s="3"/>
      </tp>
      <tp>
        <v>464179919760</v>
        <stp/>
        <stp>P</stp>
        <stp>0</stp>
        <stp>STK</stp>
        <stp>N050890</stp>
        <stp>시가총액</stp>
        <stp/>
        <stp/>
        <tr r="H493" s="1"/>
      </tp>
      <tp>
        <v>414886507950</v>
        <stp/>
        <stp>P</stp>
        <stp>0</stp>
        <stp>STK</stp>
        <stp>N200880</stp>
        <stp>시가총액</stp>
        <stp/>
        <stp/>
        <tr r="H503" s="1"/>
        <tr r="H317" s="3"/>
      </tp>
      <tp>
        <v>311406612000</v>
        <stp/>
        <stp>P</stp>
        <stp>0</stp>
        <stp>STK</stp>
        <stp>N0008Z0</stp>
        <stp>시가총액</stp>
        <stp/>
        <stp/>
        <tr r="H610" s="1"/>
      </tp>
      <tp>
        <v>535474161040</v>
        <stp/>
        <stp>P</stp>
        <stp>0</stp>
        <stp>STK</stp>
        <stp>N001500</stp>
        <stp>시가총액</stp>
        <stp/>
        <stp/>
        <tr r="H289" s="3"/>
        <tr r="H459" s="1"/>
      </tp>
      <tp>
        <v>397180866800</v>
        <stp/>
        <stp>P</stp>
        <stp>0</stp>
        <stp>STK</stp>
        <stp>N011500</stp>
        <stp>시가총액</stp>
        <stp/>
        <stp/>
        <tr r="H631" s="1"/>
        <tr r="H333" s="3"/>
      </tp>
      <tp>
        <v>315190608300</v>
        <stp/>
        <stp>P</stp>
        <stp>0</stp>
        <stp>STK</stp>
        <stp>N051500</stp>
        <stp>시가총액</stp>
        <stp/>
        <stp/>
        <tr r="H605" s="1"/>
      </tp>
      <tp>
        <v>2474915989000</v>
        <stp/>
        <stp>P</stp>
        <stp>0</stp>
        <stp>STK</stp>
        <stp>N041510</stp>
        <stp>시가총액</stp>
        <stp/>
        <stp/>
        <tr r="H177" s="1"/>
      </tp>
      <tp>
        <v>393007257600</v>
        <stp/>
        <stp>P</stp>
        <stp>0</stp>
        <stp>STK</stp>
        <stp>N001530</stp>
        <stp>시가총액</stp>
        <stp/>
        <stp/>
        <tr r="H325" s="3"/>
        <tr r="H546" s="1"/>
      </tp>
      <tp>
        <v>5828048752000</v>
        <stp/>
        <stp>P</stp>
        <stp>0</stp>
        <stp>STK</stp>
        <stp>N241560</stp>
        <stp>시가총액</stp>
        <stp/>
        <stp/>
        <tr r="H100" s="1"/>
        <tr r="H93" s="3"/>
      </tp>
      <tp>
        <v>4566423246000</v>
        <stp/>
        <stp>P</stp>
        <stp>0</stp>
        <stp>STK</stp>
        <stp>N271560</stp>
        <stp>시가총액</stp>
        <stp/>
        <stp/>
        <tr r="H106" s="3"/>
        <tr r="H114" s="1"/>
      </tp>
      <tp>
        <v>1048443065600</v>
        <stp/>
        <stp>P</stp>
        <stp>0</stp>
        <stp>STK</stp>
        <stp>N161580</stp>
        <stp>시가총액</stp>
        <stp/>
        <stp/>
        <tr r="H311" s="1"/>
      </tp>
      <tp>
        <v>2668141653600</v>
        <stp/>
        <stp>P</stp>
        <stp>0</stp>
        <stp>STK</stp>
        <stp>N001430</stp>
        <stp>시가총액</stp>
        <stp/>
        <stp/>
        <tr r="H141" s="3"/>
        <tr r="H163" s="1"/>
      </tp>
      <tp>
        <v>394781310000</v>
        <stp/>
        <stp>P</stp>
        <stp>0</stp>
        <stp>STK</stp>
        <stp>N031430</stp>
        <stp>시가총액</stp>
        <stp/>
        <stp/>
        <tr r="H323" s="3"/>
        <tr r="H547" s="1"/>
      </tp>
      <tp>
        <v>5136623115000</v>
        <stp/>
        <stp>P</stp>
        <stp>0</stp>
        <stp>STK</stp>
        <stp>N001440</stp>
        <stp>시가총액</stp>
        <stp/>
        <stp/>
        <tr r="H107" s="1"/>
        <tr r="H97" s="3"/>
      </tp>
      <tp>
        <v>2480850000000</v>
        <stp/>
        <stp>P</stp>
        <stp>0</stp>
        <stp>STK</stp>
        <stp>N001450</stp>
        <stp>시가총액</stp>
        <stp/>
        <stp/>
        <tr r="H151" s="3"/>
        <tr r="H180" s="1"/>
      </tp>
      <tp>
        <v>257965995000</v>
        <stp/>
        <stp>P</stp>
        <stp>0</stp>
        <stp>STK</stp>
        <stp>N001460</stp>
        <stp>시가총액</stp>
        <stp/>
        <stp/>
        <tr r="H366" s="3"/>
        <tr r="H657" s="1"/>
      </tp>
      <tp>
        <v>1391034110800</v>
        <stp/>
        <stp>P</stp>
        <stp>0</stp>
        <stp>STK</stp>
        <stp>N101490</stp>
        <stp>시가총액</stp>
        <stp/>
        <stp/>
        <tr r="H254" s="1"/>
      </tp>
      <tp>
        <v>980956513050</v>
        <stp/>
        <stp>P</stp>
        <stp>0</stp>
        <stp>STK</stp>
        <stp>N181710</stp>
        <stp>시가총액</stp>
        <stp/>
        <stp/>
        <tr r="H316" s="1"/>
        <tr r="H230" s="3"/>
      </tp>
      <tp>
        <v>2586012000000</v>
        <stp/>
        <stp>P</stp>
        <stp>0</stp>
        <stp>STK</stp>
        <stp>N001720</stp>
        <stp>시가총액</stp>
        <stp/>
        <stp/>
        <tr r="H181" s="1"/>
        <tr r="H155" s="3"/>
      </tp>
      <tp>
        <v>506171847440</v>
        <stp/>
        <stp>P</stp>
        <stp>0</stp>
        <stp>STK</stp>
        <stp>N101730</stp>
        <stp>시가총액</stp>
        <stp/>
        <stp/>
        <tr r="H472" s="1"/>
      </tp>
      <tp>
        <v>877896000000</v>
        <stp/>
        <stp>P</stp>
        <stp>0</stp>
        <stp>STK</stp>
        <stp>N241710</stp>
        <stp>시가총액</stp>
        <stp/>
        <stp/>
        <tr r="H357" s="1"/>
      </tp>
      <tp>
        <v>237896300460</v>
        <stp/>
        <stp>P</stp>
        <stp>0</stp>
        <stp>STK</stp>
        <stp>N001750</stp>
        <stp>시가총액</stp>
        <stp/>
        <stp/>
        <tr r="H377" s="3"/>
        <tr r="H682" s="1"/>
      </tp>
      <tp>
        <v>228315136000</v>
        <stp/>
        <stp>P</stp>
        <stp>0</stp>
        <stp>STK</stp>
        <stp>N241770</stp>
        <stp>시가총액</stp>
        <stp/>
        <stp/>
        <tr r="H683" s="1"/>
      </tp>
      <tp>
        <v>293683045200</v>
        <stp/>
        <stp>P</stp>
        <stp>0</stp>
        <stp>STK</stp>
        <stp>N011760</stp>
        <stp>시가총액</stp>
        <stp/>
        <stp/>
        <tr r="H361" s="3"/>
        <tr r="H636" s="1"/>
      </tp>
      <tp>
        <v>3775337073600</v>
        <stp/>
        <stp>P</stp>
        <stp>0</stp>
        <stp>STK</stp>
        <stp>N111770</stp>
        <stp>시가총액</stp>
        <stp/>
        <stp/>
        <tr r="H120" s="3"/>
        <tr r="H135" s="1"/>
      </tp>
      <tp>
        <v>1354049288800</v>
        <stp/>
        <stp>P</stp>
        <stp>0</stp>
        <stp>STK</stp>
        <stp>N281740</stp>
        <stp>시가총액</stp>
        <stp/>
        <stp/>
        <tr r="H288" s="1"/>
      </tp>
      <tp>
        <v>3915173996800</v>
        <stp/>
        <stp>P</stp>
        <stp>0</stp>
        <stp>STK</stp>
        <stp>N011780</stp>
        <stp>시가총액</stp>
        <stp/>
        <stp/>
        <tr r="H133" s="1"/>
        <tr r="H117" s="3"/>
      </tp>
      <tp>
        <v>4260183525000</v>
        <stp/>
        <stp>P</stp>
        <stp>0</stp>
        <stp>STK</stp>
        <stp>N011790</stp>
        <stp>시가총액</stp>
        <stp/>
        <stp/>
        <tr r="H111" s="3"/>
        <tr r="H123" s="1"/>
      </tp>
      <tp>
        <v>2587500000000</v>
        <stp/>
        <stp>P</stp>
        <stp>0</stp>
        <stp>STK</stp>
        <stp>N051600</stp>
        <stp>시가총액</stp>
        <stp/>
        <stp/>
        <tr r="H142" s="3"/>
        <tr r="H166" s="1"/>
      </tp>
      <tp>
        <v>709470197100</v>
        <stp/>
        <stp>P</stp>
        <stp>0</stp>
        <stp>STK</stp>
        <stp>N121600</stp>
        <stp>시가총액</stp>
        <stp/>
        <stp/>
        <tr r="H416" s="1"/>
      </tp>
      <tp>
        <v>2167358150000</v>
        <stp/>
        <stp>P</stp>
        <stp>0</stp>
        <stp>STK</stp>
        <stp>N361610</stp>
        <stp>시가총액</stp>
        <stp/>
        <stp/>
        <tr r="H211" s="1"/>
        <tr r="H168" s="3"/>
      </tp>
      <tp>
        <v>236465439200</v>
        <stp/>
        <stp>P</stp>
        <stp>0</stp>
        <stp>STK</stp>
        <stp>N001630</stp>
        <stp>시가총액</stp>
        <stp/>
        <stp/>
        <tr r="H376" s="3"/>
        <tr r="H681" s="1"/>
      </tp>
      <tp>
        <v>2402405760000</v>
        <stp/>
        <stp>P</stp>
        <stp>0</stp>
        <stp>STK</stp>
        <stp>N081660</stp>
        <stp>시가총액</stp>
        <stp/>
        <stp/>
        <tr r="H154" s="3"/>
        <tr r="H189" s="1"/>
      </tp>
      <tp>
        <v>760524148750</v>
        <stp/>
        <stp>P</stp>
        <stp>0</stp>
        <stp>STK</stp>
        <stp>N001680</stp>
        <stp>시가총액</stp>
        <stp/>
        <stp/>
        <tr r="H253" s="3"/>
        <tr r="H371" s="1"/>
      </tp>
      <tp>
        <v>1389546000000</v>
        <stp/>
        <stp>P</stp>
        <stp>0</stp>
        <stp>STK</stp>
        <stp>N001120</stp>
        <stp>시가총액</stp>
        <stp/>
        <stp/>
        <tr r="H257" s="1"/>
        <tr r="H201" s="3"/>
      </tp>
      <tp>
        <v>241670000000</v>
        <stp/>
        <stp>P</stp>
        <stp>0</stp>
        <stp>STK</stp>
        <stp>N001130</stp>
        <stp>시가총액</stp>
        <stp/>
        <stp/>
        <tr r="H375" s="3"/>
        <tr r="H680" s="1"/>
      </tp>
      <tp>
        <v>373973991450</v>
        <stp/>
        <stp>P</stp>
        <stp>0</stp>
        <stp>STK</stp>
        <stp>N101160</stp>
        <stp>시가총액</stp>
        <stp/>
        <stp/>
        <tr r="H558" s="1"/>
      </tp>
      <tp>
        <v>3396368268600</v>
        <stp/>
        <stp>P</stp>
        <stp>0</stp>
        <stp>STK</stp>
        <stp>N011170</stp>
        <stp>시가총액</stp>
        <stp/>
        <stp/>
        <tr r="H149" s="1"/>
        <tr r="H126" s="3"/>
      </tp>
      <tp>
        <v>618240000000</v>
        <stp/>
        <stp>P</stp>
        <stp>0</stp>
        <stp>STK</stp>
        <stp>N041190</stp>
        <stp>시가총액</stp>
        <stp/>
        <stp/>
        <tr r="H425" s="1"/>
      </tp>
      <tp>
        <v>460703274230</v>
        <stp/>
        <stp>P</stp>
        <stp>0</stp>
        <stp>STK</stp>
        <stp>N161000</stp>
        <stp>시가총액</stp>
        <stp/>
        <stp/>
        <tr r="H308" s="3"/>
        <tr r="H521" s="1"/>
      </tp>
      <tp>
        <v>354708000000</v>
        <stp/>
        <stp>P</stp>
        <stp>0</stp>
        <stp>STK</stp>
        <stp>N481070</stp>
        <stp>시가총액</stp>
        <stp/>
        <stp/>
        <tr r="H588" s="1"/>
      </tp>
      <tp>
        <v>5526123421200</v>
        <stp/>
        <stp>P</stp>
        <stp>0</stp>
        <stp>STK</stp>
        <stp>N001040</stp>
        <stp>시가총액</stp>
        <stp/>
        <stp/>
        <tr r="H102" s="1"/>
        <tr r="H96" s="3"/>
      </tp>
      <tp>
        <v>10615801476000</v>
        <stp/>
        <stp>P</stp>
        <stp>0</stp>
        <stp>STK</stp>
        <stp>N071050</stp>
        <stp>시가총액</stp>
        <stp/>
        <stp/>
        <tr r="H68" s="3"/>
        <tr r="H70" s="1"/>
      </tp>
      <tp>
        <v>645020261000</v>
        <stp/>
        <stp>P</stp>
        <stp>0</stp>
        <stp>STK</stp>
        <stp>N001060</stp>
        <stp>시가총액</stp>
        <stp/>
        <stp/>
        <tr r="H271" s="3"/>
        <tr r="H407" s="1"/>
      </tp>
      <tp>
        <v>6685957727500</v>
        <stp/>
        <stp>P</stp>
        <stp>0</stp>
        <stp>STK</stp>
        <stp>N011070</stp>
        <stp>시가총액</stp>
        <stp/>
        <stp/>
        <tr r="H88" s="3"/>
        <tr r="H94" s="1"/>
      </tp>
      <tp>
        <v>651265545540</v>
        <stp/>
        <stp>P</stp>
        <stp>0</stp>
        <stp>STK</stp>
        <stp>N211050</stp>
        <stp>시가총액</stp>
        <stp/>
        <stp/>
        <tr r="H421" s="1"/>
      </tp>
      <tp>
        <v>561260284800</v>
        <stp/>
        <stp>P</stp>
        <stp>0</stp>
        <stp>STK</stp>
        <stp>N171090</stp>
        <stp>시가총액</stp>
        <stp/>
        <stp/>
        <tr r="H456" s="1"/>
      </tp>
      <tp>
        <v>5487889666200</v>
        <stp/>
        <stp>P</stp>
        <stp>0</stp>
        <stp>STK</stp>
        <stp>N141080</stp>
        <stp>시가총액</stp>
        <stp/>
        <stp/>
        <tr r="H105" s="1"/>
      </tp>
      <tp>
        <v>237389020000</v>
        <stp/>
        <stp>P</stp>
        <stp>0</stp>
        <stp>STK</stp>
        <stp>N061090</stp>
        <stp>시가총액</stp>
        <stp/>
        <stp/>
        <tr r="H679" s="1"/>
      </tp>
      <tp>
        <v>1259767347200</v>
        <stp/>
        <stp>P</stp>
        <stp>0</stp>
        <stp>STK</stp>
        <stp>N071320</stp>
        <stp>시가총액</stp>
        <stp/>
        <stp/>
        <tr r="H209" s="3"/>
        <tr r="H271" s="1"/>
      </tp>
      <tp>
        <v>234887744210</v>
        <stp/>
        <stp>P</stp>
        <stp>0</stp>
        <stp>STK</stp>
        <stp>N051360</stp>
        <stp>시가총액</stp>
        <stp/>
        <stp/>
        <tr r="H672" s="1"/>
      </tp>
      <tp>
        <v>348429973260</v>
        <stp/>
        <stp>P</stp>
        <stp>0</stp>
        <stp>STK</stp>
        <stp>N101360</stp>
        <stp>시가총액</stp>
        <stp/>
        <stp/>
        <tr r="H597" s="1"/>
      </tp>
      <tp>
        <v>8349179650600</v>
        <stp/>
        <stp>P</stp>
        <stp>0</stp>
        <stp>STK</stp>
        <stp>N161390</stp>
        <stp>시가총액</stp>
        <stp/>
        <stp/>
        <tr r="H81" s="1"/>
        <tr r="H77" s="3"/>
      </tp>
      <tp>
        <v>19147730791000</v>
        <stp/>
        <stp>P</stp>
        <stp>0</stp>
        <stp>STK</stp>
        <stp>N011200</stp>
        <stp>시가총액</stp>
        <stp/>
        <stp/>
        <tr r="H43" s="1"/>
        <tr r="H42" s="3"/>
      </tp>
      <tp>
        <v>2398606320600</v>
        <stp/>
        <stp>P</stp>
        <stp>0</stp>
        <stp>STK</stp>
        <stp>N011210</stp>
        <stp>시가총액</stp>
        <stp/>
        <stp/>
        <tr r="H164" s="1"/>
        <tr r="H146" s="3"/>
      </tp>
      <tp>
        <v>3452678021100</v>
        <stp/>
        <stp>P</stp>
        <stp>0</stp>
        <stp>STK</stp>
        <stp>N031210</stp>
        <stp>시가총액</stp>
        <stp/>
        <stp/>
        <tr r="H123" s="3"/>
        <tr r="H140" s="1"/>
      </tp>
      <tp>
        <v>359159073000</v>
        <stp/>
        <stp>P</stp>
        <stp>0</stp>
        <stp>STK</stp>
        <stp>N441270</stp>
        <stp>시가총액</stp>
        <stp/>
        <stp/>
        <tr r="H569" s="1"/>
      </tp>
      <tp>
        <v>5457903194700</v>
        <stp/>
        <stp>P</stp>
        <stp>0</stp>
        <stp>STK</stp>
        <stp>N021240</stp>
        <stp>시가총액</stp>
        <stp/>
        <stp/>
        <tr r="H103" s="1"/>
        <tr r="H95" s="3"/>
      </tp>
      <tp>
        <v>4357842551400</v>
        <stp/>
        <stp>P</stp>
        <stp>0</stp>
        <stp>STK</stp>
        <stp>N251270</stp>
        <stp>시가총액</stp>
        <stp/>
        <stp/>
        <tr r="H108" s="3"/>
        <tr r="H120" s="1"/>
      </tp>
      <tp>
        <v>692708384800</v>
        <stp/>
        <stp>P</stp>
        <stp>0</stp>
        <stp>STK</stp>
        <stp>N001270</stp>
        <stp>시가총액</stp>
        <stp/>
        <stp/>
        <tr r="H412" s="1"/>
        <tr r="H274" s="3"/>
      </tp>
      <tp>
        <v>815227317300</v>
        <stp/>
        <stp>P</stp>
        <stp>0</stp>
        <stp>STK</stp>
        <stp>N131290</stp>
        <stp>시가총액</stp>
        <stp/>
        <stp/>
        <tr r="H343" s="1"/>
      </tp>
      <tp>
        <v>4154617618500</v>
        <stp/>
        <stp>P</stp>
        <stp>0</stp>
        <stp>STK</stp>
        <stp>N051900</stp>
        <stp>시가총액</stp>
        <stp/>
        <stp/>
        <tr r="H114" s="3"/>
        <tr r="H124" s="1"/>
      </tp>
      <tp>
        <v>25060281765000</v>
        <stp/>
        <stp>P</stp>
        <stp>0</stp>
        <stp>STK</stp>
        <stp>N051910</stp>
        <stp>시가총액</stp>
        <stp/>
        <stp/>
        <tr r="H33" s="3"/>
        <tr r="H33" s="1"/>
      </tp>
      <tp>
        <v>412709825400</v>
        <stp/>
        <stp>P</stp>
        <stp>0</stp>
        <stp>STK</stp>
        <stp>N101930</stp>
        <stp>시가총액</stp>
        <stp/>
        <stp/>
        <tr r="H522" s="1"/>
      </tp>
      <tp>
        <v>375674070000</v>
        <stp/>
        <stp>P</stp>
        <stp>0</stp>
        <stp>STK</stp>
        <stp>N001940</stp>
        <stp>시가총액</stp>
        <stp/>
        <stp/>
        <tr r="H328" s="3"/>
        <tr r="H551" s="1"/>
      </tp>
      <tp>
        <v>747447182880</v>
        <stp/>
        <stp>P</stp>
        <stp>0</stp>
        <stp>STK</stp>
        <stp>N381970</stp>
        <stp>시가총액</stp>
        <stp/>
        <stp/>
        <tr r="H255" s="3"/>
        <tr r="H376" s="1"/>
      </tp>
      <tp>
        <v>725400000000</v>
        <stp/>
        <stp>P</stp>
        <stp>0</stp>
        <stp>STK</stp>
        <stp>N251970</stp>
        <stp>시가총액</stp>
        <stp/>
        <stp/>
        <tr r="H393" s="1"/>
      </tp>
      <tp>
        <v>1022410890200</v>
        <stp/>
        <stp>P</stp>
        <stp>0</stp>
        <stp>STK</stp>
        <stp>N131970</stp>
        <stp>시가총액</stp>
        <stp/>
        <stp/>
        <tr r="H308" s="1"/>
      </tp>
      <tp>
        <v>511289715200</v>
        <stp/>
        <stp>P</stp>
        <stp>0</stp>
        <stp>STK</stp>
        <stp>N271940</stp>
        <stp>시가총액</stp>
        <stp/>
        <stp/>
        <tr r="H298" s="3"/>
        <tr r="H481" s="1"/>
      </tp>
      <tp>
        <v>3113993241000</v>
        <stp/>
        <stp>P</stp>
        <stp>0</stp>
        <stp>STK</stp>
        <stp>N071970</stp>
        <stp>시가총액</stp>
        <stp/>
        <stp/>
        <tr r="H130" s="3"/>
        <tr r="H148" s="1"/>
      </tp>
      <tp>
        <v>1313149855500</v>
        <stp/>
        <stp>P</stp>
        <stp>0</stp>
        <stp>STK</stp>
        <stp>N031980</stp>
        <stp>시가총액</stp>
        <stp/>
        <stp/>
        <tr r="H258" s="1"/>
      </tp>
      <tp>
        <v>1290495693200</v>
        <stp/>
        <stp>P</stp>
        <stp>0</stp>
        <stp>STK</stp>
        <stp>N001800</stp>
        <stp>시가총액</stp>
        <stp/>
        <stp/>
        <tr r="H267" s="1"/>
        <tr r="H205" s="3"/>
      </tp>
      <tp>
        <v>792439370900</v>
        <stp/>
        <stp>P</stp>
        <stp>0</stp>
        <stp>STK</stp>
        <stp>N281820</stp>
        <stp>시가총액</stp>
        <stp/>
        <stp/>
        <tr r="H247" s="3"/>
        <tr r="H350" s="1"/>
      </tp>
      <tp>
        <v>325363500000</v>
        <stp/>
        <stp>P</stp>
        <stp>0</stp>
        <stp>STK</stp>
        <stp>N001820</stp>
        <stp>시가총액</stp>
        <stp/>
        <stp/>
        <tr r="H344" s="3"/>
        <tr r="H595" s="1"/>
      </tp>
      <tp>
        <v>399708151300</v>
        <stp/>
        <stp>P</stp>
        <stp>0</stp>
        <stp>STK</stp>
        <stp>N041830</stp>
        <stp>시가총액</stp>
        <stp/>
        <stp/>
        <tr r="H543" s="1"/>
      </tp>
      <tp>
        <v>1560295589700</v>
        <stp/>
        <stp>P</stp>
        <stp>0</stp>
        <stp>STK</stp>
        <stp>N161890</stp>
        <stp>시가총액</stp>
        <stp/>
        <stp/>
        <tr r="H245" s="1"/>
        <tr r="H193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FBC7BC-5696-414F-85D8-33EE052A6807}" name="표.실시간4" displayName="표.실시간4" ref="C5:V380" totalsRowShown="0">
  <autoFilter ref="C5:V380" xr:uid="{C7BAA266-D32F-4F0E-8BCB-260FADC737BF}"/>
  <tableColumns count="20">
    <tableColumn id="1" xr3:uid="{F2159D66-3221-4C6C-A2C7-4835BED58687}" name="연번"/>
    <tableColumn id="2" xr3:uid="{CF1F5943-D2E9-499B-9159-F55B9AAAD0C1}" name="코드"/>
    <tableColumn id="3" xr3:uid="{556EBC43-1605-43A2-A5C0-DEAA6CD8F6BE}" name="종목명"/>
    <tableColumn id="22" xr3:uid="{7ADA10FE-66B4-4640-8952-F9E995F8A1F7}" name="nxt_code">
      <calculatedColumnFormula>ConvertStockCode(표.실시간4[[#This Row],[코드]])</calculatedColumnFormula>
    </tableColumn>
    <tableColumn id="4" xr3:uid="{1A7B3ECE-BA4B-4F9E-B639-8A1CEAFC5132}" name="현재가" dataCellStyle="쉼표 [0]">
      <calculatedColumnFormula>_xll.IMDP("STK",표.실시간4[[#This Row],[nxt_code]],"현재가")</calculatedColumnFormula>
    </tableColumn>
    <tableColumn id="5" xr3:uid="{B53A7461-84E1-4E4E-8334-7E64992F2302}" name="시가총액 (조원)">
      <calculatedColumnFormula>_xll.IMDP("STK",표.실시간4[[#This Row],[nxt_code]],"시가총액")/10^12</calculatedColumnFormula>
    </tableColumn>
    <tableColumn id="23" xr3:uid="{527521DB-33F7-4AEA-ACF8-1988936BAD5C}" name="전 시가총액(조)" dataDxfId="11" dataCellStyle="쉼표 [0]">
      <calculatedColumnFormula>표.실시간4[[#This Row],[시가총액 (조원)]]/표.실시간4[[#This Row],[현재가]]*(표.실시간4[[#This Row],[현재가]]-표.실시간4[[#This Row],[대비]])</calculatedColumnFormula>
    </tableColumn>
    <tableColumn id="7" xr3:uid="{23061EEB-62CE-4848-8555-A23BCAB43F69}" name="대비" dataDxfId="10" dataCellStyle="쉼표 [0]">
      <calculatedColumnFormula>_xll.IMDP("STK",표.실시간4[[#This Row],[nxt_code]],"전일대비")</calculatedColumnFormula>
    </tableColumn>
    <tableColumn id="8" xr3:uid="{6B1E3B2D-FB1A-41D1-AB83-BBE813C2E865}" name="%">
      <calculatedColumnFormula>_xll.IMDP("STK",표.실시간4[[#This Row],[nxt_code]],"등락률")</calculatedColumnFormula>
    </tableColumn>
    <tableColumn id="9" xr3:uid="{DAF21680-8536-4D4B-8A53-79D7B50A1A28}" name="거래량" dataCellStyle="쉼표 [0]">
      <calculatedColumnFormula>_xll.IMDP("STK",표.실시간4[[#This Row],[nxt_code]],"누적거래량")</calculatedColumnFormula>
    </tableColumn>
    <tableColumn id="10" xr3:uid="{BD064242-107F-4385-B4BB-1225932A4B7F}" name="대금(백만)">
      <calculatedColumnFormula>_xll.IMDP("STK",표.실시간4[[#This Row],[nxt_code]],"누적거래대금")</calculatedColumnFormula>
    </tableColumn>
    <tableColumn id="11" xr3:uid="{9545030C-C8EC-4D34-B9F7-4CDB2134BB32}" name="가중평균가" dataCellStyle="쉼표 [0]">
      <calculatedColumnFormula>_xll.IMDP("STK",표.실시간4[[#This Row],[nxt_code]],"가중평균가")</calculatedColumnFormula>
    </tableColumn>
    <tableColumn id="12" xr3:uid="{C6C91883-220F-49FC-98D3-1648C39BDF44}" name="시가" dataCellStyle="쉼표 [0]">
      <calculatedColumnFormula>_xll.IMDP("STK",표.실시간4[[#This Row],[nxt_code]],"시가")</calculatedColumnFormula>
    </tableColumn>
    <tableColumn id="13" xr3:uid="{36048856-5437-463B-A207-0382DDD2A6A3}" name="고가" dataCellStyle="쉼표 [0]">
      <calculatedColumnFormula>_xll.IMDP("STK",표.실시간4[[#This Row],[nxt_code]],"고가")</calculatedColumnFormula>
    </tableColumn>
    <tableColumn id="14" xr3:uid="{73DADD60-B2A7-4248-B68A-20A401899D35}" name="저가" dataCellStyle="쉼표 [0]">
      <calculatedColumnFormula>_xll.IMDP("STK",표.실시간4[[#This Row],[nxt_code]],"저가")</calculatedColumnFormula>
    </tableColumn>
    <tableColumn id="15" xr3:uid="{5508F493-83A8-4B60-8AC2-4DAFF3A6FE69}" name="마켓세션">
      <calculatedColumnFormula>_xll.IMDP("STK",표.실시간4[[#This Row],[nxt_code]],"세션명")</calculatedColumnFormula>
    </tableColumn>
    <tableColumn id="16" xr3:uid="{7E5D0030-90B5-4E5B-A9BC-14C85F7ADAF1}" name="세로 막대형3">
      <calculatedColumnFormula>_xll.IMDP("STK",표.실시간4[[#This Row],[nxt_code]],"체결시간")</calculatedColumnFormula>
    </tableColumn>
    <tableColumn id="17" xr3:uid="{93A32990-2E13-4D96-AD72-42A0F12F5746}" name="KRX현재가" dataCellStyle="쉼표 [0]"/>
    <tableColumn id="20" xr3:uid="{1186CC77-FE42-436B-9EE4-AC1DA198DF07}" name="KRX거래량"/>
    <tableColumn id="21" xr3:uid="{687CF816-1CF1-4F0B-9498-9A20AB3EFA6A}" name="KRX거래량%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E0FE3-AB4B-46A9-93EC-DC3A7125C41D}" name="표4" displayName="표4" ref="H1:J2" totalsRowShown="0">
  <autoFilter ref="H1:J2" xr:uid="{0D6AADB7-59C2-42B1-8104-18230FA6DC1B}"/>
  <tableColumns count="3">
    <tableColumn id="1" xr3:uid="{1282510F-46C8-4F03-9DA4-27DFDF6D7D91}" name="시가총액 (조원)" dataCellStyle="쉼표 [0]">
      <calculatedColumnFormula>SUM(표.실시간4[시가총액 (조원)])</calculatedColumnFormula>
    </tableColumn>
    <tableColumn id="2" xr3:uid="{34D92BCF-2481-47E5-927C-751ECBB24FB9}" name="전 시가총액(조)" dataCellStyle="쉼표 [0]">
      <calculatedColumnFormula>SUM(표.실시간4[전 시가총액(조)])</calculatedColumnFormula>
    </tableColumn>
    <tableColumn id="3" xr3:uid="{3059FE46-87D5-43A7-99ED-7C474F59FC5C}" name="변동률" dataDxfId="9" dataCellStyle="백분율">
      <calculatedColumnFormula>H2/I2-1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520C91-4883-439B-9D98-9F0C7B5081A4}" name="표.실시간" displayName="표.실시간" ref="C5:V696" totalsRowShown="0">
  <autoFilter ref="C5:V696" xr:uid="{C7BAA266-D32F-4F0E-8BCB-260FADC737BF}"/>
  <tableColumns count="20">
    <tableColumn id="1" xr3:uid="{B0DFA1AC-1650-4DD6-91DD-82666D5494B4}" name="연번"/>
    <tableColumn id="2" xr3:uid="{AC79D488-DC37-433C-9FB6-E936D7FC4299}" name="코드"/>
    <tableColumn id="3" xr3:uid="{2220D633-583F-4106-A3ED-BB2532DB70FE}" name="종목명"/>
    <tableColumn id="22" xr3:uid="{BF2C969D-E953-4A23-957E-C067F976EB19}" name="nxt_code">
      <calculatedColumnFormula>ConvertStockCode(표.실시간[[#This Row],[코드]])</calculatedColumnFormula>
    </tableColumn>
    <tableColumn id="4" xr3:uid="{2B5F1AE3-51C7-4187-8920-1B112D9A330D}" name="현재가" dataCellStyle="쉼표 [0]">
      <calculatedColumnFormula>_xll.IMDP("STK",표.실시간[[#This Row],[nxt_code]],"현재가")</calculatedColumnFormula>
    </tableColumn>
    <tableColumn id="5" xr3:uid="{B7F5CD50-5E13-4513-A5DA-D9F14317C15E}" name="시가총액 (조원)">
      <calculatedColumnFormula>_xll.IMDP("STK",표.실시간[[#This Row],[nxt_code]],"시가총액")/10^12</calculatedColumnFormula>
    </tableColumn>
    <tableColumn id="6" xr3:uid="{C87E5906-D117-4359-AB49-83DD22F4B26A}" name="세로 막대형2">
      <calculatedColumnFormula>_xll.IMDP("","","전일대비부호")</calculatedColumnFormula>
    </tableColumn>
    <tableColumn id="7" xr3:uid="{0979AACF-1791-4416-A06F-28F32F91008B}" name="대비" dataDxfId="8" dataCellStyle="쉼표 [0]">
      <calculatedColumnFormula>_xll.IMDP("STK",표.실시간[[#This Row],[nxt_code]],"전일대비")</calculatedColumnFormula>
    </tableColumn>
    <tableColumn id="8" xr3:uid="{993E9430-22F7-4710-94D9-D72E3A94BC21}" name="%">
      <calculatedColumnFormula>_xll.IMDP("STK",표.실시간[[#This Row],[nxt_code]],"등락률")</calculatedColumnFormula>
    </tableColumn>
    <tableColumn id="9" xr3:uid="{C4AB2991-E51B-4055-B24C-BD37FE040FE2}" name="거래량" dataCellStyle="쉼표 [0]">
      <calculatedColumnFormula>_xll.IMDP("STK",표.실시간[[#This Row],[nxt_code]],"누적거래량")</calculatedColumnFormula>
    </tableColumn>
    <tableColumn id="10" xr3:uid="{49E25E39-1A87-4894-8F24-D32C87AF911A}" name="대금(백만)">
      <calculatedColumnFormula>_xll.IMDP("STK",표.실시간[[#This Row],[nxt_code]],"누적거래대금")</calculatedColumnFormula>
    </tableColumn>
    <tableColumn id="11" xr3:uid="{2653CB10-AC28-42F8-84A8-1856829F3C6B}" name="가중평균가" dataCellStyle="쉼표 [0]">
      <calculatedColumnFormula>_xll.IMDP("STK",표.실시간[[#This Row],[nxt_code]],"가중평균가")</calculatedColumnFormula>
    </tableColumn>
    <tableColumn id="12" xr3:uid="{ABC69B7D-B0C3-4FE5-9A61-C82F13CFE6F8}" name="시가" dataCellStyle="쉼표 [0]">
      <calculatedColumnFormula>_xll.IMDP("STK",표.실시간[[#This Row],[nxt_code]],"시가")</calculatedColumnFormula>
    </tableColumn>
    <tableColumn id="13" xr3:uid="{36721F19-9CE4-46D1-8D89-D5AAD52CE12D}" name="고가" dataCellStyle="쉼표 [0]">
      <calculatedColumnFormula>_xll.IMDP("STK",표.실시간[[#This Row],[nxt_code]],"고가")</calculatedColumnFormula>
    </tableColumn>
    <tableColumn id="14" xr3:uid="{5D65B84F-4936-4E57-A534-0EC52C683D2F}" name="저가" dataCellStyle="쉼표 [0]">
      <calculatedColumnFormula>_xll.IMDP("STK",표.실시간[[#This Row],[nxt_code]],"저가")</calculatedColumnFormula>
    </tableColumn>
    <tableColumn id="15" xr3:uid="{55BF21A3-D2BC-4459-B193-A710D58BA43A}" name="마켓세션">
      <calculatedColumnFormula>_xll.IMDP("STK",표.실시간[[#This Row],[nxt_code]],"세션명")</calculatedColumnFormula>
    </tableColumn>
    <tableColumn id="16" xr3:uid="{B4E765F4-9531-49E4-A603-5D98AF90CF7A}" name="세로 막대형3">
      <calculatedColumnFormula>_xll.IMDP("STK",표.실시간[[#This Row],[nxt_code]],"체결시간")</calculatedColumnFormula>
    </tableColumn>
    <tableColumn id="17" xr3:uid="{14119FD9-5E63-46BF-86A2-28420ED690B0}" name="KRX현재가" dataCellStyle="쉼표 [0]"/>
    <tableColumn id="20" xr3:uid="{82425DD3-4562-412A-9AC6-BEAE10F6FDD5}" name="KRX거래량"/>
    <tableColumn id="21" xr3:uid="{3EA915E4-5BD2-44A6-B359-70345CE62D6F}" name="KRX거래량%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426690-5349-4401-9394-339EB8C9CB9D}" name="tbl.textOnly" displayName="tbl.textOnly" ref="D2:X693" totalsRowShown="0">
  <autoFilter ref="D2:X693" xr:uid="{85FC2E26-6CB6-4AB7-B007-EE1899697740}"/>
  <tableColumns count="21">
    <tableColumn id="1" xr3:uid="{BC3CDA52-C2EC-4B62-9CD2-2D3E792F123E}" name="연번"/>
    <tableColumn id="2" xr3:uid="{AD0ECC47-90BD-4A9D-ABAD-D60FBC247221}" name="코드"/>
    <tableColumn id="3" xr3:uid="{79A07CD4-C0A8-4E0B-BB8A-D4B326D8F7B9}" name="종목명"/>
    <tableColumn id="4" xr3:uid="{AD7E8DA4-9D2F-4661-B4A7-E4720FC384C8}" name="종가"/>
    <tableColumn id="5" xr3:uid="{FB7D91F7-CC56-4DCA-81D9-F5D931D732B8}" name="세로 막대형1" dataDxfId="7"/>
    <tableColumn id="6" xr3:uid="{F9846753-EFC5-4525-9A29-CED65E509A1A}" name="세로 막대형2"/>
    <tableColumn id="7" xr3:uid="{2E4BF292-0CAF-4E5E-AEAD-270BD424D6E9}" name="대비"/>
    <tableColumn id="8" xr3:uid="{23F32553-38B8-4FBE-9416-33866F2425DC}" name="%"/>
    <tableColumn id="9" xr3:uid="{2E977730-1A57-42AB-9A80-E78F0B203482}" name="거래량" dataDxfId="6"/>
    <tableColumn id="10" xr3:uid="{7E4080FF-B212-44A7-9399-8B4DA6765D8F}" name="대금(백만)"/>
    <tableColumn id="11" xr3:uid="{6E299BE9-8CD1-46D5-BF0B-0BC1951A9D34}" name="가중평균가" dataDxfId="5"/>
    <tableColumn id="12" xr3:uid="{5E48916F-568B-42F7-B102-0604C0D6B12B}" name="시가" dataDxfId="4"/>
    <tableColumn id="13" xr3:uid="{2BD32D8D-5712-40BB-B3FB-AA9A21B45447}" name="고가" dataDxfId="3"/>
    <tableColumn id="14" xr3:uid="{A2E404B9-C7A9-4C86-A4AF-BFEE1EDA5197}" name="저가" dataDxfId="2"/>
    <tableColumn id="15" xr3:uid="{5484CB3B-FB09-4896-891A-D233C712A356}" name="마켓세션"/>
    <tableColumn id="16" xr3:uid="{29B92BFE-A88C-4C45-9C9E-FDE59556C183}" name="세로 막대형3" dataDxfId="1"/>
    <tableColumn id="17" xr3:uid="{76630DB3-E580-4E1C-ABF0-C029E6A9FDD3}" name="KRX현재가" dataDxfId="0"/>
    <tableColumn id="18" xr3:uid="{A979E2F0-CFFB-47F3-B083-313350720AC5}" name="KRX대비"/>
    <tableColumn id="19" xr3:uid="{DC567C18-3CCB-48EB-8A20-6B8F223D82D4}" name="KRX대비%"/>
    <tableColumn id="20" xr3:uid="{8C0EDC54-BF2B-418A-82DA-1303B43FFF4A}" name="KRX거래량"/>
    <tableColumn id="21" xr3:uid="{78BB7AC8-5D0E-48B6-98E3-F700599E8C96}" name="KRX거래량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031F6-ECAC-4D97-A099-9846F141E14F}">
  <sheetPr codeName="Sheet3"/>
  <dimension ref="C1:V380"/>
  <sheetViews>
    <sheetView tabSelected="1" workbookViewId="0">
      <selection activeCell="H21" sqref="H21"/>
    </sheetView>
  </sheetViews>
  <sheetFormatPr defaultRowHeight="16.5" x14ac:dyDescent="0.3"/>
  <cols>
    <col min="7" max="7" width="10.875" bestFit="1" customWidth="1"/>
    <col min="8" max="8" width="14.5" customWidth="1"/>
    <col min="9" max="9" width="13.875" customWidth="1"/>
    <col min="12" max="12" width="18.5" customWidth="1"/>
    <col min="13" max="13" width="16.875" customWidth="1"/>
    <col min="14" max="14" width="16.75" customWidth="1"/>
    <col min="15" max="17" width="10.875" bestFit="1" customWidth="1"/>
    <col min="18" max="18" width="10.25" customWidth="1"/>
    <col min="19" max="19" width="13.875" customWidth="1"/>
    <col min="20" max="20" width="12.125" customWidth="1"/>
    <col min="21" max="21" width="10.25" customWidth="1"/>
    <col min="22" max="22" width="11.875" customWidth="1"/>
    <col min="23" max="23" width="12.125" customWidth="1"/>
    <col min="24" max="24" width="13.75" customWidth="1"/>
  </cols>
  <sheetData>
    <row r="1" spans="3:22" x14ac:dyDescent="0.3">
      <c r="H1" t="s">
        <v>721</v>
      </c>
      <c r="I1" t="s">
        <v>725</v>
      </c>
      <c r="J1" t="s">
        <v>728</v>
      </c>
    </row>
    <row r="2" spans="3:22" x14ac:dyDescent="0.3">
      <c r="H2" s="4">
        <f>SUM(표.실시간4[시가총액 (조원)])</f>
        <v>3899.0918614725324</v>
      </c>
      <c r="I2" s="4">
        <f>SUM(표.실시간4[전 시가총액(조)])</f>
        <v>3881.7813968358723</v>
      </c>
      <c r="J2" s="6">
        <f>H2/I2-1</f>
        <v>4.4594125395032158E-3</v>
      </c>
    </row>
    <row r="4" spans="3:22" x14ac:dyDescent="0.3">
      <c r="C4" t="s">
        <v>727</v>
      </c>
    </row>
    <row r="5" spans="3:22" x14ac:dyDescent="0.3">
      <c r="C5" t="s">
        <v>0</v>
      </c>
      <c r="D5" t="s">
        <v>1</v>
      </c>
      <c r="E5" t="s">
        <v>2</v>
      </c>
      <c r="F5" t="s">
        <v>719</v>
      </c>
      <c r="G5" t="s">
        <v>720</v>
      </c>
      <c r="H5" t="s">
        <v>722</v>
      </c>
      <c r="I5" t="s">
        <v>726</v>
      </c>
      <c r="J5" t="s">
        <v>4</v>
      </c>
      <c r="K5" t="s">
        <v>5</v>
      </c>
      <c r="L5" t="s">
        <v>6</v>
      </c>
      <c r="M5" t="s">
        <v>7</v>
      </c>
      <c r="N5" t="s">
        <v>8</v>
      </c>
      <c r="O5" t="s">
        <v>9</v>
      </c>
      <c r="P5" t="s">
        <v>10</v>
      </c>
      <c r="Q5" t="s">
        <v>11</v>
      </c>
      <c r="R5" t="s">
        <v>12</v>
      </c>
      <c r="S5" t="s">
        <v>718</v>
      </c>
      <c r="T5" t="s">
        <v>13</v>
      </c>
      <c r="U5" t="s">
        <v>16</v>
      </c>
      <c r="V5" t="s">
        <v>17</v>
      </c>
    </row>
    <row r="6" spans="3:22" x14ac:dyDescent="0.3">
      <c r="C6">
        <v>1</v>
      </c>
      <c r="D6">
        <v>5930</v>
      </c>
      <c r="E6" t="s">
        <v>18</v>
      </c>
      <c r="F6" t="str">
        <f>ConvertStockCode(표.실시간4[[#This Row],[코드]])</f>
        <v>N005930</v>
      </c>
      <c r="G6" s="4">
        <f>_xll.IMDP("STK",표.실시간4[[#This Row],[nxt_code]],"현재가")</f>
        <v>153400</v>
      </c>
      <c r="H6" s="4">
        <f>_xll.IMDP("STK",표.실시간4[[#This Row],[nxt_code]],"시가총액")/10^12</f>
        <v>908.07245723480003</v>
      </c>
      <c r="I6" s="4">
        <f>표.실시간4[[#This Row],[시가총액 (조원)]]/표.실시간4[[#This Row],[현재가]]*(표.실시간4[[#This Row],[현재가]]-표.실시간4[[#This Row],[대비]])</f>
        <v>900.96889172839997</v>
      </c>
      <c r="J6" s="5">
        <f>_xll.IMDP("STK",표.실시간4[[#This Row],[nxt_code]],"전일대비")</f>
        <v>1200</v>
      </c>
      <c r="K6">
        <f>_xll.IMDP("STK",표.실시간4[[#This Row],[nxt_code]],"등락률")</f>
        <v>0.72</v>
      </c>
      <c r="L6" s="4">
        <f>_xll.IMDP("STK",표.실시간4[[#This Row],[nxt_code]],"누적거래량")</f>
        <v>2280981</v>
      </c>
      <c r="M6" s="4">
        <f>_xll.IMDP("STK",표.실시간4[[#This Row],[nxt_code]],"누적거래대금")</f>
        <v>351203318500</v>
      </c>
      <c r="N6" s="4">
        <f>_xll.IMDP("STK",표.실시간4[[#This Row],[nxt_code]],"가중평균가")</f>
        <v>153970.29545599999</v>
      </c>
      <c r="O6" s="4">
        <f>_xll.IMDP("STK",표.실시간4[[#This Row],[nxt_code]],"시가")</f>
        <v>153600</v>
      </c>
      <c r="P6" s="4">
        <f>_xll.IMDP("STK",표.실시간4[[#This Row],[nxt_code]],"고가")</f>
        <v>154400</v>
      </c>
      <c r="Q6" s="4">
        <f>_xll.IMDP("STK",표.실시간4[[#This Row],[nxt_code]],"저가")</f>
        <v>152800</v>
      </c>
      <c r="R6">
        <f>_xll.IMDP("STK",표.실시간4[[#This Row],[nxt_code]],"세션명")</f>
        <v>0</v>
      </c>
      <c r="S6">
        <f>_xll.IMDP("STK",표.실시간4[[#This Row],[nxt_code]],"체결시간")</f>
        <v>0</v>
      </c>
      <c r="T6" s="4">
        <f>_xll.IMDP("STK","005930","현재가")</f>
        <v>153400</v>
      </c>
      <c r="U6">
        <f>_xll.IMDP("STK","005930","누적거래량")</f>
        <v>1464330</v>
      </c>
      <c r="V6">
        <v>825.9</v>
      </c>
    </row>
    <row r="7" spans="3:22" x14ac:dyDescent="0.3">
      <c r="C7">
        <v>2</v>
      </c>
      <c r="D7">
        <v>660</v>
      </c>
      <c r="E7" t="s">
        <v>19</v>
      </c>
      <c r="F7" t="str">
        <f>ConvertStockCode(표.실시간4[[#This Row],[코드]])</f>
        <v>N000660</v>
      </c>
      <c r="G7" s="4">
        <f>_xll.IMDP("STK",표.실시간4[[#This Row],[nxt_code]],"현재가")</f>
        <v>750000</v>
      </c>
      <c r="H7" s="4">
        <f>_xll.IMDP("STK",표.실시간4[[#This Row],[nxt_code]],"시가총액")/10^12</f>
        <v>548.18578084499995</v>
      </c>
      <c r="I7" s="4">
        <f>표.실시간4[[#This Row],[시가총액 (조원)]]/표.실시간4[[#This Row],[현재가]]*(표.실시간4[[#This Row],[현재가]]-표.실시간4[[#This Row],[대비]])</f>
        <v>549.64760959391992</v>
      </c>
      <c r="J7" s="5">
        <f>_xll.IMDP("STK",표.실시간4[[#This Row],[nxt_code]],"전일대비")</f>
        <v>-2000</v>
      </c>
      <c r="K7">
        <f>_xll.IMDP("STK",표.실시간4[[#This Row],[nxt_code]],"등락률")</f>
        <v>-0.66</v>
      </c>
      <c r="L7" s="4">
        <f>_xll.IMDP("STK",표.실시간4[[#This Row],[nxt_code]],"누적거래량")</f>
        <v>235944</v>
      </c>
      <c r="M7" s="4">
        <f>_xll.IMDP("STK",표.실시간4[[#This Row],[nxt_code]],"누적거래대금")</f>
        <v>178500740500</v>
      </c>
      <c r="N7" s="4">
        <f>_xll.IMDP("STK",표.실시간4[[#This Row],[nxt_code]],"가중평균가")</f>
        <v>756538.58754600002</v>
      </c>
      <c r="O7" s="4">
        <f>_xll.IMDP("STK",표.실시간4[[#This Row],[nxt_code]],"시가")</f>
        <v>753000</v>
      </c>
      <c r="P7" s="4">
        <f>_xll.IMDP("STK",표.실시간4[[#This Row],[nxt_code]],"고가")</f>
        <v>767000</v>
      </c>
      <c r="Q7" s="4">
        <f>_xll.IMDP("STK",표.실시간4[[#This Row],[nxt_code]],"저가")</f>
        <v>750000</v>
      </c>
      <c r="R7">
        <f>_xll.IMDP("STK",표.실시간4[[#This Row],[nxt_code]],"세션명")</f>
        <v>0</v>
      </c>
      <c r="S7">
        <f>_xll.IMDP("STK",표.실시간4[[#This Row],[nxt_code]],"체결시간")</f>
        <v>0</v>
      </c>
      <c r="T7" s="4">
        <f>_xll.IMDP("STK","000660","현재가")</f>
        <v>750000</v>
      </c>
      <c r="U7">
        <f>_xll.IMDP("STK","000660","누적거래량")</f>
        <v>164296</v>
      </c>
      <c r="V7" s="2">
        <v>1052.33</v>
      </c>
    </row>
    <row r="8" spans="3:22" x14ac:dyDescent="0.3">
      <c r="C8">
        <v>3</v>
      </c>
      <c r="D8">
        <v>5380</v>
      </c>
      <c r="E8" t="s">
        <v>20</v>
      </c>
      <c r="F8" t="str">
        <f>ConvertStockCode(표.실시간4[[#This Row],[코드]])</f>
        <v>N005380</v>
      </c>
      <c r="G8" s="4">
        <f>_xll.IMDP("STK",표.실시간4[[#This Row],[nxt_code]],"현재가")</f>
        <v>533000</v>
      </c>
      <c r="H8" s="4">
        <f>_xll.IMDP("STK",표.실시간4[[#This Row],[nxt_code]],"시가총액")/10^12</f>
        <v>109.13588927799999</v>
      </c>
      <c r="I8" s="4">
        <f>표.실시간4[[#This Row],[시가총액 (조원)]]/표.실시간4[[#This Row],[현재가]]*(표.실시간4[[#This Row],[현재가]]-표.실시간4[[#This Row],[대비]])</f>
        <v>108.31685821399999</v>
      </c>
      <c r="J8" s="5">
        <f>_xll.IMDP("STK",표.실시간4[[#This Row],[nxt_code]],"전일대비")</f>
        <v>4000</v>
      </c>
      <c r="K8">
        <f>_xll.IMDP("STK",표.실시간4[[#This Row],[nxt_code]],"등락률")</f>
        <v>0.76</v>
      </c>
      <c r="L8" s="4">
        <f>_xll.IMDP("STK",표.실시간4[[#This Row],[nxt_code]],"누적거래량")</f>
        <v>924109</v>
      </c>
      <c r="M8" s="4">
        <f>_xll.IMDP("STK",표.실시간4[[#This Row],[nxt_code]],"누적거래대금")</f>
        <v>495822819500</v>
      </c>
      <c r="N8" s="4">
        <f>_xll.IMDP("STK",표.실시간4[[#This Row],[nxt_code]],"가중평균가")</f>
        <v>536541.48969399999</v>
      </c>
      <c r="O8" s="4">
        <f>_xll.IMDP("STK",표.실시간4[[#This Row],[nxt_code]],"시가")</f>
        <v>538000</v>
      </c>
      <c r="P8" s="4">
        <f>_xll.IMDP("STK",표.실시간4[[#This Row],[nxt_code]],"고가")</f>
        <v>551000</v>
      </c>
      <c r="Q8" s="4">
        <f>_xll.IMDP("STK",표.실시간4[[#This Row],[nxt_code]],"저가")</f>
        <v>522000</v>
      </c>
      <c r="R8">
        <f>_xll.IMDP("STK",표.실시간4[[#This Row],[nxt_code]],"세션명")</f>
        <v>0</v>
      </c>
      <c r="S8">
        <f>_xll.IMDP("STK",표.실시간4[[#This Row],[nxt_code]],"체결시간")</f>
        <v>0</v>
      </c>
      <c r="T8" s="4">
        <f>_xll.IMDP("STK","005380","현재가")</f>
        <v>533000</v>
      </c>
      <c r="U8">
        <f>_xll.IMDP("STK","005380","누적거래량")</f>
        <v>149291</v>
      </c>
      <c r="V8" s="2">
        <v>5440.58</v>
      </c>
    </row>
    <row r="9" spans="3:22" x14ac:dyDescent="0.3">
      <c r="C9">
        <v>4</v>
      </c>
      <c r="D9">
        <v>373220</v>
      </c>
      <c r="E9" t="s">
        <v>21</v>
      </c>
      <c r="F9" t="str">
        <f>ConvertStockCode(표.실시간4[[#This Row],[코드]])</f>
        <v>N373220</v>
      </c>
      <c r="G9" s="4">
        <f>_xll.IMDP("STK",표.실시간4[[#This Row],[nxt_code]],"현재가")</f>
        <v>422500</v>
      </c>
      <c r="H9" s="4">
        <f>_xll.IMDP("STK",표.실시간4[[#This Row],[nxt_code]],"시가총액")/10^12</f>
        <v>98.864999999999995</v>
      </c>
      <c r="I9" s="4">
        <f>표.실시간4[[#This Row],[시가총액 (조원)]]/표.실시간4[[#This Row],[현재가]]*(표.실시간4[[#This Row],[현재가]]-표.실시간4[[#This Row],[대비]])</f>
        <v>97.578000000000003</v>
      </c>
      <c r="J9" s="5">
        <f>_xll.IMDP("STK",표.실시간4[[#This Row],[nxt_code]],"전일대비")</f>
        <v>5500</v>
      </c>
      <c r="K9">
        <f>_xll.IMDP("STK",표.실시간4[[#This Row],[nxt_code]],"등락률")</f>
        <v>1.32</v>
      </c>
      <c r="L9" s="4">
        <f>_xll.IMDP("STK",표.실시간4[[#This Row],[nxt_code]],"누적거래량")</f>
        <v>127979</v>
      </c>
      <c r="M9" s="4">
        <f>_xll.IMDP("STK",표.실시간4[[#This Row],[nxt_code]],"누적거래대금")</f>
        <v>54840252250</v>
      </c>
      <c r="N9" s="4">
        <f>_xll.IMDP("STK",표.실시간4[[#This Row],[nxt_code]],"가중평균가")</f>
        <v>428452.85985499999</v>
      </c>
      <c r="O9" s="4">
        <f>_xll.IMDP("STK",표.실시간4[[#This Row],[nxt_code]],"시가")</f>
        <v>424000</v>
      </c>
      <c r="P9" s="4">
        <f>_xll.IMDP("STK",표.실시간4[[#This Row],[nxt_code]],"고가")</f>
        <v>435000</v>
      </c>
      <c r="Q9" s="4">
        <f>_xll.IMDP("STK",표.실시간4[[#This Row],[nxt_code]],"저가")</f>
        <v>421500</v>
      </c>
      <c r="R9">
        <f>_xll.IMDP("STK",표.실시간4[[#This Row],[nxt_code]],"세션명")</f>
        <v>0</v>
      </c>
      <c r="S9">
        <f>_xll.IMDP("STK",표.실시간4[[#This Row],[nxt_code]],"체결시간")</f>
        <v>0</v>
      </c>
      <c r="T9" s="4">
        <f>_xll.IMDP("STK","373220","현재가")</f>
        <v>422500</v>
      </c>
      <c r="U9">
        <f>_xll.IMDP("STK","373220","누적거래량")</f>
        <v>52643</v>
      </c>
      <c r="V9" s="2">
        <v>2369.0700000000002</v>
      </c>
    </row>
    <row r="10" spans="3:22" x14ac:dyDescent="0.3">
      <c r="C10">
        <v>5</v>
      </c>
      <c r="D10">
        <v>207940</v>
      </c>
      <c r="E10" t="s">
        <v>22</v>
      </c>
      <c r="F10" t="str">
        <f>ConvertStockCode(표.실시간4[[#This Row],[코드]])</f>
        <v>N207940</v>
      </c>
      <c r="G10" s="4">
        <f>_xll.IMDP("STK",표.실시간4[[#This Row],[nxt_code]],"현재가")</f>
        <v>1794000</v>
      </c>
      <c r="H10" s="4">
        <f>_xll.IMDP("STK",표.실시간4[[#This Row],[nxt_code]],"시가총액")/10^12</f>
        <v>83.045966093999994</v>
      </c>
      <c r="I10" s="4">
        <f>표.실시간4[[#This Row],[시가총액 (조원)]]/표.실시간4[[#This Row],[현재가]]*(표.실시간4[[#This Row],[현재가]]-표.실시간4[[#This Row],[대비]])</f>
        <v>82.305310877999986</v>
      </c>
      <c r="J10" s="5">
        <f>_xll.IMDP("STK",표.실시간4[[#This Row],[nxt_code]],"전일대비")</f>
        <v>16000</v>
      </c>
      <c r="K10">
        <f>_xll.IMDP("STK",표.실시간4[[#This Row],[nxt_code]],"등락률")</f>
        <v>0.9</v>
      </c>
      <c r="L10" s="4">
        <f>_xll.IMDP("STK",표.실시간4[[#This Row],[nxt_code]],"누적거래량")</f>
        <v>2601</v>
      </c>
      <c r="M10" s="4">
        <f>_xll.IMDP("STK",표.실시간4[[#This Row],[nxt_code]],"누적거래대금")</f>
        <v>4664915000</v>
      </c>
      <c r="N10" s="4">
        <f>_xll.IMDP("STK",표.실시간4[[#This Row],[nxt_code]],"가중평균가")</f>
        <v>1793508.266052</v>
      </c>
      <c r="O10" s="4">
        <f>_xll.IMDP("STK",표.실시간4[[#This Row],[nxt_code]],"시가")</f>
        <v>1793000</v>
      </c>
      <c r="P10" s="4">
        <f>_xll.IMDP("STK",표.실시간4[[#This Row],[nxt_code]],"고가")</f>
        <v>1799000</v>
      </c>
      <c r="Q10" s="4">
        <f>_xll.IMDP("STK",표.실시간4[[#This Row],[nxt_code]],"저가")</f>
        <v>1783000</v>
      </c>
      <c r="R10">
        <f>_xll.IMDP("STK",표.실시간4[[#This Row],[nxt_code]],"세션명")</f>
        <v>0</v>
      </c>
      <c r="S10">
        <f>_xll.IMDP("STK",표.실시간4[[#This Row],[nxt_code]],"체결시간")</f>
        <v>0</v>
      </c>
      <c r="T10" s="4">
        <f>_xll.IMDP("STK","207940","현재가")</f>
        <v>1793000</v>
      </c>
      <c r="U10">
        <f>_xll.IMDP("STK","207940","누적거래량")</f>
        <v>1673</v>
      </c>
      <c r="V10">
        <v>295.33</v>
      </c>
    </row>
    <row r="11" spans="3:22" x14ac:dyDescent="0.3">
      <c r="C11">
        <v>6</v>
      </c>
      <c r="D11">
        <v>12450</v>
      </c>
      <c r="E11" t="s">
        <v>24</v>
      </c>
      <c r="F11" t="str">
        <f>ConvertStockCode(표.실시간4[[#This Row],[코드]])</f>
        <v>N012450</v>
      </c>
      <c r="G11" s="4">
        <f>_xll.IMDP("STK",표.실시간4[[#This Row],[nxt_code]],"현재가")</f>
        <v>1276000</v>
      </c>
      <c r="H11" s="4">
        <f>_xll.IMDP("STK",표.실시간4[[#This Row],[nxt_code]],"시가총액")/10^12</f>
        <v>65.898026478000006</v>
      </c>
      <c r="I11" s="4">
        <f>표.실시간4[[#This Row],[시가총액 (조원)]]/표.실시간4[[#This Row],[현재가]]*(표.실시간4[[#This Row],[현재가]]-표.실시간4[[#This Row],[대비]])</f>
        <v>66.466112913155172</v>
      </c>
      <c r="J11" s="5">
        <f>_xll.IMDP("STK",표.실시간4[[#This Row],[nxt_code]],"전일대비")</f>
        <v>-11000</v>
      </c>
      <c r="K11">
        <f>_xll.IMDP("STK",표.실시간4[[#This Row],[nxt_code]],"등락률")</f>
        <v>-1.01</v>
      </c>
      <c r="L11" s="4">
        <f>_xll.IMDP("STK",표.실시간4[[#This Row],[nxt_code]],"누적거래량")</f>
        <v>7117</v>
      </c>
      <c r="M11" s="4">
        <f>_xll.IMDP("STK",표.실시간4[[#This Row],[nxt_code]],"누적거래대금")</f>
        <v>9200908000</v>
      </c>
      <c r="N11" s="4">
        <f>_xll.IMDP("STK",표.실시간4[[#This Row],[nxt_code]],"가중평균가")</f>
        <v>1291536.777092</v>
      </c>
      <c r="O11" s="4">
        <f>_xll.IMDP("STK",표.실시간4[[#This Row],[nxt_code]],"시가")</f>
        <v>1289000</v>
      </c>
      <c r="P11" s="4">
        <f>_xll.IMDP("STK",표.실시간4[[#This Row],[nxt_code]],"고가")</f>
        <v>1301000</v>
      </c>
      <c r="Q11" s="4">
        <f>_xll.IMDP("STK",표.실시간4[[#This Row],[nxt_code]],"저가")</f>
        <v>1271000</v>
      </c>
      <c r="R11">
        <f>_xll.IMDP("STK",표.실시간4[[#This Row],[nxt_code]],"세션명")</f>
        <v>0</v>
      </c>
      <c r="S11">
        <f>_xll.IMDP("STK",표.실시간4[[#This Row],[nxt_code]],"체결시간")</f>
        <v>0</v>
      </c>
      <c r="T11" s="4">
        <f>_xll.IMDP("STK","000270","현재가")</f>
        <v>162200</v>
      </c>
      <c r="U11">
        <f>_xll.IMDP("STK","000270","누적거래량")</f>
        <v>103491</v>
      </c>
      <c r="V11" s="2">
        <v>2173.19</v>
      </c>
    </row>
    <row r="12" spans="3:22" x14ac:dyDescent="0.3">
      <c r="C12">
        <v>7</v>
      </c>
      <c r="D12">
        <v>270</v>
      </c>
      <c r="E12" t="s">
        <v>23</v>
      </c>
      <c r="F12" t="str">
        <f>ConvertStockCode(표.실시간4[[#This Row],[코드]])</f>
        <v>N000270</v>
      </c>
      <c r="G12" s="4">
        <f>_xll.IMDP("STK",표.실시간4[[#This Row],[nxt_code]],"현재가")</f>
        <v>162100</v>
      </c>
      <c r="H12" s="4">
        <f>_xll.IMDP("STK",표.실시간4[[#This Row],[nxt_code]],"시가총액")/10^12</f>
        <v>63.285946975800002</v>
      </c>
      <c r="I12" s="4">
        <f>표.실시간4[[#This Row],[시가총액 (조원)]]/표.실시간4[[#This Row],[현재가]]*(표.실시간4[[#This Row],[현재가]]-표.실시간4[[#This Row],[대비]])</f>
        <v>64.2619794708</v>
      </c>
      <c r="J12" s="5">
        <f>_xll.IMDP("STK",표.실시간4[[#This Row],[nxt_code]],"전일대비")</f>
        <v>-2500</v>
      </c>
      <c r="K12">
        <f>_xll.IMDP("STK",표.실시간4[[#This Row],[nxt_code]],"등락률")</f>
        <v>-1.52</v>
      </c>
      <c r="L12" s="4">
        <f>_xll.IMDP("STK",표.실시간4[[#This Row],[nxt_code]],"누적거래량")</f>
        <v>149871</v>
      </c>
      <c r="M12" s="4">
        <f>_xll.IMDP("STK",표.실시간4[[#This Row],[nxt_code]],"누적거래대금")</f>
        <v>24702849750</v>
      </c>
      <c r="N12" s="4">
        <f>_xll.IMDP("STK",표.실시간4[[#This Row],[nxt_code]],"가중평균가")</f>
        <v>164827.416578</v>
      </c>
      <c r="O12" s="4">
        <f>_xll.IMDP("STK",표.실시간4[[#This Row],[nxt_code]],"시가")</f>
        <v>167300</v>
      </c>
      <c r="P12" s="4">
        <f>_xll.IMDP("STK",표.실시간4[[#This Row],[nxt_code]],"고가")</f>
        <v>167700</v>
      </c>
      <c r="Q12" s="4">
        <f>_xll.IMDP("STK",표.실시간4[[#This Row],[nxt_code]],"저가")</f>
        <v>161200</v>
      </c>
      <c r="R12">
        <f>_xll.IMDP("STK",표.실시간4[[#This Row],[nxt_code]],"세션명")</f>
        <v>0</v>
      </c>
      <c r="S12">
        <f>_xll.IMDP("STK",표.실시간4[[#This Row],[nxt_code]],"체결시간")</f>
        <v>0</v>
      </c>
      <c r="T12" s="4">
        <f>_xll.IMDP("STK","012450","현재가")</f>
        <v>1276000</v>
      </c>
      <c r="U12">
        <f>_xll.IMDP("STK","012450","누적거래량")</f>
        <v>8048</v>
      </c>
      <c r="V12" s="2">
        <v>2138.23</v>
      </c>
    </row>
    <row r="13" spans="3:22" x14ac:dyDescent="0.3">
      <c r="C13">
        <v>8</v>
      </c>
      <c r="D13">
        <v>329180</v>
      </c>
      <c r="E13" t="s">
        <v>25</v>
      </c>
      <c r="F13" t="str">
        <f>ConvertStockCode(표.실시간4[[#This Row],[코드]])</f>
        <v>N329180</v>
      </c>
      <c r="G13" s="4">
        <f>_xll.IMDP("STK",표.실시간4[[#This Row],[nxt_code]],"현재가")</f>
        <v>623000</v>
      </c>
      <c r="H13" s="4">
        <f>_xll.IMDP("STK",표.실시간4[[#This Row],[nxt_code]],"시가총액")/10^12</f>
        <v>65.390843175000001</v>
      </c>
      <c r="I13" s="4">
        <f>표.실시간4[[#This Row],[시가총액 (조원)]]/표.실시간4[[#This Row],[현재가]]*(표.실시간4[[#This Row],[현재가]]-표.실시간4[[#This Row],[대비]])</f>
        <v>64.341230924999991</v>
      </c>
      <c r="J13" s="5">
        <f>_xll.IMDP("STK",표.실시간4[[#This Row],[nxt_code]],"전일대비")</f>
        <v>10000</v>
      </c>
      <c r="K13">
        <f>_xll.IMDP("STK",표.실시간4[[#This Row],[nxt_code]],"등락률")</f>
        <v>1.63</v>
      </c>
      <c r="L13" s="4">
        <f>_xll.IMDP("STK",표.실시간4[[#This Row],[nxt_code]],"누적거래량")</f>
        <v>12601</v>
      </c>
      <c r="M13" s="4">
        <f>_xll.IMDP("STK",표.실시간4[[#This Row],[nxt_code]],"누적거래대금")</f>
        <v>7830025500</v>
      </c>
      <c r="N13" s="4">
        <f>_xll.IMDP("STK",표.실시간4[[#This Row],[nxt_code]],"가중평균가")</f>
        <v>619709.18084699998</v>
      </c>
      <c r="O13" s="4">
        <f>_xll.IMDP("STK",표.실시간4[[#This Row],[nxt_code]],"시가")</f>
        <v>613000</v>
      </c>
      <c r="P13" s="4">
        <f>_xll.IMDP("STK",표.실시간4[[#This Row],[nxt_code]],"고가")</f>
        <v>628000</v>
      </c>
      <c r="Q13" s="4">
        <f>_xll.IMDP("STK",표.실시간4[[#This Row],[nxt_code]],"저가")</f>
        <v>613000</v>
      </c>
      <c r="R13">
        <f>_xll.IMDP("STK",표.실시간4[[#This Row],[nxt_code]],"세션명")</f>
        <v>0</v>
      </c>
      <c r="S13">
        <f>_xll.IMDP("STK",표.실시간4[[#This Row],[nxt_code]],"체결시간")</f>
        <v>0</v>
      </c>
      <c r="T13" s="4">
        <f>_xll.IMDP("STK","329180","현재가")</f>
        <v>625000</v>
      </c>
      <c r="U13">
        <f>_xll.IMDP("STK","329180","누적거래량")</f>
        <v>8911</v>
      </c>
      <c r="V13" s="2">
        <v>1177.71</v>
      </c>
    </row>
    <row r="14" spans="3:22" x14ac:dyDescent="0.3">
      <c r="C14">
        <v>9</v>
      </c>
      <c r="D14">
        <v>34020</v>
      </c>
      <c r="E14" t="s">
        <v>26</v>
      </c>
      <c r="F14" t="str">
        <f>ConvertStockCode(표.실시간4[[#This Row],[코드]])</f>
        <v>N034020</v>
      </c>
      <c r="G14" s="4">
        <f>_xll.IMDP("STK",표.실시간4[[#This Row],[nxt_code]],"현재가")</f>
        <v>90200</v>
      </c>
      <c r="H14" s="4">
        <f>_xll.IMDP("STK",표.실시간4[[#This Row],[nxt_code]],"시가총액")/10^12</f>
        <v>57.778615369199997</v>
      </c>
      <c r="I14" s="4">
        <f>표.실시간4[[#This Row],[시가총액 (조원)]]/표.실시간4[[#This Row],[현재가]]*(표.실시간4[[#This Row],[현재가]]-표.실시간4[[#This Row],[대비]])</f>
        <v>57.650503139999998</v>
      </c>
      <c r="J14" s="5">
        <f>_xll.IMDP("STK",표.실시간4[[#This Row],[nxt_code]],"전일대비")</f>
        <v>200</v>
      </c>
      <c r="K14">
        <f>_xll.IMDP("STK",표.실시간4[[#This Row],[nxt_code]],"등락률")</f>
        <v>0.22</v>
      </c>
      <c r="L14" s="4">
        <f>_xll.IMDP("STK",표.실시간4[[#This Row],[nxt_code]],"누적거래량")</f>
        <v>857773</v>
      </c>
      <c r="M14" s="4">
        <f>_xll.IMDP("STK",표.실시간4[[#This Row],[nxt_code]],"누적거래대금")</f>
        <v>78269672400</v>
      </c>
      <c r="N14" s="4">
        <f>_xll.IMDP("STK",표.실시간4[[#This Row],[nxt_code]],"가중평균가")</f>
        <v>91247.535652999999</v>
      </c>
      <c r="O14" s="4">
        <f>_xll.IMDP("STK",표.실시간4[[#This Row],[nxt_code]],"시가")</f>
        <v>91000</v>
      </c>
      <c r="P14" s="4">
        <f>_xll.IMDP("STK",표.실시간4[[#This Row],[nxt_code]],"고가")</f>
        <v>91900</v>
      </c>
      <c r="Q14" s="4">
        <f>_xll.IMDP("STK",표.실시간4[[#This Row],[nxt_code]],"저가")</f>
        <v>90200</v>
      </c>
      <c r="R14">
        <f>_xll.IMDP("STK",표.실시간4[[#This Row],[nxt_code]],"세션명")</f>
        <v>0</v>
      </c>
      <c r="S14">
        <f>_xll.IMDP("STK",표.실시간4[[#This Row],[nxt_code]],"체결시간")</f>
        <v>0</v>
      </c>
      <c r="T14" s="4">
        <f>_xll.IMDP("STK","034020","현재가")</f>
        <v>90100</v>
      </c>
      <c r="U14">
        <f>_xll.IMDP("STK","034020","누적거래량")</f>
        <v>158641</v>
      </c>
      <c r="V14" s="2">
        <v>5705.15</v>
      </c>
    </row>
    <row r="15" spans="3:22" x14ac:dyDescent="0.3">
      <c r="C15">
        <v>10</v>
      </c>
      <c r="D15">
        <v>402340</v>
      </c>
      <c r="E15" t="s">
        <v>27</v>
      </c>
      <c r="F15" t="str">
        <f>ConvertStockCode(표.실시간4[[#This Row],[코드]])</f>
        <v>N402340</v>
      </c>
      <c r="G15" s="4">
        <f>_xll.IMDP("STK",표.실시간4[[#This Row],[nxt_code]],"현재가")</f>
        <v>441500</v>
      </c>
      <c r="H15" s="4">
        <f>_xll.IMDP("STK",표.실시간4[[#This Row],[nxt_code]],"시가총액")/10^12</f>
        <v>58.3164612725</v>
      </c>
      <c r="I15" s="4">
        <f>표.실시간4[[#This Row],[시가총액 (조원)]]/표.실시간4[[#This Row],[현재가]]*(표.실시간4[[#This Row],[현재가]]-표.실시간4[[#This Row],[대비]])</f>
        <v>58.976896847500001</v>
      </c>
      <c r="J15" s="5">
        <f>_xll.IMDP("STK",표.실시간4[[#This Row],[nxt_code]],"전일대비")</f>
        <v>-5000</v>
      </c>
      <c r="K15">
        <f>_xll.IMDP("STK",표.실시간4[[#This Row],[nxt_code]],"등락률")</f>
        <v>-1.1200000000000001</v>
      </c>
      <c r="L15" s="4">
        <f>_xll.IMDP("STK",표.실시간4[[#This Row],[nxt_code]],"누적거래량")</f>
        <v>7831</v>
      </c>
      <c r="M15" s="4">
        <f>_xll.IMDP("STK",표.실시간4[[#This Row],[nxt_code]],"누적거래대금")</f>
        <v>3517493500</v>
      </c>
      <c r="N15" s="4">
        <f>_xll.IMDP("STK",표.실시간4[[#This Row],[nxt_code]],"가중평균가")</f>
        <v>449175.52036800003</v>
      </c>
      <c r="O15" s="4">
        <f>_xll.IMDP("STK",표.실시간4[[#This Row],[nxt_code]],"시가")</f>
        <v>447500</v>
      </c>
      <c r="P15" s="4">
        <f>_xll.IMDP("STK",표.실시간4[[#This Row],[nxt_code]],"고가")</f>
        <v>452500</v>
      </c>
      <c r="Q15" s="4">
        <f>_xll.IMDP("STK",표.실시간4[[#This Row],[nxt_code]],"저가")</f>
        <v>441500</v>
      </c>
      <c r="R15">
        <f>_xll.IMDP("STK",표.실시간4[[#This Row],[nxt_code]],"세션명")</f>
        <v>0</v>
      </c>
      <c r="S15">
        <f>_xll.IMDP("STK",표.실시간4[[#This Row],[nxt_code]],"체결시간")</f>
        <v>0</v>
      </c>
      <c r="T15" s="4">
        <f>_xll.IMDP("STK","402340","현재가")</f>
        <v>441000</v>
      </c>
      <c r="U15">
        <f>_xll.IMDP("STK","402340","누적거래량")</f>
        <v>9152</v>
      </c>
      <c r="V15" s="2">
        <v>1064.3499999999999</v>
      </c>
    </row>
    <row r="16" spans="3:22" x14ac:dyDescent="0.3">
      <c r="C16">
        <v>11</v>
      </c>
      <c r="D16">
        <v>105560</v>
      </c>
      <c r="E16" t="s">
        <v>28</v>
      </c>
      <c r="F16" t="str">
        <f>ConvertStockCode(표.실시간4[[#This Row],[코드]])</f>
        <v>N105560</v>
      </c>
      <c r="G16" s="4">
        <f>_xll.IMDP("STK",표.실시간4[[#This Row],[nxt_code]],"현재가")</f>
        <v>134100</v>
      </c>
      <c r="H16" s="4">
        <f>_xll.IMDP("STK",표.실시간4[[#This Row],[nxt_code]],"시가총액")/10^12</f>
        <v>51.154068012300002</v>
      </c>
      <c r="I16" s="4">
        <f>표.실시간4[[#This Row],[시가총액 (조원)]]/표.실시간4[[#This Row],[현재가]]*(표.실시간4[[#This Row],[현재가]]-표.실시간4[[#This Row],[대비]])</f>
        <v>51.382945274100003</v>
      </c>
      <c r="J16" s="5">
        <f>_xll.IMDP("STK",표.실시간4[[#This Row],[nxt_code]],"전일대비")</f>
        <v>-600</v>
      </c>
      <c r="K16">
        <f>_xll.IMDP("STK",표.실시간4[[#This Row],[nxt_code]],"등락률")</f>
        <v>-0.45</v>
      </c>
      <c r="L16" s="4">
        <f>_xll.IMDP("STK",표.실시간4[[#This Row],[nxt_code]],"누적거래량")</f>
        <v>12069</v>
      </c>
      <c r="M16" s="4">
        <f>_xll.IMDP("STK",표.실시간4[[#This Row],[nxt_code]],"누적거래대금")</f>
        <v>1622567600</v>
      </c>
      <c r="N16" s="4">
        <f>_xll.IMDP("STK",표.실시간4[[#This Row],[nxt_code]],"가중평균가")</f>
        <v>134440.931312</v>
      </c>
      <c r="O16" s="4">
        <f>_xll.IMDP("STK",표.실시간4[[#This Row],[nxt_code]],"시가")</f>
        <v>134700</v>
      </c>
      <c r="P16" s="4">
        <f>_xll.IMDP("STK",표.실시간4[[#This Row],[nxt_code]],"고가")</f>
        <v>134900</v>
      </c>
      <c r="Q16" s="4">
        <f>_xll.IMDP("STK",표.실시간4[[#This Row],[nxt_code]],"저가")</f>
        <v>134000</v>
      </c>
      <c r="R16">
        <f>_xll.IMDP("STK",표.실시간4[[#This Row],[nxt_code]],"세션명")</f>
        <v>0</v>
      </c>
      <c r="S16">
        <f>_xll.IMDP("STK",표.실시간4[[#This Row],[nxt_code]],"체결시간")</f>
        <v>0</v>
      </c>
      <c r="T16" s="4">
        <f>_xll.IMDP("STK","105560","현재가")</f>
        <v>134800</v>
      </c>
      <c r="U16">
        <f>_xll.IMDP("STK","105560","누적거래량")</f>
        <v>57499</v>
      </c>
      <c r="V16">
        <v>296.72000000000003</v>
      </c>
    </row>
    <row r="17" spans="3:22" x14ac:dyDescent="0.3">
      <c r="C17">
        <v>12</v>
      </c>
      <c r="D17">
        <v>28260</v>
      </c>
      <c r="E17" t="s">
        <v>29</v>
      </c>
      <c r="F17" t="str">
        <f>ConvertStockCode(표.실시간4[[#This Row],[코드]])</f>
        <v>N028260</v>
      </c>
      <c r="G17" s="4">
        <f>_xll.IMDP("STK",표.실시간4[[#This Row],[nxt_code]],"현재가")</f>
        <v>299000</v>
      </c>
      <c r="H17" s="4">
        <f>_xll.IMDP("STK",표.실시간4[[#This Row],[nxt_code]],"시가총액")/10^12</f>
        <v>50.822986655999998</v>
      </c>
      <c r="I17" s="4">
        <f>표.실시간4[[#This Row],[시가총액 (조원)]]/표.실시간4[[#This Row],[현재가]]*(표.실시간4[[#This Row],[현재가]]-표.실시간4[[#This Row],[대비]])</f>
        <v>50.483033567999996</v>
      </c>
      <c r="J17" s="5">
        <f>_xll.IMDP("STK",표.실시간4[[#This Row],[nxt_code]],"전일대비")</f>
        <v>2000</v>
      </c>
      <c r="K17">
        <f>_xll.IMDP("STK",표.실시간4[[#This Row],[nxt_code]],"등락률")</f>
        <v>0.5</v>
      </c>
      <c r="L17" s="4">
        <f>_xll.IMDP("STK",표.실시간4[[#This Row],[nxt_code]],"누적거래량")</f>
        <v>4865</v>
      </c>
      <c r="M17" s="4">
        <f>_xll.IMDP("STK",표.실시간4[[#This Row],[nxt_code]],"누적거래대금")</f>
        <v>1481470000</v>
      </c>
      <c r="N17" s="4">
        <f>_xll.IMDP("STK",표.실시간4[[#This Row],[nxt_code]],"가중평균가")</f>
        <v>300318.26474800002</v>
      </c>
      <c r="O17" s="4">
        <f>_xll.IMDP("STK",표.실시간4[[#This Row],[nxt_code]],"시가")</f>
        <v>298500</v>
      </c>
      <c r="P17" s="4">
        <f>_xll.IMDP("STK",표.실시간4[[#This Row],[nxt_code]],"고가")</f>
        <v>302000</v>
      </c>
      <c r="Q17" s="4">
        <f>_xll.IMDP("STK",표.실시간4[[#This Row],[nxt_code]],"저가")</f>
        <v>298500</v>
      </c>
      <c r="R17">
        <f>_xll.IMDP("STK",표.실시간4[[#This Row],[nxt_code]],"세션명")</f>
        <v>0</v>
      </c>
      <c r="S17">
        <f>_xll.IMDP("STK",표.실시간4[[#This Row],[nxt_code]],"체결시간")</f>
        <v>0</v>
      </c>
      <c r="T17" s="4">
        <f>_xll.IMDP("STK","028260","현재가")</f>
        <v>298500</v>
      </c>
      <c r="U17">
        <f>_xll.IMDP("STK","028260","누적거래량")</f>
        <v>7689</v>
      </c>
      <c r="V17" s="2">
        <v>1345.97</v>
      </c>
    </row>
    <row r="18" spans="3:22" x14ac:dyDescent="0.3">
      <c r="C18">
        <v>13</v>
      </c>
      <c r="D18">
        <v>68270</v>
      </c>
      <c r="E18" t="s">
        <v>30</v>
      </c>
      <c r="F18" t="str">
        <f>ConvertStockCode(표.실시간4[[#This Row],[코드]])</f>
        <v>N068270</v>
      </c>
      <c r="G18" s="4">
        <f>_xll.IMDP("STK",표.실시간4[[#This Row],[nxt_code]],"현재가")</f>
        <v>207000</v>
      </c>
      <c r="H18" s="4">
        <f>_xll.IMDP("STK",표.실시간4[[#This Row],[nxt_code]],"시가총액")/10^12</f>
        <v>47.808920583000003</v>
      </c>
      <c r="I18" s="4">
        <f>표.실시간4[[#This Row],[시가총액 (조원)]]/표.실시간4[[#This Row],[현재가]]*(표.실시간4[[#This Row],[현재가]]-표.실시간4[[#This Row],[대비]])</f>
        <v>47.9244010675</v>
      </c>
      <c r="J18" s="5">
        <f>_xll.IMDP("STK",표.실시간4[[#This Row],[nxt_code]],"전일대비")</f>
        <v>-500</v>
      </c>
      <c r="K18">
        <f>_xll.IMDP("STK",표.실시간4[[#This Row],[nxt_code]],"등락률")</f>
        <v>-0.48</v>
      </c>
      <c r="L18" s="4">
        <f>_xll.IMDP("STK",표.실시간4[[#This Row],[nxt_code]],"누적거래량")</f>
        <v>41454</v>
      </c>
      <c r="M18" s="4">
        <f>_xll.IMDP("STK",표.실시간4[[#This Row],[nxt_code]],"누적거래대금")</f>
        <v>8653194000</v>
      </c>
      <c r="N18" s="4">
        <f>_xll.IMDP("STK",표.실시간4[[#This Row],[nxt_code]],"가중평균가")</f>
        <v>208742.07555400001</v>
      </c>
      <c r="O18" s="4">
        <f>_xll.IMDP("STK",표.실시간4[[#This Row],[nxt_code]],"시가")</f>
        <v>210000</v>
      </c>
      <c r="P18" s="4">
        <f>_xll.IMDP("STK",표.실시간4[[#This Row],[nxt_code]],"고가")</f>
        <v>210000</v>
      </c>
      <c r="Q18" s="4">
        <f>_xll.IMDP("STK",표.실시간4[[#This Row],[nxt_code]],"저가")</f>
        <v>207500</v>
      </c>
      <c r="R18">
        <f>_xll.IMDP("STK",표.실시간4[[#This Row],[nxt_code]],"세션명")</f>
        <v>0</v>
      </c>
      <c r="S18">
        <f>_xll.IMDP("STK",표.실시간4[[#This Row],[nxt_code]],"체결시간")</f>
        <v>0</v>
      </c>
      <c r="T18" s="4">
        <f>_xll.IMDP("STK","068270","현재가")</f>
        <v>207000</v>
      </c>
      <c r="U18">
        <f>_xll.IMDP("STK","068270","누적거래량")</f>
        <v>19055</v>
      </c>
      <c r="V18" s="2">
        <v>2138.4499999999998</v>
      </c>
    </row>
    <row r="19" spans="3:22" x14ac:dyDescent="0.3">
      <c r="C19">
        <v>14</v>
      </c>
      <c r="D19">
        <v>42660</v>
      </c>
      <c r="E19" t="s">
        <v>32</v>
      </c>
      <c r="F19" t="str">
        <f>ConvertStockCode(표.실시간4[[#This Row],[코드]])</f>
        <v>N042660</v>
      </c>
      <c r="G19" s="4">
        <f>_xll.IMDP("STK",표.실시간4[[#This Row],[nxt_code]],"현재가")</f>
        <v>141000</v>
      </c>
      <c r="H19" s="4">
        <f>_xll.IMDP("STK",표.실시간4[[#This Row],[nxt_code]],"시가총액")/10^12</f>
        <v>43.204288554000001</v>
      </c>
      <c r="I19" s="4">
        <f>표.실시간4[[#This Row],[시가총액 (조원)]]/표.실시간4[[#This Row],[현재가]]*(표.실시간4[[#This Row],[현재가]]-표.실시간4[[#This Row],[대비]])</f>
        <v>42.131841675000004</v>
      </c>
      <c r="J19" s="5">
        <f>_xll.IMDP("STK",표.실시간4[[#This Row],[nxt_code]],"전일대비")</f>
        <v>3500</v>
      </c>
      <c r="K19">
        <f>_xll.IMDP("STK",표.실시간4[[#This Row],[nxt_code]],"등락률")</f>
        <v>2.4</v>
      </c>
      <c r="L19" s="4">
        <f>_xll.IMDP("STK",표.실시간4[[#This Row],[nxt_code]],"누적거래량")</f>
        <v>267720</v>
      </c>
      <c r="M19" s="4">
        <f>_xll.IMDP("STK",표.실시간4[[#This Row],[nxt_code]],"누적거래대금")</f>
        <v>37355069500</v>
      </c>
      <c r="N19" s="4">
        <f>_xll.IMDP("STK",표.실시간4[[#This Row],[nxt_code]],"가중평균가")</f>
        <v>139530.365681</v>
      </c>
      <c r="O19" s="4">
        <f>_xll.IMDP("STK",표.실시간4[[#This Row],[nxt_code]],"시가")</f>
        <v>138200</v>
      </c>
      <c r="P19" s="4">
        <f>_xll.IMDP("STK",표.실시간4[[#This Row],[nxt_code]],"고가")</f>
        <v>142500</v>
      </c>
      <c r="Q19" s="4">
        <f>_xll.IMDP("STK",표.실시간4[[#This Row],[nxt_code]],"저가")</f>
        <v>137900</v>
      </c>
      <c r="R19">
        <f>_xll.IMDP("STK",표.실시간4[[#This Row],[nxt_code]],"세션명")</f>
        <v>0</v>
      </c>
      <c r="S19">
        <f>_xll.IMDP("STK",표.실시간4[[#This Row],[nxt_code]],"체결시간")</f>
        <v>0</v>
      </c>
      <c r="T19" s="4">
        <f>_xll.IMDP("STK","012330","현재가")</f>
        <v>447500</v>
      </c>
      <c r="U19">
        <f>_xll.IMDP("STK","012330","누적거래량")</f>
        <v>45057</v>
      </c>
      <c r="V19" s="2">
        <v>1945.62</v>
      </c>
    </row>
    <row r="20" spans="3:22" x14ac:dyDescent="0.3">
      <c r="C20">
        <v>15</v>
      </c>
      <c r="D20">
        <v>15760</v>
      </c>
      <c r="E20" t="s">
        <v>33</v>
      </c>
      <c r="F20" t="str">
        <f>ConvertStockCode(표.실시간4[[#This Row],[코드]])</f>
        <v>N015760</v>
      </c>
      <c r="G20" s="4">
        <f>_xll.IMDP("STK",표.실시간4[[#This Row],[nxt_code]],"현재가")</f>
        <v>63700</v>
      </c>
      <c r="H20" s="4">
        <f>_xll.IMDP("STK",표.실시간4[[#This Row],[nxt_code]],"시가총액")/10^12</f>
        <v>40.893111704900001</v>
      </c>
      <c r="I20" s="4">
        <f>표.실시간4[[#This Row],[시가총액 (조원)]]/표.실시간4[[#This Row],[현재가]]*(표.실시간4[[#This Row],[현재가]]-표.실시간4[[#This Row],[대비]])</f>
        <v>42.369629081999996</v>
      </c>
      <c r="J20" s="5">
        <f>_xll.IMDP("STK",표.실시간4[[#This Row],[nxt_code]],"전일대비")</f>
        <v>-2300</v>
      </c>
      <c r="K20">
        <f>_xll.IMDP("STK",표.실시간4[[#This Row],[nxt_code]],"등락률")</f>
        <v>-3.48</v>
      </c>
      <c r="L20" s="4">
        <f>_xll.IMDP("STK",표.실시간4[[#This Row],[nxt_code]],"누적거래량")</f>
        <v>797711</v>
      </c>
      <c r="M20" s="4">
        <f>_xll.IMDP("STK",표.실시간4[[#This Row],[nxt_code]],"누적거래대금")</f>
        <v>51684426250</v>
      </c>
      <c r="N20" s="4">
        <f>_xll.IMDP("STK",표.실시간4[[#This Row],[nxt_code]],"가중평균가")</f>
        <v>64790.915820000002</v>
      </c>
      <c r="O20" s="4">
        <f>_xll.IMDP("STK",표.실시간4[[#This Row],[nxt_code]],"시가")</f>
        <v>65900</v>
      </c>
      <c r="P20" s="4">
        <f>_xll.IMDP("STK",표.실시간4[[#This Row],[nxt_code]],"고가")</f>
        <v>65900</v>
      </c>
      <c r="Q20" s="4">
        <f>_xll.IMDP("STK",표.실시간4[[#This Row],[nxt_code]],"저가")</f>
        <v>63400</v>
      </c>
      <c r="R20">
        <f>_xll.IMDP("STK",표.실시간4[[#This Row],[nxt_code]],"세션명")</f>
        <v>0</v>
      </c>
      <c r="S20">
        <f>_xll.IMDP("STK",표.실시간4[[#This Row],[nxt_code]],"체결시간")</f>
        <v>0</v>
      </c>
      <c r="T20" s="4">
        <f>_xll.IMDP("STK","042660","현재가")</f>
        <v>141100</v>
      </c>
      <c r="U20">
        <f>_xll.IMDP("STK","042660","누적거래량")</f>
        <v>115430</v>
      </c>
      <c r="V20" s="2">
        <v>3423.24</v>
      </c>
    </row>
    <row r="21" spans="3:22" x14ac:dyDescent="0.3">
      <c r="C21">
        <v>16</v>
      </c>
      <c r="D21">
        <v>12330</v>
      </c>
      <c r="E21" t="s">
        <v>31</v>
      </c>
      <c r="F21" t="str">
        <f>ConvertStockCode(표.실시간4[[#This Row],[코드]])</f>
        <v>N012330</v>
      </c>
      <c r="G21" s="4">
        <f>_xll.IMDP("STK",표.실시간4[[#This Row],[nxt_code]],"현재가")</f>
        <v>447000</v>
      </c>
      <c r="H21" s="4">
        <f>_xll.IMDP("STK",표.실시간4[[#This Row],[nxt_code]],"시가총액")/10^12</f>
        <v>40.557464601</v>
      </c>
      <c r="I21" s="4">
        <f>표.실시간4[[#This Row],[시가총액 (조원)]]/표.실시간4[[#This Row],[현재가]]*(표.실시간4[[#This Row],[현재가]]-표.실시간4[[#This Row],[대비]])</f>
        <v>41.147226390500002</v>
      </c>
      <c r="J21" s="5">
        <f>_xll.IMDP("STK",표.실시간4[[#This Row],[nxt_code]],"전일대비")</f>
        <v>-6500</v>
      </c>
      <c r="K21">
        <f>_xll.IMDP("STK",표.실시간4[[#This Row],[nxt_code]],"등락률")</f>
        <v>-1.43</v>
      </c>
      <c r="L21" s="4">
        <f>_xll.IMDP("STK",표.실시간4[[#This Row],[nxt_code]],"누적거래량")</f>
        <v>76205</v>
      </c>
      <c r="M21" s="4">
        <f>_xll.IMDP("STK",표.실시간4[[#This Row],[nxt_code]],"누적거래대금")</f>
        <v>34465684750</v>
      </c>
      <c r="N21" s="4">
        <f>_xll.IMDP("STK",표.실시간4[[#This Row],[nxt_code]],"가중평균가")</f>
        <v>452275.89725099999</v>
      </c>
      <c r="O21" s="4">
        <f>_xll.IMDP("STK",표.실시간4[[#This Row],[nxt_code]],"시가")</f>
        <v>460000</v>
      </c>
      <c r="P21" s="4">
        <f>_xll.IMDP("STK",표.실시간4[[#This Row],[nxt_code]],"고가")</f>
        <v>461500</v>
      </c>
      <c r="Q21" s="4">
        <f>_xll.IMDP("STK",표.실시간4[[#This Row],[nxt_code]],"저가")</f>
        <v>444000</v>
      </c>
      <c r="R21">
        <f>_xll.IMDP("STK",표.실시간4[[#This Row],[nxt_code]],"세션명")</f>
        <v>0</v>
      </c>
      <c r="S21">
        <f>_xll.IMDP("STK",표.실시간4[[#This Row],[nxt_code]],"체결시간")</f>
        <v>0</v>
      </c>
      <c r="T21" s="4">
        <f>_xll.IMDP("STK","015760","현재가")</f>
        <v>63800</v>
      </c>
      <c r="U21">
        <f>_xll.IMDP("STK","015760","누적거래량")</f>
        <v>275999</v>
      </c>
      <c r="V21" s="2">
        <v>4153.51</v>
      </c>
    </row>
    <row r="22" spans="3:22" x14ac:dyDescent="0.3">
      <c r="C22">
        <v>17</v>
      </c>
      <c r="D22">
        <v>55550</v>
      </c>
      <c r="E22" t="s">
        <v>34</v>
      </c>
      <c r="F22" t="str">
        <f>ConvertStockCode(표.실시간4[[#This Row],[코드]])</f>
        <v>N055550</v>
      </c>
      <c r="G22" s="4">
        <f>_xll.IMDP("STK",표.실시간4[[#This Row],[nxt_code]],"현재가")</f>
        <v>83300</v>
      </c>
      <c r="H22" s="4">
        <f>_xll.IMDP("STK",표.실시간4[[#This Row],[nxt_code]],"시가총액")/10^12</f>
        <v>40.441728002200001</v>
      </c>
      <c r="I22" s="4">
        <f>표.실시간4[[#This Row],[시가총액 (조원)]]/표.실시간4[[#This Row],[현재가]]*(표.실시간4[[#This Row],[현재가]]-표.실시간4[[#This Row],[대비]])</f>
        <v>40.247530028600004</v>
      </c>
      <c r="J22" s="5">
        <f>_xll.IMDP("STK",표.실시간4[[#This Row],[nxt_code]],"전일대비")</f>
        <v>400</v>
      </c>
      <c r="K22">
        <f>_xll.IMDP("STK",표.실시간4[[#This Row],[nxt_code]],"등락률")</f>
        <v>0.48</v>
      </c>
      <c r="L22" s="4">
        <f>_xll.IMDP("STK",표.실시간4[[#This Row],[nxt_code]],"누적거래량")</f>
        <v>21119</v>
      </c>
      <c r="M22" s="4">
        <f>_xll.IMDP("STK",표.실시간4[[#This Row],[nxt_code]],"누적거래대금")</f>
        <v>1750288250</v>
      </c>
      <c r="N22" s="4">
        <f>_xll.IMDP("STK",표.실시간4[[#This Row],[nxt_code]],"가중평균가")</f>
        <v>82877.420805999995</v>
      </c>
      <c r="O22" s="4">
        <f>_xll.IMDP("STK",표.실시간4[[#This Row],[nxt_code]],"시가")</f>
        <v>82700</v>
      </c>
      <c r="P22" s="4">
        <f>_xll.IMDP("STK",표.실시간4[[#This Row],[nxt_code]],"고가")</f>
        <v>83400</v>
      </c>
      <c r="Q22" s="4">
        <f>_xll.IMDP("STK",표.실시간4[[#This Row],[nxt_code]],"저가")</f>
        <v>82500</v>
      </c>
      <c r="R22">
        <f>_xll.IMDP("STK",표.실시간4[[#This Row],[nxt_code]],"세션명")</f>
        <v>0</v>
      </c>
      <c r="S22">
        <f>_xll.IMDP("STK",표.실시간4[[#This Row],[nxt_code]],"체결시간")</f>
        <v>0</v>
      </c>
      <c r="T22" s="4">
        <f>_xll.IMDP("STK","055550","현재가")</f>
        <v>83300</v>
      </c>
      <c r="U22">
        <f>_xll.IMDP("STK","055550","누적거래량")</f>
        <v>94404</v>
      </c>
      <c r="V22">
        <v>745.83</v>
      </c>
    </row>
    <row r="23" spans="3:22" x14ac:dyDescent="0.3">
      <c r="C23">
        <v>18</v>
      </c>
      <c r="D23">
        <v>35420</v>
      </c>
      <c r="E23" t="s">
        <v>35</v>
      </c>
      <c r="F23" t="str">
        <f>ConvertStockCode(표.실시간4[[#This Row],[코드]])</f>
        <v>N035420</v>
      </c>
      <c r="G23" s="4">
        <f>_xll.IMDP("STK",표.실시간4[[#This Row],[nxt_code]],"현재가")</f>
        <v>247000</v>
      </c>
      <c r="H23" s="4">
        <f>_xll.IMDP("STK",표.실시간4[[#This Row],[nxt_code]],"시가총액")/10^12</f>
        <v>38.742601585999999</v>
      </c>
      <c r="I23" s="4">
        <f>표.실시간4[[#This Row],[시가총액 (조원)]]/표.실시간4[[#This Row],[현재가]]*(표.실시간4[[#This Row],[현재가]]-표.실시간4[[#This Row],[대비]])</f>
        <v>38.507322629000001</v>
      </c>
      <c r="J23" s="5">
        <f>_xll.IMDP("STK",표.실시간4[[#This Row],[nxt_code]],"전일대비")</f>
        <v>1500</v>
      </c>
      <c r="K23">
        <f>_xll.IMDP("STK",표.실시간4[[#This Row],[nxt_code]],"등락률")</f>
        <v>0.61</v>
      </c>
      <c r="L23" s="4">
        <f>_xll.IMDP("STK",표.실시간4[[#This Row],[nxt_code]],"누적거래량")</f>
        <v>112588</v>
      </c>
      <c r="M23" s="4">
        <f>_xll.IMDP("STK",표.실시간4[[#This Row],[nxt_code]],"누적거래대금")</f>
        <v>27891455500</v>
      </c>
      <c r="N23" s="4">
        <f>_xll.IMDP("STK",표.실시간4[[#This Row],[nxt_code]],"가중평균가")</f>
        <v>247708.26746500001</v>
      </c>
      <c r="O23" s="4">
        <f>_xll.IMDP("STK",표.실시간4[[#This Row],[nxt_code]],"시가")</f>
        <v>246000</v>
      </c>
      <c r="P23" s="4">
        <f>_xll.IMDP("STK",표.실시간4[[#This Row],[nxt_code]],"고가")</f>
        <v>248500</v>
      </c>
      <c r="Q23" s="4">
        <f>_xll.IMDP("STK",표.실시간4[[#This Row],[nxt_code]],"저가")</f>
        <v>246000</v>
      </c>
      <c r="R23">
        <f>_xll.IMDP("STK",표.실시간4[[#This Row],[nxt_code]],"세션명")</f>
        <v>0</v>
      </c>
      <c r="S23">
        <f>_xll.IMDP("STK",표.실시간4[[#This Row],[nxt_code]],"체결시간")</f>
        <v>0</v>
      </c>
      <c r="T23" s="4">
        <f>_xll.IMDP("STK","035420","현재가")</f>
        <v>247000</v>
      </c>
      <c r="U23">
        <f>_xll.IMDP("STK","035420","누적거래량")</f>
        <v>34155</v>
      </c>
      <c r="V23" s="2">
        <v>1111.6300000000001</v>
      </c>
    </row>
    <row r="24" spans="3:22" x14ac:dyDescent="0.3">
      <c r="C24">
        <v>19</v>
      </c>
      <c r="D24">
        <v>32830</v>
      </c>
      <c r="E24" t="s">
        <v>36</v>
      </c>
      <c r="F24" t="str">
        <f>ConvertStockCode(표.실시간4[[#This Row],[코드]])</f>
        <v>N032830</v>
      </c>
      <c r="G24" s="4">
        <f>_xll.IMDP("STK",표.실시간4[[#This Row],[nxt_code]],"현재가")</f>
        <v>178900</v>
      </c>
      <c r="H24" s="4">
        <f>_xll.IMDP("STK",표.실시간4[[#This Row],[nxt_code]],"시가총액")/10^12</f>
        <v>35.78</v>
      </c>
      <c r="I24" s="4">
        <f>표.실시간4[[#This Row],[시가총액 (조원)]]/표.실시간4[[#This Row],[현재가]]*(표.실시간4[[#This Row],[현재가]]-표.실시간4[[#This Row],[대비]])</f>
        <v>35.760000000000005</v>
      </c>
      <c r="J24" s="5">
        <f>_xll.IMDP("STK",표.실시간4[[#This Row],[nxt_code]],"전일대비")</f>
        <v>100</v>
      </c>
      <c r="K24">
        <f>_xll.IMDP("STK",표.실시간4[[#This Row],[nxt_code]],"등락률")</f>
        <v>0.06</v>
      </c>
      <c r="L24" s="4">
        <f>_xll.IMDP("STK",표.실시간4[[#This Row],[nxt_code]],"누적거래량")</f>
        <v>14607</v>
      </c>
      <c r="M24" s="4">
        <f>_xll.IMDP("STK",표.실시간4[[#This Row],[nxt_code]],"누적거래대금")</f>
        <v>2659407400</v>
      </c>
      <c r="N24" s="4">
        <f>_xll.IMDP("STK",표.실시간4[[#This Row],[nxt_code]],"가중평균가")</f>
        <v>182076.732197</v>
      </c>
      <c r="O24" s="4">
        <f>_xll.IMDP("STK",표.실시간4[[#This Row],[nxt_code]],"시가")</f>
        <v>180000</v>
      </c>
      <c r="P24" s="4">
        <f>_xll.IMDP("STK",표.실시간4[[#This Row],[nxt_code]],"고가")</f>
        <v>183800</v>
      </c>
      <c r="Q24" s="4">
        <f>_xll.IMDP("STK",표.실시간4[[#This Row],[nxt_code]],"저가")</f>
        <v>176900</v>
      </c>
      <c r="R24">
        <f>_xll.IMDP("STK",표.실시간4[[#This Row],[nxt_code]],"세션명")</f>
        <v>0</v>
      </c>
      <c r="S24">
        <f>_xll.IMDP("STK",표.실시간4[[#This Row],[nxt_code]],"체결시간")</f>
        <v>0</v>
      </c>
      <c r="T24" s="4">
        <f>_xll.IMDP("STK","032830","현재가")</f>
        <v>178800</v>
      </c>
      <c r="U24">
        <f>_xll.IMDP("STK","032830","누적거래량")</f>
        <v>19282</v>
      </c>
      <c r="V24" s="2">
        <v>4466.7700000000004</v>
      </c>
    </row>
    <row r="25" spans="3:22" x14ac:dyDescent="0.3">
      <c r="C25">
        <v>20</v>
      </c>
      <c r="D25">
        <v>10130</v>
      </c>
      <c r="E25" t="s">
        <v>37</v>
      </c>
      <c r="F25" t="str">
        <f>ConvertStockCode(표.실시간4[[#This Row],[코드]])</f>
        <v>N010130</v>
      </c>
      <c r="G25" s="4">
        <f>_xll.IMDP("STK",표.실시간4[[#This Row],[nxt_code]],"현재가")</f>
        <v>1554000</v>
      </c>
      <c r="H25" s="4">
        <f>_xll.IMDP("STK",표.실시간4[[#This Row],[nxt_code]],"시가총액")/10^12</f>
        <v>32.373974918999998</v>
      </c>
      <c r="I25" s="4">
        <f>표.실시간4[[#This Row],[시가총액 (조원)]]/표.실시간4[[#This Row],[현재가]]*(표.실시간4[[#This Row],[현재가]]-표.실시간4[[#This Row],[대비]])</f>
        <v>32.457305613772199</v>
      </c>
      <c r="J25" s="5">
        <f>_xll.IMDP("STK",표.실시간4[[#This Row],[nxt_code]],"전일대비")</f>
        <v>-4000</v>
      </c>
      <c r="K25">
        <f>_xll.IMDP("STK",표.실시간4[[#This Row],[nxt_code]],"등락률")</f>
        <v>-0.26</v>
      </c>
      <c r="L25" s="4">
        <f>_xll.IMDP("STK",표.실시간4[[#This Row],[nxt_code]],"누적거래량")</f>
        <v>12964</v>
      </c>
      <c r="M25" s="4">
        <f>_xll.IMDP("STK",표.실시간4[[#This Row],[nxt_code]],"누적거래대금")</f>
        <v>20250242000</v>
      </c>
      <c r="N25" s="4">
        <f>_xll.IMDP("STK",표.실시간4[[#This Row],[nxt_code]],"가중평균가")</f>
        <v>1562036.5627890001</v>
      </c>
      <c r="O25" s="4">
        <f>_xll.IMDP("STK",표.실시간4[[#This Row],[nxt_code]],"시가")</f>
        <v>1562000</v>
      </c>
      <c r="P25" s="4">
        <f>_xll.IMDP("STK",표.실시간4[[#This Row],[nxt_code]],"고가")</f>
        <v>1588000</v>
      </c>
      <c r="Q25" s="4">
        <f>_xll.IMDP("STK",표.실시간4[[#This Row],[nxt_code]],"저가")</f>
        <v>1522000</v>
      </c>
      <c r="R25">
        <f>_xll.IMDP("STK",표.실시간4[[#This Row],[nxt_code]],"세션명")</f>
        <v>0</v>
      </c>
      <c r="S25">
        <f>_xll.IMDP("STK",표.실시간4[[#This Row],[nxt_code]],"체결시간")</f>
        <v>0</v>
      </c>
      <c r="T25" s="4">
        <f>_xll.IMDP("STK","010130","현재가")</f>
        <v>1550000</v>
      </c>
      <c r="U25">
        <f>_xll.IMDP("STK","010130","누적거래량")</f>
        <v>3004</v>
      </c>
      <c r="V25" s="2">
        <v>2937.5</v>
      </c>
    </row>
    <row r="26" spans="3:22" x14ac:dyDescent="0.3">
      <c r="C26">
        <v>21</v>
      </c>
      <c r="D26">
        <v>267260</v>
      </c>
      <c r="E26" t="s">
        <v>38</v>
      </c>
      <c r="F26" t="str">
        <f>ConvertStockCode(표.실시간4[[#This Row],[코드]])</f>
        <v>N267260</v>
      </c>
      <c r="G26" s="4">
        <f>_xll.IMDP("STK",표.실시간4[[#This Row],[nxt_code]],"현재가")</f>
        <v>873000</v>
      </c>
      <c r="H26" s="4">
        <f>_xll.IMDP("STK",표.실시간4[[#This Row],[nxt_code]],"시가총액")/10^12</f>
        <v>31.469148855</v>
      </c>
      <c r="I26" s="4">
        <f>표.실시간4[[#This Row],[시가총액 (조원)]]/표.실시간4[[#This Row],[현재가]]*(표.실시간4[[#This Row],[현재가]]-표.실시간4[[#This Row],[대비]])</f>
        <v>32.009855879999996</v>
      </c>
      <c r="J26" s="5">
        <f>_xll.IMDP("STK",표.실시간4[[#This Row],[nxt_code]],"전일대비")</f>
        <v>-15000</v>
      </c>
      <c r="K26">
        <f>_xll.IMDP("STK",표.실시간4[[#This Row],[nxt_code]],"등락률")</f>
        <v>-1.69</v>
      </c>
      <c r="L26" s="4">
        <f>_xll.IMDP("STK",표.실시간4[[#This Row],[nxt_code]],"누적거래량")</f>
        <v>6368</v>
      </c>
      <c r="M26" s="4">
        <f>_xll.IMDP("STK",표.실시간4[[#This Row],[nxt_code]],"누적거래대금")</f>
        <v>5666821000</v>
      </c>
      <c r="N26" s="4">
        <f>_xll.IMDP("STK",표.실시간4[[#This Row],[nxt_code]],"가중평균가")</f>
        <v>889916.79773500003</v>
      </c>
      <c r="O26" s="4">
        <f>_xll.IMDP("STK",표.실시간4[[#This Row],[nxt_code]],"시가")</f>
        <v>889000</v>
      </c>
      <c r="P26" s="4">
        <f>_xll.IMDP("STK",표.실시간4[[#This Row],[nxt_code]],"고가")</f>
        <v>896000</v>
      </c>
      <c r="Q26" s="4">
        <f>_xll.IMDP("STK",표.실시간4[[#This Row],[nxt_code]],"저가")</f>
        <v>873000</v>
      </c>
      <c r="R26">
        <f>_xll.IMDP("STK",표.실시간4[[#This Row],[nxt_code]],"세션명")</f>
        <v>0</v>
      </c>
      <c r="S26">
        <f>_xll.IMDP("STK",표.실시간4[[#This Row],[nxt_code]],"체결시간")</f>
        <v>0</v>
      </c>
      <c r="T26" s="4">
        <f>_xll.IMDP("STK","267260","현재가")</f>
        <v>872000</v>
      </c>
      <c r="U26">
        <f>_xll.IMDP("STK","267260","누적거래량")</f>
        <v>6244</v>
      </c>
      <c r="V26" s="2">
        <v>4119.37</v>
      </c>
    </row>
    <row r="27" spans="3:22" x14ac:dyDescent="0.3">
      <c r="C27">
        <v>22</v>
      </c>
      <c r="D27">
        <v>9540</v>
      </c>
      <c r="E27" t="s">
        <v>39</v>
      </c>
      <c r="F27" t="str">
        <f>ConvertStockCode(표.실시간4[[#This Row],[코드]])</f>
        <v>N009540</v>
      </c>
      <c r="G27" s="4">
        <f>_xll.IMDP("STK",표.실시간4[[#This Row],[nxt_code]],"현재가")</f>
        <v>430500</v>
      </c>
      <c r="H27" s="4">
        <f>_xll.IMDP("STK",표.실시간4[[#This Row],[nxt_code]],"시가총액")/10^12</f>
        <v>30.467826437999999</v>
      </c>
      <c r="I27" s="4">
        <f>표.실시간4[[#This Row],[시가총액 (조원)]]/표.실시간4[[#This Row],[현재가]]*(표.실시간4[[#This Row],[현재가]]-표.실시간4[[#This Row],[대비]])</f>
        <v>30.255507089999998</v>
      </c>
      <c r="J27" s="5">
        <f>_xll.IMDP("STK",표.실시간4[[#This Row],[nxt_code]],"전일대비")</f>
        <v>3000</v>
      </c>
      <c r="K27">
        <f>_xll.IMDP("STK",표.실시간4[[#This Row],[nxt_code]],"등락률")</f>
        <v>1.41</v>
      </c>
      <c r="L27" s="4">
        <f>_xll.IMDP("STK",표.실시간4[[#This Row],[nxt_code]],"누적거래량")</f>
        <v>4455</v>
      </c>
      <c r="M27" s="4">
        <f>_xll.IMDP("STK",표.실시간4[[#This Row],[nxt_code]],"누적거래대금")</f>
        <v>1320458500</v>
      </c>
      <c r="N27" s="4">
        <f>_xll.IMDP("STK",표.실시간4[[#This Row],[nxt_code]],"가중평균가")</f>
        <v>428097.64309799997</v>
      </c>
      <c r="O27" s="4">
        <f>_xll.IMDP("STK",표.실시간4[[#This Row],[nxt_code]],"시가")</f>
        <v>429000</v>
      </c>
      <c r="P27" s="4">
        <f>_xll.IMDP("STK",표.실시간4[[#This Row],[nxt_code]],"고가")</f>
        <v>430500</v>
      </c>
      <c r="Q27" s="4">
        <f>_xll.IMDP("STK",표.실시간4[[#This Row],[nxt_code]],"저가")</f>
        <v>426500</v>
      </c>
      <c r="R27">
        <f>_xll.IMDP("STK",표.실시간4[[#This Row],[nxt_code]],"세션명")</f>
        <v>0</v>
      </c>
      <c r="S27">
        <f>_xll.IMDP("STK",표.실시간4[[#This Row],[nxt_code]],"체결시간")</f>
        <v>0</v>
      </c>
      <c r="T27" s="4">
        <f>_xll.IMDP("STK","009540","현재가")</f>
        <v>430500</v>
      </c>
      <c r="U27">
        <f>_xll.IMDP("STK","009540","누적거래량")</f>
        <v>6607</v>
      </c>
      <c r="V27" s="2">
        <v>2894.1</v>
      </c>
    </row>
    <row r="28" spans="3:22" x14ac:dyDescent="0.3">
      <c r="C28">
        <v>23</v>
      </c>
      <c r="D28">
        <v>6400</v>
      </c>
      <c r="E28" t="s">
        <v>43</v>
      </c>
      <c r="F28" t="str">
        <f>ConvertStockCode(표.실시간4[[#This Row],[코드]])</f>
        <v>N006400</v>
      </c>
      <c r="G28" s="4">
        <f>_xll.IMDP("STK",표.실시간4[[#This Row],[nxt_code]],"현재가")</f>
        <v>391500</v>
      </c>
      <c r="H28" s="4">
        <f>_xll.IMDP("STK",표.실시간4[[#This Row],[nxt_code]],"시가총액")/10^12</f>
        <v>31.549234994999999</v>
      </c>
      <c r="I28" s="4">
        <f>표.실시간4[[#This Row],[시가총액 (조원)]]/표.실시간4[[#This Row],[현재가]]*(표.실시간4[[#This Row],[현재가]]-표.실시간4[[#This Row],[대비]])</f>
        <v>30.985136284999999</v>
      </c>
      <c r="J28" s="5">
        <f>_xll.IMDP("STK",표.실시간4[[#This Row],[nxt_code]],"전일대비")</f>
        <v>7000</v>
      </c>
      <c r="K28">
        <f>_xll.IMDP("STK",표.실시간4[[#This Row],[nxt_code]],"등락률")</f>
        <v>1.82</v>
      </c>
      <c r="L28" s="4">
        <f>_xll.IMDP("STK",표.실시간4[[#This Row],[nxt_code]],"누적거래량")</f>
        <v>1794449</v>
      </c>
      <c r="M28" s="4">
        <f>_xll.IMDP("STK",표.실시간4[[#This Row],[nxt_code]],"누적거래대금")</f>
        <v>719083383250</v>
      </c>
      <c r="N28" s="4">
        <f>_xll.IMDP("STK",표.실시간4[[#This Row],[nxt_code]],"가중평균가")</f>
        <v>400726.56467200001</v>
      </c>
      <c r="O28" s="4">
        <f>_xll.IMDP("STK",표.실시간4[[#This Row],[nxt_code]],"시가")</f>
        <v>400500</v>
      </c>
      <c r="P28" s="4">
        <f>_xll.IMDP("STK",표.실시간4[[#This Row],[nxt_code]],"고가")</f>
        <v>409000</v>
      </c>
      <c r="Q28" s="4">
        <f>_xll.IMDP("STK",표.실시간4[[#This Row],[nxt_code]],"저가")</f>
        <v>391000</v>
      </c>
      <c r="R28">
        <f>_xll.IMDP("STK",표.실시간4[[#This Row],[nxt_code]],"세션명")</f>
        <v>0</v>
      </c>
      <c r="S28">
        <f>_xll.IMDP("STK",표.실시간4[[#This Row],[nxt_code]],"체결시간")</f>
        <v>0</v>
      </c>
      <c r="T28" s="4">
        <f>_xll.IMDP("STK","005490","현재가")</f>
        <v>383500</v>
      </c>
      <c r="U28">
        <f>_xll.IMDP("STK","005490","누적거래량")</f>
        <v>129570</v>
      </c>
      <c r="V28" s="2">
        <v>5709.59</v>
      </c>
    </row>
    <row r="29" spans="3:22" x14ac:dyDescent="0.3">
      <c r="C29">
        <v>24</v>
      </c>
      <c r="D29">
        <v>5490</v>
      </c>
      <c r="E29" t="s">
        <v>40</v>
      </c>
      <c r="F29" t="str">
        <f>ConvertStockCode(표.실시간4[[#This Row],[코드]])</f>
        <v>N005490</v>
      </c>
      <c r="G29" s="4">
        <f>_xll.IMDP("STK",표.실시간4[[#This Row],[nxt_code]],"현재가")</f>
        <v>383500</v>
      </c>
      <c r="H29" s="4">
        <f>_xll.IMDP("STK",표.실시간4[[#This Row],[nxt_code]],"시가총액")/10^12</f>
        <v>31.037787091999999</v>
      </c>
      <c r="I29" s="4">
        <f>표.실시간4[[#This Row],[시가총액 (조원)]]/표.실시간4[[#This Row],[현재가]]*(표.실시간4[[#This Row],[현재가]]-표.실시간4[[#This Row],[대비]])</f>
        <v>29.095396243999996</v>
      </c>
      <c r="J29" s="5">
        <f>_xll.IMDP("STK",표.실시간4[[#This Row],[nxt_code]],"전일대비")</f>
        <v>24000</v>
      </c>
      <c r="K29">
        <f>_xll.IMDP("STK",표.실시간4[[#This Row],[nxt_code]],"등락률")</f>
        <v>6.68</v>
      </c>
      <c r="L29" s="4">
        <f>_xll.IMDP("STK",표.실시간4[[#This Row],[nxt_code]],"누적거래량")</f>
        <v>377678</v>
      </c>
      <c r="M29" s="4">
        <f>_xll.IMDP("STK",표.실시간4[[#This Row],[nxt_code]],"누적거래대금")</f>
        <v>139926883000</v>
      </c>
      <c r="N29" s="4">
        <f>_xll.IMDP("STK",표.실시간4[[#This Row],[nxt_code]],"가중평균가")</f>
        <v>370492.54391299997</v>
      </c>
      <c r="O29" s="4">
        <f>_xll.IMDP("STK",표.실시간4[[#This Row],[nxt_code]],"시가")</f>
        <v>362500</v>
      </c>
      <c r="P29" s="4">
        <f>_xll.IMDP("STK",표.실시간4[[#This Row],[nxt_code]],"고가")</f>
        <v>384000</v>
      </c>
      <c r="Q29" s="4">
        <f>_xll.IMDP("STK",표.실시간4[[#This Row],[nxt_code]],"저가")</f>
        <v>362000</v>
      </c>
      <c r="R29">
        <f>_xll.IMDP("STK",표.실시간4[[#This Row],[nxt_code]],"세션명")</f>
        <v>0</v>
      </c>
      <c r="S29">
        <f>_xll.IMDP("STK",표.실시간4[[#This Row],[nxt_code]],"체결시간")</f>
        <v>0</v>
      </c>
      <c r="T29" s="4">
        <f>_xll.IMDP("STK","086790","현재가")</f>
        <v>102100</v>
      </c>
      <c r="U29">
        <f>_xll.IMDP("STK","086790","누적거래량")</f>
        <v>24572</v>
      </c>
      <c r="V29" s="2">
        <v>1519.36</v>
      </c>
    </row>
    <row r="30" spans="3:22" x14ac:dyDescent="0.3">
      <c r="C30">
        <v>25</v>
      </c>
      <c r="D30">
        <v>86790</v>
      </c>
      <c r="E30" t="s">
        <v>41</v>
      </c>
      <c r="F30" t="str">
        <f>ConvertStockCode(표.실시간4[[#This Row],[코드]])</f>
        <v>N086790</v>
      </c>
      <c r="G30" s="4">
        <f>_xll.IMDP("STK",표.실시간4[[#This Row],[nxt_code]],"현재가")</f>
        <v>102000</v>
      </c>
      <c r="H30" s="4">
        <f>_xll.IMDP("STK",표.실시간4[[#This Row],[nxt_code]],"시가총액")/10^12</f>
        <v>28.389233028</v>
      </c>
      <c r="I30" s="4">
        <f>표.실시간4[[#This Row],[시가총액 (조원)]]/표.실시간4[[#This Row],[현재가]]*(표.실시간4[[#This Row],[현재가]]-표.실시간4[[#This Row],[대비]])</f>
        <v>27.9439117256</v>
      </c>
      <c r="J30" s="5">
        <f>_xll.IMDP("STK",표.실시간4[[#This Row],[nxt_code]],"전일대비")</f>
        <v>1600</v>
      </c>
      <c r="K30">
        <f>_xll.IMDP("STK",표.실시간4[[#This Row],[nxt_code]],"등락률")</f>
        <v>1.49</v>
      </c>
      <c r="L30" s="4">
        <f>_xll.IMDP("STK",표.실시간4[[#This Row],[nxt_code]],"누적거래량")</f>
        <v>16355</v>
      </c>
      <c r="M30" s="4">
        <f>_xll.IMDP("STK",표.실시간4[[#This Row],[nxt_code]],"누적거래대금")</f>
        <v>1648103200</v>
      </c>
      <c r="N30" s="4">
        <f>_xll.IMDP("STK",표.실시간4[[#This Row],[nxt_code]],"가중평균가")</f>
        <v>100752.12128599999</v>
      </c>
      <c r="O30" s="4">
        <f>_xll.IMDP("STK",표.실시간4[[#This Row],[nxt_code]],"시가")</f>
        <v>100500</v>
      </c>
      <c r="P30" s="4">
        <f>_xll.IMDP("STK",표.실시간4[[#This Row],[nxt_code]],"고가")</f>
        <v>102000</v>
      </c>
      <c r="Q30" s="4">
        <f>_xll.IMDP("STK",표.실시간4[[#This Row],[nxt_code]],"저가")</f>
        <v>99900</v>
      </c>
      <c r="R30">
        <f>_xll.IMDP("STK",표.실시간4[[#This Row],[nxt_code]],"세션명")</f>
        <v>0</v>
      </c>
      <c r="S30">
        <f>_xll.IMDP("STK",표.실시간4[[#This Row],[nxt_code]],"체결시간")</f>
        <v>0</v>
      </c>
      <c r="T30" s="4">
        <f>_xll.IMDP("STK","010140","현재가")</f>
        <v>30700</v>
      </c>
      <c r="U30">
        <f>_xll.IMDP("STK","010140","누적거래량")</f>
        <v>269174</v>
      </c>
      <c r="V30" s="2">
        <v>3196.07</v>
      </c>
    </row>
    <row r="31" spans="3:22" x14ac:dyDescent="0.3">
      <c r="C31">
        <v>26</v>
      </c>
      <c r="D31">
        <v>10140</v>
      </c>
      <c r="E31" t="s">
        <v>42</v>
      </c>
      <c r="F31" t="str">
        <f>ConvertStockCode(표.실시간4[[#This Row],[코드]])</f>
        <v>N010140</v>
      </c>
      <c r="G31" s="4">
        <f>_xll.IMDP("STK",표.실시간4[[#This Row],[nxt_code]],"현재가")</f>
        <v>30750</v>
      </c>
      <c r="H31" s="4">
        <f>_xll.IMDP("STK",표.실시간4[[#This Row],[nxt_code]],"시가총액")/10^12</f>
        <v>27.06</v>
      </c>
      <c r="I31" s="4">
        <f>표.실시간4[[#This Row],[시가총액 (조원)]]/표.실시간4[[#This Row],[현재가]]*(표.실시간4[[#This Row],[현재가]]-표.실시간4[[#This Row],[대비]])</f>
        <v>26.487999999999996</v>
      </c>
      <c r="J31" s="5">
        <f>_xll.IMDP("STK",표.실시간4[[#This Row],[nxt_code]],"전일대비")</f>
        <v>650</v>
      </c>
      <c r="K31">
        <f>_xll.IMDP("STK",표.실시간4[[#This Row],[nxt_code]],"등락률")</f>
        <v>2.16</v>
      </c>
      <c r="L31" s="4">
        <f>_xll.IMDP("STK",표.실시간4[[#This Row],[nxt_code]],"누적거래량")</f>
        <v>447554</v>
      </c>
      <c r="M31" s="4">
        <f>_xll.IMDP("STK",표.실시간4[[#This Row],[nxt_code]],"누적거래대금")</f>
        <v>13625640875</v>
      </c>
      <c r="N31" s="4">
        <f>_xll.IMDP("STK",표.실시간4[[#This Row],[nxt_code]],"가중평균가")</f>
        <v>30444.685724999999</v>
      </c>
      <c r="O31" s="4">
        <f>_xll.IMDP("STK",표.실시간4[[#This Row],[nxt_code]],"시가")</f>
        <v>30300</v>
      </c>
      <c r="P31" s="4">
        <f>_xll.IMDP("STK",표.실시간4[[#This Row],[nxt_code]],"고가")</f>
        <v>30850</v>
      </c>
      <c r="Q31" s="4">
        <f>_xll.IMDP("STK",표.실시간4[[#This Row],[nxt_code]],"저가")</f>
        <v>30200</v>
      </c>
      <c r="R31">
        <f>_xll.IMDP("STK",표.실시간4[[#This Row],[nxt_code]],"세션명")</f>
        <v>0</v>
      </c>
      <c r="S31">
        <f>_xll.IMDP("STK",표.실시간4[[#This Row],[nxt_code]],"체결시간")</f>
        <v>0</v>
      </c>
      <c r="T31" s="4">
        <f>_xll.IMDP("STK","006400","현재가")</f>
        <v>391500</v>
      </c>
      <c r="U31">
        <f>_xll.IMDP("STK","006400","누적거래량")</f>
        <v>305501</v>
      </c>
      <c r="V31" s="2">
        <v>3384.51</v>
      </c>
    </row>
    <row r="32" spans="3:22" x14ac:dyDescent="0.3">
      <c r="C32">
        <v>27</v>
      </c>
      <c r="D32">
        <v>35720</v>
      </c>
      <c r="E32" t="s">
        <v>44</v>
      </c>
      <c r="F32" t="str">
        <f>ConvertStockCode(표.실시간4[[#This Row],[코드]])</f>
        <v>N035720</v>
      </c>
      <c r="G32" s="4">
        <f>_xll.IMDP("STK",표.실시간4[[#This Row],[nxt_code]],"현재가")</f>
        <v>58400</v>
      </c>
      <c r="H32" s="4">
        <f>_xll.IMDP("STK",표.실시간4[[#This Row],[nxt_code]],"시가총액")/10^12</f>
        <v>25.841720848000001</v>
      </c>
      <c r="I32" s="4">
        <f>표.실시간4[[#This Row],[시가총액 (조원)]]/표.실시간4[[#This Row],[현재가]]*(표.실시간4[[#This Row],[현재가]]-표.실시간4[[#This Row],[대비]])</f>
        <v>25.841720848000001</v>
      </c>
      <c r="J32" s="5">
        <f>_xll.IMDP("STK",표.실시간4[[#This Row],[nxt_code]],"전일대비")</f>
        <v>0</v>
      </c>
      <c r="K32">
        <f>_xll.IMDP("STK",표.실시간4[[#This Row],[nxt_code]],"등락률")</f>
        <v>0</v>
      </c>
      <c r="L32" s="4">
        <f>_xll.IMDP("STK",표.실시간4[[#This Row],[nxt_code]],"누적거래량")</f>
        <v>175162</v>
      </c>
      <c r="M32" s="4">
        <f>_xll.IMDP("STK",표.실시간4[[#This Row],[nxt_code]],"누적거래대금")</f>
        <v>10266027950</v>
      </c>
      <c r="N32" s="4">
        <f>_xll.IMDP("STK",표.실시간4[[#This Row],[nxt_code]],"가중평균가")</f>
        <v>58609.095294999999</v>
      </c>
      <c r="O32" s="4">
        <f>_xll.IMDP("STK",표.실시간4[[#This Row],[nxt_code]],"시가")</f>
        <v>58700</v>
      </c>
      <c r="P32" s="4">
        <f>_xll.IMDP("STK",표.실시간4[[#This Row],[nxt_code]],"고가")</f>
        <v>58900</v>
      </c>
      <c r="Q32" s="4">
        <f>_xll.IMDP("STK",표.실시간4[[#This Row],[nxt_code]],"저가")</f>
        <v>58400</v>
      </c>
      <c r="R32">
        <f>_xll.IMDP("STK",표.실시간4[[#This Row],[nxt_code]],"세션명")</f>
        <v>0</v>
      </c>
      <c r="S32">
        <f>_xll.IMDP("STK",표.실시간4[[#This Row],[nxt_code]],"체결시간")</f>
        <v>0</v>
      </c>
      <c r="T32" s="4">
        <f>_xll.IMDP("STK","035720","현재가")</f>
        <v>58500</v>
      </c>
      <c r="U32">
        <f>_xll.IMDP("STK","035720","누적거래량")</f>
        <v>64259</v>
      </c>
      <c r="V32" s="2">
        <v>3143.41</v>
      </c>
    </row>
    <row r="33" spans="3:22" x14ac:dyDescent="0.3">
      <c r="C33">
        <v>28</v>
      </c>
      <c r="D33">
        <v>51910</v>
      </c>
      <c r="E33" t="s">
        <v>45</v>
      </c>
      <c r="F33" t="str">
        <f>ConvertStockCode(표.실시간4[[#This Row],[코드]])</f>
        <v>N051910</v>
      </c>
      <c r="G33" s="4">
        <f>_xll.IMDP("STK",표.실시간4[[#This Row],[nxt_code]],"현재가")</f>
        <v>355000</v>
      </c>
      <c r="H33" s="4">
        <f>_xll.IMDP("STK",표.실시간4[[#This Row],[nxt_code]],"시가총액")/10^12</f>
        <v>25.060281764999999</v>
      </c>
      <c r="I33" s="4">
        <f>표.실시간4[[#This Row],[시가총액 (조원)]]/표.실시간4[[#This Row],[현재가]]*(표.실시간4[[#This Row],[현재가]]-표.실시간4[[#This Row],[대비]])</f>
        <v>24.70732005</v>
      </c>
      <c r="J33" s="5">
        <f>_xll.IMDP("STK",표.실시간4[[#This Row],[nxt_code]],"전일대비")</f>
        <v>5000</v>
      </c>
      <c r="K33">
        <f>_xll.IMDP("STK",표.실시간4[[#This Row],[nxt_code]],"등락률")</f>
        <v>1.28</v>
      </c>
      <c r="L33" s="4">
        <f>_xll.IMDP("STK",표.실시간4[[#This Row],[nxt_code]],"누적거래량")</f>
        <v>41994</v>
      </c>
      <c r="M33" s="4">
        <f>_xll.IMDP("STK",표.실시간4[[#This Row],[nxt_code]],"누적거래대금")</f>
        <v>14963876750</v>
      </c>
      <c r="N33" s="4">
        <f>_xll.IMDP("STK",표.실시간4[[#This Row],[nxt_code]],"가중평균가")</f>
        <v>356333.68457400001</v>
      </c>
      <c r="O33" s="4">
        <f>_xll.IMDP("STK",표.실시간4[[#This Row],[nxt_code]],"시가")</f>
        <v>355500</v>
      </c>
      <c r="P33" s="4">
        <f>_xll.IMDP("STK",표.실시간4[[#This Row],[nxt_code]],"고가")</f>
        <v>359000</v>
      </c>
      <c r="Q33" s="4">
        <f>_xll.IMDP("STK",표.실시간4[[#This Row],[nxt_code]],"저가")</f>
        <v>353000</v>
      </c>
      <c r="R33">
        <f>_xll.IMDP("STK",표.실시간4[[#This Row],[nxt_code]],"세션명")</f>
        <v>0</v>
      </c>
      <c r="S33">
        <f>_xll.IMDP("STK",표.실시간4[[#This Row],[nxt_code]],"체결시간")</f>
        <v>0</v>
      </c>
      <c r="T33" s="4">
        <f>_xll.IMDP("STK","051910","현재가")</f>
        <v>355000</v>
      </c>
      <c r="U33">
        <f>_xll.IMDP("STK","051910","누적거래량")</f>
        <v>33011</v>
      </c>
      <c r="V33" s="2">
        <v>6859.14</v>
      </c>
    </row>
    <row r="34" spans="3:22" x14ac:dyDescent="0.3">
      <c r="C34">
        <v>29</v>
      </c>
      <c r="D34">
        <v>64350</v>
      </c>
      <c r="E34" t="s">
        <v>46</v>
      </c>
      <c r="F34" t="str">
        <f>ConvertStockCode(표.실시간4[[#This Row],[코드]])</f>
        <v>N064350</v>
      </c>
      <c r="G34" s="4">
        <f>_xll.IMDP("STK",표.실시간4[[#This Row],[nxt_code]],"현재가")</f>
        <v>205500</v>
      </c>
      <c r="H34" s="4">
        <f>_xll.IMDP("STK",표.실시간4[[#This Row],[nxt_code]],"시가총액")/10^12</f>
        <v>22.4287412115</v>
      </c>
      <c r="I34" s="4">
        <f>표.실시간4[[#This Row],[시가총액 (조원)]]/표.실시간4[[#This Row],[현재가]]*(표.실시간4[[#This Row],[현재가]]-표.실시간4[[#This Row],[대비]])</f>
        <v>22.537883504500002</v>
      </c>
      <c r="J34" s="5">
        <f>_xll.IMDP("STK",표.실시간4[[#This Row],[nxt_code]],"전일대비")</f>
        <v>-1000</v>
      </c>
      <c r="K34">
        <f>_xll.IMDP("STK",표.실시간4[[#This Row],[nxt_code]],"등락률")</f>
        <v>-0.48</v>
      </c>
      <c r="L34" s="4">
        <f>_xll.IMDP("STK",표.실시간4[[#This Row],[nxt_code]],"누적거래량")</f>
        <v>43237</v>
      </c>
      <c r="M34" s="4">
        <f>_xll.IMDP("STK",표.실시간4[[#This Row],[nxt_code]],"누적거래대금")</f>
        <v>9000347250</v>
      </c>
      <c r="N34" s="4">
        <f>_xll.IMDP("STK",표.실시간4[[#This Row],[nxt_code]],"가중평균가")</f>
        <v>208163.083701</v>
      </c>
      <c r="O34" s="4">
        <f>_xll.IMDP("STK",표.실시간4[[#This Row],[nxt_code]],"시가")</f>
        <v>208000</v>
      </c>
      <c r="P34" s="4">
        <f>_xll.IMDP("STK",표.실시간4[[#This Row],[nxt_code]],"고가")</f>
        <v>209000</v>
      </c>
      <c r="Q34" s="4">
        <f>_xll.IMDP("STK",표.실시간4[[#This Row],[nxt_code]],"저가")</f>
        <v>205000</v>
      </c>
      <c r="R34">
        <f>_xll.IMDP("STK",표.실시간4[[#This Row],[nxt_code]],"세션명")</f>
        <v>0</v>
      </c>
      <c r="S34">
        <f>_xll.IMDP("STK",표.실시간4[[#This Row],[nxt_code]],"체결시간")</f>
        <v>0</v>
      </c>
      <c r="T34" s="4">
        <f>_xll.IMDP("STK","064350","현재가")</f>
        <v>205500</v>
      </c>
      <c r="U34">
        <f>_xll.IMDP("STK","064350","누적거래량")</f>
        <v>24009</v>
      </c>
      <c r="V34" s="2">
        <v>2923.59</v>
      </c>
    </row>
    <row r="35" spans="3:22" x14ac:dyDescent="0.3">
      <c r="C35">
        <v>30</v>
      </c>
      <c r="D35">
        <v>810</v>
      </c>
      <c r="E35" t="s">
        <v>47</v>
      </c>
      <c r="F35" t="str">
        <f>ConvertStockCode(표.실시간4[[#This Row],[코드]])</f>
        <v>N000810</v>
      </c>
      <c r="G35" s="4">
        <f>_xll.IMDP("STK",표.실시간4[[#This Row],[nxt_code]],"현재가")</f>
        <v>488000</v>
      </c>
      <c r="H35" s="4">
        <f>_xll.IMDP("STK",표.실시간4[[#This Row],[nxt_code]],"시가총액")/10^12</f>
        <v>22.45344364</v>
      </c>
      <c r="I35" s="4">
        <f>표.실시간4[[#This Row],[시가총액 (조원)]]/표.실시간4[[#This Row],[현재가]]*(표.실시간4[[#This Row],[현재가]]-표.실시간4[[#This Row],[대비]])</f>
        <v>22.522460372499999</v>
      </c>
      <c r="J35" s="5">
        <f>_xll.IMDP("STK",표.실시간4[[#This Row],[nxt_code]],"전일대비")</f>
        <v>-1500</v>
      </c>
      <c r="K35">
        <f>_xll.IMDP("STK",표.실시간4[[#This Row],[nxt_code]],"등락률")</f>
        <v>-0.31</v>
      </c>
      <c r="L35" s="4">
        <f>_xll.IMDP("STK",표.실시간4[[#This Row],[nxt_code]],"누적거래량")</f>
        <v>1516</v>
      </c>
      <c r="M35" s="4">
        <f>_xll.IMDP("STK",표.실시간4[[#This Row],[nxt_code]],"누적거래대금")</f>
        <v>742828000</v>
      </c>
      <c r="N35" s="4">
        <f>_xll.IMDP("STK",표.실시간4[[#This Row],[nxt_code]],"가중평균가")</f>
        <v>489992.08443300001</v>
      </c>
      <c r="O35" s="4">
        <f>_xll.IMDP("STK",표.실시간4[[#This Row],[nxt_code]],"시가")</f>
        <v>486000</v>
      </c>
      <c r="P35" s="4">
        <f>_xll.IMDP("STK",표.실시간4[[#This Row],[nxt_code]],"고가")</f>
        <v>492000</v>
      </c>
      <c r="Q35" s="4">
        <f>_xll.IMDP("STK",표.실시간4[[#This Row],[nxt_code]],"저가")</f>
        <v>486000</v>
      </c>
      <c r="R35">
        <f>_xll.IMDP("STK",표.실시간4[[#This Row],[nxt_code]],"세션명")</f>
        <v>0</v>
      </c>
      <c r="S35">
        <f>_xll.IMDP("STK",표.실시간4[[#This Row],[nxt_code]],"체결시간")</f>
        <v>0</v>
      </c>
      <c r="T35" s="4">
        <f>_xll.IMDP("STK","000810","현재가")</f>
        <v>488000</v>
      </c>
      <c r="U35">
        <f>_xll.IMDP("STK","000810","누적거래량")</f>
        <v>3246</v>
      </c>
      <c r="V35" s="2">
        <v>1808.57</v>
      </c>
    </row>
    <row r="36" spans="3:22" x14ac:dyDescent="0.3">
      <c r="C36">
        <v>31</v>
      </c>
      <c r="D36">
        <v>298040</v>
      </c>
      <c r="E36" t="s">
        <v>49</v>
      </c>
      <c r="F36" t="str">
        <f>ConvertStockCode(표.실시간4[[#This Row],[코드]])</f>
        <v>N298040</v>
      </c>
      <c r="G36" s="4">
        <f>_xll.IMDP("STK",표.실시간4[[#This Row],[nxt_code]],"현재가")</f>
        <v>2306000</v>
      </c>
      <c r="H36" s="4">
        <f>_xll.IMDP("STK",표.실시간4[[#This Row],[nxt_code]],"시가총액")/10^12</f>
        <v>21.502407688000002</v>
      </c>
      <c r="I36" s="4">
        <f>표.실시간4[[#This Row],[시가총액 (조원)]]/표.실시간4[[#This Row],[현재가]]*(표.실시간4[[#This Row],[현재가]]-표.실시간4[[#This Row],[대비]])</f>
        <v>21.903363251999998</v>
      </c>
      <c r="J36" s="5">
        <f>_xll.IMDP("STK",표.실시간4[[#This Row],[nxt_code]],"전일대비")</f>
        <v>-43000</v>
      </c>
      <c r="K36">
        <f>_xll.IMDP("STK",표.실시간4[[#This Row],[nxt_code]],"등락률")</f>
        <v>-1.83</v>
      </c>
      <c r="L36" s="4">
        <f>_xll.IMDP("STK",표.실시간4[[#This Row],[nxt_code]],"누적거래량")</f>
        <v>3131</v>
      </c>
      <c r="M36" s="4">
        <f>_xll.IMDP("STK",표.실시간4[[#This Row],[nxt_code]],"누적거래대금")</f>
        <v>7404776000</v>
      </c>
      <c r="N36" s="4">
        <f>_xll.IMDP("STK",표.실시간4[[#This Row],[nxt_code]],"가중평균가")</f>
        <v>2364987.5439160001</v>
      </c>
      <c r="O36" s="4">
        <f>_xll.IMDP("STK",표.실시간4[[#This Row],[nxt_code]],"시가")</f>
        <v>2360000</v>
      </c>
      <c r="P36" s="4">
        <f>_xll.IMDP("STK",표.실시간4[[#This Row],[nxt_code]],"고가")</f>
        <v>2385000</v>
      </c>
      <c r="Q36" s="4">
        <f>_xll.IMDP("STK",표.실시간4[[#This Row],[nxt_code]],"저가")</f>
        <v>2301000</v>
      </c>
      <c r="R36">
        <f>_xll.IMDP("STK",표.실시간4[[#This Row],[nxt_code]],"세션명")</f>
        <v>0</v>
      </c>
      <c r="S36">
        <f>_xll.IMDP("STK",표.실시간4[[#This Row],[nxt_code]],"체결시간")</f>
        <v>0</v>
      </c>
      <c r="T36" s="4">
        <f>_xll.IMDP("STK","086280","현재가")</f>
        <v>258000</v>
      </c>
      <c r="U36">
        <f>_xll.IMDP("STK","086280","누적거래량")</f>
        <v>22036</v>
      </c>
      <c r="V36" s="2">
        <v>11772.12</v>
      </c>
    </row>
    <row r="37" spans="3:22" x14ac:dyDescent="0.3">
      <c r="C37">
        <v>32</v>
      </c>
      <c r="D37">
        <v>34730</v>
      </c>
      <c r="E37" t="s">
        <v>50</v>
      </c>
      <c r="F37" t="str">
        <f>ConvertStockCode(표.실시간4[[#This Row],[코드]])</f>
        <v>N034730</v>
      </c>
      <c r="G37" s="4">
        <f>_xll.IMDP("STK",표.실시간4[[#This Row],[nxt_code]],"현재가")</f>
        <v>290500</v>
      </c>
      <c r="H37" s="4">
        <f>_xll.IMDP("STK",표.실시간4[[#This Row],[nxt_code]],"시가총액")/10^12</f>
        <v>21.0620352215</v>
      </c>
      <c r="I37" s="4">
        <f>표.실시간4[[#This Row],[시가총액 (조원)]]/표.실시간4[[#This Row],[현재가]]*(표.실시간4[[#This Row],[현재가]]-표.실시간4[[#This Row],[대비]])</f>
        <v>21.098286572999999</v>
      </c>
      <c r="J37" s="5">
        <f>_xll.IMDP("STK",표.실시간4[[#This Row],[nxt_code]],"전일대비")</f>
        <v>-500</v>
      </c>
      <c r="K37">
        <f>_xll.IMDP("STK",표.실시간4[[#This Row],[nxt_code]],"등락률")</f>
        <v>-0.34</v>
      </c>
      <c r="L37" s="4">
        <f>_xll.IMDP("STK",표.실시간4[[#This Row],[nxt_code]],"누적거래량")</f>
        <v>12167</v>
      </c>
      <c r="M37" s="4">
        <f>_xll.IMDP("STK",표.실시간4[[#This Row],[nxt_code]],"누적거래대금")</f>
        <v>3574811000</v>
      </c>
      <c r="N37" s="4">
        <f>_xll.IMDP("STK",표.실시간4[[#This Row],[nxt_code]],"가중평균가")</f>
        <v>293812.03254699998</v>
      </c>
      <c r="O37" s="4">
        <f>_xll.IMDP("STK",표.실시간4[[#This Row],[nxt_code]],"시가")</f>
        <v>293500</v>
      </c>
      <c r="P37" s="4">
        <f>_xll.IMDP("STK",표.실시간4[[#This Row],[nxt_code]],"고가")</f>
        <v>295000</v>
      </c>
      <c r="Q37" s="4">
        <f>_xll.IMDP("STK",표.실시간4[[#This Row],[nxt_code]],"저가")</f>
        <v>290500</v>
      </c>
      <c r="R37">
        <f>_xll.IMDP("STK",표.실시간4[[#This Row],[nxt_code]],"세션명")</f>
        <v>0</v>
      </c>
      <c r="S37">
        <f>_xll.IMDP("STK",표.실시간4[[#This Row],[nxt_code]],"체결시간")</f>
        <v>0</v>
      </c>
      <c r="T37" s="4">
        <f>_xll.IMDP("STK","298040","현재가")</f>
        <v>2306000</v>
      </c>
      <c r="U37">
        <f>_xll.IMDP("STK","298040","누적거래량")</f>
        <v>1401</v>
      </c>
    </row>
    <row r="38" spans="3:22" x14ac:dyDescent="0.3">
      <c r="C38">
        <v>33</v>
      </c>
      <c r="D38">
        <v>316140</v>
      </c>
      <c r="E38" t="s">
        <v>52</v>
      </c>
      <c r="F38" t="str">
        <f>ConvertStockCode(표.실시간4[[#This Row],[코드]])</f>
        <v>N316140</v>
      </c>
      <c r="G38" s="4">
        <f>_xll.IMDP("STK",표.실시간4[[#This Row],[nxt_code]],"현재가")</f>
        <v>29200</v>
      </c>
      <c r="H38" s="4">
        <f>_xll.IMDP("STK",표.실시간4[[#This Row],[nxt_code]],"시가총액")/10^12</f>
        <v>21.435028544000001</v>
      </c>
      <c r="I38" s="4">
        <f>표.실시간4[[#This Row],[시가총액 (조원)]]/표.실시간4[[#This Row],[현재가]]*(표.실시간4[[#This Row],[현재가]]-표.실시간4[[#This Row],[대비]])</f>
        <v>21.361620912000003</v>
      </c>
      <c r="J38" s="5">
        <f>_xll.IMDP("STK",표.실시간4[[#This Row],[nxt_code]],"전일대비")</f>
        <v>100</v>
      </c>
      <c r="K38">
        <f>_xll.IMDP("STK",표.실시간4[[#This Row],[nxt_code]],"등락률")</f>
        <v>0.34</v>
      </c>
      <c r="L38" s="4">
        <f>_xll.IMDP("STK",표.실시간4[[#This Row],[nxt_code]],"누적거래량")</f>
        <v>59290</v>
      </c>
      <c r="M38" s="4">
        <f>_xll.IMDP("STK",표.실시간4[[#This Row],[nxt_code]],"누적거래대금")</f>
        <v>1722288900</v>
      </c>
      <c r="N38" s="4">
        <f>_xll.IMDP("STK",표.실시간4[[#This Row],[nxt_code]],"가중평균가")</f>
        <v>29048.556249000001</v>
      </c>
      <c r="O38" s="4">
        <f>_xll.IMDP("STK",표.실시간4[[#This Row],[nxt_code]],"시가")</f>
        <v>29200</v>
      </c>
      <c r="P38" s="4">
        <f>_xll.IMDP("STK",표.실시간4[[#This Row],[nxt_code]],"고가")</f>
        <v>29200</v>
      </c>
      <c r="Q38" s="4">
        <f>_xll.IMDP("STK",표.실시간4[[#This Row],[nxt_code]],"저가")</f>
        <v>28950</v>
      </c>
      <c r="R38">
        <f>_xll.IMDP("STK",표.실시간4[[#This Row],[nxt_code]],"세션명")</f>
        <v>0</v>
      </c>
      <c r="S38">
        <f>_xll.IMDP("STK",표.실시간4[[#This Row],[nxt_code]],"체결시간")</f>
        <v>0</v>
      </c>
      <c r="T38" s="4">
        <f>_xll.IMDP("STK","034730","현재가")</f>
        <v>290500</v>
      </c>
      <c r="U38">
        <f>_xll.IMDP("STK","034730","누적거래량")</f>
        <v>4844</v>
      </c>
    </row>
    <row r="39" spans="3:22" x14ac:dyDescent="0.3">
      <c r="C39">
        <v>34</v>
      </c>
      <c r="D39">
        <v>9150</v>
      </c>
      <c r="E39" t="s">
        <v>51</v>
      </c>
      <c r="F39" t="str">
        <f>ConvertStockCode(표.실시간4[[#This Row],[코드]])</f>
        <v>N009150</v>
      </c>
      <c r="G39" s="4">
        <f>_xll.IMDP("STK",표.실시간4[[#This Row],[nxt_code]],"현재가")</f>
        <v>284500</v>
      </c>
      <c r="H39" s="4">
        <f>_xll.IMDP("STK",표.실시간4[[#This Row],[nxt_code]],"시가총액")/10^12</f>
        <v>21.250356512</v>
      </c>
      <c r="I39" s="4">
        <f>표.실시간4[[#This Row],[시가총액 (조원)]]/표.실시간4[[#This Row],[현재가]]*(표.실시간4[[#This Row],[현재가]]-표.실시간4[[#This Row],[대비]])</f>
        <v>21.138315967999997</v>
      </c>
      <c r="J39" s="5">
        <f>_xll.IMDP("STK",표.실시간4[[#This Row],[nxt_code]],"전일대비")</f>
        <v>1500</v>
      </c>
      <c r="K39">
        <f>_xll.IMDP("STK",표.실시간4[[#This Row],[nxt_code]],"등락률")</f>
        <v>0.53</v>
      </c>
      <c r="L39" s="4">
        <f>_xll.IMDP("STK",표.실시간4[[#This Row],[nxt_code]],"누적거래량")</f>
        <v>55290</v>
      </c>
      <c r="M39" s="4">
        <f>_xll.IMDP("STK",표.실시간4[[#This Row],[nxt_code]],"누적거래대금")</f>
        <v>15835981500</v>
      </c>
      <c r="N39" s="4">
        <f>_xll.IMDP("STK",표.실시간4[[#This Row],[nxt_code]],"가중평균가")</f>
        <v>286416.73901199998</v>
      </c>
      <c r="O39" s="4">
        <f>_xll.IMDP("STK",표.실시간4[[#This Row],[nxt_code]],"시가")</f>
        <v>284000</v>
      </c>
      <c r="P39" s="4">
        <f>_xll.IMDP("STK",표.실시간4[[#This Row],[nxt_code]],"고가")</f>
        <v>289000</v>
      </c>
      <c r="Q39" s="4">
        <f>_xll.IMDP("STK",표.실시간4[[#This Row],[nxt_code]],"저가")</f>
        <v>284000</v>
      </c>
      <c r="R39">
        <f>_xll.IMDP("STK",표.실시간4[[#This Row],[nxt_code]],"세션명")</f>
        <v>0</v>
      </c>
      <c r="S39">
        <f>_xll.IMDP("STK",표.실시간4[[#This Row],[nxt_code]],"체결시간")</f>
        <v>0</v>
      </c>
      <c r="T39" s="4">
        <f>_xll.IMDP("STK","009150","현재가")</f>
        <v>284000</v>
      </c>
      <c r="U39">
        <f>_xll.IMDP("STK","009150","누적거래량")</f>
        <v>22423</v>
      </c>
    </row>
    <row r="40" spans="3:22" x14ac:dyDescent="0.3">
      <c r="C40">
        <v>35</v>
      </c>
      <c r="D40">
        <v>86280</v>
      </c>
      <c r="E40" t="s">
        <v>48</v>
      </c>
      <c r="F40" t="str">
        <f>ConvertStockCode(표.실시간4[[#This Row],[코드]])</f>
        <v>N086280</v>
      </c>
      <c r="G40" s="4">
        <f>_xll.IMDP("STK",표.실시간4[[#This Row],[nxt_code]],"현재가")</f>
        <v>258000</v>
      </c>
      <c r="H40" s="4">
        <f>_xll.IMDP("STK",표.실시간4[[#This Row],[nxt_code]],"시가총액")/10^12</f>
        <v>19.350000000000001</v>
      </c>
      <c r="I40" s="4">
        <f>표.실시간4[[#This Row],[시가총액 (조원)]]/표.실시간4[[#This Row],[현재가]]*(표.실시간4[[#This Row],[현재가]]-표.실시간4[[#This Row],[대비]])</f>
        <v>19.650000000000002</v>
      </c>
      <c r="J40" s="5">
        <f>_xll.IMDP("STK",표.실시간4[[#This Row],[nxt_code]],"전일대비")</f>
        <v>-4000</v>
      </c>
      <c r="K40">
        <f>_xll.IMDP("STK",표.실시간4[[#This Row],[nxt_code]],"등락률")</f>
        <v>-1.53</v>
      </c>
      <c r="L40" s="4">
        <f>_xll.IMDP("STK",표.실시간4[[#This Row],[nxt_code]],"누적거래량")</f>
        <v>126314</v>
      </c>
      <c r="M40" s="4">
        <f>_xll.IMDP("STK",표.실시간4[[#This Row],[nxt_code]],"누적거래대금")</f>
        <v>33221345500</v>
      </c>
      <c r="N40" s="4">
        <f>_xll.IMDP("STK",표.실시간4[[#This Row],[nxt_code]],"가중평균가")</f>
        <v>263006.04446100001</v>
      </c>
      <c r="O40" s="4">
        <f>_xll.IMDP("STK",표.실시간4[[#This Row],[nxt_code]],"시가")</f>
        <v>266000</v>
      </c>
      <c r="P40" s="4">
        <f>_xll.IMDP("STK",표.실시간4[[#This Row],[nxt_code]],"고가")</f>
        <v>271000</v>
      </c>
      <c r="Q40" s="4">
        <f>_xll.IMDP("STK",표.실시간4[[#This Row],[nxt_code]],"저가")</f>
        <v>255000</v>
      </c>
      <c r="R40">
        <f>_xll.IMDP("STK",표.실시간4[[#This Row],[nxt_code]],"세션명")</f>
        <v>0</v>
      </c>
      <c r="S40">
        <f>_xll.IMDP("STK",표.실시간4[[#This Row],[nxt_code]],"체결시간")</f>
        <v>0</v>
      </c>
      <c r="T40" s="4">
        <f>_xll.IMDP("STK","316140","현재가")</f>
        <v>29150</v>
      </c>
      <c r="U40">
        <f>_xll.IMDP("STK","316140","누적거래량")</f>
        <v>52014</v>
      </c>
      <c r="V40" s="2">
        <v>1983.46</v>
      </c>
    </row>
    <row r="41" spans="3:22" x14ac:dyDescent="0.3">
      <c r="C41">
        <v>36</v>
      </c>
      <c r="D41">
        <v>267250</v>
      </c>
      <c r="E41" t="s">
        <v>53</v>
      </c>
      <c r="F41" t="str">
        <f>ConvertStockCode(표.실시간4[[#This Row],[코드]])</f>
        <v>N267250</v>
      </c>
      <c r="G41" s="4">
        <f>_xll.IMDP("STK",표.실시간4[[#This Row],[nxt_code]],"현재가")</f>
        <v>244000</v>
      </c>
      <c r="H41" s="4">
        <f>_xll.IMDP("STK",표.실시간4[[#This Row],[nxt_code]],"시가총액")/10^12</f>
        <v>19.274312739999999</v>
      </c>
      <c r="I41" s="4">
        <f>표.실시간4[[#This Row],[시가총액 (조원)]]/표.실시간4[[#This Row],[현재가]]*(표.실시간4[[#This Row],[현재가]]-표.실시간4[[#This Row],[대비]])</f>
        <v>19.195319654999999</v>
      </c>
      <c r="J41" s="5">
        <f>_xll.IMDP("STK",표.실시간4[[#This Row],[nxt_code]],"전일대비")</f>
        <v>1000</v>
      </c>
      <c r="K41">
        <f>_xll.IMDP("STK",표.실시간4[[#This Row],[nxt_code]],"등락률")</f>
        <v>0.41</v>
      </c>
      <c r="L41" s="4">
        <f>_xll.IMDP("STK",표.실시간4[[#This Row],[nxt_code]],"누적거래량")</f>
        <v>8070</v>
      </c>
      <c r="M41" s="4">
        <f>_xll.IMDP("STK",표.실시간4[[#This Row],[nxt_code]],"누적거래대금")</f>
        <v>1971455000</v>
      </c>
      <c r="N41" s="4">
        <f>_xll.IMDP("STK",표.실시간4[[#This Row],[nxt_code]],"가중평균가")</f>
        <v>244294.299876</v>
      </c>
      <c r="O41" s="4">
        <f>_xll.IMDP("STK",표.실시간4[[#This Row],[nxt_code]],"시가")</f>
        <v>245000</v>
      </c>
      <c r="P41" s="4">
        <f>_xll.IMDP("STK",표.실시간4[[#This Row],[nxt_code]],"고가")</f>
        <v>248000</v>
      </c>
      <c r="Q41" s="4">
        <f>_xll.IMDP("STK",표.실시간4[[#This Row],[nxt_code]],"저가")</f>
        <v>243000</v>
      </c>
      <c r="R41">
        <f>_xll.IMDP("STK",표.실시간4[[#This Row],[nxt_code]],"세션명")</f>
        <v>0</v>
      </c>
      <c r="S41">
        <f>_xll.IMDP("STK",표.실시간4[[#This Row],[nxt_code]],"체결시간")</f>
        <v>0</v>
      </c>
      <c r="T41" s="4">
        <f>_xll.IMDP("STK","267250","현재가")</f>
        <v>243500</v>
      </c>
      <c r="U41">
        <f>_xll.IMDP("STK","267250","누적거래량")</f>
        <v>3313</v>
      </c>
    </row>
    <row r="42" spans="3:22" x14ac:dyDescent="0.3">
      <c r="C42">
        <v>37</v>
      </c>
      <c r="D42">
        <v>11200</v>
      </c>
      <c r="E42" t="s">
        <v>55</v>
      </c>
      <c r="F42" t="str">
        <f>ConvertStockCode(표.실시간4[[#This Row],[코드]])</f>
        <v>N011200</v>
      </c>
      <c r="G42" s="4">
        <f>_xll.IMDP("STK",표.실시간4[[#This Row],[nxt_code]],"현재가")</f>
        <v>20300</v>
      </c>
      <c r="H42" s="4">
        <f>_xll.IMDP("STK",표.실시간4[[#This Row],[nxt_code]],"시가총액")/10^12</f>
        <v>19.147730791000001</v>
      </c>
      <c r="I42" s="4">
        <f>표.실시간4[[#This Row],[시가총액 (조원)]]/표.실시간4[[#This Row],[현재가]]*(표.실시간4[[#This Row],[현재가]]-표.실시간4[[#This Row],[대비]])</f>
        <v>19.3835402835</v>
      </c>
      <c r="J42" s="5">
        <f>_xll.IMDP("STK",표.실시간4[[#This Row],[nxt_code]],"전일대비")</f>
        <v>-250</v>
      </c>
      <c r="K42">
        <f>_xll.IMDP("STK",표.실시간4[[#This Row],[nxt_code]],"등락률")</f>
        <v>-1.22</v>
      </c>
      <c r="L42" s="4">
        <f>_xll.IMDP("STK",표.실시간4[[#This Row],[nxt_code]],"누적거래량")</f>
        <v>198576</v>
      </c>
      <c r="M42" s="4">
        <f>_xll.IMDP("STK",표.실시간4[[#This Row],[nxt_code]],"누적거래대금")</f>
        <v>4089380150</v>
      </c>
      <c r="N42" s="4">
        <f>_xll.IMDP("STK",표.실시간4[[#This Row],[nxt_code]],"가중평균가")</f>
        <v>20593.52666</v>
      </c>
      <c r="O42" s="4">
        <f>_xll.IMDP("STK",표.실시간4[[#This Row],[nxt_code]],"시가")</f>
        <v>20550</v>
      </c>
      <c r="P42" s="4">
        <f>_xll.IMDP("STK",표.실시간4[[#This Row],[nxt_code]],"고가")</f>
        <v>20750</v>
      </c>
      <c r="Q42" s="4">
        <f>_xll.IMDP("STK",표.실시간4[[#This Row],[nxt_code]],"저가")</f>
        <v>20250</v>
      </c>
      <c r="R42">
        <f>_xll.IMDP("STK",표.실시간4[[#This Row],[nxt_code]],"세션명")</f>
        <v>0</v>
      </c>
      <c r="S42">
        <f>_xll.IMDP("STK",표.실시간4[[#This Row],[nxt_code]],"체결시간")</f>
        <v>0</v>
      </c>
      <c r="T42" s="4">
        <f>_xll.IMDP("STK","196170","현재가")</f>
        <v>375000</v>
      </c>
      <c r="U42">
        <f>_xll.IMDP("STK","196170","누적거래량")</f>
        <v>27611</v>
      </c>
    </row>
    <row r="43" spans="3:22" x14ac:dyDescent="0.3">
      <c r="C43">
        <v>38</v>
      </c>
      <c r="D43">
        <v>3670</v>
      </c>
      <c r="E43" t="s">
        <v>58</v>
      </c>
      <c r="F43" t="str">
        <f>ConvertStockCode(표.실시간4[[#This Row],[코드]])</f>
        <v>N003670</v>
      </c>
      <c r="G43" s="4">
        <f>_xll.IMDP("STK",표.실시간4[[#This Row],[nxt_code]],"현재가")</f>
        <v>215500</v>
      </c>
      <c r="H43" s="4">
        <f>_xll.IMDP("STK",표.실시간4[[#This Row],[nxt_code]],"시가총액")/10^12</f>
        <v>19.167910410000001</v>
      </c>
      <c r="I43" s="4">
        <f>표.실시간4[[#This Row],[시가총액 (조원)]]/표.실시간4[[#This Row],[현재가]]*(표.실시간4[[#This Row],[현재가]]-표.실시간4[[#This Row],[대비]])</f>
        <v>19.345802849999998</v>
      </c>
      <c r="J43" s="5">
        <f>_xll.IMDP("STK",표.실시간4[[#This Row],[nxt_code]],"전일대비")</f>
        <v>-2000</v>
      </c>
      <c r="K43">
        <f>_xll.IMDP("STK",표.실시간4[[#This Row],[nxt_code]],"등락률")</f>
        <v>-0.69</v>
      </c>
      <c r="L43" s="4">
        <f>_xll.IMDP("STK",표.실시간4[[#This Row],[nxt_code]],"누적거래량")</f>
        <v>289906</v>
      </c>
      <c r="M43" s="4">
        <f>_xll.IMDP("STK",표.실시간4[[#This Row],[nxt_code]],"누적거래대금")</f>
        <v>64311187750</v>
      </c>
      <c r="N43" s="4">
        <f>_xll.IMDP("STK",표.실시간4[[#This Row],[nxt_code]],"가중평균가")</f>
        <v>221834.62139499999</v>
      </c>
      <c r="O43" s="4">
        <f>_xll.IMDP("STK",표.실시간4[[#This Row],[nxt_code]],"시가")</f>
        <v>220000</v>
      </c>
      <c r="P43" s="4">
        <f>_xll.IMDP("STK",표.실시간4[[#This Row],[nxt_code]],"고가")</f>
        <v>225500</v>
      </c>
      <c r="Q43" s="4">
        <f>_xll.IMDP("STK",표.실시간4[[#This Row],[nxt_code]],"저가")</f>
        <v>215000</v>
      </c>
      <c r="R43">
        <f>_xll.IMDP("STK",표.실시간4[[#This Row],[nxt_code]],"세션명")</f>
        <v>0</v>
      </c>
      <c r="S43">
        <f>_xll.IMDP("STK",표.실시간4[[#This Row],[nxt_code]],"체결시간")</f>
        <v>0</v>
      </c>
      <c r="T43" s="4">
        <f>_xll.IMDP("STK","011200","현재가")</f>
        <v>20300</v>
      </c>
      <c r="U43">
        <f>_xll.IMDP("STK","011200","누적거래량")</f>
        <v>84783</v>
      </c>
    </row>
    <row r="44" spans="3:22" x14ac:dyDescent="0.3">
      <c r="C44">
        <v>39</v>
      </c>
      <c r="D44">
        <v>138040</v>
      </c>
      <c r="E44" t="s">
        <v>56</v>
      </c>
      <c r="F44" t="str">
        <f>ConvertStockCode(표.실시간4[[#This Row],[코드]])</f>
        <v>N138040</v>
      </c>
      <c r="G44" s="4">
        <f>_xll.IMDP("STK",표.실시간4[[#This Row],[nxt_code]],"현재가")</f>
        <v>108700</v>
      </c>
      <c r="H44" s="4">
        <f>_xll.IMDP("STK",표.실시간4[[#This Row],[nxt_code]],"시가총액")/10^12</f>
        <v>19.046606725099998</v>
      </c>
      <c r="I44" s="4">
        <f>표.실시간4[[#This Row],[시가총액 (조원)]]/표.실시간4[[#This Row],[현재가]]*(표.실시간4[[#This Row],[현재가]]-표.실시간4[[#This Row],[대비]])</f>
        <v>18.8188184202</v>
      </c>
      <c r="J44" s="5">
        <f>_xll.IMDP("STK",표.실시간4[[#This Row],[nxt_code]],"전일대비")</f>
        <v>1300</v>
      </c>
      <c r="K44">
        <f>_xll.IMDP("STK",표.실시간4[[#This Row],[nxt_code]],"등락률")</f>
        <v>1.21</v>
      </c>
      <c r="L44" s="4">
        <f>_xll.IMDP("STK",표.실시간4[[#This Row],[nxt_code]],"누적거래량")</f>
        <v>2742</v>
      </c>
      <c r="M44" s="4">
        <f>_xll.IMDP("STK",표.실시간4[[#This Row],[nxt_code]],"누적거래대금")</f>
        <v>295745800</v>
      </c>
      <c r="N44" s="4">
        <f>_xll.IMDP("STK",표.실시간4[[#This Row],[nxt_code]],"가중평균가")</f>
        <v>107857.69511299999</v>
      </c>
      <c r="O44" s="4">
        <f>_xll.IMDP("STK",표.실시간4[[#This Row],[nxt_code]],"시가")</f>
        <v>108300</v>
      </c>
      <c r="P44" s="4">
        <f>_xll.IMDP("STK",표.실시간4[[#This Row],[nxt_code]],"고가")</f>
        <v>108700</v>
      </c>
      <c r="Q44" s="4">
        <f>_xll.IMDP("STK",표.실시간4[[#This Row],[nxt_code]],"저가")</f>
        <v>107300</v>
      </c>
      <c r="R44">
        <f>_xll.IMDP("STK",표.실시간4[[#This Row],[nxt_code]],"세션명")</f>
        <v>0</v>
      </c>
      <c r="S44">
        <f>_xll.IMDP("STK",표.실시간4[[#This Row],[nxt_code]],"체결시간")</f>
        <v>0</v>
      </c>
      <c r="T44" s="4">
        <f>_xll.IMDP("STK","138040","현재가")</f>
        <v>108600</v>
      </c>
      <c r="U44">
        <f>_xll.IMDP("STK","138040","누적거래량")</f>
        <v>9088</v>
      </c>
    </row>
    <row r="45" spans="3:22" x14ac:dyDescent="0.3">
      <c r="C45">
        <v>40</v>
      </c>
      <c r="D45">
        <v>96770</v>
      </c>
      <c r="E45" t="s">
        <v>59</v>
      </c>
      <c r="F45" t="str">
        <f>ConvertStockCode(표.실시간4[[#This Row],[코드]])</f>
        <v>N096770</v>
      </c>
      <c r="G45" s="4">
        <f>_xll.IMDP("STK",표.실시간4[[#This Row],[nxt_code]],"현재가")</f>
        <v>112800</v>
      </c>
      <c r="H45" s="4">
        <f>_xll.IMDP("STK",표.실시간4[[#This Row],[nxt_code]],"시가총액")/10^12</f>
        <v>19.069154486399999</v>
      </c>
      <c r="I45" s="4">
        <f>표.실시간4[[#This Row],[시가총액 (조원)]]/표.실시간4[[#This Row],[현재가]]*(표.실시간4[[#This Row],[현재가]]-표.실시간4[[#This Row],[대비]])</f>
        <v>18.967722813599998</v>
      </c>
      <c r="J45" s="5">
        <f>_xll.IMDP("STK",표.실시간4[[#This Row],[nxt_code]],"전일대비")</f>
        <v>600</v>
      </c>
      <c r="K45">
        <f>_xll.IMDP("STK",표.실시간4[[#This Row],[nxt_code]],"등락률")</f>
        <v>0.53</v>
      </c>
      <c r="L45" s="4">
        <f>_xll.IMDP("STK",표.실시간4[[#This Row],[nxt_code]],"누적거래량")</f>
        <v>107420</v>
      </c>
      <c r="M45" s="4">
        <f>_xll.IMDP("STK",표.실시간4[[#This Row],[nxt_code]],"누적거래대금")</f>
        <v>12276525050</v>
      </c>
      <c r="N45" s="4">
        <f>_xll.IMDP("STK",표.실시간4[[#This Row],[nxt_code]],"가중평균가")</f>
        <v>114285.282536</v>
      </c>
      <c r="O45" s="4">
        <f>_xll.IMDP("STK",표.실시간4[[#This Row],[nxt_code]],"시가")</f>
        <v>113000</v>
      </c>
      <c r="P45" s="4">
        <f>_xll.IMDP("STK",표.실시간4[[#This Row],[nxt_code]],"고가")</f>
        <v>115900</v>
      </c>
      <c r="Q45" s="4">
        <f>_xll.IMDP("STK",표.실시간4[[#This Row],[nxt_code]],"저가")</f>
        <v>112800</v>
      </c>
      <c r="R45">
        <f>_xll.IMDP("STK",표.실시간4[[#This Row],[nxt_code]],"세션명")</f>
        <v>0</v>
      </c>
      <c r="S45">
        <f>_xll.IMDP("STK",표.실시간4[[#This Row],[nxt_code]],"체결시간")</f>
        <v>0</v>
      </c>
      <c r="T45" s="4">
        <f>_xll.IMDP("STK","066570","현재가")</f>
        <v>106100</v>
      </c>
      <c r="U45">
        <f>_xll.IMDP("STK","066570","누적거래량")</f>
        <v>28370</v>
      </c>
    </row>
    <row r="46" spans="3:22" x14ac:dyDescent="0.3">
      <c r="C46">
        <v>41</v>
      </c>
      <c r="D46">
        <v>66570</v>
      </c>
      <c r="E46" t="s">
        <v>57</v>
      </c>
      <c r="F46" t="str">
        <f>ConvertStockCode(표.실시간4[[#This Row],[코드]])</f>
        <v>N066570</v>
      </c>
      <c r="G46" s="4">
        <f>_xll.IMDP("STK",표.실시간4[[#This Row],[nxt_code]],"현재가")</f>
        <v>106000</v>
      </c>
      <c r="H46" s="4">
        <f>_xll.IMDP("STK",표.실시간4[[#This Row],[nxt_code]],"시가총액")/10^12</f>
        <v>17.265957021999998</v>
      </c>
      <c r="I46" s="4">
        <f>표.실시간4[[#This Row],[시가총액 (조원)]]/표.실시간4[[#This Row],[현재가]]*(표.실시간4[[#This Row],[현재가]]-표.실시간4[[#This Row],[대비]])</f>
        <v>17.265957021999998</v>
      </c>
      <c r="J46" s="5">
        <f>_xll.IMDP("STK",표.실시간4[[#This Row],[nxt_code]],"전일대비")</f>
        <v>0</v>
      </c>
      <c r="K46">
        <f>_xll.IMDP("STK",표.실시간4[[#This Row],[nxt_code]],"등락률")</f>
        <v>-0.19</v>
      </c>
      <c r="L46" s="4">
        <f>_xll.IMDP("STK",표.실시간4[[#This Row],[nxt_code]],"누적거래량")</f>
        <v>105004</v>
      </c>
      <c r="M46" s="4">
        <f>_xll.IMDP("STK",표.실시간4[[#This Row],[nxt_code]],"누적거래대금")</f>
        <v>11203960600</v>
      </c>
      <c r="N46" s="4">
        <f>_xll.IMDP("STK",표.실시간4[[#This Row],[nxt_code]],"가중평균가")</f>
        <v>106699.30574700001</v>
      </c>
      <c r="O46" s="4">
        <f>_xll.IMDP("STK",표.실시간4[[#This Row],[nxt_code]],"시가")</f>
        <v>107400</v>
      </c>
      <c r="P46" s="4">
        <f>_xll.IMDP("STK",표.실시간4[[#This Row],[nxt_code]],"고가")</f>
        <v>107900</v>
      </c>
      <c r="Q46" s="4">
        <f>_xll.IMDP("STK",표.실시간4[[#This Row],[nxt_code]],"저가")</f>
        <v>106000</v>
      </c>
      <c r="R46">
        <f>_xll.IMDP("STK",표.실시간4[[#This Row],[nxt_code]],"세션명")</f>
        <v>0</v>
      </c>
      <c r="S46">
        <f>_xll.IMDP("STK",표.실시간4[[#This Row],[nxt_code]],"체결시간")</f>
        <v>0</v>
      </c>
      <c r="T46" s="4">
        <f>_xll.IMDP("STK","003670","현재가")</f>
        <v>215000</v>
      </c>
      <c r="U46">
        <f>_xll.IMDP("STK","003670","누적거래량")</f>
        <v>91414</v>
      </c>
    </row>
    <row r="47" spans="3:22" x14ac:dyDescent="0.3">
      <c r="C47">
        <v>42</v>
      </c>
      <c r="D47">
        <v>6800</v>
      </c>
      <c r="E47" t="s">
        <v>60</v>
      </c>
      <c r="F47" t="str">
        <f>ConvertStockCode(표.실시간4[[#This Row],[코드]])</f>
        <v>N006800</v>
      </c>
      <c r="G47" s="4">
        <f>_xll.IMDP("STK",표.실시간4[[#This Row],[nxt_code]],"현재가")</f>
        <v>32100</v>
      </c>
      <c r="H47" s="4">
        <f>_xll.IMDP("STK",표.실시간4[[#This Row],[nxt_code]],"시가총액")/10^12</f>
        <v>18.2034520614</v>
      </c>
      <c r="I47" s="4">
        <f>표.실시간4[[#This Row],[시가총액 (조원)]]/표.실시간4[[#This Row],[현재가]]*(표.실시간4[[#This Row],[현재가]]-표.실시간4[[#This Row],[대비]])</f>
        <v>16.927509159900001</v>
      </c>
      <c r="J47" s="5">
        <f>_xll.IMDP("STK",표.실시간4[[#This Row],[nxt_code]],"전일대비")</f>
        <v>2250</v>
      </c>
      <c r="K47">
        <f>_xll.IMDP("STK",표.실시간4[[#This Row],[nxt_code]],"등락률")</f>
        <v>7.54</v>
      </c>
      <c r="L47" s="4">
        <f>_xll.IMDP("STK",표.실시간4[[#This Row],[nxt_code]],"누적거래량")</f>
        <v>2285326</v>
      </c>
      <c r="M47" s="4">
        <f>_xll.IMDP("STK",표.실시간4[[#This Row],[nxt_code]],"누적거래대금")</f>
        <v>71531080375</v>
      </c>
      <c r="N47" s="4">
        <f>_xll.IMDP("STK",표.실시간4[[#This Row],[nxt_code]],"가중평균가")</f>
        <v>31300.164779999999</v>
      </c>
      <c r="O47" s="4">
        <f>_xll.IMDP("STK",표.실시간4[[#This Row],[nxt_code]],"시가")</f>
        <v>30150</v>
      </c>
      <c r="P47" s="4">
        <f>_xll.IMDP("STK",표.실시간4[[#This Row],[nxt_code]],"고가")</f>
        <v>32600</v>
      </c>
      <c r="Q47" s="4">
        <f>_xll.IMDP("STK",표.실시간4[[#This Row],[nxt_code]],"저가")</f>
        <v>30000</v>
      </c>
      <c r="R47">
        <f>_xll.IMDP("STK",표.실시간4[[#This Row],[nxt_code]],"세션명")</f>
        <v>0</v>
      </c>
      <c r="S47">
        <f>_xll.IMDP("STK",표.실시간4[[#This Row],[nxt_code]],"체결시간")</f>
        <v>0</v>
      </c>
      <c r="T47" s="4">
        <f>_xll.IMDP("STK","096770","현재가")</f>
        <v>112750</v>
      </c>
      <c r="U47">
        <f>_xll.IMDP("STK","096770","누적거래량")</f>
        <v>36717</v>
      </c>
    </row>
    <row r="48" spans="3:22" x14ac:dyDescent="0.3">
      <c r="C48">
        <v>43</v>
      </c>
      <c r="D48">
        <v>33780</v>
      </c>
      <c r="E48" t="s">
        <v>61</v>
      </c>
      <c r="F48" t="str">
        <f>ConvertStockCode(표.실시간4[[#This Row],[코드]])</f>
        <v>N033780</v>
      </c>
      <c r="G48" s="4">
        <f>_xll.IMDP("STK",표.실시간4[[#This Row],[nxt_code]],"현재가")</f>
        <v>144200</v>
      </c>
      <c r="H48" s="4">
        <f>_xll.IMDP("STK",표.실시간4[[#This Row],[nxt_code]],"시가총액")/10^12</f>
        <v>17.012232209</v>
      </c>
      <c r="I48" s="4">
        <f>표.실시간4[[#This Row],[시가총액 (조원)]]/표.실시간4[[#This Row],[현재가]]*(표.실시간4[[#This Row],[현재가]]-표.실시간4[[#This Row],[대비]])</f>
        <v>16.988636880000001</v>
      </c>
      <c r="J48" s="5">
        <f>_xll.IMDP("STK",표.실시간4[[#This Row],[nxt_code]],"전일대비")</f>
        <v>200</v>
      </c>
      <c r="K48">
        <f>_xll.IMDP("STK",표.실시간4[[#This Row],[nxt_code]],"등락률")</f>
        <v>0.14000000000000001</v>
      </c>
      <c r="L48" s="4">
        <f>_xll.IMDP("STK",표.실시간4[[#This Row],[nxt_code]],"누적거래량")</f>
        <v>2460</v>
      </c>
      <c r="M48" s="4">
        <f>_xll.IMDP("STK",표.실시간4[[#This Row],[nxt_code]],"누적거래대금")</f>
        <v>354508400</v>
      </c>
      <c r="N48" s="4">
        <f>_xll.IMDP("STK",표.실시간4[[#This Row],[nxt_code]],"가중평균가")</f>
        <v>144109.105691</v>
      </c>
      <c r="O48" s="4">
        <f>_xll.IMDP("STK",표.실시간4[[#This Row],[nxt_code]],"시가")</f>
        <v>144000</v>
      </c>
      <c r="P48" s="4">
        <f>_xll.IMDP("STK",표.실시간4[[#This Row],[nxt_code]],"고가")</f>
        <v>144700</v>
      </c>
      <c r="Q48" s="4">
        <f>_xll.IMDP("STK",표.실시간4[[#This Row],[nxt_code]],"저가")</f>
        <v>143300</v>
      </c>
      <c r="R48">
        <f>_xll.IMDP("STK",표.실시간4[[#This Row],[nxt_code]],"세션명")</f>
        <v>0</v>
      </c>
      <c r="S48">
        <f>_xll.IMDP("STK",표.실시간4[[#This Row],[nxt_code]],"체결시간")</f>
        <v>0</v>
      </c>
      <c r="T48" s="4">
        <f>_xll.IMDP("STK","006800","현재가")</f>
        <v>32050</v>
      </c>
      <c r="U48">
        <f>_xll.IMDP("STK","006800","누적거래량")</f>
        <v>872339</v>
      </c>
    </row>
    <row r="49" spans="3:21" x14ac:dyDescent="0.3">
      <c r="C49">
        <v>44</v>
      </c>
      <c r="D49">
        <v>272210</v>
      </c>
      <c r="E49" t="s">
        <v>62</v>
      </c>
      <c r="F49" t="str">
        <f>ConvertStockCode(표.실시간4[[#This Row],[코드]])</f>
        <v>N272210</v>
      </c>
      <c r="G49" s="4">
        <f>_xll.IMDP("STK",표.실시간4[[#This Row],[nxt_code]],"현재가")</f>
        <v>90800</v>
      </c>
      <c r="H49" s="4">
        <f>_xll.IMDP("STK",표.실시간4[[#This Row],[nxt_code]],"시가총액")/10^12</f>
        <v>17.153880521200001</v>
      </c>
      <c r="I49" s="4">
        <f>표.실시간4[[#This Row],[시가총액 (조원)]]/표.실시간4[[#This Row],[현재가]]*(표.실시간4[[#This Row],[현재가]]-표.실시간4[[#This Row],[대비]])</f>
        <v>16.681582048700001</v>
      </c>
      <c r="J49" s="5">
        <f>_xll.IMDP("STK",표.실시간4[[#This Row],[nxt_code]],"전일대비")</f>
        <v>2500</v>
      </c>
      <c r="K49">
        <f>_xll.IMDP("STK",표.실시간4[[#This Row],[nxt_code]],"등락률")</f>
        <v>2.83</v>
      </c>
      <c r="L49" s="4">
        <f>_xll.IMDP("STK",표.실시간4[[#This Row],[nxt_code]],"누적거래량")</f>
        <v>342072</v>
      </c>
      <c r="M49" s="4">
        <f>_xll.IMDP("STK",표.실시간4[[#This Row],[nxt_code]],"누적거래대금")</f>
        <v>30720312650</v>
      </c>
      <c r="N49" s="4">
        <f>_xll.IMDP("STK",표.실시간4[[#This Row],[nxt_code]],"가중평균가")</f>
        <v>89779.228495999996</v>
      </c>
      <c r="O49" s="4">
        <f>_xll.IMDP("STK",표.실시간4[[#This Row],[nxt_code]],"시가")</f>
        <v>89200</v>
      </c>
      <c r="P49" s="4">
        <f>_xll.IMDP("STK",표.실시간4[[#This Row],[nxt_code]],"고가")</f>
        <v>91700</v>
      </c>
      <c r="Q49" s="4">
        <f>_xll.IMDP("STK",표.실시간4[[#This Row],[nxt_code]],"저가")</f>
        <v>88300</v>
      </c>
      <c r="R49">
        <f>_xll.IMDP("STK",표.실시간4[[#This Row],[nxt_code]],"세션명")</f>
        <v>0</v>
      </c>
      <c r="S49">
        <f>_xll.IMDP("STK",표.실시간4[[#This Row],[nxt_code]],"체결시간")</f>
        <v>0</v>
      </c>
      <c r="T49" s="4">
        <f>_xll.IMDP("STK","033780","현재가")</f>
        <v>144100</v>
      </c>
      <c r="U49">
        <f>_xll.IMDP("STK","033780","누적거래량")</f>
        <v>3794</v>
      </c>
    </row>
    <row r="50" spans="3:21" x14ac:dyDescent="0.3">
      <c r="C50">
        <v>45</v>
      </c>
      <c r="D50">
        <v>24110</v>
      </c>
      <c r="E50" t="s">
        <v>64</v>
      </c>
      <c r="F50" t="str">
        <f>ConvertStockCode(표.실시간4[[#This Row],[코드]])</f>
        <v>N024110</v>
      </c>
      <c r="G50" s="4">
        <f>_xll.IMDP("STK",표.실시간4[[#This Row],[nxt_code]],"현재가")</f>
        <v>21000</v>
      </c>
      <c r="H50" s="4">
        <f>_xll.IMDP("STK",표.실시간4[[#This Row],[nxt_code]],"시가총액")/10^12</f>
        <v>16.745943249</v>
      </c>
      <c r="I50" s="4">
        <f>표.실시간4[[#This Row],[시가총액 (조원)]]/표.실시간4[[#This Row],[현재가]]*(표.실시간4[[#This Row],[현재가]]-표.실시간4[[#This Row],[대비]])</f>
        <v>16.745943249</v>
      </c>
      <c r="J50" s="5">
        <f>_xll.IMDP("STK",표.실시간4[[#This Row],[nxt_code]],"전일대비")</f>
        <v>0</v>
      </c>
      <c r="K50">
        <f>_xll.IMDP("STK",표.실시간4[[#This Row],[nxt_code]],"등락률")</f>
        <v>0</v>
      </c>
      <c r="L50" s="4">
        <f>_xll.IMDP("STK",표.실시간4[[#This Row],[nxt_code]],"누적거래량")</f>
        <v>55565</v>
      </c>
      <c r="M50" s="4">
        <f>_xll.IMDP("STK",표.실시간4[[#This Row],[nxt_code]],"누적거래대금")</f>
        <v>1169561300</v>
      </c>
      <c r="N50" s="4">
        <f>_xll.IMDP("STK",표.실시간4[[#This Row],[nxt_code]],"가중평균가")</f>
        <v>21048.525151000002</v>
      </c>
      <c r="O50" s="4">
        <f>_xll.IMDP("STK",표.실시간4[[#This Row],[nxt_code]],"시가")</f>
        <v>21000</v>
      </c>
      <c r="P50" s="4">
        <f>_xll.IMDP("STK",표.실시간4[[#This Row],[nxt_code]],"고가")</f>
        <v>21150</v>
      </c>
      <c r="Q50" s="4">
        <f>_xll.IMDP("STK",표.실시간4[[#This Row],[nxt_code]],"저가")</f>
        <v>20950</v>
      </c>
      <c r="R50">
        <f>_xll.IMDP("STK",표.실시간4[[#This Row],[nxt_code]],"세션명")</f>
        <v>0</v>
      </c>
      <c r="S50">
        <f>_xll.IMDP("STK",표.실시간4[[#This Row],[nxt_code]],"체결시간")</f>
        <v>0</v>
      </c>
      <c r="T50" s="4">
        <f>_xll.IMDP("STK","272210","현재가")</f>
        <v>90800</v>
      </c>
      <c r="U50">
        <f>_xll.IMDP("STK","272210","누적거래량")</f>
        <v>125990</v>
      </c>
    </row>
    <row r="51" spans="3:21" x14ac:dyDescent="0.3">
      <c r="C51">
        <v>46</v>
      </c>
      <c r="D51">
        <v>42700</v>
      </c>
      <c r="E51" t="s">
        <v>63</v>
      </c>
      <c r="F51" t="str">
        <f>ConvertStockCode(표.실시간4[[#This Row],[코드]])</f>
        <v>N042700</v>
      </c>
      <c r="G51" s="4">
        <f>_xll.IMDP("STK",표.실시간4[[#This Row],[nxt_code]],"현재가")</f>
        <v>169900</v>
      </c>
      <c r="H51" s="4">
        <f>_xll.IMDP("STK",표.실시간4[[#This Row],[nxt_code]],"시가총액")/10^12</f>
        <v>16.193542780000001</v>
      </c>
      <c r="I51" s="4">
        <f>표.실시간4[[#This Row],[시가총액 (조원)]]/표.실시간4[[#This Row],[현재가]]*(표.실시간4[[#This Row],[현재가]]-표.실시간4[[#This Row],[대비]])</f>
        <v>16.241198880000002</v>
      </c>
      <c r="J51" s="5">
        <f>_xll.IMDP("STK",표.실시간4[[#This Row],[nxt_code]],"전일대비")</f>
        <v>-500</v>
      </c>
      <c r="K51">
        <f>_xll.IMDP("STK",표.실시간4[[#This Row],[nxt_code]],"등락률")</f>
        <v>-0.28999999999999998</v>
      </c>
      <c r="L51" s="4">
        <f>_xll.IMDP("STK",표.실시간4[[#This Row],[nxt_code]],"누적거래량")</f>
        <v>87332</v>
      </c>
      <c r="M51" s="4">
        <f>_xll.IMDP("STK",표.실시간4[[#This Row],[nxt_code]],"누적거래대금")</f>
        <v>14895955500</v>
      </c>
      <c r="N51" s="4">
        <f>_xll.IMDP("STK",표.실시간4[[#This Row],[nxt_code]],"가중평균가")</f>
        <v>170568.92548000001</v>
      </c>
      <c r="O51" s="4">
        <f>_xll.IMDP("STK",표.실시간4[[#This Row],[nxt_code]],"시가")</f>
        <v>170300</v>
      </c>
      <c r="P51" s="4">
        <f>_xll.IMDP("STK",표.실시간4[[#This Row],[nxt_code]],"고가")</f>
        <v>171500</v>
      </c>
      <c r="Q51" s="4">
        <f>_xll.IMDP("STK",표.실시간4[[#This Row],[nxt_code]],"저가")</f>
        <v>168100</v>
      </c>
      <c r="R51">
        <f>_xll.IMDP("STK",표.실시간4[[#This Row],[nxt_code]],"세션명")</f>
        <v>0</v>
      </c>
      <c r="S51">
        <f>_xll.IMDP("STK",표.실시간4[[#This Row],[nxt_code]],"체결시간")</f>
        <v>0</v>
      </c>
      <c r="T51" s="4">
        <f>_xll.IMDP("STK","042700","현재가")</f>
        <v>169800</v>
      </c>
      <c r="U51">
        <f>_xll.IMDP("STK","042700","누적거래량")</f>
        <v>16426</v>
      </c>
    </row>
    <row r="52" spans="3:21" x14ac:dyDescent="0.3">
      <c r="C52">
        <v>47</v>
      </c>
      <c r="D52">
        <v>47810</v>
      </c>
      <c r="E52" t="s">
        <v>65</v>
      </c>
      <c r="F52" t="str">
        <f>ConvertStockCode(표.실시간4[[#This Row],[코드]])</f>
        <v>N047810</v>
      </c>
      <c r="G52" s="4">
        <f>_xll.IMDP("STK",표.실시간4[[#This Row],[nxt_code]],"현재가")</f>
        <v>165600</v>
      </c>
      <c r="H52" s="4">
        <f>_xll.IMDP("STK",표.실시간4[[#This Row],[nxt_code]],"시가총액")/10^12</f>
        <v>16.1418777192</v>
      </c>
      <c r="I52" s="4">
        <f>표.실시간4[[#This Row],[시가총액 (조원)]]/표.실시간4[[#This Row],[현재가]]*(표.실시간4[[#This Row],[현재가]]-표.실시간4[[#This Row],[대비]])</f>
        <v>16.151625229900002</v>
      </c>
      <c r="J52" s="5">
        <f>_xll.IMDP("STK",표.실시간4[[#This Row],[nxt_code]],"전일대비")</f>
        <v>-100</v>
      </c>
      <c r="K52">
        <f>_xll.IMDP("STK",표.실시간4[[#This Row],[nxt_code]],"등락률")</f>
        <v>0.78</v>
      </c>
      <c r="L52" s="4">
        <f>_xll.IMDP("STK",표.실시간4[[#This Row],[nxt_code]],"누적거래량")</f>
        <v>68950</v>
      </c>
      <c r="M52" s="4">
        <f>_xll.IMDP("STK",표.실시간4[[#This Row],[nxt_code]],"누적거래대금")</f>
        <v>11438248700</v>
      </c>
      <c r="N52" s="4">
        <f>_xll.IMDP("STK",표.실시간4[[#This Row],[nxt_code]],"가중평균가")</f>
        <v>165891.931835</v>
      </c>
      <c r="O52" s="4">
        <f>_xll.IMDP("STK",표.실시간4[[#This Row],[nxt_code]],"시가")</f>
        <v>166200</v>
      </c>
      <c r="P52" s="4">
        <f>_xll.IMDP("STK",표.실시간4[[#This Row],[nxt_code]],"고가")</f>
        <v>167400</v>
      </c>
      <c r="Q52" s="4">
        <f>_xll.IMDP("STK",표.실시간4[[#This Row],[nxt_code]],"저가")</f>
        <v>165300</v>
      </c>
      <c r="R52">
        <f>_xll.IMDP("STK",표.실시간4[[#This Row],[nxt_code]],"세션명")</f>
        <v>0</v>
      </c>
      <c r="S52">
        <f>_xll.IMDP("STK",표.실시간4[[#This Row],[nxt_code]],"체결시간")</f>
        <v>0</v>
      </c>
      <c r="T52" s="4">
        <f>_xll.IMDP("STK","024110","현재가")</f>
        <v>20950</v>
      </c>
      <c r="U52">
        <f>_xll.IMDP("STK","024110","누적거래량")</f>
        <v>11861</v>
      </c>
    </row>
    <row r="53" spans="3:21" x14ac:dyDescent="0.3">
      <c r="C53">
        <v>48</v>
      </c>
      <c r="D53">
        <v>352820</v>
      </c>
      <c r="E53" t="s">
        <v>68</v>
      </c>
      <c r="F53" t="str">
        <f>ConvertStockCode(표.실시간4[[#This Row],[코드]])</f>
        <v>N352820</v>
      </c>
      <c r="G53" s="4">
        <f>_xll.IMDP("STK",표.실시간4[[#This Row],[nxt_code]],"현재가")</f>
        <v>384500</v>
      </c>
      <c r="H53" s="4">
        <f>_xll.IMDP("STK",표.실시간4[[#This Row],[nxt_code]],"시가총액")/10^12</f>
        <v>16.421869653000002</v>
      </c>
      <c r="I53" s="4">
        <f>표.실시간4[[#This Row],[시가총액 (조원)]]/표.실시간4[[#This Row],[현재가]]*(표.실시간4[[#This Row],[현재가]]-표.실시간4[[#This Row],[대비]])</f>
        <v>15.759869706000002</v>
      </c>
      <c r="J53" s="5">
        <f>_xll.IMDP("STK",표.실시간4[[#This Row],[nxt_code]],"전일대비")</f>
        <v>15500</v>
      </c>
      <c r="K53">
        <f>_xll.IMDP("STK",표.실시간4[[#This Row],[nxt_code]],"등락률")</f>
        <v>4.34</v>
      </c>
      <c r="L53" s="4">
        <f>_xll.IMDP("STK",표.실시간4[[#This Row],[nxt_code]],"누적거래량")</f>
        <v>128332</v>
      </c>
      <c r="M53" s="4">
        <f>_xll.IMDP("STK",표.실시간4[[#This Row],[nxt_code]],"누적거래대금")</f>
        <v>48732656750</v>
      </c>
      <c r="N53" s="4">
        <f>_xll.IMDP("STK",표.실시간4[[#This Row],[nxt_code]],"가중평균가")</f>
        <v>379738.93300199998</v>
      </c>
      <c r="O53" s="4">
        <f>_xll.IMDP("STK",표.실시간4[[#This Row],[nxt_code]],"시가")</f>
        <v>374500</v>
      </c>
      <c r="P53" s="4">
        <f>_xll.IMDP("STK",표.실시간4[[#This Row],[nxt_code]],"고가")</f>
        <v>393000</v>
      </c>
      <c r="Q53" s="4">
        <f>_xll.IMDP("STK",표.실시간4[[#This Row],[nxt_code]],"저가")</f>
        <v>373000</v>
      </c>
      <c r="R53">
        <f>_xll.IMDP("STK",표.실시간4[[#This Row],[nxt_code]],"세션명")</f>
        <v>0</v>
      </c>
      <c r="S53">
        <f>_xll.IMDP("STK",표.실시간4[[#This Row],[nxt_code]],"체결시간")</f>
        <v>0</v>
      </c>
      <c r="T53" s="4">
        <f>_xll.IMDP("STK","047810","현재가")</f>
        <v>165600</v>
      </c>
      <c r="U53">
        <f>_xll.IMDP("STK","047810","누적거래량")</f>
        <v>22662</v>
      </c>
    </row>
    <row r="54" spans="3:21" x14ac:dyDescent="0.3">
      <c r="C54">
        <v>49</v>
      </c>
      <c r="D54" t="s">
        <v>711</v>
      </c>
      <c r="E54" t="s">
        <v>69</v>
      </c>
      <c r="F54" t="str">
        <f>ConvertStockCode(표.실시간4[[#This Row],[코드]])</f>
        <v>N0126Z0</v>
      </c>
      <c r="G54" s="4">
        <f>_xll.IMDP("STK",표.실시간4[[#This Row],[nxt_code]],"현재가")</f>
        <v>631000</v>
      </c>
      <c r="H54" s="4">
        <f>_xll.IMDP("STK",표.실시간4[[#This Row],[nxt_code]],"시가총액")/10^12</f>
        <v>15.701203918999999</v>
      </c>
      <c r="I54" s="4">
        <f>표.실시간4[[#This Row],[시가총액 (조원)]]/표.실시간4[[#This Row],[현재가]]*(표.실시간4[[#This Row],[현재가]]-표.실시간4[[#This Row],[대비]])</f>
        <v>15.925151359999999</v>
      </c>
      <c r="J54" s="5">
        <f>_xll.IMDP("STK",표.실시간4[[#This Row],[nxt_code]],"전일대비")</f>
        <v>-9000</v>
      </c>
      <c r="K54">
        <f>_xll.IMDP("STK",표.실시간4[[#This Row],[nxt_code]],"등락률")</f>
        <v>-1.41</v>
      </c>
      <c r="L54" s="4">
        <f>_xll.IMDP("STK",표.실시간4[[#This Row],[nxt_code]],"누적거래량")</f>
        <v>18574</v>
      </c>
      <c r="M54" s="4">
        <f>_xll.IMDP("STK",표.실시간4[[#This Row],[nxt_code]],"누적거래대금")</f>
        <v>11834961000</v>
      </c>
      <c r="N54" s="4">
        <f>_xll.IMDP("STK",표.실시간4[[#This Row],[nxt_code]],"가중평균가")</f>
        <v>637144.60296100006</v>
      </c>
      <c r="O54" s="4">
        <f>_xll.IMDP("STK",표.실시간4[[#This Row],[nxt_code]],"시가")</f>
        <v>642000</v>
      </c>
      <c r="P54" s="4">
        <f>_xll.IMDP("STK",표.실시간4[[#This Row],[nxt_code]],"고가")</f>
        <v>644000</v>
      </c>
      <c r="Q54" s="4">
        <f>_xll.IMDP("STK",표.실시간4[[#This Row],[nxt_code]],"저가")</f>
        <v>630000</v>
      </c>
      <c r="R54">
        <f>_xll.IMDP("STK",표.실시간4[[#This Row],[nxt_code]],"세션명")</f>
        <v>0</v>
      </c>
      <c r="S54">
        <f>_xll.IMDP("STK",표.실시간4[[#This Row],[nxt_code]],"체결시간")</f>
        <v>0</v>
      </c>
      <c r="T54" s="4">
        <f>_xll.IMDP("STK","247540","현재가")</f>
        <v>173600</v>
      </c>
      <c r="U54">
        <f>_xll.IMDP("STK","247540","누적거래량")</f>
        <v>58201</v>
      </c>
    </row>
    <row r="55" spans="3:21" x14ac:dyDescent="0.3">
      <c r="C55">
        <v>50</v>
      </c>
      <c r="D55">
        <v>10120</v>
      </c>
      <c r="E55" t="s">
        <v>67</v>
      </c>
      <c r="F55" t="str">
        <f>ConvertStockCode(표.실시간4[[#This Row],[코드]])</f>
        <v>N010120</v>
      </c>
      <c r="G55" s="4">
        <f>_xll.IMDP("STK",표.실시간4[[#This Row],[nxt_code]],"현재가")</f>
        <v>506000</v>
      </c>
      <c r="H55" s="4">
        <f>_xll.IMDP("STK",표.실시간4[[#This Row],[nxt_code]],"시가총액")/10^12</f>
        <v>15.15</v>
      </c>
      <c r="I55" s="4">
        <f>표.실시간4[[#This Row],[시가총액 (조원)]]/표.실시간4[[#This Row],[현재가]]*(표.실시간4[[#This Row],[현재가]]-표.실시간4[[#This Row],[대비]])</f>
        <v>15.509288537549407</v>
      </c>
      <c r="J55" s="5">
        <f>_xll.IMDP("STK",표.실시간4[[#This Row],[nxt_code]],"전일대비")</f>
        <v>-12000</v>
      </c>
      <c r="K55">
        <f>_xll.IMDP("STK",표.실시간4[[#This Row],[nxt_code]],"등락률")</f>
        <v>-2.13</v>
      </c>
      <c r="L55" s="4">
        <f>_xll.IMDP("STK",표.실시간4[[#This Row],[nxt_code]],"누적거래량")</f>
        <v>14969</v>
      </c>
      <c r="M55" s="4">
        <f>_xll.IMDP("STK",표.실시간4[[#This Row],[nxt_code]],"누적거래대금")</f>
        <v>7747253000</v>
      </c>
      <c r="N55" s="4">
        <f>_xll.IMDP("STK",표.실시간4[[#This Row],[nxt_code]],"가중평균가")</f>
        <v>517553.143163</v>
      </c>
      <c r="O55" s="4">
        <f>_xll.IMDP("STK",표.실시간4[[#This Row],[nxt_code]],"시가")</f>
        <v>521000</v>
      </c>
      <c r="P55" s="4">
        <f>_xll.IMDP("STK",표.실시간4[[#This Row],[nxt_code]],"고가")</f>
        <v>525000</v>
      </c>
      <c r="Q55" s="4">
        <f>_xll.IMDP("STK",표.실시간4[[#This Row],[nxt_code]],"저가")</f>
        <v>505000</v>
      </c>
      <c r="R55">
        <f>_xll.IMDP("STK",표.실시간4[[#This Row],[nxt_code]],"세션명")</f>
        <v>0</v>
      </c>
      <c r="S55">
        <f>_xll.IMDP("STK",표.실시간4[[#This Row],[nxt_code]],"체결시간")</f>
        <v>0</v>
      </c>
      <c r="T55" s="4">
        <f>_xll.IMDP("STK","010120","현재가")</f>
        <v>506000</v>
      </c>
      <c r="U55">
        <f>_xll.IMDP("STK","010120","누적거래량")</f>
        <v>5540</v>
      </c>
    </row>
    <row r="56" spans="3:21" x14ac:dyDescent="0.3">
      <c r="C56">
        <v>51</v>
      </c>
      <c r="D56">
        <v>150</v>
      </c>
      <c r="E56" t="s">
        <v>73</v>
      </c>
      <c r="F56" t="str">
        <f>ConvertStockCode(표.실시간4[[#This Row],[코드]])</f>
        <v>N000150</v>
      </c>
      <c r="G56" s="4">
        <f>_xll.IMDP("STK",표.실시간4[[#This Row],[nxt_code]],"현재가")</f>
        <v>907000</v>
      </c>
      <c r="H56" s="4">
        <f>_xll.IMDP("STK",표.실시간4[[#This Row],[nxt_code]],"시가총액")/10^12</f>
        <v>14.687808345000001</v>
      </c>
      <c r="I56" s="4">
        <f>표.실시간4[[#This Row],[시가총액 (조원)]]/표.실시간4[[#This Row],[현재가]]*(표.실시간4[[#This Row],[현재가]]-표.실시간4[[#This Row],[대비]])</f>
        <v>14.5744515</v>
      </c>
      <c r="J56" s="5">
        <f>_xll.IMDP("STK",표.실시간4[[#This Row],[nxt_code]],"전일대비")</f>
        <v>7000</v>
      </c>
      <c r="K56">
        <f>_xll.IMDP("STK",표.실시간4[[#This Row],[nxt_code]],"등락률")</f>
        <v>0.78</v>
      </c>
      <c r="L56" s="4">
        <f>_xll.IMDP("STK",표.실시간4[[#This Row],[nxt_code]],"누적거래량")</f>
        <v>21146</v>
      </c>
      <c r="M56" s="4">
        <f>_xll.IMDP("STK",표.실시간4[[#This Row],[nxt_code]],"누적거래대금")</f>
        <v>19312862000</v>
      </c>
      <c r="N56" s="4">
        <f>_xll.IMDP("STK",표.실시간4[[#This Row],[nxt_code]],"가중평균가")</f>
        <v>913310.41331700003</v>
      </c>
      <c r="O56" s="4">
        <f>_xll.IMDP("STK",표.실시간4[[#This Row],[nxt_code]],"시가")</f>
        <v>893000</v>
      </c>
      <c r="P56" s="4">
        <f>_xll.IMDP("STK",표.실시간4[[#This Row],[nxt_code]],"고가")</f>
        <v>920000</v>
      </c>
      <c r="Q56" s="4">
        <f>_xll.IMDP("STK",표.실시간4[[#This Row],[nxt_code]],"저가")</f>
        <v>883000</v>
      </c>
      <c r="R56">
        <f>_xll.IMDP("STK",표.실시간4[[#This Row],[nxt_code]],"세션명")</f>
        <v>0</v>
      </c>
      <c r="S56">
        <f>_xll.IMDP("STK",표.실시간4[[#This Row],[nxt_code]],"체결시간")</f>
        <v>0</v>
      </c>
      <c r="T56" s="4">
        <f>_xll.IMDP("STK","352820","현재가")</f>
        <v>384500</v>
      </c>
      <c r="U56">
        <f>_xll.IMDP("STK","352820","누적거래량")</f>
        <v>67109</v>
      </c>
    </row>
    <row r="57" spans="3:21" x14ac:dyDescent="0.3">
      <c r="C57">
        <v>52</v>
      </c>
      <c r="D57">
        <v>30200</v>
      </c>
      <c r="E57" t="s">
        <v>71</v>
      </c>
      <c r="F57" t="str">
        <f>ConvertStockCode(표.실시간4[[#This Row],[코드]])</f>
        <v>N030200</v>
      </c>
      <c r="G57" s="4">
        <f>_xll.IMDP("STK",표.실시간4[[#This Row],[nxt_code]],"현재가")</f>
        <v>55100</v>
      </c>
      <c r="H57" s="4">
        <f>_xll.IMDP("STK",표.실시간4[[#This Row],[nxt_code]],"시가총액")/10^12</f>
        <v>13.8863948435</v>
      </c>
      <c r="I57" s="4">
        <f>표.실시간4[[#This Row],[시가총액 (조원)]]/표.실시간4[[#This Row],[현재가]]*(표.실시간4[[#This Row],[현재가]]-표.실시간4[[#This Row],[대비]])</f>
        <v>13.835990506499998</v>
      </c>
      <c r="J57" s="5">
        <f>_xll.IMDP("STK",표.실시간4[[#This Row],[nxt_code]],"전일대비")</f>
        <v>200</v>
      </c>
      <c r="K57">
        <f>_xll.IMDP("STK",표.실시간4[[#This Row],[nxt_code]],"등락률")</f>
        <v>0.36</v>
      </c>
      <c r="L57" s="4">
        <f>_xll.IMDP("STK",표.실시간4[[#This Row],[nxt_code]],"누적거래량")</f>
        <v>11721</v>
      </c>
      <c r="M57" s="4">
        <f>_xll.IMDP("STK",표.실시간4[[#This Row],[nxt_code]],"누적거래대금")</f>
        <v>645727800</v>
      </c>
      <c r="N57" s="4">
        <f>_xll.IMDP("STK",표.실시간4[[#This Row],[nxt_code]],"가중평균가")</f>
        <v>55091.528027</v>
      </c>
      <c r="O57" s="4">
        <f>_xll.IMDP("STK",표.실시간4[[#This Row],[nxt_code]],"시가")</f>
        <v>55000</v>
      </c>
      <c r="P57" s="4">
        <f>_xll.IMDP("STK",표.실시간4[[#This Row],[nxt_code]],"고가")</f>
        <v>55300</v>
      </c>
      <c r="Q57" s="4">
        <f>_xll.IMDP("STK",표.실시간4[[#This Row],[nxt_code]],"저가")</f>
        <v>55000</v>
      </c>
      <c r="R57">
        <f>_xll.IMDP("STK",표.실시간4[[#This Row],[nxt_code]],"세션명")</f>
        <v>0</v>
      </c>
      <c r="S57">
        <f>_xll.IMDP("STK",표.실시간4[[#This Row],[nxt_code]],"체결시간")</f>
        <v>0</v>
      </c>
      <c r="T57" s="4">
        <f>_xll.IMDP("STK","0126Z0","현재가")</f>
        <v>632000</v>
      </c>
      <c r="U57">
        <f>_xll.IMDP("STK","0126Z0","누적거래량")</f>
        <v>7409</v>
      </c>
    </row>
    <row r="58" spans="3:21" x14ac:dyDescent="0.3">
      <c r="C58">
        <v>53</v>
      </c>
      <c r="D58">
        <v>3550</v>
      </c>
      <c r="E58" t="s">
        <v>74</v>
      </c>
      <c r="F58" t="str">
        <f>ConvertStockCode(표.실시간4[[#This Row],[코드]])</f>
        <v>N003550</v>
      </c>
      <c r="G58" s="4">
        <f>_xll.IMDP("STK",표.실시간4[[#This Row],[nxt_code]],"현재가")</f>
        <v>89000</v>
      </c>
      <c r="H58" s="4">
        <f>_xll.IMDP("STK",표.실시간4[[#This Row],[nxt_code]],"시가총액")/10^12</f>
        <v>13.725721065</v>
      </c>
      <c r="I58" s="4">
        <f>표.실시간4[[#This Row],[시가총액 (조원)]]/표.실시간4[[#This Row],[현재가]]*(표.실시간4[[#This Row],[현재가]]-표.실시간4[[#This Row],[대비]])</f>
        <v>13.679454589500001</v>
      </c>
      <c r="J58" s="5">
        <f>_xll.IMDP("STK",표.실시간4[[#This Row],[nxt_code]],"전일대비")</f>
        <v>300</v>
      </c>
      <c r="K58">
        <f>_xll.IMDP("STK",표.실시간4[[#This Row],[nxt_code]],"등락률")</f>
        <v>0.34</v>
      </c>
      <c r="L58" s="4">
        <f>_xll.IMDP("STK",표.실시간4[[#This Row],[nxt_code]],"누적거래량")</f>
        <v>7916</v>
      </c>
      <c r="M58" s="4">
        <f>_xll.IMDP("STK",표.실시간4[[#This Row],[nxt_code]],"누적거래대금")</f>
        <v>705624000</v>
      </c>
      <c r="N58" s="4">
        <f>_xll.IMDP("STK",표.실시간4[[#This Row],[nxt_code]],"가중평균가")</f>
        <v>89138.959069999997</v>
      </c>
      <c r="O58" s="4">
        <f>_xll.IMDP("STK",표.실시간4[[#This Row],[nxt_code]],"시가")</f>
        <v>88800</v>
      </c>
      <c r="P58" s="4">
        <f>_xll.IMDP("STK",표.실시간4[[#This Row],[nxt_code]],"고가")</f>
        <v>89400</v>
      </c>
      <c r="Q58" s="4">
        <f>_xll.IMDP("STK",표.실시간4[[#This Row],[nxt_code]],"저가")</f>
        <v>88800</v>
      </c>
      <c r="R58">
        <f>_xll.IMDP("STK",표.실시간4[[#This Row],[nxt_code]],"세션명")</f>
        <v>0</v>
      </c>
      <c r="S58">
        <f>_xll.IMDP("STK",표.실시간4[[#This Row],[nxt_code]],"체결시간")</f>
        <v>0</v>
      </c>
      <c r="T58" s="4">
        <f>_xll.IMDP("STK","307950","현재가")</f>
        <v>468000</v>
      </c>
      <c r="U58">
        <f>_xll.IMDP("STK","307950","누적거래량")</f>
        <v>6688</v>
      </c>
    </row>
    <row r="59" spans="3:21" x14ac:dyDescent="0.3">
      <c r="C59">
        <v>54</v>
      </c>
      <c r="D59">
        <v>18260</v>
      </c>
      <c r="E59" t="s">
        <v>72</v>
      </c>
      <c r="F59" t="str">
        <f>ConvertStockCode(표.실시간4[[#This Row],[코드]])</f>
        <v>N018260</v>
      </c>
      <c r="G59" s="4">
        <f>_xll.IMDP("STK",표.실시간4[[#This Row],[nxt_code]],"현재가")</f>
        <v>170700</v>
      </c>
      <c r="H59" s="4">
        <f>_xll.IMDP("STK",표.실시간4[[#This Row],[nxt_code]],"시가총액")/10^12</f>
        <v>13.20839046</v>
      </c>
      <c r="I59" s="4">
        <f>표.실시간4[[#This Row],[시가총액 (조원)]]/표.실시간4[[#This Row],[현재가]]*(표.실시간4[[#This Row],[현재가]]-표.실시간4[[#This Row],[대비]])</f>
        <v>13.092323760000001</v>
      </c>
      <c r="J59" s="5">
        <f>_xll.IMDP("STK",표.실시간4[[#This Row],[nxt_code]],"전일대비")</f>
        <v>1500</v>
      </c>
      <c r="K59">
        <f>_xll.IMDP("STK",표.실시간4[[#This Row],[nxt_code]],"등락률")</f>
        <v>0.89</v>
      </c>
      <c r="L59" s="4">
        <f>_xll.IMDP("STK",표.실시간4[[#This Row],[nxt_code]],"누적거래량")</f>
        <v>21181</v>
      </c>
      <c r="M59" s="4">
        <f>_xll.IMDP("STK",표.실시간4[[#This Row],[nxt_code]],"누적거래대금")</f>
        <v>3624320700</v>
      </c>
      <c r="N59" s="4">
        <f>_xll.IMDP("STK",표.실시간4[[#This Row],[nxt_code]],"가중평균가")</f>
        <v>171111.87857</v>
      </c>
      <c r="O59" s="4">
        <f>_xll.IMDP("STK",표.실시간4[[#This Row],[nxt_code]],"시가")</f>
        <v>172700</v>
      </c>
      <c r="P59" s="4">
        <f>_xll.IMDP("STK",표.실시간4[[#This Row],[nxt_code]],"고가")</f>
        <v>172900</v>
      </c>
      <c r="Q59" s="4">
        <f>_xll.IMDP("STK",표.실시간4[[#This Row],[nxt_code]],"저가")</f>
        <v>170400</v>
      </c>
      <c r="R59">
        <f>_xll.IMDP("STK",표.실시간4[[#This Row],[nxt_code]],"세션명")</f>
        <v>0</v>
      </c>
      <c r="S59">
        <f>_xll.IMDP("STK",표.실시간4[[#This Row],[nxt_code]],"체결시간")</f>
        <v>0</v>
      </c>
      <c r="T59" s="4">
        <f>_xll.IMDP("STK","030200","현재가")</f>
        <v>55000</v>
      </c>
      <c r="U59">
        <f>_xll.IMDP("STK","030200","누적거래량")</f>
        <v>6610</v>
      </c>
    </row>
    <row r="60" spans="3:21" x14ac:dyDescent="0.3">
      <c r="C60">
        <v>55</v>
      </c>
      <c r="D60">
        <v>307950</v>
      </c>
      <c r="E60" t="s">
        <v>70</v>
      </c>
      <c r="F60" t="str">
        <f>ConvertStockCode(표.실시간4[[#This Row],[코드]])</f>
        <v>N307950</v>
      </c>
      <c r="G60" s="4">
        <f>_xll.IMDP("STK",표.실시간4[[#This Row],[nxt_code]],"현재가")</f>
        <v>468000</v>
      </c>
      <c r="H60" s="4">
        <f>_xll.IMDP("STK",표.실시간4[[#This Row],[nxt_code]],"시가총액")/10^12</f>
        <v>12.834423576000001</v>
      </c>
      <c r="I60" s="4">
        <f>표.실시간4[[#This Row],[시가총액 (조원)]]/표.실시간4[[#This Row],[현재가]]*(표.실시간4[[#This Row],[현재가]]-표.실시간4[[#This Row],[대비]])</f>
        <v>12.765863621000001</v>
      </c>
      <c r="J60" s="5">
        <f>_xll.IMDP("STK",표.실시간4[[#This Row],[nxt_code]],"전일대비")</f>
        <v>2500</v>
      </c>
      <c r="K60">
        <f>_xll.IMDP("STK",표.실시간4[[#This Row],[nxt_code]],"등락률")</f>
        <v>0.54</v>
      </c>
      <c r="L60" s="4">
        <f>_xll.IMDP("STK",표.실시간4[[#This Row],[nxt_code]],"누적거래량")</f>
        <v>58212</v>
      </c>
      <c r="M60" s="4">
        <f>_xll.IMDP("STK",표.실시간4[[#This Row],[nxt_code]],"누적거래대금")</f>
        <v>27388991500</v>
      </c>
      <c r="N60" s="4">
        <f>_xll.IMDP("STK",표.실시간4[[#This Row],[nxt_code]],"가중평균가")</f>
        <v>470504.217344</v>
      </c>
      <c r="O60" s="4">
        <f>_xll.IMDP("STK",표.실시간4[[#This Row],[nxt_code]],"시가")</f>
        <v>472500</v>
      </c>
      <c r="P60" s="4">
        <f>_xll.IMDP("STK",표.실시간4[[#This Row],[nxt_code]],"고가")</f>
        <v>480000</v>
      </c>
      <c r="Q60" s="4">
        <f>_xll.IMDP("STK",표.실시간4[[#This Row],[nxt_code]],"저가")</f>
        <v>457000</v>
      </c>
      <c r="R60">
        <f>_xll.IMDP("STK",표.실시간4[[#This Row],[nxt_code]],"세션명")</f>
        <v>0</v>
      </c>
      <c r="S60">
        <f>_xll.IMDP("STK",표.실시간4[[#This Row],[nxt_code]],"체결시간")</f>
        <v>0</v>
      </c>
      <c r="T60" s="4">
        <f>_xll.IMDP("STK","018260","현재가")</f>
        <v>171200</v>
      </c>
      <c r="U60">
        <f>_xll.IMDP("STK","018260","누적거래량")</f>
        <v>12961</v>
      </c>
    </row>
    <row r="61" spans="3:21" x14ac:dyDescent="0.3">
      <c r="C61">
        <v>56</v>
      </c>
      <c r="D61">
        <v>17670</v>
      </c>
      <c r="E61" t="s">
        <v>75</v>
      </c>
      <c r="F61" t="str">
        <f>ConvertStockCode(표.실시간4[[#This Row],[코드]])</f>
        <v>N017670</v>
      </c>
      <c r="G61" s="4">
        <f>_xll.IMDP("STK",표.실시간4[[#This Row],[nxt_code]],"현재가")</f>
        <v>63300</v>
      </c>
      <c r="H61" s="4">
        <f>_xll.IMDP("STK",표.실시간4[[#This Row],[nxt_code]],"시가총액")/10^12</f>
        <v>13.5962103549</v>
      </c>
      <c r="I61" s="4">
        <f>표.실시간4[[#This Row],[시가총액 (조원)]]/표.실시간4[[#This Row],[현재가]]*(표.실시간4[[#This Row],[현재가]]-표.실시간4[[#This Row],[대비]])</f>
        <v>13.2310672648</v>
      </c>
      <c r="J61" s="5">
        <f>_xll.IMDP("STK",표.실시간4[[#This Row],[nxt_code]],"전일대비")</f>
        <v>1700</v>
      </c>
      <c r="K61">
        <f>_xll.IMDP("STK",표.실시간4[[#This Row],[nxt_code]],"등락률")</f>
        <v>2.59</v>
      </c>
      <c r="L61" s="4">
        <f>_xll.IMDP("STK",표.실시간4[[#This Row],[nxt_code]],"누적거래량")</f>
        <v>84781</v>
      </c>
      <c r="M61" s="4">
        <f>_xll.IMDP("STK",표.실시간4[[#This Row],[nxt_code]],"누적거래대금")</f>
        <v>5274009600</v>
      </c>
      <c r="N61" s="4">
        <f>_xll.IMDP("STK",표.실시간4[[#This Row],[nxt_code]],"가중평균가")</f>
        <v>62222.380014000002</v>
      </c>
      <c r="O61" s="4">
        <f>_xll.IMDP("STK",표.실시간4[[#This Row],[nxt_code]],"시가")</f>
        <v>61900</v>
      </c>
      <c r="P61" s="4">
        <f>_xll.IMDP("STK",표.실시간4[[#This Row],[nxt_code]],"고가")</f>
        <v>63400</v>
      </c>
      <c r="Q61" s="4">
        <f>_xll.IMDP("STK",표.실시간4[[#This Row],[nxt_code]],"저가")</f>
        <v>61300</v>
      </c>
      <c r="R61">
        <f>_xll.IMDP("STK",표.실시간4[[#This Row],[nxt_code]],"세션명")</f>
        <v>0</v>
      </c>
      <c r="S61">
        <f>_xll.IMDP("STK",표.실시간4[[#This Row],[nxt_code]],"체결시간")</f>
        <v>0</v>
      </c>
      <c r="T61" s="4">
        <f>_xll.IMDP("STK","000150","현재가")</f>
        <v>906000</v>
      </c>
      <c r="U61">
        <f>_xll.IMDP("STK","000150","누적거래량")</f>
        <v>4759</v>
      </c>
    </row>
    <row r="62" spans="3:21" x14ac:dyDescent="0.3">
      <c r="C62">
        <v>57</v>
      </c>
      <c r="D62">
        <v>79550</v>
      </c>
      <c r="E62" t="s">
        <v>78</v>
      </c>
      <c r="F62" t="str">
        <f>ConvertStockCode(표.실시간4[[#This Row],[코드]])</f>
        <v>N079550</v>
      </c>
      <c r="G62" s="4">
        <f>_xll.IMDP("STK",표.실시간4[[#This Row],[nxt_code]],"현재가")</f>
        <v>535000</v>
      </c>
      <c r="H62" s="4">
        <f>_xll.IMDP("STK",표.실시간4[[#This Row],[nxt_code]],"시가총액")/10^12</f>
        <v>11.792</v>
      </c>
      <c r="I62" s="4">
        <f>표.실시간4[[#This Row],[시가총액 (조원)]]/표.실시간4[[#This Row],[현재가]]*(표.실시간4[[#This Row],[현재가]]-표.실시간4[[#This Row],[대비]])</f>
        <v>11.63771214953271</v>
      </c>
      <c r="J62" s="5">
        <f>_xll.IMDP("STK",표.실시간4[[#This Row],[nxt_code]],"전일대비")</f>
        <v>7000</v>
      </c>
      <c r="K62">
        <f>_xll.IMDP("STK",표.실시간4[[#This Row],[nxt_code]],"등락률")</f>
        <v>1.32</v>
      </c>
      <c r="L62" s="4">
        <f>_xll.IMDP("STK",표.실시간4[[#This Row],[nxt_code]],"누적거래량")</f>
        <v>3976</v>
      </c>
      <c r="M62" s="4">
        <f>_xll.IMDP("STK",표.실시간4[[#This Row],[nxt_code]],"누적거래대금")</f>
        <v>2123331000</v>
      </c>
      <c r="N62" s="4">
        <f>_xll.IMDP("STK",표.실시간4[[#This Row],[nxt_code]],"가중평균가")</f>
        <v>534036.97183099994</v>
      </c>
      <c r="O62" s="4">
        <f>_xll.IMDP("STK",표.실시간4[[#This Row],[nxt_code]],"시가")</f>
        <v>533000</v>
      </c>
      <c r="P62" s="4">
        <f>_xll.IMDP("STK",표.실시간4[[#This Row],[nxt_code]],"고가")</f>
        <v>538000</v>
      </c>
      <c r="Q62" s="4">
        <f>_xll.IMDP("STK",표.실시간4[[#This Row],[nxt_code]],"저가")</f>
        <v>530000</v>
      </c>
      <c r="R62">
        <f>_xll.IMDP("STK",표.실시간4[[#This Row],[nxt_code]],"세션명")</f>
        <v>0</v>
      </c>
      <c r="S62">
        <f>_xll.IMDP("STK",표.실시간4[[#This Row],[nxt_code]],"체결시간")</f>
        <v>0</v>
      </c>
      <c r="T62" s="4">
        <f>_xll.IMDP("STK","003550","현재가")</f>
        <v>89000</v>
      </c>
      <c r="U62">
        <f>_xll.IMDP("STK","003550","누적거래량")</f>
        <v>6707</v>
      </c>
    </row>
    <row r="63" spans="3:21" x14ac:dyDescent="0.3">
      <c r="C63">
        <v>58</v>
      </c>
      <c r="D63">
        <v>720</v>
      </c>
      <c r="E63" t="s">
        <v>77</v>
      </c>
      <c r="F63" t="str">
        <f>ConvertStockCode(표.실시간4[[#This Row],[코드]])</f>
        <v>N000720</v>
      </c>
      <c r="G63" s="4">
        <f>_xll.IMDP("STK",표.실시간4[[#This Row],[nxt_code]],"현재가")</f>
        <v>108200</v>
      </c>
      <c r="H63" s="4">
        <f>_xll.IMDP("STK",표.실시간4[[#This Row],[nxt_code]],"시가총액")/10^12</f>
        <v>12.048693773</v>
      </c>
      <c r="I63" s="4">
        <f>표.실시간4[[#This Row],[시가총액 (조원)]]/표.실시간4[[#This Row],[현재가]]*(표.실시간4[[#This Row],[현재가]]-표.실시간4[[#This Row],[대비]])</f>
        <v>11.58099956</v>
      </c>
      <c r="J63" s="5">
        <f>_xll.IMDP("STK",표.실시간4[[#This Row],[nxt_code]],"전일대비")</f>
        <v>4200</v>
      </c>
      <c r="K63">
        <f>_xll.IMDP("STK",표.실시간4[[#This Row],[nxt_code]],"등락률")</f>
        <v>4.04</v>
      </c>
      <c r="L63" s="4">
        <f>_xll.IMDP("STK",표.실시간4[[#This Row],[nxt_code]],"누적거래량")</f>
        <v>178432</v>
      </c>
      <c r="M63" s="4">
        <f>_xll.IMDP("STK",표.실시간4[[#This Row],[nxt_code]],"누적거래대금")</f>
        <v>19060356500</v>
      </c>
      <c r="N63" s="4">
        <f>_xll.IMDP("STK",표.실시간4[[#This Row],[nxt_code]],"가중평균가")</f>
        <v>106821.333012</v>
      </c>
      <c r="O63" s="4">
        <f>_xll.IMDP("STK",표.실시간4[[#This Row],[nxt_code]],"시가")</f>
        <v>104500</v>
      </c>
      <c r="P63" s="4">
        <f>_xll.IMDP("STK",표.실시간4[[#This Row],[nxt_code]],"고가")</f>
        <v>109200</v>
      </c>
      <c r="Q63" s="4">
        <f>_xll.IMDP("STK",표.실시간4[[#This Row],[nxt_code]],"저가")</f>
        <v>104500</v>
      </c>
      <c r="R63">
        <f>_xll.IMDP("STK",표.실시간4[[#This Row],[nxt_code]],"세션명")</f>
        <v>0</v>
      </c>
      <c r="S63">
        <f>_xll.IMDP("STK",표.실시간4[[#This Row],[nxt_code]],"체결시간")</f>
        <v>0</v>
      </c>
      <c r="T63" s="4">
        <f>_xll.IMDP("STK","017670","현재가")</f>
        <v>63500</v>
      </c>
      <c r="U63">
        <f>_xll.IMDP("STK","017670","누적거래량")</f>
        <v>122897</v>
      </c>
    </row>
    <row r="64" spans="3:21" x14ac:dyDescent="0.3">
      <c r="C64">
        <v>59</v>
      </c>
      <c r="D64">
        <v>259960</v>
      </c>
      <c r="E64" t="s">
        <v>79</v>
      </c>
      <c r="F64" t="str">
        <f>ConvertStockCode(표.실시간4[[#This Row],[코드]])</f>
        <v>N259960</v>
      </c>
      <c r="G64" s="4">
        <f>_xll.IMDP("STK",표.실시간4[[#This Row],[nxt_code]],"현재가")</f>
        <v>236500</v>
      </c>
      <c r="H64" s="4">
        <f>_xll.IMDP("STK",표.실시간4[[#This Row],[nxt_code]],"시가총액")/10^12</f>
        <v>11.2110060315</v>
      </c>
      <c r="I64" s="4">
        <f>표.실시간4[[#This Row],[시가총액 (조원)]]/표.실시간4[[#This Row],[현재가]]*(표.실시간4[[#This Row],[현재가]]-표.실시간4[[#This Row],[대비]])</f>
        <v>11.2110060315</v>
      </c>
      <c r="J64" s="5">
        <f>_xll.IMDP("STK",표.실시간4[[#This Row],[nxt_code]],"전일대비")</f>
        <v>0</v>
      </c>
      <c r="K64">
        <f>_xll.IMDP("STK",표.실시간4[[#This Row],[nxt_code]],"등락률")</f>
        <v>0</v>
      </c>
      <c r="L64" s="4">
        <f>_xll.IMDP("STK",표.실시간4[[#This Row],[nxt_code]],"누적거래량")</f>
        <v>1194</v>
      </c>
      <c r="M64" s="4">
        <f>_xll.IMDP("STK",표.실시간4[[#This Row],[nxt_code]],"누적거래대금")</f>
        <v>282719500</v>
      </c>
      <c r="N64" s="4">
        <f>_xll.IMDP("STK",표.실시간4[[#This Row],[nxt_code]],"가중평균가")</f>
        <v>236783.50083800001</v>
      </c>
      <c r="O64" s="4">
        <f>_xll.IMDP("STK",표.실시간4[[#This Row],[nxt_code]],"시가")</f>
        <v>238000</v>
      </c>
      <c r="P64" s="4">
        <f>_xll.IMDP("STK",표.실시간4[[#This Row],[nxt_code]],"고가")</f>
        <v>238000</v>
      </c>
      <c r="Q64" s="4">
        <f>_xll.IMDP("STK",표.실시간4[[#This Row],[nxt_code]],"저가")</f>
        <v>236000</v>
      </c>
      <c r="R64">
        <f>_xll.IMDP("STK",표.실시간4[[#This Row],[nxt_code]],"세션명")</f>
        <v>0</v>
      </c>
      <c r="S64">
        <f>_xll.IMDP("STK",표.실시간4[[#This Row],[nxt_code]],"체결시간")</f>
        <v>0</v>
      </c>
      <c r="T64" s="4">
        <f>_xll.IMDP("STK","086520","현재가")</f>
        <v>106200</v>
      </c>
      <c r="U64">
        <f>_xll.IMDP("STK","086520","누적거래량")</f>
        <v>269775</v>
      </c>
    </row>
    <row r="65" spans="3:21" x14ac:dyDescent="0.3">
      <c r="C65">
        <v>60</v>
      </c>
      <c r="D65">
        <v>47050</v>
      </c>
      <c r="E65" t="s">
        <v>80</v>
      </c>
      <c r="F65" t="str">
        <f>ConvertStockCode(표.실시간4[[#This Row],[코드]])</f>
        <v>N047050</v>
      </c>
      <c r="G65" s="4">
        <f>_xll.IMDP("STK",표.실시간4[[#This Row],[nxt_code]],"현재가")</f>
        <v>63800</v>
      </c>
      <c r="H65" s="4">
        <f>_xll.IMDP("STK",표.실시간4[[#This Row],[nxt_code]],"시가총액")/10^12</f>
        <v>11.223873874400001</v>
      </c>
      <c r="I65" s="4">
        <f>표.실시간4[[#This Row],[시가총액 (조원)]]/표.실시간4[[#This Row],[현재가]]*(표.실시간4[[#This Row],[현재가]]-표.실시간4[[#This Row],[대비]])</f>
        <v>11.030358807600001</v>
      </c>
      <c r="J65" s="5">
        <f>_xll.IMDP("STK",표.실시간4[[#This Row],[nxt_code]],"전일대비")</f>
        <v>1100</v>
      </c>
      <c r="K65">
        <f>_xll.IMDP("STK",표.실시간4[[#This Row],[nxt_code]],"등락률")</f>
        <v>1.75</v>
      </c>
      <c r="L65" s="4">
        <f>_xll.IMDP("STK",표.실시간4[[#This Row],[nxt_code]],"누적거래량")</f>
        <v>132896</v>
      </c>
      <c r="M65" s="4">
        <f>_xll.IMDP("STK",표.실시간4[[#This Row],[nxt_code]],"누적거래대금")</f>
        <v>8440757800</v>
      </c>
      <c r="N65" s="4">
        <f>_xll.IMDP("STK",표.실시간4[[#This Row],[nxt_code]],"가중평균가")</f>
        <v>63465.298726000001</v>
      </c>
      <c r="O65" s="4">
        <f>_xll.IMDP("STK",표.실시간4[[#This Row],[nxt_code]],"시가")</f>
        <v>63400</v>
      </c>
      <c r="P65" s="4">
        <f>_xll.IMDP("STK",표.실시간4[[#This Row],[nxt_code]],"고가")</f>
        <v>64000</v>
      </c>
      <c r="Q65" s="4">
        <f>_xll.IMDP("STK",표.실시간4[[#This Row],[nxt_code]],"저가")</f>
        <v>62600</v>
      </c>
      <c r="R65">
        <f>_xll.IMDP("STK",표.실시간4[[#This Row],[nxt_code]],"세션명")</f>
        <v>0</v>
      </c>
      <c r="S65">
        <f>_xll.IMDP("STK",표.실시간4[[#This Row],[nxt_code]],"체결시간")</f>
        <v>0</v>
      </c>
      <c r="T65" s="4">
        <f>_xll.IMDP("STK","000720","현재가")</f>
        <v>108200</v>
      </c>
      <c r="U65">
        <f>_xll.IMDP("STK","000720","누적거래량")</f>
        <v>90176</v>
      </c>
    </row>
    <row r="66" spans="3:21" x14ac:dyDescent="0.3">
      <c r="C66">
        <v>61</v>
      </c>
      <c r="D66">
        <v>10950</v>
      </c>
      <c r="E66" t="s">
        <v>81</v>
      </c>
      <c r="F66" t="str">
        <f>ConvertStockCode(표.실시간4[[#This Row],[코드]])</f>
        <v>N010950</v>
      </c>
      <c r="G66" s="4">
        <f>_xll.IMDP("STK",표.실시간4[[#This Row],[nxt_code]],"현재가")</f>
        <v>97600</v>
      </c>
      <c r="H66" s="4">
        <f>_xll.IMDP("STK",표.실시간4[[#This Row],[nxt_code]],"시가총액")/10^12</f>
        <v>10.988080499200001</v>
      </c>
      <c r="I66" s="4">
        <f>표.실시간4[[#This Row],[시가총액 (조원)]]/표.실시간4[[#This Row],[현재가]]*(표.실시간4[[#This Row],[현재가]]-표.실시간4[[#This Row],[대비]])</f>
        <v>11.089405012</v>
      </c>
      <c r="J66" s="5">
        <f>_xll.IMDP("STK",표.실시간4[[#This Row],[nxt_code]],"전일대비")</f>
        <v>-900</v>
      </c>
      <c r="K66">
        <f>_xll.IMDP("STK",표.실시간4[[#This Row],[nxt_code]],"등락률")</f>
        <v>-0.91</v>
      </c>
      <c r="L66" s="4">
        <f>_xll.IMDP("STK",표.실시간4[[#This Row],[nxt_code]],"누적거래량")</f>
        <v>17308</v>
      </c>
      <c r="M66" s="4">
        <f>_xll.IMDP("STK",표.실시간4[[#This Row],[nxt_code]],"누적거래대금")</f>
        <v>1679828100</v>
      </c>
      <c r="N66" s="4">
        <f>_xll.IMDP("STK",표.실시간4[[#This Row],[nxt_code]],"가중평균가")</f>
        <v>97055.009244000001</v>
      </c>
      <c r="O66" s="4">
        <f>_xll.IMDP("STK",표.실시간4[[#This Row],[nxt_code]],"시가")</f>
        <v>98400</v>
      </c>
      <c r="P66" s="4">
        <f>_xll.IMDP("STK",표.실시간4[[#This Row],[nxt_code]],"고가")</f>
        <v>98400</v>
      </c>
      <c r="Q66" s="4">
        <f>_xll.IMDP("STK",표.실시간4[[#This Row],[nxt_code]],"저가")</f>
        <v>96400</v>
      </c>
      <c r="R66">
        <f>_xll.IMDP("STK",표.실시간4[[#This Row],[nxt_code]],"세션명")</f>
        <v>0</v>
      </c>
      <c r="S66">
        <f>_xll.IMDP("STK",표.실시간4[[#This Row],[nxt_code]],"체결시간")</f>
        <v>0</v>
      </c>
      <c r="T66" s="4">
        <f>_xll.IMDP("STK","079550","현재가")</f>
        <v>535000</v>
      </c>
      <c r="U66">
        <f>_xll.IMDP("STK","079550","누적거래량")</f>
        <v>2508</v>
      </c>
    </row>
    <row r="67" spans="3:21" x14ac:dyDescent="0.3">
      <c r="C67">
        <v>62</v>
      </c>
      <c r="D67">
        <v>278470</v>
      </c>
      <c r="E67" t="s">
        <v>86</v>
      </c>
      <c r="F67" t="str">
        <f>ConvertStockCode(표.실시간4[[#This Row],[코드]])</f>
        <v>N278470</v>
      </c>
      <c r="G67" s="4">
        <f>_xll.IMDP("STK",표.실시간4[[#This Row],[nxt_code]],"현재가")</f>
        <v>287000</v>
      </c>
      <c r="H67" s="4">
        <f>_xll.IMDP("STK",표.실시간4[[#This Row],[nxt_code]],"시가총액")/10^12</f>
        <v>10.742597985</v>
      </c>
      <c r="I67" s="4">
        <f>표.실시간4[[#This Row],[시가총액 (조원)]]/표.실시간4[[#This Row],[현재가]]*(표.실시간4[[#This Row],[현재가]]-표.실시간4[[#This Row],[대비]])</f>
        <v>10.723882657499999</v>
      </c>
      <c r="J67" s="5">
        <f>_xll.IMDP("STK",표.실시간4[[#This Row],[nxt_code]],"전일대비")</f>
        <v>500</v>
      </c>
      <c r="K67">
        <f>_xll.IMDP("STK",표.실시간4[[#This Row],[nxt_code]],"등락률")</f>
        <v>0.35</v>
      </c>
      <c r="L67" s="4">
        <f>_xll.IMDP("STK",표.실시간4[[#This Row],[nxt_code]],"누적거래량")</f>
        <v>65185</v>
      </c>
      <c r="M67" s="4">
        <f>_xll.IMDP("STK",표.실시간4[[#This Row],[nxt_code]],"누적거래대금")</f>
        <v>18401260250</v>
      </c>
      <c r="N67" s="4">
        <f>_xll.IMDP("STK",표.실시간4[[#This Row],[nxt_code]],"가중평균가")</f>
        <v>282292.86262199999</v>
      </c>
      <c r="O67" s="4">
        <f>_xll.IMDP("STK",표.실시간4[[#This Row],[nxt_code]],"시가")</f>
        <v>286000</v>
      </c>
      <c r="P67" s="4">
        <f>_xll.IMDP("STK",표.실시간4[[#This Row],[nxt_code]],"고가")</f>
        <v>288500</v>
      </c>
      <c r="Q67" s="4">
        <f>_xll.IMDP("STK",표.실시간4[[#This Row],[nxt_code]],"저가")</f>
        <v>279500</v>
      </c>
      <c r="R67">
        <f>_xll.IMDP("STK",표.실시간4[[#This Row],[nxt_code]],"세션명")</f>
        <v>0</v>
      </c>
      <c r="S67">
        <f>_xll.IMDP("STK",표.실시간4[[#This Row],[nxt_code]],"체결시간")</f>
        <v>0</v>
      </c>
      <c r="T67" s="4">
        <f>_xll.IMDP("STK","259960","현재가")</f>
        <v>236000</v>
      </c>
      <c r="U67">
        <f>_xll.IMDP("STK","259960","누적거래량")</f>
        <v>1137</v>
      </c>
    </row>
    <row r="68" spans="3:21" x14ac:dyDescent="0.3">
      <c r="C68">
        <v>63</v>
      </c>
      <c r="D68">
        <v>71050</v>
      </c>
      <c r="E68" t="s">
        <v>82</v>
      </c>
      <c r="F68" t="str">
        <f>ConvertStockCode(표.실시간4[[#This Row],[코드]])</f>
        <v>N071050</v>
      </c>
      <c r="G68" s="4">
        <f>_xll.IMDP("STK",표.실시간4[[#This Row],[nxt_code]],"현재가")</f>
        <v>190500</v>
      </c>
      <c r="H68" s="4">
        <f>_xll.IMDP("STK",표.실시간4[[#This Row],[nxt_code]],"시가총액")/10^12</f>
        <v>10.615801476</v>
      </c>
      <c r="I68" s="4">
        <f>표.실시간4[[#This Row],[시가총액 (조원)]]/표.실시간4[[#This Row],[현재가]]*(표.실시간4[[#This Row],[현재가]]-표.실시간4[[#This Row],[대비]])</f>
        <v>10.348316714399999</v>
      </c>
      <c r="J68" s="5">
        <f>_xll.IMDP("STK",표.실시간4[[#This Row],[nxt_code]],"전일대비")</f>
        <v>4800</v>
      </c>
      <c r="K68">
        <f>_xll.IMDP("STK",표.실시간4[[#This Row],[nxt_code]],"등락률")</f>
        <v>2.09</v>
      </c>
      <c r="L68" s="4">
        <f>_xll.IMDP("STK",표.실시간4[[#This Row],[nxt_code]],"누적거래량")</f>
        <v>26168</v>
      </c>
      <c r="M68" s="4">
        <f>_xll.IMDP("STK",표.실시간4[[#This Row],[nxt_code]],"누적거래대금")</f>
        <v>5006646200</v>
      </c>
      <c r="N68" s="4">
        <f>_xll.IMDP("STK",표.실시간4[[#This Row],[nxt_code]],"가중평균가")</f>
        <v>191327.04830299999</v>
      </c>
      <c r="O68" s="4">
        <f>_xll.IMDP("STK",표.실시간4[[#This Row],[nxt_code]],"시가")</f>
        <v>188000</v>
      </c>
      <c r="P68" s="4">
        <f>_xll.IMDP("STK",표.실시간4[[#This Row],[nxt_code]],"고가")</f>
        <v>194500</v>
      </c>
      <c r="Q68" s="4">
        <f>_xll.IMDP("STK",표.실시간4[[#This Row],[nxt_code]],"저가")</f>
        <v>186600</v>
      </c>
      <c r="R68">
        <f>_xll.IMDP("STK",표.실시간4[[#This Row],[nxt_code]],"세션명")</f>
        <v>0</v>
      </c>
      <c r="S68">
        <f>_xll.IMDP("STK",표.실시간4[[#This Row],[nxt_code]],"체결시간")</f>
        <v>0</v>
      </c>
      <c r="T68" s="4">
        <f>_xll.IMDP("STK","047050","현재가")</f>
        <v>63800</v>
      </c>
      <c r="U68">
        <f>_xll.IMDP("STK","047050","누적거래량")</f>
        <v>27015</v>
      </c>
    </row>
    <row r="69" spans="3:21" x14ac:dyDescent="0.3">
      <c r="C69">
        <v>64</v>
      </c>
      <c r="D69">
        <v>323410</v>
      </c>
      <c r="E69" t="s">
        <v>84</v>
      </c>
      <c r="F69" t="str">
        <f>ConvertStockCode(표.실시간4[[#This Row],[코드]])</f>
        <v>N323410</v>
      </c>
      <c r="G69" s="4">
        <f>_xll.IMDP("STK",표.실시간4[[#This Row],[nxt_code]],"현재가")</f>
        <v>21650</v>
      </c>
      <c r="H69" s="4">
        <f>_xll.IMDP("STK",표.실시간4[[#This Row],[nxt_code]],"시가총액")/10^12</f>
        <v>10.32729761105</v>
      </c>
      <c r="I69" s="4">
        <f>표.실시간4[[#This Row],[시가총액 (조원)]]/표.실시간4[[#This Row],[현재가]]*(표.실시간4[[#This Row],[현재가]]-표.실시간4[[#This Row],[대비]])</f>
        <v>10.208044751799999</v>
      </c>
      <c r="J69" s="5">
        <f>_xll.IMDP("STK",표.실시간4[[#This Row],[nxt_code]],"전일대비")</f>
        <v>250</v>
      </c>
      <c r="K69">
        <f>_xll.IMDP("STK",표.실시간4[[#This Row],[nxt_code]],"등락률")</f>
        <v>1.17</v>
      </c>
      <c r="L69" s="4">
        <f>_xll.IMDP("STK",표.실시간4[[#This Row],[nxt_code]],"누적거래량")</f>
        <v>85772</v>
      </c>
      <c r="M69" s="4">
        <f>_xll.IMDP("STK",표.실시간4[[#This Row],[nxt_code]],"누적거래대금")</f>
        <v>1845366250</v>
      </c>
      <c r="N69" s="4">
        <f>_xll.IMDP("STK",표.실시간4[[#This Row],[nxt_code]],"가중평균가")</f>
        <v>21514.786294000001</v>
      </c>
      <c r="O69" s="4">
        <f>_xll.IMDP("STK",표.실시간4[[#This Row],[nxt_code]],"시가")</f>
        <v>21450</v>
      </c>
      <c r="P69" s="4">
        <f>_xll.IMDP("STK",표.실시간4[[#This Row],[nxt_code]],"고가")</f>
        <v>21650</v>
      </c>
      <c r="Q69" s="4">
        <f>_xll.IMDP("STK",표.실시간4[[#This Row],[nxt_code]],"저가")</f>
        <v>21400</v>
      </c>
      <c r="R69">
        <f>_xll.IMDP("STK",표.실시간4[[#This Row],[nxt_code]],"세션명")</f>
        <v>0</v>
      </c>
      <c r="S69">
        <f>_xll.IMDP("STK",표.실시간4[[#This Row],[nxt_code]],"체결시간")</f>
        <v>0</v>
      </c>
      <c r="T69" s="4">
        <f>_xll.IMDP("STK","010950","현재가")</f>
        <v>97800</v>
      </c>
      <c r="U69">
        <f>_xll.IMDP("STK","010950","누적거래량")</f>
        <v>6346</v>
      </c>
    </row>
    <row r="70" spans="3:21" x14ac:dyDescent="0.3">
      <c r="C70">
        <v>65</v>
      </c>
      <c r="D70">
        <v>5830</v>
      </c>
      <c r="E70" t="s">
        <v>87</v>
      </c>
      <c r="F70" t="str">
        <f>ConvertStockCode(표.실시간4[[#This Row],[코드]])</f>
        <v>N005830</v>
      </c>
      <c r="G70" s="4">
        <f>_xll.IMDP("STK",표.실시간4[[#This Row],[nxt_code]],"현재가")</f>
        <v>128900</v>
      </c>
      <c r="H70" s="4">
        <f>_xll.IMDP("STK",표.실시간4[[#This Row],[nxt_code]],"시가총액")/10^12</f>
        <v>8.9435976000000004</v>
      </c>
      <c r="I70" s="4">
        <f>표.실시간4[[#This Row],[시가총액 (조원)]]/표.실시간4[[#This Row],[현재가]]*(표.실시간4[[#This Row],[현재가]]-표.실시간4[[#This Row],[대비]])</f>
        <v>8.9505359999999996</v>
      </c>
      <c r="J70" s="5">
        <f>_xll.IMDP("STK",표.실시간4[[#This Row],[nxt_code]],"전일대비")</f>
        <v>-100</v>
      </c>
      <c r="K70">
        <f>_xll.IMDP("STK",표.실시간4[[#This Row],[nxt_code]],"등락률")</f>
        <v>-0.08</v>
      </c>
      <c r="L70" s="4">
        <f>_xll.IMDP("STK",표.실시간4[[#This Row],[nxt_code]],"누적거래량")</f>
        <v>901</v>
      </c>
      <c r="M70" s="4">
        <f>_xll.IMDP("STK",표.실시간4[[#This Row],[nxt_code]],"누적거래대금")</f>
        <v>116320500</v>
      </c>
      <c r="N70" s="4">
        <f>_xll.IMDP("STK",표.실시간4[[#This Row],[nxt_code]],"가중평균가")</f>
        <v>129101.553829</v>
      </c>
      <c r="O70" s="4">
        <f>_xll.IMDP("STK",표.실시간4[[#This Row],[nxt_code]],"시가")</f>
        <v>129400</v>
      </c>
      <c r="P70" s="4">
        <f>_xll.IMDP("STK",표.실시간4[[#This Row],[nxt_code]],"고가")</f>
        <v>129600</v>
      </c>
      <c r="Q70" s="4">
        <f>_xll.IMDP("STK",표.실시간4[[#This Row],[nxt_code]],"저가")</f>
        <v>128700</v>
      </c>
      <c r="R70">
        <f>_xll.IMDP("STK",표.실시간4[[#This Row],[nxt_code]],"세션명")</f>
        <v>0</v>
      </c>
      <c r="S70">
        <f>_xll.IMDP("STK",표.실시간4[[#This Row],[nxt_code]],"체결시간")</f>
        <v>0</v>
      </c>
      <c r="T70" s="4">
        <f>_xll.IMDP("STK","071050","현재가")</f>
        <v>190800</v>
      </c>
      <c r="U70">
        <f>_xll.IMDP("STK","071050","누적거래량")</f>
        <v>27264</v>
      </c>
    </row>
    <row r="71" spans="3:21" x14ac:dyDescent="0.3">
      <c r="C71">
        <v>66</v>
      </c>
      <c r="D71">
        <v>3230</v>
      </c>
      <c r="E71" t="s">
        <v>89</v>
      </c>
      <c r="F71" t="str">
        <f>ConvertStockCode(표.실시간4[[#This Row],[코드]])</f>
        <v>N003230</v>
      </c>
      <c r="G71" s="4">
        <f>_xll.IMDP("STK",표.실시간4[[#This Row],[nxt_code]],"현재가")</f>
        <v>1255000</v>
      </c>
      <c r="H71" s="4">
        <f>_xll.IMDP("STK",표.실시간4[[#This Row],[nxt_code]],"시가총액")/10^12</f>
        <v>9.453933825</v>
      </c>
      <c r="I71" s="4">
        <f>표.실시간4[[#This Row],[시가총액 (조원)]]/표.실시간4[[#This Row],[현재가]]*(표.실시간4[[#This Row],[현재가]]-표.실시간4[[#This Row],[대비]])</f>
        <v>9.3032735249999998</v>
      </c>
      <c r="J71" s="5">
        <f>_xll.IMDP("STK",표.실시간4[[#This Row],[nxt_code]],"전일대비")</f>
        <v>20000</v>
      </c>
      <c r="K71">
        <f>_xll.IMDP("STK",표.실시간4[[#This Row],[nxt_code]],"등락률")</f>
        <v>1.62</v>
      </c>
      <c r="L71" s="4">
        <f>_xll.IMDP("STK",표.실시간4[[#This Row],[nxt_code]],"누적거래량")</f>
        <v>4695</v>
      </c>
      <c r="M71" s="4">
        <f>_xll.IMDP("STK",표.실시간4[[#This Row],[nxt_code]],"누적거래대금")</f>
        <v>5873625000</v>
      </c>
      <c r="N71" s="4">
        <f>_xll.IMDP("STK",표.실시간4[[#This Row],[nxt_code]],"가중평균가")</f>
        <v>1251038.3386580001</v>
      </c>
      <c r="O71" s="4">
        <f>_xll.IMDP("STK",표.실시간4[[#This Row],[nxt_code]],"시가")</f>
        <v>1242000</v>
      </c>
      <c r="P71" s="4">
        <f>_xll.IMDP("STK",표.실시간4[[#This Row],[nxt_code]],"고가")</f>
        <v>1270000</v>
      </c>
      <c r="Q71" s="4">
        <f>_xll.IMDP("STK",표.실시간4[[#This Row],[nxt_code]],"저가")</f>
        <v>1235000</v>
      </c>
      <c r="R71">
        <f>_xll.IMDP("STK",표.실시간4[[#This Row],[nxt_code]],"세션명")</f>
        <v>0</v>
      </c>
      <c r="S71">
        <f>_xll.IMDP("STK",표.실시간4[[#This Row],[nxt_code]],"체결시간")</f>
        <v>0</v>
      </c>
      <c r="T71" s="4">
        <f>_xll.IMDP("STK","277810","현재가")</f>
        <v>498500</v>
      </c>
      <c r="U71">
        <f>_xll.IMDP("STK","277810","누적거래량")</f>
        <v>4261</v>
      </c>
    </row>
    <row r="72" spans="3:21" x14ac:dyDescent="0.3">
      <c r="C72">
        <v>67</v>
      </c>
      <c r="D72">
        <v>326030</v>
      </c>
      <c r="E72" t="s">
        <v>90</v>
      </c>
      <c r="F72" t="str">
        <f>ConvertStockCode(표.실시간4[[#This Row],[코드]])</f>
        <v>N326030</v>
      </c>
      <c r="G72" s="4">
        <f>_xll.IMDP("STK",표.실시간4[[#This Row],[nxt_code]],"현재가")</f>
        <v>117200</v>
      </c>
      <c r="H72" s="4">
        <f>_xll.IMDP("STK",표.실시간4[[#This Row],[nxt_code]],"시가총액")/10^12</f>
        <v>9.1783128999999999</v>
      </c>
      <c r="I72" s="4">
        <f>표.실시간4[[#This Row],[시가총액 (조원)]]/표.실시간4[[#This Row],[현재가]]*(표.실시간4[[#This Row],[현재가]]-표.실시간4[[#This Row],[대비]])</f>
        <v>9.0999996499999991</v>
      </c>
      <c r="J72" s="5">
        <f>_xll.IMDP("STK",표.실시간4[[#This Row],[nxt_code]],"전일대비")</f>
        <v>1000</v>
      </c>
      <c r="K72">
        <f>_xll.IMDP("STK",표.실시간4[[#This Row],[nxt_code]],"등락률")</f>
        <v>0.86</v>
      </c>
      <c r="L72" s="4">
        <f>_xll.IMDP("STK",표.실시간4[[#This Row],[nxt_code]],"누적거래량")</f>
        <v>18708</v>
      </c>
      <c r="M72" s="4">
        <f>_xll.IMDP("STK",표.실시간4[[#This Row],[nxt_code]],"누적거래대금")</f>
        <v>2195443700</v>
      </c>
      <c r="N72" s="4">
        <f>_xll.IMDP("STK",표.실시간4[[#This Row],[nxt_code]],"가중평균가")</f>
        <v>117353.201839</v>
      </c>
      <c r="O72" s="4">
        <f>_xll.IMDP("STK",표.실시간4[[#This Row],[nxt_code]],"시가")</f>
        <v>117000</v>
      </c>
      <c r="P72" s="4">
        <f>_xll.IMDP("STK",표.실시간4[[#This Row],[nxt_code]],"고가")</f>
        <v>117700</v>
      </c>
      <c r="Q72" s="4">
        <f>_xll.IMDP("STK",표.실시간4[[#This Row],[nxt_code]],"저가")</f>
        <v>116700</v>
      </c>
      <c r="R72">
        <f>_xll.IMDP("STK",표.실시간4[[#This Row],[nxt_code]],"세션명")</f>
        <v>0</v>
      </c>
      <c r="S72">
        <f>_xll.IMDP("STK",표.실시간4[[#This Row],[nxt_code]],"체결시간")</f>
        <v>0</v>
      </c>
      <c r="T72" s="4">
        <f>_xll.IMDP("STK","323410","현재가")</f>
        <v>21650</v>
      </c>
      <c r="U72">
        <f>_xll.IMDP("STK","323410","누적거래량")</f>
        <v>33301</v>
      </c>
    </row>
    <row r="73" spans="3:21" x14ac:dyDescent="0.3">
      <c r="C73">
        <v>68</v>
      </c>
      <c r="D73">
        <v>3490</v>
      </c>
      <c r="E73" t="s">
        <v>91</v>
      </c>
      <c r="F73" t="str">
        <f>ConvertStockCode(표.실시간4[[#This Row],[코드]])</f>
        <v>N003490</v>
      </c>
      <c r="G73" s="4">
        <f>_xll.IMDP("STK",표.실시간4[[#This Row],[nxt_code]],"현재가")</f>
        <v>24150</v>
      </c>
      <c r="H73" s="4">
        <f>_xll.IMDP("STK",표.실시간4[[#This Row],[nxt_code]],"시가총액")/10^12</f>
        <v>8.8925289631499993</v>
      </c>
      <c r="I73" s="4">
        <f>표.실시간4[[#This Row],[시가총액 (조원)]]/표.실시간4[[#This Row],[현재가]]*(표.실시간4[[#This Row],[현재가]]-표.실시간4[[#This Row],[대비]])</f>
        <v>8.8557068970499984</v>
      </c>
      <c r="J73" s="5">
        <f>_xll.IMDP("STK",표.실시간4[[#This Row],[nxt_code]],"전일대비")</f>
        <v>100</v>
      </c>
      <c r="K73">
        <f>_xll.IMDP("STK",표.실시간4[[#This Row],[nxt_code]],"등락률")</f>
        <v>0.21</v>
      </c>
      <c r="L73" s="4">
        <f>_xll.IMDP("STK",표.실시간4[[#This Row],[nxt_code]],"누적거래량")</f>
        <v>149969</v>
      </c>
      <c r="M73" s="4">
        <f>_xll.IMDP("STK",표.실시간4[[#This Row],[nxt_code]],"누적거래대금")</f>
        <v>3703435275</v>
      </c>
      <c r="N73" s="4">
        <f>_xll.IMDP("STK",표.실시간4[[#This Row],[nxt_code]],"가중평균가")</f>
        <v>24168.495731999999</v>
      </c>
      <c r="O73" s="4">
        <f>_xll.IMDP("STK",표.실시간4[[#This Row],[nxt_code]],"시가")</f>
        <v>24100</v>
      </c>
      <c r="P73" s="4">
        <f>_xll.IMDP("STK",표.실시간4[[#This Row],[nxt_code]],"고가")</f>
        <v>24300</v>
      </c>
      <c r="Q73" s="4">
        <f>_xll.IMDP("STK",표.실시간4[[#This Row],[nxt_code]],"저가")</f>
        <v>24100</v>
      </c>
      <c r="R73">
        <f>_xll.IMDP("STK",표.실시간4[[#This Row],[nxt_code]],"세션명")</f>
        <v>0</v>
      </c>
      <c r="S73">
        <f>_xll.IMDP("STK",표.실시간4[[#This Row],[nxt_code]],"체결시간")</f>
        <v>0</v>
      </c>
      <c r="T73" s="4">
        <f>_xll.IMDP("STK","298380","현재가")</f>
        <v>181100</v>
      </c>
      <c r="U73">
        <f>_xll.IMDP("STK","298380","누적거래량")</f>
        <v>18061</v>
      </c>
    </row>
    <row r="74" spans="3:21" x14ac:dyDescent="0.3">
      <c r="C74">
        <v>69</v>
      </c>
      <c r="D74">
        <v>880</v>
      </c>
      <c r="E74" t="s">
        <v>88</v>
      </c>
      <c r="F74" t="str">
        <f>ConvertStockCode(표.실시간4[[#This Row],[코드]])</f>
        <v>N000880</v>
      </c>
      <c r="G74" s="4">
        <f>_xll.IMDP("STK",표.실시간4[[#This Row],[nxt_code]],"현재가")</f>
        <v>117900</v>
      </c>
      <c r="H74" s="4">
        <f>_xll.IMDP("STK",표.실시간4[[#This Row],[nxt_code]],"시가총액")/10^12</f>
        <v>8.8376348564999994</v>
      </c>
      <c r="I74" s="4">
        <f>표.실시간4[[#This Row],[시가총액 (조원)]]/표.실시간4[[#This Row],[현재가]]*(표.실시간4[[#This Row],[현재가]]-표.실시간4[[#This Row],[대비]])</f>
        <v>8.620254525</v>
      </c>
      <c r="J74" s="5">
        <f>_xll.IMDP("STK",표.실시간4[[#This Row],[nxt_code]],"전일대비")</f>
        <v>2900</v>
      </c>
      <c r="K74">
        <f>_xll.IMDP("STK",표.실시간4[[#This Row],[nxt_code]],"등락률")</f>
        <v>2.52</v>
      </c>
      <c r="L74" s="4">
        <f>_xll.IMDP("STK",표.실시간4[[#This Row],[nxt_code]],"누적거래량")</f>
        <v>90740</v>
      </c>
      <c r="M74" s="4">
        <f>_xll.IMDP("STK",표.실시간4[[#This Row],[nxt_code]],"누적거래대금")</f>
        <v>10619559500</v>
      </c>
      <c r="N74" s="4">
        <f>_xll.IMDP("STK",표.실시간4[[#This Row],[nxt_code]],"가중평균가")</f>
        <v>117032.835574</v>
      </c>
      <c r="O74" s="4">
        <f>_xll.IMDP("STK",표.실시간4[[#This Row],[nxt_code]],"시가")</f>
        <v>115900</v>
      </c>
      <c r="P74" s="4">
        <f>_xll.IMDP("STK",표.실시간4[[#This Row],[nxt_code]],"고가")</f>
        <v>118700</v>
      </c>
      <c r="Q74" s="4">
        <f>_xll.IMDP("STK",표.실시간4[[#This Row],[nxt_code]],"저가")</f>
        <v>115000</v>
      </c>
      <c r="R74">
        <f>_xll.IMDP("STK",표.실시간4[[#This Row],[nxt_code]],"세션명")</f>
        <v>0</v>
      </c>
      <c r="S74">
        <f>_xll.IMDP("STK",표.실시간4[[#This Row],[nxt_code]],"체결시간")</f>
        <v>0</v>
      </c>
      <c r="T74" s="4">
        <f>_xll.IMDP("STK","278470","현재가")</f>
        <v>287000</v>
      </c>
      <c r="U74">
        <f>_xll.IMDP("STK","278470","누적거래량")</f>
        <v>19449</v>
      </c>
    </row>
    <row r="75" spans="3:21" x14ac:dyDescent="0.3">
      <c r="C75">
        <v>70</v>
      </c>
      <c r="D75">
        <v>39490</v>
      </c>
      <c r="E75" t="s">
        <v>94</v>
      </c>
      <c r="F75" t="str">
        <f>ConvertStockCode(표.실시간4[[#This Row],[코드]])</f>
        <v>N039490</v>
      </c>
      <c r="G75" s="4">
        <f>_xll.IMDP("STK",표.실시간4[[#This Row],[nxt_code]],"현재가")</f>
        <v>335500</v>
      </c>
      <c r="H75" s="4">
        <f>_xll.IMDP("STK",표.실시간4[[#This Row],[nxt_code]],"시가총액")/10^12</f>
        <v>9.0671297309999996</v>
      </c>
      <c r="I75" s="4">
        <f>표.실시간4[[#This Row],[시가총액 (조원)]]/표.실시간4[[#This Row],[현재가]]*(표.실시간4[[#This Row],[현재가]]-표.실시간4[[#This Row],[대비]])</f>
        <v>8.8238982329999995</v>
      </c>
      <c r="J75" s="5">
        <f>_xll.IMDP("STK",표.실시간4[[#This Row],[nxt_code]],"전일대비")</f>
        <v>9000</v>
      </c>
      <c r="K75">
        <f>_xll.IMDP("STK",표.실시간4[[#This Row],[nxt_code]],"등락률")</f>
        <v>2.76</v>
      </c>
      <c r="L75" s="4">
        <f>_xll.IMDP("STK",표.실시간4[[#This Row],[nxt_code]],"누적거래량")</f>
        <v>7391</v>
      </c>
      <c r="M75" s="4">
        <f>_xll.IMDP("STK",표.실시간4[[#This Row],[nxt_code]],"누적거래대금")</f>
        <v>2454834000</v>
      </c>
      <c r="N75" s="4">
        <f>_xll.IMDP("STK",표.실시간4[[#This Row],[nxt_code]],"가중평균가")</f>
        <v>332138.27628200001</v>
      </c>
      <c r="O75" s="4">
        <f>_xll.IMDP("STK",표.실시간4[[#This Row],[nxt_code]],"시가")</f>
        <v>327000</v>
      </c>
      <c r="P75" s="4">
        <f>_xll.IMDP("STK",표.실시간4[[#This Row],[nxt_code]],"고가")</f>
        <v>337000</v>
      </c>
      <c r="Q75" s="4">
        <f>_xll.IMDP("STK",표.실시간4[[#This Row],[nxt_code]],"저가")</f>
        <v>327000</v>
      </c>
      <c r="R75">
        <f>_xll.IMDP("STK",표.실시간4[[#This Row],[nxt_code]],"세션명")</f>
        <v>0</v>
      </c>
      <c r="S75">
        <f>_xll.IMDP("STK",표.실시간4[[#This Row],[nxt_code]],"체결시간")</f>
        <v>0</v>
      </c>
      <c r="T75" s="4">
        <f>_xll.IMDP("STK","005830","현재가")</f>
        <v>128700</v>
      </c>
      <c r="U75">
        <f>_xll.IMDP("STK","005830","누적거래량")</f>
        <v>3516</v>
      </c>
    </row>
    <row r="76" spans="3:21" x14ac:dyDescent="0.3">
      <c r="C76">
        <v>71</v>
      </c>
      <c r="D76">
        <v>180640</v>
      </c>
      <c r="E76" t="s">
        <v>92</v>
      </c>
      <c r="F76" t="str">
        <f>ConvertStockCode(표.실시간4[[#This Row],[코드]])</f>
        <v>N180640</v>
      </c>
      <c r="G76" s="4">
        <f>_xll.IMDP("STK",표.실시간4[[#This Row],[nxt_code]],"현재가")</f>
        <v>129800</v>
      </c>
      <c r="H76" s="4">
        <f>_xll.IMDP("STK",표.실시간4[[#This Row],[nxt_code]],"시가총액")/10^12</f>
        <v>8.6657438142000007</v>
      </c>
      <c r="I76" s="4">
        <f>표.실시간4[[#This Row],[시가총액 (조원)]]/표.실시간4[[#This Row],[현재가]]*(표.실시간4[[#This Row],[현재가]]-표.실시간4[[#This Row],[대비]])</f>
        <v>8.6190102189000015</v>
      </c>
      <c r="J76" s="5">
        <f>_xll.IMDP("STK",표.실시간4[[#This Row],[nxt_code]],"전일대비")</f>
        <v>700</v>
      </c>
      <c r="K76">
        <f>_xll.IMDP("STK",표.실시간4[[#This Row],[nxt_code]],"등락률")</f>
        <v>0.54</v>
      </c>
      <c r="L76" s="4">
        <f>_xll.IMDP("STK",표.실시간4[[#This Row],[nxt_code]],"누적거래량")</f>
        <v>1775</v>
      </c>
      <c r="M76" s="4">
        <f>_xll.IMDP("STK",표.실시간4[[#This Row],[nxt_code]],"누적거래대금")</f>
        <v>230300700</v>
      </c>
      <c r="N76" s="4">
        <f>_xll.IMDP("STK",표.실시간4[[#This Row],[nxt_code]],"가중평균가")</f>
        <v>129746.87323899999</v>
      </c>
      <c r="O76" s="4">
        <f>_xll.IMDP("STK",표.실시간4[[#This Row],[nxt_code]],"시가")</f>
        <v>132100</v>
      </c>
      <c r="P76" s="4">
        <f>_xll.IMDP("STK",표.실시간4[[#This Row],[nxt_code]],"고가")</f>
        <v>132100</v>
      </c>
      <c r="Q76" s="4">
        <f>_xll.IMDP("STK",표.실시간4[[#This Row],[nxt_code]],"저가")</f>
        <v>129300</v>
      </c>
      <c r="R76">
        <f>_xll.IMDP("STK",표.실시간4[[#This Row],[nxt_code]],"세션명")</f>
        <v>0</v>
      </c>
      <c r="S76">
        <f>_xll.IMDP("STK",표.실시간4[[#This Row],[nxt_code]],"체결시간")</f>
        <v>0</v>
      </c>
      <c r="T76" s="4">
        <f>_xll.IMDP("STK","000880","현재가")</f>
        <v>117900</v>
      </c>
      <c r="U76">
        <f>_xll.IMDP("STK","000880","누적거래량")</f>
        <v>21366</v>
      </c>
    </row>
    <row r="77" spans="3:21" x14ac:dyDescent="0.3">
      <c r="C77">
        <v>72</v>
      </c>
      <c r="D77">
        <v>161390</v>
      </c>
      <c r="E77" t="s">
        <v>93</v>
      </c>
      <c r="F77" t="str">
        <f>ConvertStockCode(표.실시간4[[#This Row],[코드]])</f>
        <v>N161390</v>
      </c>
      <c r="G77" s="4">
        <f>_xll.IMDP("STK",표.실시간4[[#This Row],[nxt_code]],"현재가")</f>
        <v>67400</v>
      </c>
      <c r="H77" s="4">
        <f>_xll.IMDP("STK",표.실시간4[[#This Row],[nxt_code]],"시가총액")/10^12</f>
        <v>8.3491796506</v>
      </c>
      <c r="I77" s="4">
        <f>표.실시간4[[#This Row],[시가총액 (조원)]]/표.실시간4[[#This Row],[현재가]]*(표.실시간4[[#This Row],[현재가]]-표.실시간4[[#This Row],[대비]])</f>
        <v>8.2872421161000016</v>
      </c>
      <c r="J77" s="5">
        <f>_xll.IMDP("STK",표.실시간4[[#This Row],[nxt_code]],"전일대비")</f>
        <v>500</v>
      </c>
      <c r="K77">
        <f>_xll.IMDP("STK",표.실시간4[[#This Row],[nxt_code]],"등락률")</f>
        <v>0.9</v>
      </c>
      <c r="L77" s="4">
        <f>_xll.IMDP("STK",표.실시간4[[#This Row],[nxt_code]],"누적거래량")</f>
        <v>5325</v>
      </c>
      <c r="M77" s="4">
        <f>_xll.IMDP("STK",표.실시간4[[#This Row],[nxt_code]],"누적거래대금")</f>
        <v>361429600</v>
      </c>
      <c r="N77" s="4">
        <f>_xll.IMDP("STK",표.실시간4[[#This Row],[nxt_code]],"가중평균가")</f>
        <v>67874.103285999998</v>
      </c>
      <c r="O77" s="4">
        <f>_xll.IMDP("STK",표.실시간4[[#This Row],[nxt_code]],"시가")</f>
        <v>67500</v>
      </c>
      <c r="P77" s="4">
        <f>_xll.IMDP("STK",표.실시간4[[#This Row],[nxt_code]],"고가")</f>
        <v>68500</v>
      </c>
      <c r="Q77" s="4">
        <f>_xll.IMDP("STK",표.실시간4[[#This Row],[nxt_code]],"저가")</f>
        <v>67300</v>
      </c>
      <c r="R77">
        <f>_xll.IMDP("STK",표.실시간4[[#This Row],[nxt_code]],"세션명")</f>
        <v>0</v>
      </c>
      <c r="S77">
        <f>_xll.IMDP("STK",표.실시간4[[#This Row],[nxt_code]],"체결시간")</f>
        <v>0</v>
      </c>
      <c r="T77" s="4">
        <f>_xll.IMDP("STK","003230","현재가")</f>
        <v>1257000</v>
      </c>
      <c r="U77">
        <f>_xll.IMDP("STK","003230","누적거래량")</f>
        <v>4223</v>
      </c>
    </row>
    <row r="78" spans="3:21" x14ac:dyDescent="0.3">
      <c r="C78">
        <v>73</v>
      </c>
      <c r="D78">
        <v>100</v>
      </c>
      <c r="E78" t="s">
        <v>96</v>
      </c>
      <c r="F78" t="str">
        <f>ConvertStockCode(표.실시간4[[#This Row],[코드]])</f>
        <v>N000100</v>
      </c>
      <c r="G78" s="4">
        <f>_xll.IMDP("STK",표.실시간4[[#This Row],[nxt_code]],"현재가")</f>
        <v>105800</v>
      </c>
      <c r="H78" s="4">
        <f>_xll.IMDP("STK",표.실시간4[[#This Row],[nxt_code]],"시가총액")/10^12</f>
        <v>8.4686574783000008</v>
      </c>
      <c r="I78" s="4">
        <f>표.실시간4[[#This Row],[시가총액 (조원)]]/표.실시간4[[#This Row],[현재가]]*(표.실시간4[[#This Row],[현재가]]-표.실시간4[[#This Row],[대비]])</f>
        <v>8.380609054612572</v>
      </c>
      <c r="J78" s="5">
        <f>_xll.IMDP("STK",표.실시간4[[#This Row],[nxt_code]],"전일대비")</f>
        <v>1100</v>
      </c>
      <c r="K78">
        <f>_xll.IMDP("STK",표.실시간4[[#This Row],[nxt_code]],"등락률")</f>
        <v>1.05</v>
      </c>
      <c r="L78" s="4">
        <f>_xll.IMDP("STK",표.실시간4[[#This Row],[nxt_code]],"누적거래량")</f>
        <v>32720</v>
      </c>
      <c r="M78" s="4">
        <f>_xll.IMDP("STK",표.실시간4[[#This Row],[nxt_code]],"누적거래대금")</f>
        <v>3440352600</v>
      </c>
      <c r="N78" s="4">
        <f>_xll.IMDP("STK",표.실시간4[[#This Row],[nxt_code]],"가중평균가")</f>
        <v>105142.037224</v>
      </c>
      <c r="O78" s="4">
        <f>_xll.IMDP("STK",표.실시간4[[#This Row],[nxt_code]],"시가")</f>
        <v>105500</v>
      </c>
      <c r="P78" s="4">
        <f>_xll.IMDP("STK",표.실시간4[[#This Row],[nxt_code]],"고가")</f>
        <v>105900</v>
      </c>
      <c r="Q78" s="4">
        <f>_xll.IMDP("STK",표.실시간4[[#This Row],[nxt_code]],"저가")</f>
        <v>104700</v>
      </c>
      <c r="R78">
        <f>_xll.IMDP("STK",표.실시간4[[#This Row],[nxt_code]],"세션명")</f>
        <v>0</v>
      </c>
      <c r="S78">
        <f>_xll.IMDP("STK",표.실시간4[[#This Row],[nxt_code]],"체결시간")</f>
        <v>0</v>
      </c>
      <c r="T78" s="4">
        <f>_xll.IMDP("STK","326030","현재가")</f>
        <v>117400</v>
      </c>
      <c r="U78">
        <f>_xll.IMDP("STK","326030","누적거래량")</f>
        <v>3130</v>
      </c>
    </row>
    <row r="79" spans="3:21" x14ac:dyDescent="0.3">
      <c r="C79">
        <v>74</v>
      </c>
      <c r="D79">
        <v>443060</v>
      </c>
      <c r="E79" t="s">
        <v>95</v>
      </c>
      <c r="F79" t="str">
        <f>ConvertStockCode(표.실시간4[[#This Row],[코드]])</f>
        <v>N443060</v>
      </c>
      <c r="G79" s="4">
        <f>_xll.IMDP("STK",표.실시간4[[#This Row],[nxt_code]],"현재가")</f>
        <v>189200</v>
      </c>
      <c r="H79" s="4">
        <f>_xll.IMDP("STK",표.실시간4[[#This Row],[nxt_code]],"시가총액")/10^12</f>
        <v>8.4820885819999994</v>
      </c>
      <c r="I79" s="4">
        <f>표.실시간4[[#This Row],[시가총액 (조원)]]/표.실시간4[[#This Row],[현재가]]*(표.실시간4[[#This Row],[현재가]]-표.실시간4[[#This Row],[대비]])</f>
        <v>8.3431114434999998</v>
      </c>
      <c r="J79" s="5">
        <f>_xll.IMDP("STK",표.실시간4[[#This Row],[nxt_code]],"전일대비")</f>
        <v>3100</v>
      </c>
      <c r="K79">
        <f>_xll.IMDP("STK",표.실시간4[[#This Row],[nxt_code]],"등락률")</f>
        <v>1.72</v>
      </c>
      <c r="L79" s="4">
        <f>_xll.IMDP("STK",표.실시간4[[#This Row],[nxt_code]],"누적거래량")</f>
        <v>5472</v>
      </c>
      <c r="M79" s="4">
        <f>_xll.IMDP("STK",표.실시간4[[#This Row],[nxt_code]],"누적거래대금")</f>
        <v>1024812500</v>
      </c>
      <c r="N79" s="4">
        <f>_xll.IMDP("STK",표.실시간4[[#This Row],[nxt_code]],"가중평균가")</f>
        <v>187265.30800399999</v>
      </c>
      <c r="O79" s="4">
        <f>_xll.IMDP("STK",표.실시간4[[#This Row],[nxt_code]],"시가")</f>
        <v>186000</v>
      </c>
      <c r="P79" s="4">
        <f>_xll.IMDP("STK",표.실시간4[[#This Row],[nxt_code]],"고가")</f>
        <v>189200</v>
      </c>
      <c r="Q79" s="4">
        <f>_xll.IMDP("STK",표.실시간4[[#This Row],[nxt_code]],"저가")</f>
        <v>186000</v>
      </c>
      <c r="R79">
        <f>_xll.IMDP("STK",표.실시간4[[#This Row],[nxt_code]],"세션명")</f>
        <v>0</v>
      </c>
      <c r="S79">
        <f>_xll.IMDP("STK",표.실시간4[[#This Row],[nxt_code]],"체결시간")</f>
        <v>0</v>
      </c>
      <c r="T79" s="4">
        <f>_xll.IMDP("STK","003490","현재가")</f>
        <v>24200</v>
      </c>
      <c r="U79">
        <f>_xll.IMDP("STK","003490","누적거래량")</f>
        <v>34747</v>
      </c>
    </row>
    <row r="80" spans="3:21" x14ac:dyDescent="0.3">
      <c r="C80">
        <v>75</v>
      </c>
      <c r="D80">
        <v>5940</v>
      </c>
      <c r="E80" t="s">
        <v>97</v>
      </c>
      <c r="F80" t="str">
        <f>ConvertStockCode(표.실시간4[[#This Row],[코드]])</f>
        <v>N005940</v>
      </c>
      <c r="G80" s="4">
        <f>_xll.IMDP("STK",표.실시간4[[#This Row],[nxt_code]],"현재가")</f>
        <v>23600</v>
      </c>
      <c r="H80" s="4">
        <f>_xll.IMDP("STK",표.실시간4[[#This Row],[nxt_code]],"시가총액")/10^12</f>
        <v>8.4097271084000003</v>
      </c>
      <c r="I80" s="4">
        <f>표.실시간4[[#This Row],[시가총액 (조원)]]/표.실시간4[[#This Row],[현재가]]*(표.실시간4[[#This Row],[현재가]]-표.실시간4[[#This Row],[대비]])</f>
        <v>8.1424688316499996</v>
      </c>
      <c r="J80" s="5">
        <f>_xll.IMDP("STK",표.실시간4[[#This Row],[nxt_code]],"전일대비")</f>
        <v>750</v>
      </c>
      <c r="K80">
        <f>_xll.IMDP("STK",표.실시간4[[#This Row],[nxt_code]],"등락률")</f>
        <v>3.28</v>
      </c>
      <c r="L80" s="4">
        <f>_xll.IMDP("STK",표.실시간4[[#This Row],[nxt_code]],"누적거래량")</f>
        <v>71283</v>
      </c>
      <c r="M80" s="4">
        <f>_xll.IMDP("STK",표.실시간4[[#This Row],[nxt_code]],"누적거래대금")</f>
        <v>1662652950</v>
      </c>
      <c r="N80" s="4">
        <f>_xll.IMDP("STK",표.실시간4[[#This Row],[nxt_code]],"가중평균가")</f>
        <v>23324.676992000001</v>
      </c>
      <c r="O80" s="4">
        <f>_xll.IMDP("STK",표.실시간4[[#This Row],[nxt_code]],"시가")</f>
        <v>23100</v>
      </c>
      <c r="P80" s="4">
        <f>_xll.IMDP("STK",표.실시간4[[#This Row],[nxt_code]],"고가")</f>
        <v>23600</v>
      </c>
      <c r="Q80" s="4">
        <f>_xll.IMDP("STK",표.실시간4[[#This Row],[nxt_code]],"저가")</f>
        <v>23000</v>
      </c>
      <c r="R80">
        <f>_xll.IMDP("STK",표.실시간4[[#This Row],[nxt_code]],"세션명")</f>
        <v>0</v>
      </c>
      <c r="S80">
        <f>_xll.IMDP("STK",표.실시간4[[#This Row],[nxt_code]],"체결시간")</f>
        <v>0</v>
      </c>
      <c r="T80" s="4">
        <f>_xll.IMDP("STK","180640","현재가")</f>
        <v>129900</v>
      </c>
      <c r="U80">
        <f>_xll.IMDP("STK","180640","누적거래량")</f>
        <v>604</v>
      </c>
    </row>
    <row r="81" spans="3:21" x14ac:dyDescent="0.3">
      <c r="C81">
        <v>76</v>
      </c>
      <c r="D81">
        <v>7660</v>
      </c>
      <c r="E81" t="s">
        <v>98</v>
      </c>
      <c r="F81" t="str">
        <f>ConvertStockCode(표.실시간4[[#This Row],[코드]])</f>
        <v>N007660</v>
      </c>
      <c r="G81" s="4">
        <f>_xll.IMDP("STK",표.실시간4[[#This Row],[nxt_code]],"현재가")</f>
        <v>112100</v>
      </c>
      <c r="H81" s="4">
        <f>_xll.IMDP("STK",표.실시간4[[#This Row],[nxt_code]],"시가총액")/10^12</f>
        <v>8.2291734498999993</v>
      </c>
      <c r="I81" s="4">
        <f>표.실시간4[[#This Row],[시가총액 (조원)]]/표.실시간4[[#This Row],[현재가]]*(표.실시간4[[#This Row],[현재가]]-표.실시간4[[#This Row],[대비]])</f>
        <v>8.3025826688999995</v>
      </c>
      <c r="J81" s="5">
        <f>_xll.IMDP("STK",표.실시간4[[#This Row],[nxt_code]],"전일대비")</f>
        <v>-1000</v>
      </c>
      <c r="K81">
        <f>_xll.IMDP("STK",표.실시간4[[#This Row],[nxt_code]],"등락률")</f>
        <v>-0.88</v>
      </c>
      <c r="L81" s="4">
        <f>_xll.IMDP("STK",표.실시간4[[#This Row],[nxt_code]],"누적거래량")</f>
        <v>125710</v>
      </c>
      <c r="M81" s="4">
        <f>_xll.IMDP("STK",표.실시간4[[#This Row],[nxt_code]],"누적거래대금")</f>
        <v>14209958000</v>
      </c>
      <c r="N81" s="4">
        <f>_xll.IMDP("STK",표.실시간4[[#This Row],[nxt_code]],"가중평균가")</f>
        <v>113037.610373</v>
      </c>
      <c r="O81" s="4">
        <f>_xll.IMDP("STK",표.실시간4[[#This Row],[nxt_code]],"시가")</f>
        <v>112300</v>
      </c>
      <c r="P81" s="4">
        <f>_xll.IMDP("STK",표.실시간4[[#This Row],[nxt_code]],"고가")</f>
        <v>114200</v>
      </c>
      <c r="Q81" s="4">
        <f>_xll.IMDP("STK",표.실시간4[[#This Row],[nxt_code]],"저가")</f>
        <v>111000</v>
      </c>
      <c r="R81">
        <f>_xll.IMDP("STK",표.실시간4[[#This Row],[nxt_code]],"세션명")</f>
        <v>0</v>
      </c>
      <c r="S81">
        <f>_xll.IMDP("STK",표.실시간4[[#This Row],[nxt_code]],"체결시간")</f>
        <v>0</v>
      </c>
      <c r="T81" s="4">
        <f>_xll.IMDP("STK","161390","현재가")</f>
        <v>67400</v>
      </c>
      <c r="U81">
        <f>_xll.IMDP("STK","161390","누적거래량")</f>
        <v>14520</v>
      </c>
    </row>
    <row r="82" spans="3:21" x14ac:dyDescent="0.3">
      <c r="C82">
        <v>77</v>
      </c>
      <c r="D82">
        <v>454910</v>
      </c>
      <c r="E82" t="s">
        <v>99</v>
      </c>
      <c r="F82" t="str">
        <f>ConvertStockCode(표.실시간4[[#This Row],[코드]])</f>
        <v>N454910</v>
      </c>
      <c r="G82" s="4">
        <f>_xll.IMDP("STK",표.실시간4[[#This Row],[nxt_code]],"현재가")</f>
        <v>114100</v>
      </c>
      <c r="H82" s="4">
        <f>_xll.IMDP("STK",표.실시간4[[#This Row],[nxt_code]],"시가총액")/10^12</f>
        <v>7.3959597180000003</v>
      </c>
      <c r="I82" s="4">
        <f>표.실시간4[[#This Row],[시가총액 (조원)]]/표.실시간4[[#This Row],[현재가]]*(표.실시간4[[#This Row],[현재가]]-표.실시간4[[#This Row],[대비]])</f>
        <v>7.4867076900000002</v>
      </c>
      <c r="J82" s="5">
        <f>_xll.IMDP("STK",표.실시간4[[#This Row],[nxt_code]],"전일대비")</f>
        <v>-1400</v>
      </c>
      <c r="K82">
        <f>_xll.IMDP("STK",표.실시간4[[#This Row],[nxt_code]],"등락률")</f>
        <v>-1.1299999999999999</v>
      </c>
      <c r="L82" s="4">
        <f>_xll.IMDP("STK",표.실시간4[[#This Row],[nxt_code]],"누적거래량")</f>
        <v>167647</v>
      </c>
      <c r="M82" s="4">
        <f>_xll.IMDP("STK",표.실시간4[[#This Row],[nxt_code]],"누적거래대금")</f>
        <v>19347682100</v>
      </c>
      <c r="N82" s="4">
        <f>_xll.IMDP("STK",표.실시간4[[#This Row],[nxt_code]],"가중평균가")</f>
        <v>115407.267055</v>
      </c>
      <c r="O82" s="4">
        <f>_xll.IMDP("STK",표.실시간4[[#This Row],[nxt_code]],"시가")</f>
        <v>116400</v>
      </c>
      <c r="P82" s="4">
        <f>_xll.IMDP("STK",표.실시간4[[#This Row],[nxt_code]],"고가")</f>
        <v>117700</v>
      </c>
      <c r="Q82" s="4">
        <f>_xll.IMDP("STK",표.실시간4[[#This Row],[nxt_code]],"저가")</f>
        <v>113300</v>
      </c>
      <c r="R82">
        <f>_xll.IMDP("STK",표.실시간4[[#This Row],[nxt_code]],"세션명")</f>
        <v>0</v>
      </c>
      <c r="S82">
        <f>_xll.IMDP("STK",표.실시간4[[#This Row],[nxt_code]],"체결시간")</f>
        <v>0</v>
      </c>
      <c r="T82" s="4">
        <f>_xll.IMDP("STK","039490","현재가")</f>
        <v>334500</v>
      </c>
      <c r="U82">
        <f>_xll.IMDP("STK","039490","누적거래량")</f>
        <v>7541</v>
      </c>
    </row>
    <row r="83" spans="3:21" x14ac:dyDescent="0.3">
      <c r="C83">
        <v>78</v>
      </c>
      <c r="D83">
        <v>16360</v>
      </c>
      <c r="E83" t="s">
        <v>100</v>
      </c>
      <c r="F83" t="str">
        <f>ConvertStockCode(표.실시간4[[#This Row],[코드]])</f>
        <v>N016360</v>
      </c>
      <c r="G83" s="4">
        <f>_xll.IMDP("STK",표.실시간4[[#This Row],[nxt_code]],"현재가")</f>
        <v>85500</v>
      </c>
      <c r="H83" s="4">
        <f>_xll.IMDP("STK",표.실시간4[[#This Row],[nxt_code]],"시가총액")/10^12</f>
        <v>7.6351500000000003</v>
      </c>
      <c r="I83" s="4">
        <f>표.실시간4[[#This Row],[시가총액 (조원)]]/표.실시간4[[#This Row],[현재가]]*(표.실시간4[[#This Row],[현재가]]-표.실시간4[[#This Row],[대비]])</f>
        <v>7.4833400000000001</v>
      </c>
      <c r="J83" s="5">
        <f>_xll.IMDP("STK",표.실시간4[[#This Row],[nxt_code]],"전일대비")</f>
        <v>1700</v>
      </c>
      <c r="K83">
        <f>_xll.IMDP("STK",표.실시간4[[#This Row],[nxt_code]],"등락률")</f>
        <v>2.0299999999999998</v>
      </c>
      <c r="L83" s="4">
        <f>_xll.IMDP("STK",표.실시간4[[#This Row],[nxt_code]],"누적거래량")</f>
        <v>57656</v>
      </c>
      <c r="M83" s="4">
        <f>_xll.IMDP("STK",표.실시간4[[#This Row],[nxt_code]],"누적거래대금")</f>
        <v>4935537300</v>
      </c>
      <c r="N83" s="4">
        <f>_xll.IMDP("STK",표.실시간4[[#This Row],[nxt_code]],"가중평균가")</f>
        <v>85013.388797000007</v>
      </c>
      <c r="O83" s="4">
        <f>_xll.IMDP("STK",표.실시간4[[#This Row],[nxt_code]],"시가")</f>
        <v>85000</v>
      </c>
      <c r="P83" s="4">
        <f>_xll.IMDP("STK",표.실시간4[[#This Row],[nxt_code]],"고가")</f>
        <v>85800</v>
      </c>
      <c r="Q83" s="4">
        <f>_xll.IMDP("STK",표.실시간4[[#This Row],[nxt_code]],"저가")</f>
        <v>84400</v>
      </c>
      <c r="R83">
        <f>_xll.IMDP("STK",표.실시간4[[#This Row],[nxt_code]],"세션명")</f>
        <v>0</v>
      </c>
      <c r="S83">
        <f>_xll.IMDP("STK",표.실시간4[[#This Row],[nxt_code]],"체결시간")</f>
        <v>0</v>
      </c>
      <c r="T83" s="4">
        <f>_xll.IMDP("STK","443060","현재가")</f>
        <v>189100</v>
      </c>
      <c r="U83">
        <f>_xll.IMDP("STK","443060","누적거래량")</f>
        <v>1985</v>
      </c>
    </row>
    <row r="84" spans="3:21" x14ac:dyDescent="0.3">
      <c r="C84">
        <v>79</v>
      </c>
      <c r="D84">
        <v>90430</v>
      </c>
      <c r="E84" t="s">
        <v>102</v>
      </c>
      <c r="F84" t="str">
        <f>ConvertStockCode(표.실시간4[[#This Row],[코드]])</f>
        <v>N090430</v>
      </c>
      <c r="G84" s="4">
        <f>_xll.IMDP("STK",표.실시간4[[#This Row],[nxt_code]],"현재가")</f>
        <v>126100</v>
      </c>
      <c r="H84" s="4">
        <f>_xll.IMDP("STK",표.실시간4[[#This Row],[nxt_code]],"시가총액")/10^12</f>
        <v>7.3759369099000001</v>
      </c>
      <c r="I84" s="4">
        <f>표.실시간4[[#This Row],[시가총액 (조원)]]/표.실시간4[[#This Row],[현재가]]*(표.실시간4[[#This Row],[현재가]]-표.실시간4[[#This Row],[대비]])</f>
        <v>7.4051832894</v>
      </c>
      <c r="J84" s="5">
        <f>_xll.IMDP("STK",표.실시간4[[#This Row],[nxt_code]],"전일대비")</f>
        <v>-500</v>
      </c>
      <c r="K84">
        <f>_xll.IMDP("STK",표.실시간4[[#This Row],[nxt_code]],"등락률")</f>
        <v>-0.47</v>
      </c>
      <c r="L84" s="4">
        <f>_xll.IMDP("STK",표.실시간4[[#This Row],[nxt_code]],"누적거래량")</f>
        <v>25343</v>
      </c>
      <c r="M84" s="4">
        <f>_xll.IMDP("STK",표.실시간4[[#This Row],[nxt_code]],"누적거래대금")</f>
        <v>3205039100</v>
      </c>
      <c r="N84" s="4">
        <f>_xll.IMDP("STK",표.실시간4[[#This Row],[nxt_code]],"가중평균가")</f>
        <v>126466.44438299999</v>
      </c>
      <c r="O84" s="4">
        <f>_xll.IMDP("STK",표.실시간4[[#This Row],[nxt_code]],"시가")</f>
        <v>126900</v>
      </c>
      <c r="P84" s="4">
        <f>_xll.IMDP("STK",표.실시간4[[#This Row],[nxt_code]],"고가")</f>
        <v>127700</v>
      </c>
      <c r="Q84" s="4">
        <f>_xll.IMDP("STK",표.실시간4[[#This Row],[nxt_code]],"저가")</f>
        <v>125900</v>
      </c>
      <c r="R84">
        <f>_xll.IMDP("STK",표.실시간4[[#This Row],[nxt_code]],"세션명")</f>
        <v>0</v>
      </c>
      <c r="S84">
        <f>_xll.IMDP("STK",표.실시간4[[#This Row],[nxt_code]],"체결시간")</f>
        <v>0</v>
      </c>
      <c r="T84" s="4">
        <f>_xll.IMDP("STK","000100","현재가")</f>
        <v>105700</v>
      </c>
      <c r="U84">
        <f>_xll.IMDP("STK","000100","누적거래량")</f>
        <v>8781</v>
      </c>
    </row>
    <row r="85" spans="3:21" x14ac:dyDescent="0.3">
      <c r="C85">
        <v>80</v>
      </c>
      <c r="D85">
        <v>6260</v>
      </c>
      <c r="E85" t="s">
        <v>101</v>
      </c>
      <c r="F85" t="str">
        <f>ConvertStockCode(표.실시간4[[#This Row],[코드]])</f>
        <v>N006260</v>
      </c>
      <c r="G85" s="4">
        <f>_xll.IMDP("STK",표.실시간4[[#This Row],[nxt_code]],"현재가")</f>
        <v>230000</v>
      </c>
      <c r="H85" s="4">
        <f>_xll.IMDP("STK",표.실시간4[[#This Row],[nxt_code]],"시가총액")/10^12</f>
        <v>7.2910000000000004</v>
      </c>
      <c r="I85" s="4">
        <f>표.실시간4[[#This Row],[시가총액 (조원)]]/표.실시간4[[#This Row],[현재가]]*(표.실시간4[[#This Row],[현재가]]-표.실시간4[[#This Row],[대비]])</f>
        <v>6.8789000000000007</v>
      </c>
      <c r="J85" s="5">
        <f>_xll.IMDP("STK",표.실시간4[[#This Row],[nxt_code]],"전일대비")</f>
        <v>13000</v>
      </c>
      <c r="K85">
        <f>_xll.IMDP("STK",표.실시간4[[#This Row],[nxt_code]],"등락률")</f>
        <v>5.99</v>
      </c>
      <c r="L85" s="4">
        <f>_xll.IMDP("STK",표.실시간4[[#This Row],[nxt_code]],"누적거래량")</f>
        <v>68210</v>
      </c>
      <c r="M85" s="4">
        <f>_xll.IMDP("STK",표.실시간4[[#This Row],[nxt_code]],"누적거래대금")</f>
        <v>15354518500</v>
      </c>
      <c r="N85" s="4">
        <f>_xll.IMDP("STK",표.실시간4[[#This Row],[nxt_code]],"가중평균가")</f>
        <v>225106.56062199999</v>
      </c>
      <c r="O85" s="4">
        <f>_xll.IMDP("STK",표.실시간4[[#This Row],[nxt_code]],"시가")</f>
        <v>220000</v>
      </c>
      <c r="P85" s="4">
        <f>_xll.IMDP("STK",표.실시간4[[#This Row],[nxt_code]],"고가")</f>
        <v>230500</v>
      </c>
      <c r="Q85" s="4">
        <f>_xll.IMDP("STK",표.실시간4[[#This Row],[nxt_code]],"저가")</f>
        <v>218000</v>
      </c>
      <c r="R85">
        <f>_xll.IMDP("STK",표.실시간4[[#This Row],[nxt_code]],"세션명")</f>
        <v>0</v>
      </c>
      <c r="S85">
        <f>_xll.IMDP("STK",표.실시간4[[#This Row],[nxt_code]],"체결시간")</f>
        <v>0</v>
      </c>
      <c r="T85" s="4">
        <f>_xll.IMDP("STK","005940","현재가")</f>
        <v>23500</v>
      </c>
      <c r="U85">
        <f>_xll.IMDP("STK","005940","누적거래량")</f>
        <v>56204</v>
      </c>
    </row>
    <row r="86" spans="3:21" x14ac:dyDescent="0.3">
      <c r="C86">
        <v>81</v>
      </c>
      <c r="D86">
        <v>377300</v>
      </c>
      <c r="E86" t="s">
        <v>104</v>
      </c>
      <c r="F86" t="str">
        <f>ConvertStockCode(표.실시간4[[#This Row],[코드]])</f>
        <v>N377300</v>
      </c>
      <c r="G86" s="4">
        <f>_xll.IMDP("STK",표.실시간4[[#This Row],[nxt_code]],"현재가")</f>
        <v>53800</v>
      </c>
      <c r="H86" s="4">
        <f>_xll.IMDP("STK",표.실시간4[[#This Row],[nxt_code]],"시가총액")/10^12</f>
        <v>7.2708090700000003</v>
      </c>
      <c r="I86" s="4">
        <f>표.실시간4[[#This Row],[시가총액 (조원)]]/표.실시간4[[#This Row],[현재가]]*(표.실시간4[[#This Row],[현재가]]-표.실시간4[[#This Row],[대비]])</f>
        <v>7.0545768300000002</v>
      </c>
      <c r="J86" s="5">
        <f>_xll.IMDP("STK",표.실시간4[[#This Row],[nxt_code]],"전일대비")</f>
        <v>1600</v>
      </c>
      <c r="K86">
        <f>_xll.IMDP("STK",표.실시간4[[#This Row],[nxt_code]],"등락률")</f>
        <v>3.07</v>
      </c>
      <c r="L86" s="4">
        <f>_xll.IMDP("STK",표.실시간4[[#This Row],[nxt_code]],"누적거래량")</f>
        <v>130930</v>
      </c>
      <c r="M86" s="4">
        <f>_xll.IMDP("STK",표.실시간4[[#This Row],[nxt_code]],"누적거래대금")</f>
        <v>6956769250</v>
      </c>
      <c r="N86" s="4">
        <f>_xll.IMDP("STK",표.실시간4[[#This Row],[nxt_code]],"가중평균가")</f>
        <v>53127.819907999998</v>
      </c>
      <c r="O86" s="4">
        <f>_xll.IMDP("STK",표.실시간4[[#This Row],[nxt_code]],"시가")</f>
        <v>52400</v>
      </c>
      <c r="P86" s="4">
        <f>_xll.IMDP("STK",표.실시간4[[#This Row],[nxt_code]],"고가")</f>
        <v>54000</v>
      </c>
      <c r="Q86" s="4">
        <f>_xll.IMDP("STK",표.실시간4[[#This Row],[nxt_code]],"저가")</f>
        <v>52300</v>
      </c>
      <c r="R86">
        <f>_xll.IMDP("STK",표.실시간4[[#This Row],[nxt_code]],"세션명")</f>
        <v>0</v>
      </c>
      <c r="S86">
        <f>_xll.IMDP("STK",표.실시간4[[#This Row],[nxt_code]],"체결시간")</f>
        <v>0</v>
      </c>
      <c r="T86" s="4">
        <f>_xll.IMDP("STK","007660","현재가")</f>
        <v>112000</v>
      </c>
      <c r="U86">
        <f>_xll.IMDP("STK","007660","누적거래량")</f>
        <v>24093</v>
      </c>
    </row>
    <row r="87" spans="3:21" x14ac:dyDescent="0.3">
      <c r="C87">
        <v>82</v>
      </c>
      <c r="D87">
        <v>32640</v>
      </c>
      <c r="E87" t="s">
        <v>108</v>
      </c>
      <c r="F87" t="str">
        <f>ConvertStockCode(표.실시간4[[#This Row],[코드]])</f>
        <v>N032640</v>
      </c>
      <c r="G87" s="4">
        <f>_xll.IMDP("STK",표.실시간4[[#This Row],[nxt_code]],"현재가")</f>
        <v>15310</v>
      </c>
      <c r="H87" s="4">
        <f>_xll.IMDP("STK",표.실시간4[[#This Row],[nxt_code]],"시가총액")/10^12</f>
        <v>6.5806721150499996</v>
      </c>
      <c r="I87" s="4">
        <f>표.실시간4[[#This Row],[시가총액 (조원)]]/표.실시간4[[#This Row],[현재가]]*(표.실시간4[[#This Row],[현재가]]-표.실시간4[[#This Row],[대비]])</f>
        <v>6.6107600998999994</v>
      </c>
      <c r="J87" s="5">
        <f>_xll.IMDP("STK",표.실시간4[[#This Row],[nxt_code]],"전일대비")</f>
        <v>-70</v>
      </c>
      <c r="K87">
        <f>_xll.IMDP("STK",표.실시간4[[#This Row],[nxt_code]],"등락률")</f>
        <v>-0.46</v>
      </c>
      <c r="L87" s="4">
        <f>_xll.IMDP("STK",표.실시간4[[#This Row],[nxt_code]],"누적거래량")</f>
        <v>11960</v>
      </c>
      <c r="M87" s="4">
        <f>_xll.IMDP("STK",표.실시간4[[#This Row],[nxt_code]],"누적거래대금")</f>
        <v>184255340</v>
      </c>
      <c r="N87" s="4">
        <f>_xll.IMDP("STK",표.실시간4[[#This Row],[nxt_code]],"가중평균가")</f>
        <v>15405.964883000001</v>
      </c>
      <c r="O87" s="4">
        <f>_xll.IMDP("STK",표.실시간4[[#This Row],[nxt_code]],"시가")</f>
        <v>15370</v>
      </c>
      <c r="P87" s="4">
        <f>_xll.IMDP("STK",표.실시간4[[#This Row],[nxt_code]],"고가")</f>
        <v>15500</v>
      </c>
      <c r="Q87" s="4">
        <f>_xll.IMDP("STK",표.실시간4[[#This Row],[nxt_code]],"저가")</f>
        <v>15310</v>
      </c>
      <c r="R87">
        <f>_xll.IMDP("STK",표.실시간4[[#This Row],[nxt_code]],"세션명")</f>
        <v>0</v>
      </c>
      <c r="S87">
        <f>_xll.IMDP("STK",표.실시간4[[#This Row],[nxt_code]],"체결시간")</f>
        <v>0</v>
      </c>
      <c r="T87" s="4">
        <f>_xll.IMDP("STK","454910","현재가")</f>
        <v>114000</v>
      </c>
      <c r="U87">
        <f>_xll.IMDP("STK","454910","누적거래량")</f>
        <v>34506</v>
      </c>
    </row>
    <row r="88" spans="3:21" x14ac:dyDescent="0.3">
      <c r="C88">
        <v>83</v>
      </c>
      <c r="D88">
        <v>11070</v>
      </c>
      <c r="E88" t="s">
        <v>106</v>
      </c>
      <c r="F88" t="str">
        <f>ConvertStockCode(표.실시간4[[#This Row],[코드]])</f>
        <v>N011070</v>
      </c>
      <c r="G88" s="4">
        <f>_xll.IMDP("STK",표.실시간4[[#This Row],[nxt_code]],"현재가")</f>
        <v>282500</v>
      </c>
      <c r="H88" s="4">
        <f>_xll.IMDP("STK",표.실시간4[[#This Row],[nxt_code]],"시가총액")/10^12</f>
        <v>6.6859577274999999</v>
      </c>
      <c r="I88" s="4">
        <f>표.실시간4[[#This Row],[시가총액 (조원)]]/표.실시간4[[#This Row],[현재가]]*(표.실시간4[[#This Row],[현재가]]-표.실시간4[[#This Row],[대비]])</f>
        <v>6.6622906204999994</v>
      </c>
      <c r="J88" s="5">
        <f>_xll.IMDP("STK",표.실시간4[[#This Row],[nxt_code]],"전일대비")</f>
        <v>1000</v>
      </c>
      <c r="K88">
        <f>_xll.IMDP("STK",표.실시간4[[#This Row],[nxt_code]],"등락률")</f>
        <v>-0.18</v>
      </c>
      <c r="L88" s="4">
        <f>_xll.IMDP("STK",표.실시간4[[#This Row],[nxt_code]],"누적거래량")</f>
        <v>14115</v>
      </c>
      <c r="M88" s="4">
        <f>_xll.IMDP("STK",표.실시간4[[#This Row],[nxt_code]],"누적거래대금")</f>
        <v>4105172500</v>
      </c>
      <c r="N88" s="4">
        <f>_xll.IMDP("STK",표.실시간4[[#This Row],[nxt_code]],"가중평균가")</f>
        <v>285319.189602</v>
      </c>
      <c r="O88" s="4">
        <f>_xll.IMDP("STK",표.실시간4[[#This Row],[nxt_code]],"시가")</f>
        <v>285000</v>
      </c>
      <c r="P88" s="4">
        <f>_xll.IMDP("STK",표.실시간4[[#This Row],[nxt_code]],"고가")</f>
        <v>287000</v>
      </c>
      <c r="Q88" s="4">
        <f>_xll.IMDP("STK",표.실시간4[[#This Row],[nxt_code]],"저가")</f>
        <v>282500</v>
      </c>
      <c r="R88">
        <f>_xll.IMDP("STK",표.실시간4[[#This Row],[nxt_code]],"세션명")</f>
        <v>0</v>
      </c>
      <c r="S88">
        <f>_xll.IMDP("STK",표.실시간4[[#This Row],[nxt_code]],"체결시간")</f>
        <v>0</v>
      </c>
      <c r="T88" s="4">
        <f>_xll.IMDP("STK","016360","현재가")</f>
        <v>85600</v>
      </c>
      <c r="U88">
        <f>_xll.IMDP("STK","016360","누적거래량")</f>
        <v>18476</v>
      </c>
    </row>
    <row r="89" spans="3:21" x14ac:dyDescent="0.3">
      <c r="C89">
        <v>84</v>
      </c>
      <c r="D89">
        <v>64400</v>
      </c>
      <c r="E89" t="s">
        <v>103</v>
      </c>
      <c r="F89" t="str">
        <f>ConvertStockCode(표.실시간4[[#This Row],[코드]])</f>
        <v>N064400</v>
      </c>
      <c r="G89" s="4">
        <f>_xll.IMDP("STK",표.실시간4[[#This Row],[nxt_code]],"현재가")</f>
        <v>69200</v>
      </c>
      <c r="H89" s="4">
        <f>_xll.IMDP("STK",표.실시간4[[#This Row],[nxt_code]],"시가총액")/10^12</f>
        <v>6.7045076015999996</v>
      </c>
      <c r="I89" s="4">
        <f>표.실시간4[[#This Row],[시가총액 (조원)]]/표.실시간4[[#This Row],[현재가]]*(표.실시간4[[#This Row],[현재가]]-표.실시간4[[#This Row],[대비]])</f>
        <v>6.5882444639999997</v>
      </c>
      <c r="J89" s="5">
        <f>_xll.IMDP("STK",표.실시간4[[#This Row],[nxt_code]],"전일대비")</f>
        <v>1200</v>
      </c>
      <c r="K89">
        <f>_xll.IMDP("STK",표.실시간4[[#This Row],[nxt_code]],"등락률")</f>
        <v>1.76</v>
      </c>
      <c r="L89" s="4">
        <f>_xll.IMDP("STK",표.실시간4[[#This Row],[nxt_code]],"누적거래량")</f>
        <v>124650</v>
      </c>
      <c r="M89" s="4">
        <f>_xll.IMDP("STK",표.실시간4[[#This Row],[nxt_code]],"누적거래대금")</f>
        <v>8595001500</v>
      </c>
      <c r="N89" s="4">
        <f>_xll.IMDP("STK",표.실시간4[[#This Row],[nxt_code]],"가중평균가")</f>
        <v>68919.353545000005</v>
      </c>
      <c r="O89" s="4">
        <f>_xll.IMDP("STK",표.실시간4[[#This Row],[nxt_code]],"시가")</f>
        <v>68300</v>
      </c>
      <c r="P89" s="4">
        <f>_xll.IMDP("STK",표.실시간4[[#This Row],[nxt_code]],"고가")</f>
        <v>69800</v>
      </c>
      <c r="Q89" s="4">
        <f>_xll.IMDP("STK",표.실시간4[[#This Row],[nxt_code]],"저가")</f>
        <v>67600</v>
      </c>
      <c r="R89">
        <f>_xll.IMDP("STK",표.실시간4[[#This Row],[nxt_code]],"세션명")</f>
        <v>0</v>
      </c>
      <c r="S89">
        <f>_xll.IMDP("STK",표.실시간4[[#This Row],[nxt_code]],"체결시간")</f>
        <v>0</v>
      </c>
      <c r="T89" s="4">
        <f>_xll.IMDP("STK","006260","현재가")</f>
        <v>231500</v>
      </c>
      <c r="U89">
        <f>_xll.IMDP("STK","006260","누적거래량")</f>
        <v>1533</v>
      </c>
    </row>
    <row r="90" spans="3:21" x14ac:dyDescent="0.3">
      <c r="C90">
        <v>85</v>
      </c>
      <c r="D90">
        <v>22100</v>
      </c>
      <c r="E90" t="s">
        <v>107</v>
      </c>
      <c r="F90" t="str">
        <f>ConvertStockCode(표.실시간4[[#This Row],[코드]])</f>
        <v>N022100</v>
      </c>
      <c r="G90" s="4">
        <f>_xll.IMDP("STK",표.실시간4[[#This Row],[nxt_code]],"현재가")</f>
        <v>40550</v>
      </c>
      <c r="H90" s="4">
        <f>_xll.IMDP("STK",표.실시간4[[#This Row],[nxt_code]],"시가총액")/10^12</f>
        <v>6.1650082609499997</v>
      </c>
      <c r="I90" s="4">
        <f>표.실시간4[[#This Row],[시가총액 (조원)]]/표.실시간4[[#This Row],[현재가]]*(표.실시간4[[#This Row],[현재가]]-표.실시간4[[#This Row],[대비]])</f>
        <v>6.1878134702999992</v>
      </c>
      <c r="J90" s="5">
        <f>_xll.IMDP("STK",표.실시간4[[#This Row],[nxt_code]],"전일대비")</f>
        <v>-150</v>
      </c>
      <c r="K90">
        <f>_xll.IMDP("STK",표.실시간4[[#This Row],[nxt_code]],"등락률")</f>
        <v>-0.37</v>
      </c>
      <c r="L90" s="4">
        <f>_xll.IMDP("STK",표.실시간4[[#This Row],[nxt_code]],"누적거래량")</f>
        <v>451868</v>
      </c>
      <c r="M90" s="4">
        <f>_xll.IMDP("STK",표.실시간4[[#This Row],[nxt_code]],"누적거래대금")</f>
        <v>18425360800</v>
      </c>
      <c r="N90" s="4">
        <f>_xll.IMDP("STK",표.실시간4[[#This Row],[nxt_code]],"가중평균가")</f>
        <v>40775.980596000001</v>
      </c>
      <c r="O90" s="4">
        <f>_xll.IMDP("STK",표.실시간4[[#This Row],[nxt_code]],"시가")</f>
        <v>40600</v>
      </c>
      <c r="P90" s="4">
        <f>_xll.IMDP("STK",표.실시간4[[#This Row],[nxt_code]],"고가")</f>
        <v>41200</v>
      </c>
      <c r="Q90" s="4">
        <f>_xll.IMDP("STK",표.실시간4[[#This Row],[nxt_code]],"저가")</f>
        <v>40000</v>
      </c>
      <c r="R90">
        <f>_xll.IMDP("STK",표.실시간4[[#This Row],[nxt_code]],"세션명")</f>
        <v>0</v>
      </c>
      <c r="S90">
        <f>_xll.IMDP("STK",표.실시간4[[#This Row],[nxt_code]],"체결시간")</f>
        <v>0</v>
      </c>
      <c r="T90" s="4">
        <f>_xll.IMDP("STK","090430","현재가")</f>
        <v>126100</v>
      </c>
      <c r="U90">
        <f>_xll.IMDP("STK","090430","누적거래량")</f>
        <v>6447</v>
      </c>
    </row>
    <row r="91" spans="3:21" x14ac:dyDescent="0.3">
      <c r="C91">
        <v>86</v>
      </c>
      <c r="D91">
        <v>34220</v>
      </c>
      <c r="E91" t="s">
        <v>111</v>
      </c>
      <c r="F91" t="str">
        <f>ConvertStockCode(표.실시간4[[#This Row],[코드]])</f>
        <v>N034220</v>
      </c>
      <c r="G91" s="4">
        <f>_xll.IMDP("STK",표.실시간4[[#This Row],[nxt_code]],"현재가")</f>
        <v>12650</v>
      </c>
      <c r="H91" s="4">
        <f>_xll.IMDP("STK",표.실시간4[[#This Row],[nxt_code]],"시가총액")/10^12</f>
        <v>6.3250000000000002</v>
      </c>
      <c r="I91" s="4">
        <f>표.실시간4[[#This Row],[시가총액 (조원)]]/표.실시간4[[#This Row],[현재가]]*(표.실시간4[[#This Row],[현재가]]-표.실시간4[[#This Row],[대비]])</f>
        <v>6.33</v>
      </c>
      <c r="J91" s="5">
        <f>_xll.IMDP("STK",표.실시간4[[#This Row],[nxt_code]],"전일대비")</f>
        <v>-10</v>
      </c>
      <c r="K91">
        <f>_xll.IMDP("STK",표.실시간4[[#This Row],[nxt_code]],"등락률")</f>
        <v>-0.08</v>
      </c>
      <c r="L91" s="4">
        <f>_xll.IMDP("STK",표.실시간4[[#This Row],[nxt_code]],"누적거래량")</f>
        <v>225571</v>
      </c>
      <c r="M91" s="4">
        <f>_xll.IMDP("STK",표.실시간4[[#This Row],[nxt_code]],"누적거래대금")</f>
        <v>2874342595</v>
      </c>
      <c r="N91" s="4">
        <f>_xll.IMDP("STK",표.실시간4[[#This Row],[nxt_code]],"가중평균가")</f>
        <v>12742.518298000001</v>
      </c>
      <c r="O91" s="4">
        <f>_xll.IMDP("STK",표.실시간4[[#This Row],[nxt_code]],"시가")</f>
        <v>12690</v>
      </c>
      <c r="P91" s="4">
        <f>_xll.IMDP("STK",표.실시간4[[#This Row],[nxt_code]],"고가")</f>
        <v>12800</v>
      </c>
      <c r="Q91" s="4">
        <f>_xll.IMDP("STK",표.실시간4[[#This Row],[nxt_code]],"저가")</f>
        <v>12650</v>
      </c>
      <c r="R91">
        <f>_xll.IMDP("STK",표.실시간4[[#This Row],[nxt_code]],"세션명")</f>
        <v>0</v>
      </c>
      <c r="S91">
        <f>_xll.IMDP("STK",표.실시간4[[#This Row],[nxt_code]],"체결시간")</f>
        <v>0</v>
      </c>
      <c r="T91" s="4">
        <f>_xll.IMDP("STK","064400","현재가")</f>
        <v>69300</v>
      </c>
      <c r="U91">
        <f>_xll.IMDP("STK","064400","누적거래량")</f>
        <v>47085</v>
      </c>
    </row>
    <row r="92" spans="3:21" x14ac:dyDescent="0.3">
      <c r="C92">
        <v>87</v>
      </c>
      <c r="D92">
        <v>29780</v>
      </c>
      <c r="E92" t="s">
        <v>110</v>
      </c>
      <c r="F92" t="str">
        <f>ConvertStockCode(표.실시간4[[#This Row],[코드]])</f>
        <v>N029780</v>
      </c>
      <c r="G92" s="4">
        <f>_xll.IMDP("STK",표.실시간4[[#This Row],[nxt_code]],"현재가")</f>
        <v>54000</v>
      </c>
      <c r="H92" s="4">
        <f>_xll.IMDP("STK",표.실시간4[[#This Row],[nxt_code]],"시가총액")/10^12</f>
        <v>6.2563801139999997</v>
      </c>
      <c r="I92" s="4">
        <f>표.실시간4[[#This Row],[시가총액 (조원)]]/표.실시간4[[#This Row],[현재가]]*(표.실시간4[[#This Row],[현재가]]-표.실시간4[[#This Row],[대비]])</f>
        <v>6.2100365575999996</v>
      </c>
      <c r="J92" s="5">
        <f>_xll.IMDP("STK",표.실시간4[[#This Row],[nxt_code]],"전일대비")</f>
        <v>400</v>
      </c>
      <c r="K92">
        <f>_xll.IMDP("STK",표.실시간4[[#This Row],[nxt_code]],"등락률")</f>
        <v>0.75</v>
      </c>
      <c r="L92" s="4">
        <f>_xll.IMDP("STK",표.실시간4[[#This Row],[nxt_code]],"누적거래량")</f>
        <v>1815</v>
      </c>
      <c r="M92" s="4">
        <f>_xll.IMDP("STK",표.실시간4[[#This Row],[nxt_code]],"누적거래대금")</f>
        <v>98046900</v>
      </c>
      <c r="N92" s="4">
        <f>_xll.IMDP("STK",표.실시간4[[#This Row],[nxt_code]],"가중평균가")</f>
        <v>54020.330579000001</v>
      </c>
      <c r="O92" s="4">
        <f>_xll.IMDP("STK",표.실시간4[[#This Row],[nxt_code]],"시가")</f>
        <v>54000</v>
      </c>
      <c r="P92" s="4">
        <f>_xll.IMDP("STK",표.실시간4[[#This Row],[nxt_code]],"고가")</f>
        <v>54100</v>
      </c>
      <c r="Q92" s="4">
        <f>_xll.IMDP("STK",표.실시간4[[#This Row],[nxt_code]],"저가")</f>
        <v>53900</v>
      </c>
      <c r="R92">
        <f>_xll.IMDP("STK",표.실시간4[[#This Row],[nxt_code]],"세션명")</f>
        <v>0</v>
      </c>
      <c r="S92">
        <f>_xll.IMDP("STK",표.실시간4[[#This Row],[nxt_code]],"체결시간")</f>
        <v>0</v>
      </c>
      <c r="T92" s="4">
        <f>_xll.IMDP("STK","377300","현재가")</f>
        <v>54300</v>
      </c>
      <c r="U92">
        <f>_xll.IMDP("STK","377300","누적거래량")</f>
        <v>5325</v>
      </c>
    </row>
    <row r="93" spans="3:21" x14ac:dyDescent="0.3">
      <c r="C93">
        <v>88</v>
      </c>
      <c r="D93">
        <v>241560</v>
      </c>
      <c r="E93" t="s">
        <v>112</v>
      </c>
      <c r="F93" t="str">
        <f>ConvertStockCode(표.실시간4[[#This Row],[코드]])</f>
        <v>N241560</v>
      </c>
      <c r="G93" s="4">
        <f>_xll.IMDP("STK",표.실시간4[[#This Row],[nxt_code]],"현재가")</f>
        <v>60800</v>
      </c>
      <c r="H93" s="4">
        <f>_xll.IMDP("STK",표.실시간4[[#This Row],[nxt_code]],"시가총액")/10^12</f>
        <v>5.8280487519999999</v>
      </c>
      <c r="I93" s="4">
        <f>표.실시간4[[#This Row],[시가총액 (조원)]]/표.실시간4[[#This Row],[현재가]]*(표.실시간4[[#This Row],[현재가]]-표.실시간4[[#This Row],[대비]])</f>
        <v>5.7513638999999994</v>
      </c>
      <c r="J93" s="5">
        <f>_xll.IMDP("STK",표.실시간4[[#This Row],[nxt_code]],"전일대비")</f>
        <v>800</v>
      </c>
      <c r="K93">
        <f>_xll.IMDP("STK",표.실시간4[[#This Row],[nxt_code]],"등락률")</f>
        <v>1.33</v>
      </c>
      <c r="L93" s="4">
        <f>_xll.IMDP("STK",표.실시간4[[#This Row],[nxt_code]],"누적거래량")</f>
        <v>25641</v>
      </c>
      <c r="M93" s="4">
        <f>_xll.IMDP("STK",표.실시간4[[#This Row],[nxt_code]],"누적거래대금")</f>
        <v>1555054000</v>
      </c>
      <c r="N93" s="4">
        <f>_xll.IMDP("STK",표.실시간4[[#This Row],[nxt_code]],"가중평균가")</f>
        <v>60647.166646999998</v>
      </c>
      <c r="O93" s="4">
        <f>_xll.IMDP("STK",표.실시간4[[#This Row],[nxt_code]],"시가")</f>
        <v>61400</v>
      </c>
      <c r="P93" s="4">
        <f>_xll.IMDP("STK",표.실시간4[[#This Row],[nxt_code]],"고가")</f>
        <v>61400</v>
      </c>
      <c r="Q93" s="4">
        <f>_xll.IMDP("STK",표.실시간4[[#This Row],[nxt_code]],"저가")</f>
        <v>60200</v>
      </c>
      <c r="R93">
        <f>_xll.IMDP("STK",표.실시간4[[#This Row],[nxt_code]],"세션명")</f>
        <v>0</v>
      </c>
      <c r="S93">
        <f>_xll.IMDP("STK",표.실시간4[[#This Row],[nxt_code]],"체결시간")</f>
        <v>0</v>
      </c>
      <c r="T93" s="4">
        <f>_xll.IMDP("STK","028300","현재가")</f>
        <v>53400</v>
      </c>
      <c r="U93">
        <f>_xll.IMDP("STK","028300","누적거래량")</f>
        <v>22504</v>
      </c>
    </row>
    <row r="94" spans="3:21" x14ac:dyDescent="0.3">
      <c r="C94">
        <v>89</v>
      </c>
      <c r="D94">
        <v>78930</v>
      </c>
      <c r="E94" t="s">
        <v>113</v>
      </c>
      <c r="F94" t="str">
        <f>ConvertStockCode(표.실시간4[[#This Row],[코드]])</f>
        <v>N078930</v>
      </c>
      <c r="G94" s="4">
        <f>_xll.IMDP("STK",표.실시간4[[#This Row],[nxt_code]],"현재가")</f>
        <v>60900</v>
      </c>
      <c r="H94" s="4">
        <f>_xll.IMDP("STK",표.실시간4[[#This Row],[nxt_code]],"시가총액")/10^12</f>
        <v>5.6585465201999998</v>
      </c>
      <c r="I94" s="4">
        <f>표.실시간4[[#This Row],[시가총액 (조원)]]/표.실시간4[[#This Row],[현재가]]*(표.실시간4[[#This Row],[현재가]]-표.실시간4[[#This Row],[대비]])</f>
        <v>5.6771295957999994</v>
      </c>
      <c r="J94" s="5">
        <f>_xll.IMDP("STK",표.실시간4[[#This Row],[nxt_code]],"전일대비")</f>
        <v>-200</v>
      </c>
      <c r="K94">
        <f>_xll.IMDP("STK",표.실시간4[[#This Row],[nxt_code]],"등락률")</f>
        <v>-0.98</v>
      </c>
      <c r="L94" s="4">
        <f>_xll.IMDP("STK",표.실시간4[[#This Row],[nxt_code]],"누적거래량")</f>
        <v>11820</v>
      </c>
      <c r="M94" s="4">
        <f>_xll.IMDP("STK",표.실시간4[[#This Row],[nxt_code]],"누적거래대금")</f>
        <v>723210200</v>
      </c>
      <c r="N94" s="4">
        <f>_xll.IMDP("STK",표.실시간4[[#This Row],[nxt_code]],"가중평균가")</f>
        <v>61185.296108000002</v>
      </c>
      <c r="O94" s="4">
        <f>_xll.IMDP("STK",표.실시간4[[#This Row],[nxt_code]],"시가")</f>
        <v>61500</v>
      </c>
      <c r="P94" s="4">
        <f>_xll.IMDP("STK",표.실시간4[[#This Row],[nxt_code]],"고가")</f>
        <v>61600</v>
      </c>
      <c r="Q94" s="4">
        <f>_xll.IMDP("STK",표.실시간4[[#This Row],[nxt_code]],"저가")</f>
        <v>60900</v>
      </c>
      <c r="R94">
        <f>_xll.IMDP("STK",표.실시간4[[#This Row],[nxt_code]],"세션명")</f>
        <v>0</v>
      </c>
      <c r="S94">
        <f>_xll.IMDP("STK",표.실시간4[[#This Row],[nxt_code]],"체결시간")</f>
        <v>0</v>
      </c>
      <c r="T94" s="4">
        <f>_xll.IMDP("STK","011070","현재가")</f>
        <v>282000</v>
      </c>
      <c r="U94">
        <f>_xll.IMDP("STK","011070","누적거래량")</f>
        <v>7212</v>
      </c>
    </row>
    <row r="95" spans="3:21" x14ac:dyDescent="0.3">
      <c r="C95">
        <v>90</v>
      </c>
      <c r="D95">
        <v>21240</v>
      </c>
      <c r="E95" t="s">
        <v>115</v>
      </c>
      <c r="F95" t="str">
        <f>ConvertStockCode(표.실시간4[[#This Row],[코드]])</f>
        <v>N021240</v>
      </c>
      <c r="G95" s="4">
        <f>_xll.IMDP("STK",표.실시간4[[#This Row],[nxt_code]],"현재가")</f>
        <v>75900</v>
      </c>
      <c r="H95" s="4">
        <f>_xll.IMDP("STK",표.실시간4[[#This Row],[nxt_code]],"시가총액")/10^12</f>
        <v>5.4579031947000001</v>
      </c>
      <c r="I95" s="4">
        <f>표.실시간4[[#This Row],[시가총액 (조원)]]/표.실시간4[[#This Row],[현재가]]*(표.실시간4[[#This Row],[현재가]]-표.실시간4[[#This Row],[대비]])</f>
        <v>5.5082395878000003</v>
      </c>
      <c r="J95" s="5">
        <f>_xll.IMDP("STK",표.실시간4[[#This Row],[nxt_code]],"전일대비")</f>
        <v>-700</v>
      </c>
      <c r="K95">
        <f>_xll.IMDP("STK",표.실시간4[[#This Row],[nxt_code]],"등락률")</f>
        <v>-0.91</v>
      </c>
      <c r="L95" s="4">
        <f>_xll.IMDP("STK",표.실시간4[[#This Row],[nxt_code]],"누적거래량")</f>
        <v>3196</v>
      </c>
      <c r="M95" s="4">
        <f>_xll.IMDP("STK",표.실시간4[[#This Row],[nxt_code]],"누적거래대금")</f>
        <v>243582000</v>
      </c>
      <c r="N95" s="4">
        <f>_xll.IMDP("STK",표.실시간4[[#This Row],[nxt_code]],"가중평균가")</f>
        <v>76214.643303999997</v>
      </c>
      <c r="O95" s="4">
        <f>_xll.IMDP("STK",표.실시간4[[#This Row],[nxt_code]],"시가")</f>
        <v>75500</v>
      </c>
      <c r="P95" s="4">
        <f>_xll.IMDP("STK",표.실시간4[[#This Row],[nxt_code]],"고가")</f>
        <v>76600</v>
      </c>
      <c r="Q95" s="4">
        <f>_xll.IMDP("STK",표.실시간4[[#This Row],[nxt_code]],"저가")</f>
        <v>75500</v>
      </c>
      <c r="R95">
        <f>_xll.IMDP("STK",표.실시간4[[#This Row],[nxt_code]],"세션명")</f>
        <v>0</v>
      </c>
      <c r="S95">
        <f>_xll.IMDP("STK",표.실시간4[[#This Row],[nxt_code]],"체결시간")</f>
        <v>0</v>
      </c>
      <c r="T95" s="4">
        <f>_xll.IMDP("STK","022100","현재가")</f>
        <v>40650</v>
      </c>
      <c r="U95">
        <f>_xll.IMDP("STK","022100","누적거래량")</f>
        <v>57454</v>
      </c>
    </row>
    <row r="96" spans="3:21" x14ac:dyDescent="0.3">
      <c r="C96">
        <v>91</v>
      </c>
      <c r="D96">
        <v>1040</v>
      </c>
      <c r="E96" t="s">
        <v>114</v>
      </c>
      <c r="F96" t="str">
        <f>ConvertStockCode(표.실시간4[[#This Row],[코드]])</f>
        <v>N001040</v>
      </c>
      <c r="G96" s="4">
        <f>_xll.IMDP("STK",표.실시간4[[#This Row],[nxt_code]],"현재가")</f>
        <v>189400</v>
      </c>
      <c r="H96" s="4">
        <f>_xll.IMDP("STK",표.실시간4[[#This Row],[nxt_code]],"시가총액")/10^12</f>
        <v>5.5261234212000003</v>
      </c>
      <c r="I96" s="4">
        <f>표.실시간4[[#This Row],[시가총액 (조원)]]/표.실시간4[[#This Row],[현재가]]*(표.실시간4[[#This Row],[현재가]]-표.실시간4[[#This Row],[대비]])</f>
        <v>5.4998641230000009</v>
      </c>
      <c r="J96" s="5">
        <f>_xll.IMDP("STK",표.실시간4[[#This Row],[nxt_code]],"전일대비")</f>
        <v>900</v>
      </c>
      <c r="K96">
        <f>_xll.IMDP("STK",표.실시간4[[#This Row],[nxt_code]],"등락률")</f>
        <v>1.28</v>
      </c>
      <c r="L96" s="4">
        <f>_xll.IMDP("STK",표.실시간4[[#This Row],[nxt_code]],"누적거래량")</f>
        <v>5535</v>
      </c>
      <c r="M96" s="4">
        <f>_xll.IMDP("STK",표.실시간4[[#This Row],[nxt_code]],"누적거래대금")</f>
        <v>1042946500</v>
      </c>
      <c r="N96" s="4">
        <f>_xll.IMDP("STK",표.실시간4[[#This Row],[nxt_code]],"가중평균가")</f>
        <v>188257.49097499999</v>
      </c>
      <c r="O96" s="4">
        <f>_xll.IMDP("STK",표.실시간4[[#This Row],[nxt_code]],"시가")</f>
        <v>187000</v>
      </c>
      <c r="P96" s="4">
        <f>_xll.IMDP("STK",표.실시간4[[#This Row],[nxt_code]],"고가")</f>
        <v>190200</v>
      </c>
      <c r="Q96" s="4">
        <f>_xll.IMDP("STK",표.실시간4[[#This Row],[nxt_code]],"저가")</f>
        <v>187000</v>
      </c>
      <c r="R96">
        <f>_xll.IMDP("STK",표.실시간4[[#This Row],[nxt_code]],"세션명")</f>
        <v>0</v>
      </c>
      <c r="S96">
        <f>_xll.IMDP("STK",표.실시간4[[#This Row],[nxt_code]],"체결시간")</f>
        <v>0</v>
      </c>
      <c r="T96" s="4">
        <f>_xll.IMDP("STK","032640","현재가")</f>
        <v>15300</v>
      </c>
      <c r="U96">
        <f>_xll.IMDP("STK","032640","누적거래량")</f>
        <v>12753</v>
      </c>
    </row>
    <row r="97" spans="3:21" x14ac:dyDescent="0.3">
      <c r="C97">
        <v>92</v>
      </c>
      <c r="D97">
        <v>1440</v>
      </c>
      <c r="E97" t="s">
        <v>119</v>
      </c>
      <c r="F97" t="str">
        <f>ConvertStockCode(표.실시간4[[#This Row],[코드]])</f>
        <v>N001440</v>
      </c>
      <c r="G97" s="4">
        <f>_xll.IMDP("STK",표.실시간4[[#This Row],[nxt_code]],"현재가")</f>
        <v>27550</v>
      </c>
      <c r="H97" s="4">
        <f>_xll.IMDP("STK",표.실시간4[[#This Row],[nxt_code]],"시가총액")/10^12</f>
        <v>5.1366231149999999</v>
      </c>
      <c r="I97" s="4">
        <f>표.실시간4[[#This Row],[시가총액 (조원)]]/표.실시간4[[#This Row],[현재가]]*(표.실시간4[[#This Row],[현재가]]-표.실시간4[[#This Row],[대비]])</f>
        <v>5.2578138600000006</v>
      </c>
      <c r="J97" s="5">
        <f>_xll.IMDP("STK",표.실시간4[[#This Row],[nxt_code]],"전일대비")</f>
        <v>-650</v>
      </c>
      <c r="K97">
        <f>_xll.IMDP("STK",표.실시간4[[#This Row],[nxt_code]],"등락률")</f>
        <v>-2.13</v>
      </c>
      <c r="L97" s="4">
        <f>_xll.IMDP("STK",표.실시간4[[#This Row],[nxt_code]],"누적거래량")</f>
        <v>1282639</v>
      </c>
      <c r="M97" s="4">
        <f>_xll.IMDP("STK",표.실시간4[[#This Row],[nxt_code]],"누적거래대금")</f>
        <v>36511371600</v>
      </c>
      <c r="N97" s="4">
        <f>_xll.IMDP("STK",표.실시간4[[#This Row],[nxt_code]],"가중평균가")</f>
        <v>28465.820546999999</v>
      </c>
      <c r="O97" s="4">
        <f>_xll.IMDP("STK",표.실시간4[[#This Row],[nxt_code]],"시가")</f>
        <v>28900</v>
      </c>
      <c r="P97" s="4">
        <f>_xll.IMDP("STK",표.실시간4[[#This Row],[nxt_code]],"고가")</f>
        <v>29100</v>
      </c>
      <c r="Q97" s="4">
        <f>_xll.IMDP("STK",표.실시간4[[#This Row],[nxt_code]],"저가")</f>
        <v>27500</v>
      </c>
      <c r="R97">
        <f>_xll.IMDP("STK",표.실시간4[[#This Row],[nxt_code]],"세션명")</f>
        <v>0</v>
      </c>
      <c r="S97">
        <f>_xll.IMDP("STK",표.실시간4[[#This Row],[nxt_code]],"체결시간")</f>
        <v>0</v>
      </c>
      <c r="T97" s="4">
        <f>_xll.IMDP("STK","000250","현재가")</f>
        <v>339500</v>
      </c>
      <c r="U97">
        <f>_xll.IMDP("STK","000250","누적거래량")</f>
        <v>56648</v>
      </c>
    </row>
    <row r="98" spans="3:21" x14ac:dyDescent="0.3">
      <c r="C98">
        <v>93</v>
      </c>
      <c r="D98">
        <v>128940</v>
      </c>
      <c r="E98" t="s">
        <v>118</v>
      </c>
      <c r="F98" t="str">
        <f>ConvertStockCode(표.실시간4[[#This Row],[코드]])</f>
        <v>N128940</v>
      </c>
      <c r="G98" s="4">
        <f>_xll.IMDP("STK",표.실시간4[[#This Row],[nxt_code]],"현재가")</f>
        <v>428000</v>
      </c>
      <c r="H98" s="4">
        <f>_xll.IMDP("STK",표.실시간4[[#This Row],[nxt_code]],"시가총액")/10^12</f>
        <v>5.4831041479999998</v>
      </c>
      <c r="I98" s="4">
        <f>표.실시간4[[#This Row],[시가총액 (조원)]]/표.실시간4[[#This Row],[현재가]]*(표.실시간4[[#This Row],[현재가]]-표.실시간4[[#This Row],[대비]])</f>
        <v>5.5151316255000005</v>
      </c>
      <c r="J98" s="5">
        <f>_xll.IMDP("STK",표.실시간4[[#This Row],[nxt_code]],"전일대비")</f>
        <v>-2500</v>
      </c>
      <c r="K98">
        <f>_xll.IMDP("STK",표.실시간4[[#This Row],[nxt_code]],"등락률")</f>
        <v>-0.57999999999999996</v>
      </c>
      <c r="L98" s="4">
        <f>_xll.IMDP("STK",표.실시간4[[#This Row],[nxt_code]],"누적거래량")</f>
        <v>9186</v>
      </c>
      <c r="M98" s="4">
        <f>_xll.IMDP("STK",표.실시간4[[#This Row],[nxt_code]],"누적거래대금")</f>
        <v>3953679500</v>
      </c>
      <c r="N98" s="4">
        <f>_xll.IMDP("STK",표.실시간4[[#This Row],[nxt_code]],"가중평균가")</f>
        <v>430402.73241900001</v>
      </c>
      <c r="O98" s="4">
        <f>_xll.IMDP("STK",표.실시간4[[#This Row],[nxt_code]],"시가")</f>
        <v>431000</v>
      </c>
      <c r="P98" s="4">
        <f>_xll.IMDP("STK",표.실시간4[[#This Row],[nxt_code]],"고가")</f>
        <v>433000</v>
      </c>
      <c r="Q98" s="4">
        <f>_xll.IMDP("STK",표.실시간4[[#This Row],[nxt_code]],"저가")</f>
        <v>425500</v>
      </c>
      <c r="R98">
        <f>_xll.IMDP("STK",표.실시간4[[#This Row],[nxt_code]],"세션명")</f>
        <v>0</v>
      </c>
      <c r="S98">
        <f>_xll.IMDP("STK",표.실시간4[[#This Row],[nxt_code]],"체결시간")</f>
        <v>0</v>
      </c>
      <c r="T98" s="4">
        <f>_xll.IMDP("STK","029780","현재가")</f>
        <v>54100</v>
      </c>
      <c r="U98">
        <f>_xll.IMDP("STK","029780","누적거래량")</f>
        <v>705</v>
      </c>
    </row>
    <row r="99" spans="3:21" x14ac:dyDescent="0.3">
      <c r="C99">
        <v>94</v>
      </c>
      <c r="D99">
        <v>52690</v>
      </c>
      <c r="E99" t="s">
        <v>116</v>
      </c>
      <c r="F99" t="str">
        <f>ConvertStockCode(표.실시간4[[#This Row],[코드]])</f>
        <v>N052690</v>
      </c>
      <c r="G99" s="4">
        <f>_xll.IMDP("STK",표.실시간4[[#This Row],[nxt_code]],"현재가")</f>
        <v>137200</v>
      </c>
      <c r="H99" s="4">
        <f>_xll.IMDP("STK",표.실시간4[[#This Row],[nxt_code]],"시가총액")/10^12</f>
        <v>5.2437839999999998</v>
      </c>
      <c r="I99" s="4">
        <f>표.실시간4[[#This Row],[시가총액 (조원)]]/표.실시간4[[#This Row],[현재가]]*(표.실시간4[[#This Row],[현재가]]-표.실시간4[[#This Row],[대비]])</f>
        <v>5.2208519999999998</v>
      </c>
      <c r="J99" s="5">
        <f>_xll.IMDP("STK",표.실시간4[[#This Row],[nxt_code]],"전일대비")</f>
        <v>600</v>
      </c>
      <c r="K99">
        <f>_xll.IMDP("STK",표.실시간4[[#This Row],[nxt_code]],"등락률")</f>
        <v>0.37</v>
      </c>
      <c r="L99" s="4">
        <f>_xll.IMDP("STK",표.실시간4[[#This Row],[nxt_code]],"누적거래량")</f>
        <v>36024</v>
      </c>
      <c r="M99" s="4">
        <f>_xll.IMDP("STK",표.실시간4[[#This Row],[nxt_code]],"누적거래대금")</f>
        <v>4927110000</v>
      </c>
      <c r="N99" s="4">
        <f>_xll.IMDP("STK",표.실시간4[[#This Row],[nxt_code]],"가중평균가")</f>
        <v>136583.411876</v>
      </c>
      <c r="O99" s="4">
        <f>_xll.IMDP("STK",표.실시간4[[#This Row],[nxt_code]],"시가")</f>
        <v>136400</v>
      </c>
      <c r="P99" s="4">
        <f>_xll.IMDP("STK",표.실시간4[[#This Row],[nxt_code]],"고가")</f>
        <v>138200</v>
      </c>
      <c r="Q99" s="4">
        <f>_xll.IMDP("STK",표.실시간4[[#This Row],[nxt_code]],"저가")</f>
        <v>135800</v>
      </c>
      <c r="R99">
        <f>_xll.IMDP("STK",표.실시간4[[#This Row],[nxt_code]],"세션명")</f>
        <v>0</v>
      </c>
      <c r="S99">
        <f>_xll.IMDP("STK",표.실시간4[[#This Row],[nxt_code]],"체결시간")</f>
        <v>0</v>
      </c>
      <c r="T99" s="4">
        <f>_xll.IMDP("STK","034220","현재가")</f>
        <v>12680</v>
      </c>
      <c r="U99">
        <f>_xll.IMDP("STK","034220","누적거래량")</f>
        <v>95549</v>
      </c>
    </row>
    <row r="100" spans="3:21" x14ac:dyDescent="0.3">
      <c r="C100">
        <v>95</v>
      </c>
      <c r="D100">
        <v>36570</v>
      </c>
      <c r="E100" t="s">
        <v>123</v>
      </c>
      <c r="F100" t="str">
        <f>ConvertStockCode(표.실시간4[[#This Row],[코드]])</f>
        <v>N036570</v>
      </c>
      <c r="G100" s="4">
        <f>_xll.IMDP("STK",표.실시간4[[#This Row],[nxt_code]],"현재가")</f>
        <v>230500</v>
      </c>
      <c r="H100" s="4">
        <f>_xll.IMDP("STK",표.실시간4[[#This Row],[nxt_code]],"시가총액")/10^12</f>
        <v>4.9658970709999997</v>
      </c>
      <c r="I100" s="4">
        <f>표.실시간4[[#This Row],[시가총액 (조원)]]/표.실시간4[[#This Row],[현재가]]*(표.실시간4[[#This Row],[현재가]]-표.실시간4[[#This Row],[대비]])</f>
        <v>4.9228090269999996</v>
      </c>
      <c r="J100" s="5">
        <f>_xll.IMDP("STK",표.실시간4[[#This Row],[nxt_code]],"전일대비")</f>
        <v>2000</v>
      </c>
      <c r="K100">
        <f>_xll.IMDP("STK",표.실시간4[[#This Row],[nxt_code]],"등락률")</f>
        <v>0.88</v>
      </c>
      <c r="L100" s="4">
        <f>_xll.IMDP("STK",표.실시간4[[#This Row],[nxt_code]],"누적거래량")</f>
        <v>6280</v>
      </c>
      <c r="M100" s="4">
        <f>_xll.IMDP("STK",표.실시간4[[#This Row],[nxt_code]],"누적거래대금")</f>
        <v>1451162500</v>
      </c>
      <c r="N100" s="4">
        <f>_xll.IMDP("STK",표.실시간4[[#This Row],[nxt_code]],"가중평균가")</f>
        <v>231076.83121</v>
      </c>
      <c r="O100" s="4">
        <f>_xll.IMDP("STK",표.실시간4[[#This Row],[nxt_code]],"시가")</f>
        <v>230000</v>
      </c>
      <c r="P100" s="4">
        <f>_xll.IMDP("STK",표.실시간4[[#This Row],[nxt_code]],"고가")</f>
        <v>232000</v>
      </c>
      <c r="Q100" s="4">
        <f>_xll.IMDP("STK",표.실시간4[[#This Row],[nxt_code]],"저가")</f>
        <v>229000</v>
      </c>
      <c r="R100">
        <f>_xll.IMDP("STK",표.실시간4[[#This Row],[nxt_code]],"세션명")</f>
        <v>0</v>
      </c>
      <c r="S100">
        <f>_xll.IMDP("STK",표.실시간4[[#This Row],[nxt_code]],"체결시간")</f>
        <v>0</v>
      </c>
      <c r="T100" s="4">
        <f>_xll.IMDP("STK","241560","현재가")</f>
        <v>60800</v>
      </c>
      <c r="U100">
        <f>_xll.IMDP("STK","241560","누적거래량")</f>
        <v>10644</v>
      </c>
    </row>
    <row r="101" spans="3:21" x14ac:dyDescent="0.3">
      <c r="C101">
        <v>96</v>
      </c>
      <c r="D101">
        <v>28050</v>
      </c>
      <c r="E101" t="s">
        <v>122</v>
      </c>
      <c r="F101" t="str">
        <f>ConvertStockCode(표.실시간4[[#This Row],[코드]])</f>
        <v>N028050</v>
      </c>
      <c r="G101" s="4">
        <f>_xll.IMDP("STK",표.실시간4[[#This Row],[nxt_code]],"현재가")</f>
        <v>25050</v>
      </c>
      <c r="H101" s="4">
        <f>_xll.IMDP("STK",표.실시간4[[#This Row],[nxt_code]],"시가총액")/10^12</f>
        <v>4.9097999999999997</v>
      </c>
      <c r="I101" s="4">
        <f>표.실시간4[[#This Row],[시가총액 (조원)]]/표.실시간4[[#This Row],[현재가]]*(표.실시간4[[#This Row],[현재가]]-표.실시간4[[#This Row],[대비]])</f>
        <v>4.8705999999999996</v>
      </c>
      <c r="J101" s="5">
        <f>_xll.IMDP("STK",표.실시간4[[#This Row],[nxt_code]],"전일대비")</f>
        <v>200</v>
      </c>
      <c r="K101">
        <f>_xll.IMDP("STK",표.실시간4[[#This Row],[nxt_code]],"등락률")</f>
        <v>0.8</v>
      </c>
      <c r="L101" s="4">
        <f>_xll.IMDP("STK",표.실시간4[[#This Row],[nxt_code]],"누적거래량")</f>
        <v>22241</v>
      </c>
      <c r="M101" s="4">
        <f>_xll.IMDP("STK",표.실시간4[[#This Row],[nxt_code]],"누적거래대금")</f>
        <v>558357950</v>
      </c>
      <c r="N101" s="4">
        <f>_xll.IMDP("STK",표.실시간4[[#This Row],[nxt_code]],"가중평균가")</f>
        <v>25104.894113999999</v>
      </c>
      <c r="O101" s="4">
        <f>_xll.IMDP("STK",표.실시간4[[#This Row],[nxt_code]],"시가")</f>
        <v>25150</v>
      </c>
      <c r="P101" s="4">
        <f>_xll.IMDP("STK",표.실시간4[[#This Row],[nxt_code]],"고가")</f>
        <v>25150</v>
      </c>
      <c r="Q101" s="4">
        <f>_xll.IMDP("STK",표.실시간4[[#This Row],[nxt_code]],"저가")</f>
        <v>25000</v>
      </c>
      <c r="R101">
        <f>_xll.IMDP("STK",표.실시간4[[#This Row],[nxt_code]],"세션명")</f>
        <v>0</v>
      </c>
      <c r="S101">
        <f>_xll.IMDP("STK",표.실시간4[[#This Row],[nxt_code]],"체결시간")</f>
        <v>0</v>
      </c>
      <c r="T101" s="4">
        <f>_xll.IMDP("STK","078930","현재가")</f>
        <v>61200</v>
      </c>
      <c r="U101">
        <f>_xll.IMDP("STK","078930","누적거래량")</f>
        <v>5355</v>
      </c>
    </row>
    <row r="102" spans="3:21" x14ac:dyDescent="0.3">
      <c r="C102">
        <v>97</v>
      </c>
      <c r="D102">
        <v>66970</v>
      </c>
      <c r="E102" t="s">
        <v>127</v>
      </c>
      <c r="F102" t="str">
        <f>ConvertStockCode(표.실시간4[[#This Row],[코드]])</f>
        <v>N066970</v>
      </c>
      <c r="G102" s="4">
        <f>_xll.IMDP("STK",표.실시간4[[#This Row],[nxt_code]],"현재가")</f>
        <v>125000</v>
      </c>
      <c r="H102" s="4">
        <f>_xll.IMDP("STK",표.실시간4[[#This Row],[nxt_code]],"시가총액")/10^12</f>
        <v>5.0298642500000001</v>
      </c>
      <c r="I102" s="4">
        <f>표.실시간4[[#This Row],[시가총액 (조원)]]/표.실시간4[[#This Row],[현재가]]*(표.실시간4[[#This Row],[현재가]]-표.실시간4[[#This Row],[대비]])</f>
        <v>5.0660792726000006</v>
      </c>
      <c r="J102" s="5">
        <f>_xll.IMDP("STK",표.실시간4[[#This Row],[nxt_code]],"전일대비")</f>
        <v>-900</v>
      </c>
      <c r="K102">
        <f>_xll.IMDP("STK",표.실시간4[[#This Row],[nxt_code]],"등락률")</f>
        <v>-0.71</v>
      </c>
      <c r="L102" s="4">
        <f>_xll.IMDP("STK",표.실시간4[[#This Row],[nxt_code]],"누적거래량")</f>
        <v>218478</v>
      </c>
      <c r="M102" s="4">
        <f>_xll.IMDP("STK",표.실시간4[[#This Row],[nxt_code]],"누적거래대금")</f>
        <v>27700413900</v>
      </c>
      <c r="N102" s="4">
        <f>_xll.IMDP("STK",표.실시간4[[#This Row],[nxt_code]],"가중평균가")</f>
        <v>126788.115508</v>
      </c>
      <c r="O102" s="4">
        <f>_xll.IMDP("STK",표.실시간4[[#This Row],[nxt_code]],"시가")</f>
        <v>127900</v>
      </c>
      <c r="P102" s="4">
        <f>_xll.IMDP("STK",표.실시간4[[#This Row],[nxt_code]],"고가")</f>
        <v>129700</v>
      </c>
      <c r="Q102" s="4">
        <f>_xll.IMDP("STK",표.실시간4[[#This Row],[nxt_code]],"저가")</f>
        <v>124600</v>
      </c>
      <c r="R102">
        <f>_xll.IMDP("STK",표.실시간4[[#This Row],[nxt_code]],"세션명")</f>
        <v>0</v>
      </c>
      <c r="S102">
        <f>_xll.IMDP("STK",표.실시간4[[#This Row],[nxt_code]],"체결시간")</f>
        <v>0</v>
      </c>
      <c r="T102" s="4">
        <f>_xll.IMDP("STK","001040","현재가")</f>
        <v>190600</v>
      </c>
      <c r="U102">
        <f>_xll.IMDP("STK","001040","누적거래량")</f>
        <v>3741</v>
      </c>
    </row>
    <row r="103" spans="3:21" x14ac:dyDescent="0.3">
      <c r="C103">
        <v>98</v>
      </c>
      <c r="D103">
        <v>9830</v>
      </c>
      <c r="E103" t="s">
        <v>125</v>
      </c>
      <c r="F103" t="str">
        <f>ConvertStockCode(표.실시간4[[#This Row],[코드]])</f>
        <v>N009830</v>
      </c>
      <c r="G103" s="4">
        <f>_xll.IMDP("STK",표.실시간4[[#This Row],[nxt_code]],"현재가")</f>
        <v>29450</v>
      </c>
      <c r="H103" s="4">
        <f>_xll.IMDP("STK",표.실시간4[[#This Row],[nxt_code]],"시가총액")/10^12</f>
        <v>5.0622351851999996</v>
      </c>
      <c r="I103" s="4">
        <f>표.실시간4[[#This Row],[시가총액 (조원)]]/표.실시간4[[#This Row],[현재가]]*(표.실시간4[[#This Row],[현재가]]-표.실시간4[[#This Row],[대비]])</f>
        <v>4.8301802615999998</v>
      </c>
      <c r="J103" s="5">
        <f>_xll.IMDP("STK",표.실시간4[[#This Row],[nxt_code]],"전일대비")</f>
        <v>1350</v>
      </c>
      <c r="K103">
        <f>_xll.IMDP("STK",표.실시간4[[#This Row],[nxt_code]],"등락률")</f>
        <v>4.8</v>
      </c>
      <c r="L103" s="4">
        <f>_xll.IMDP("STK",표.실시간4[[#This Row],[nxt_code]],"누적거래량")</f>
        <v>456046</v>
      </c>
      <c r="M103" s="4">
        <f>_xll.IMDP("STK",표.실시간4[[#This Row],[nxt_code]],"누적거래대금")</f>
        <v>13213934125</v>
      </c>
      <c r="N103" s="4">
        <f>_xll.IMDP("STK",표.실시간4[[#This Row],[nxt_code]],"가중평균가")</f>
        <v>28975.002796000001</v>
      </c>
      <c r="O103" s="4">
        <f>_xll.IMDP("STK",표.실시간4[[#This Row],[nxt_code]],"시가")</f>
        <v>28550</v>
      </c>
      <c r="P103" s="4">
        <f>_xll.IMDP("STK",표.실시간4[[#This Row],[nxt_code]],"고가")</f>
        <v>29600</v>
      </c>
      <c r="Q103" s="4">
        <f>_xll.IMDP("STK",표.실시간4[[#This Row],[nxt_code]],"저가")</f>
        <v>28550</v>
      </c>
      <c r="R103">
        <f>_xll.IMDP("STK",표.실시간4[[#This Row],[nxt_code]],"세션명")</f>
        <v>0</v>
      </c>
      <c r="S103">
        <f>_xll.IMDP("STK",표.실시간4[[#This Row],[nxt_code]],"체결시간")</f>
        <v>0</v>
      </c>
      <c r="T103" s="4">
        <f>_xll.IMDP("STK","021240","현재가")</f>
        <v>76000</v>
      </c>
      <c r="U103">
        <f>_xll.IMDP("STK","021240","누적거래량")</f>
        <v>9546</v>
      </c>
    </row>
    <row r="104" spans="3:21" x14ac:dyDescent="0.3">
      <c r="C104">
        <v>99</v>
      </c>
      <c r="D104">
        <v>138930</v>
      </c>
      <c r="E104" t="s">
        <v>124</v>
      </c>
      <c r="F104" t="str">
        <f>ConvertStockCode(표.실시간4[[#This Row],[코드]])</f>
        <v>N138930</v>
      </c>
      <c r="G104" s="4">
        <f>_xll.IMDP("STK",표.실시간4[[#This Row],[nxt_code]],"현재가")</f>
        <v>15740</v>
      </c>
      <c r="H104" s="4">
        <f>_xll.IMDP("STK",표.실시간4[[#This Row],[nxt_code]],"시가총액")/10^12</f>
        <v>4.88454749942</v>
      </c>
      <c r="I104" s="4">
        <f>표.실시간4[[#This Row],[시가총액 (조원)]]/표.실시간4[[#This Row],[현재가]]*(표.실시간4[[#This Row],[현재가]]-표.실시간4[[#This Row],[대비]])</f>
        <v>4.8628246071099994</v>
      </c>
      <c r="J104" s="5">
        <f>_xll.IMDP("STK",표.실시간4[[#This Row],[nxt_code]],"전일대비")</f>
        <v>70</v>
      </c>
      <c r="K104">
        <f>_xll.IMDP("STK",표.실시간4[[#This Row],[nxt_code]],"등락률")</f>
        <v>0.45</v>
      </c>
      <c r="L104" s="4">
        <f>_xll.IMDP("STK",표.실시간4[[#This Row],[nxt_code]],"누적거래량")</f>
        <v>19073</v>
      </c>
      <c r="M104" s="4">
        <f>_xll.IMDP("STK",표.실시간4[[#This Row],[nxt_code]],"누적거래대금")</f>
        <v>299271660</v>
      </c>
      <c r="N104" s="4">
        <f>_xll.IMDP("STK",표.실시간4[[#This Row],[nxt_code]],"가중평균가")</f>
        <v>15690.854087</v>
      </c>
      <c r="O104" s="4">
        <f>_xll.IMDP("STK",표.실시간4[[#This Row],[nxt_code]],"시가")</f>
        <v>15670</v>
      </c>
      <c r="P104" s="4">
        <f>_xll.IMDP("STK",표.실시간4[[#This Row],[nxt_code]],"고가")</f>
        <v>15740</v>
      </c>
      <c r="Q104" s="4">
        <f>_xll.IMDP("STK",표.실시간4[[#This Row],[nxt_code]],"저가")</f>
        <v>15580</v>
      </c>
      <c r="R104">
        <f>_xll.IMDP("STK",표.실시간4[[#This Row],[nxt_code]],"세션명")</f>
        <v>0</v>
      </c>
      <c r="S104">
        <f>_xll.IMDP("STK",표.실시간4[[#This Row],[nxt_code]],"체결시간")</f>
        <v>0</v>
      </c>
      <c r="T104" s="4">
        <f>_xll.IMDP("STK","052690","현재가")</f>
        <v>137200</v>
      </c>
      <c r="U104">
        <f>_xll.IMDP("STK","052690","누적거래량")</f>
        <v>11259</v>
      </c>
    </row>
    <row r="105" spans="3:21" x14ac:dyDescent="0.3">
      <c r="C105">
        <v>100</v>
      </c>
      <c r="D105">
        <v>4020</v>
      </c>
      <c r="E105" t="s">
        <v>134</v>
      </c>
      <c r="F105" t="str">
        <f>ConvertStockCode(표.실시간4[[#This Row],[코드]])</f>
        <v>N004020</v>
      </c>
      <c r="G105" s="4">
        <f>_xll.IMDP("STK",표.실시간4[[#This Row],[nxt_code]],"현재가")</f>
        <v>34650</v>
      </c>
      <c r="H105" s="4">
        <f>_xll.IMDP("STK",표.실시간4[[#This Row],[nxt_code]],"시가총액")/10^12</f>
        <v>4.6238964502500002</v>
      </c>
      <c r="I105" s="4">
        <f>표.실시간4[[#This Row],[시가총액 (조원)]]/표.실시간4[[#This Row],[현재가]]*(표.실시간4[[#This Row],[현재가]]-표.실시간4[[#This Row],[대비]])</f>
        <v>4.5238121114999998</v>
      </c>
      <c r="J105" s="5">
        <f>_xll.IMDP("STK",표.실시간4[[#This Row],[nxt_code]],"전일대비")</f>
        <v>750</v>
      </c>
      <c r="K105">
        <f>_xll.IMDP("STK",표.실시간4[[#This Row],[nxt_code]],"등락률")</f>
        <v>2.21</v>
      </c>
      <c r="L105" s="4">
        <f>_xll.IMDP("STK",표.실시간4[[#This Row],[nxt_code]],"누적거래량")</f>
        <v>346423</v>
      </c>
      <c r="M105" s="4">
        <f>_xll.IMDP("STK",표.실시간4[[#This Row],[nxt_code]],"누적거래대금")</f>
        <v>12024837525</v>
      </c>
      <c r="N105" s="4">
        <f>_xll.IMDP("STK",표.실시간4[[#This Row],[nxt_code]],"가중평균가")</f>
        <v>34711.429451999997</v>
      </c>
      <c r="O105" s="4">
        <f>_xll.IMDP("STK",표.실시간4[[#This Row],[nxt_code]],"시가")</f>
        <v>33900</v>
      </c>
      <c r="P105" s="4">
        <f>_xll.IMDP("STK",표.실시간4[[#This Row],[nxt_code]],"고가")</f>
        <v>35200</v>
      </c>
      <c r="Q105" s="4">
        <f>_xll.IMDP("STK",표.실시간4[[#This Row],[nxt_code]],"저가")</f>
        <v>33550</v>
      </c>
      <c r="R105">
        <f>_xll.IMDP("STK",표.실시간4[[#This Row],[nxt_code]],"세션명")</f>
        <v>0</v>
      </c>
      <c r="S105">
        <f>_xll.IMDP("STK",표.실시간4[[#This Row],[nxt_code]],"체결시간")</f>
        <v>0</v>
      </c>
      <c r="T105" s="4">
        <f>_xll.IMDP("STK","141080","현재가")</f>
        <v>150000</v>
      </c>
      <c r="U105">
        <f>_xll.IMDP("STK","141080","누적거래량")</f>
        <v>5702</v>
      </c>
    </row>
    <row r="106" spans="3:21" x14ac:dyDescent="0.3">
      <c r="C106">
        <v>101</v>
      </c>
      <c r="D106">
        <v>271560</v>
      </c>
      <c r="E106" t="s">
        <v>126</v>
      </c>
      <c r="F106" t="str">
        <f>ConvertStockCode(표.실시간4[[#This Row],[코드]])</f>
        <v>N271560</v>
      </c>
      <c r="G106" s="4">
        <f>_xll.IMDP("STK",표.실시간4[[#This Row],[nxt_code]],"현재가")</f>
        <v>115500</v>
      </c>
      <c r="H106" s="4">
        <f>_xll.IMDP("STK",표.실시간4[[#This Row],[nxt_code]],"시가총액")/10^12</f>
        <v>4.5664232460000003</v>
      </c>
      <c r="I106" s="4">
        <f>표.실시간4[[#This Row],[시가총액 (조원)]]/표.실시간4[[#This Row],[현재가]]*(표.실시간4[[#This Row],[현재가]]-표.실시간4[[#This Row],[대비]])</f>
        <v>4.5703768592000005</v>
      </c>
      <c r="J106" s="5">
        <f>_xll.IMDP("STK",표.실시간4[[#This Row],[nxt_code]],"전일대비")</f>
        <v>-100</v>
      </c>
      <c r="K106">
        <f>_xll.IMDP("STK",표.실시간4[[#This Row],[nxt_code]],"등락률")</f>
        <v>-0.09</v>
      </c>
      <c r="L106" s="4">
        <f>_xll.IMDP("STK",표.실시간4[[#This Row],[nxt_code]],"누적거래량")</f>
        <v>1419</v>
      </c>
      <c r="M106" s="4">
        <f>_xll.IMDP("STK",표.실시간4[[#This Row],[nxt_code]],"누적거래대금")</f>
        <v>163923500</v>
      </c>
      <c r="N106" s="4">
        <f>_xll.IMDP("STK",표.실시간4[[#This Row],[nxt_code]],"가중평균가")</f>
        <v>115520.436927</v>
      </c>
      <c r="O106" s="4">
        <f>_xll.IMDP("STK",표.실시간4[[#This Row],[nxt_code]],"시가")</f>
        <v>117000</v>
      </c>
      <c r="P106" s="4">
        <f>_xll.IMDP("STK",표.실시간4[[#This Row],[nxt_code]],"고가")</f>
        <v>117000</v>
      </c>
      <c r="Q106" s="4">
        <f>_xll.IMDP("STK",표.실시간4[[#This Row],[nxt_code]],"저가")</f>
        <v>115300</v>
      </c>
      <c r="R106">
        <f>_xll.IMDP("STK",표.실시간4[[#This Row],[nxt_code]],"세션명")</f>
        <v>0</v>
      </c>
      <c r="S106">
        <f>_xll.IMDP("STK",표.실시간4[[#This Row],[nxt_code]],"체결시간")</f>
        <v>0</v>
      </c>
      <c r="T106" s="4">
        <f>_xll.IMDP("STK","128940","현재가")</f>
        <v>428000</v>
      </c>
      <c r="U106">
        <f>_xll.IMDP("STK","128940","누적거래량")</f>
        <v>1656</v>
      </c>
    </row>
    <row r="107" spans="3:21" x14ac:dyDescent="0.3">
      <c r="C107">
        <v>102</v>
      </c>
      <c r="D107">
        <v>175330</v>
      </c>
      <c r="E107" t="s">
        <v>130</v>
      </c>
      <c r="F107" t="str">
        <f>ConvertStockCode(표.실시간4[[#This Row],[코드]])</f>
        <v>N175330</v>
      </c>
      <c r="G107" s="4">
        <f>_xll.IMDP("STK",표.실시간4[[#This Row],[nxt_code]],"현재가")</f>
        <v>24200</v>
      </c>
      <c r="H107" s="4">
        <f>_xll.IMDP("STK",표.실시간4[[#This Row],[nxt_code]],"시가총액")/10^12</f>
        <v>4.5952073442000003</v>
      </c>
      <c r="I107" s="4">
        <f>표.실시간4[[#This Row],[시가총액 (조원)]]/표.실시간4[[#This Row],[현재가]]*(표.실시간4[[#This Row],[현재가]]-표.실시간4[[#This Row],[대비]])</f>
        <v>4.5477361939500005</v>
      </c>
      <c r="J107" s="5">
        <f>_xll.IMDP("STK",표.실시간4[[#This Row],[nxt_code]],"전일대비")</f>
        <v>250</v>
      </c>
      <c r="K107">
        <f>_xll.IMDP("STK",표.실시간4[[#This Row],[nxt_code]],"등락률")</f>
        <v>1.04</v>
      </c>
      <c r="L107" s="4">
        <f>_xll.IMDP("STK",표.실시간4[[#This Row],[nxt_code]],"누적거래량")</f>
        <v>10695</v>
      </c>
      <c r="M107" s="4">
        <f>_xll.IMDP("STK",표.실시간4[[#This Row],[nxt_code]],"누적거래대금")</f>
        <v>257299000</v>
      </c>
      <c r="N107" s="4">
        <f>_xll.IMDP("STK",표.실시간4[[#This Row],[nxt_code]],"가중평균가")</f>
        <v>24057.877512999999</v>
      </c>
      <c r="O107" s="4">
        <f>_xll.IMDP("STK",표.실시간4[[#This Row],[nxt_code]],"시가")</f>
        <v>24000</v>
      </c>
      <c r="P107" s="4">
        <f>_xll.IMDP("STK",표.실시간4[[#This Row],[nxt_code]],"고가")</f>
        <v>24200</v>
      </c>
      <c r="Q107" s="4">
        <f>_xll.IMDP("STK",표.실시간4[[#This Row],[nxt_code]],"저가")</f>
        <v>23950</v>
      </c>
      <c r="R107">
        <f>_xll.IMDP("STK",표.실시간4[[#This Row],[nxt_code]],"세션명")</f>
        <v>0</v>
      </c>
      <c r="S107">
        <f>_xll.IMDP("STK",표.실시간4[[#This Row],[nxt_code]],"체결시간")</f>
        <v>0</v>
      </c>
      <c r="T107" s="4">
        <f>_xll.IMDP("STK","001440","현재가")</f>
        <v>27550</v>
      </c>
      <c r="U107">
        <f>_xll.IMDP("STK","001440","누적거래량")</f>
        <v>283403</v>
      </c>
    </row>
    <row r="108" spans="3:21" x14ac:dyDescent="0.3">
      <c r="C108">
        <v>103</v>
      </c>
      <c r="D108">
        <v>251270</v>
      </c>
      <c r="E108" t="s">
        <v>132</v>
      </c>
      <c r="F108" t="str">
        <f>ConvertStockCode(표.실시간4[[#This Row],[코드]])</f>
        <v>N251270</v>
      </c>
      <c r="G108" s="4">
        <f>_xll.IMDP("STK",표.실시간4[[#This Row],[nxt_code]],"현재가")</f>
        <v>50700</v>
      </c>
      <c r="H108" s="4">
        <f>_xll.IMDP("STK",표.실시간4[[#This Row],[nxt_code]],"시가총액")/10^12</f>
        <v>4.3578425514000001</v>
      </c>
      <c r="I108" s="4">
        <f>표.실시간4[[#This Row],[시가총액 (조원)]]/표.실시간4[[#This Row],[현재가]]*(표.실시간4[[#This Row],[현재가]]-표.실시간4[[#This Row],[대비]])</f>
        <v>4.3750332518000006</v>
      </c>
      <c r="J108" s="5">
        <f>_xll.IMDP("STK",표.실시간4[[#This Row],[nxt_code]],"전일대비")</f>
        <v>-200</v>
      </c>
      <c r="K108">
        <f>_xll.IMDP("STK",표.실시간4[[#This Row],[nxt_code]],"등락률")</f>
        <v>-0.39</v>
      </c>
      <c r="L108" s="4">
        <f>_xll.IMDP("STK",표.실시간4[[#This Row],[nxt_code]],"누적거래량")</f>
        <v>9261</v>
      </c>
      <c r="M108" s="4">
        <f>_xll.IMDP("STK",표.실시간4[[#This Row],[nxt_code]],"누적거래대금")</f>
        <v>473769600</v>
      </c>
      <c r="N108" s="4">
        <f>_xll.IMDP("STK",표.실시간4[[#This Row],[nxt_code]],"가중평균가")</f>
        <v>51157.499190000002</v>
      </c>
      <c r="O108" s="4">
        <f>_xll.IMDP("STK",표.실시간4[[#This Row],[nxt_code]],"시가")</f>
        <v>51000</v>
      </c>
      <c r="P108" s="4">
        <f>_xll.IMDP("STK",표.실시간4[[#This Row],[nxt_code]],"고가")</f>
        <v>51400</v>
      </c>
      <c r="Q108" s="4">
        <f>_xll.IMDP("STK",표.실시간4[[#This Row],[nxt_code]],"저가")</f>
        <v>50700</v>
      </c>
      <c r="R108">
        <f>_xll.IMDP("STK",표.실시간4[[#This Row],[nxt_code]],"세션명")</f>
        <v>0</v>
      </c>
      <c r="S108">
        <f>_xll.IMDP("STK",표.실시간4[[#This Row],[nxt_code]],"체결시간")</f>
        <v>0</v>
      </c>
      <c r="T108" s="4">
        <f>_xll.IMDP("STK","087010","현재가")</f>
        <v>239500</v>
      </c>
      <c r="U108">
        <f>_xll.IMDP("STK","087010","누적거래량")</f>
        <v>9099</v>
      </c>
    </row>
    <row r="109" spans="3:21" x14ac:dyDescent="0.3">
      <c r="C109">
        <v>104</v>
      </c>
      <c r="D109">
        <v>450080</v>
      </c>
      <c r="E109" t="s">
        <v>133</v>
      </c>
      <c r="F109" t="str">
        <f>ConvertStockCode(표.실시간4[[#This Row],[코드]])</f>
        <v>N450080</v>
      </c>
      <c r="G109" s="4">
        <f>_xll.IMDP("STK",표.실시간4[[#This Row],[nxt_code]],"현재가")</f>
        <v>62400</v>
      </c>
      <c r="H109" s="4">
        <f>_xll.IMDP("STK",표.실시간4[[#This Row],[nxt_code]],"시가총액")/10^12</f>
        <v>4.4028662495999997</v>
      </c>
      <c r="I109" s="4">
        <f>표.실시간4[[#This Row],[시가총액 (조원)]]/표.실시간4[[#This Row],[현재가]]*(표.실시간4[[#This Row],[현재가]]-표.실시간4[[#This Row],[대비]])</f>
        <v>4.4240338757999993</v>
      </c>
      <c r="J109" s="5">
        <f>_xll.IMDP("STK",표.실시간4[[#This Row],[nxt_code]],"전일대비")</f>
        <v>-300</v>
      </c>
      <c r="K109">
        <f>_xll.IMDP("STK",표.실시간4[[#This Row],[nxt_code]],"등락률")</f>
        <v>-0.32</v>
      </c>
      <c r="L109" s="4">
        <f>_xll.IMDP("STK",표.실시간4[[#This Row],[nxt_code]],"누적거래량")</f>
        <v>184498</v>
      </c>
      <c r="M109" s="4">
        <f>_xll.IMDP("STK",표.실시간4[[#This Row],[nxt_code]],"누적거래대금")</f>
        <v>11730070300</v>
      </c>
      <c r="N109" s="4">
        <f>_xll.IMDP("STK",표.실시간4[[#This Row],[nxt_code]],"가중평균가")</f>
        <v>63578.305998000003</v>
      </c>
      <c r="O109" s="4">
        <f>_xll.IMDP("STK",표.실시간4[[#This Row],[nxt_code]],"시가")</f>
        <v>63600</v>
      </c>
      <c r="P109" s="4">
        <f>_xll.IMDP("STK",표.실시간4[[#This Row],[nxt_code]],"고가")</f>
        <v>64100</v>
      </c>
      <c r="Q109" s="4">
        <f>_xll.IMDP("STK",표.실시간4[[#This Row],[nxt_code]],"저가")</f>
        <v>62300</v>
      </c>
      <c r="R109">
        <f>_xll.IMDP("STK",표.실시간4[[#This Row],[nxt_code]],"세션명")</f>
        <v>0</v>
      </c>
      <c r="S109">
        <f>_xll.IMDP("STK",표.실시간4[[#This Row],[nxt_code]],"체결시간")</f>
        <v>0</v>
      </c>
      <c r="T109" s="4">
        <f>_xll.IMDP("STK","058470","현재가")</f>
        <v>65000</v>
      </c>
      <c r="U109">
        <f>_xll.IMDP("STK","058470","누적거래량")</f>
        <v>15404</v>
      </c>
    </row>
    <row r="110" spans="3:21" x14ac:dyDescent="0.3">
      <c r="C110">
        <v>105</v>
      </c>
      <c r="D110">
        <v>82740</v>
      </c>
      <c r="E110" t="s">
        <v>128</v>
      </c>
      <c r="F110" t="str">
        <f>ConvertStockCode(표.실시간4[[#This Row],[코드]])</f>
        <v>N082740</v>
      </c>
      <c r="G110" s="4">
        <f>_xll.IMDP("STK",표.실시간4[[#This Row],[nxt_code]],"현재가")</f>
        <v>53300</v>
      </c>
      <c r="H110" s="4">
        <f>_xll.IMDP("STK",표.실시간4[[#This Row],[nxt_code]],"시가총액")/10^12</f>
        <v>4.4477326685999996</v>
      </c>
      <c r="I110" s="4">
        <f>표.실시간4[[#This Row],[시가총액 (조원)]]/표.실시간4[[#This Row],[현재가]]*(표.실시간4[[#This Row],[현재가]]-표.실시간4[[#This Row],[대비]])</f>
        <v>4.3642855265999998</v>
      </c>
      <c r="J110" s="5">
        <f>_xll.IMDP("STK",표.실시간4[[#This Row],[nxt_code]],"전일대비")</f>
        <v>1000</v>
      </c>
      <c r="K110">
        <f>_xll.IMDP("STK",표.실시간4[[#This Row],[nxt_code]],"등락률")</f>
        <v>1.91</v>
      </c>
      <c r="L110" s="4">
        <f>_xll.IMDP("STK",표.실시간4[[#This Row],[nxt_code]],"누적거래량")</f>
        <v>63016</v>
      </c>
      <c r="M110" s="4">
        <f>_xll.IMDP("STK",표.실시간4[[#This Row],[nxt_code]],"누적거래대금")</f>
        <v>3334961700</v>
      </c>
      <c r="N110" s="4">
        <f>_xll.IMDP("STK",표.실시간4[[#This Row],[nxt_code]],"가중평균가")</f>
        <v>52922.459374999999</v>
      </c>
      <c r="O110" s="4">
        <f>_xll.IMDP("STK",표.실시간4[[#This Row],[nxt_code]],"시가")</f>
        <v>52500</v>
      </c>
      <c r="P110" s="4">
        <f>_xll.IMDP("STK",표.실시간4[[#This Row],[nxt_code]],"고가")</f>
        <v>53300</v>
      </c>
      <c r="Q110" s="4">
        <f>_xll.IMDP("STK",표.실시간4[[#This Row],[nxt_code]],"저가")</f>
        <v>52300</v>
      </c>
      <c r="R110">
        <f>_xll.IMDP("STK",표.실시간4[[#This Row],[nxt_code]],"세션명")</f>
        <v>0</v>
      </c>
      <c r="S110">
        <f>_xll.IMDP("STK",표.실시간4[[#This Row],[nxt_code]],"체결시간")</f>
        <v>0</v>
      </c>
      <c r="T110" s="4">
        <f>_xll.IMDP("STK","028050","현재가")</f>
        <v>25100</v>
      </c>
      <c r="U110">
        <f>_xll.IMDP("STK","028050","누적거래량")</f>
        <v>7517</v>
      </c>
    </row>
    <row r="111" spans="3:21" x14ac:dyDescent="0.3">
      <c r="C111">
        <v>106</v>
      </c>
      <c r="D111">
        <v>11790</v>
      </c>
      <c r="E111" t="s">
        <v>135</v>
      </c>
      <c r="F111" t="str">
        <f>ConvertStockCode(표.실시간4[[#This Row],[코드]])</f>
        <v>N011790</v>
      </c>
      <c r="G111" s="4">
        <f>_xll.IMDP("STK",표.실시간4[[#This Row],[nxt_code]],"현재가")</f>
        <v>112500</v>
      </c>
      <c r="H111" s="4">
        <f>_xll.IMDP("STK",표.실시간4[[#This Row],[nxt_code]],"시가총액")/10^12</f>
        <v>4.2601835250000004</v>
      </c>
      <c r="I111" s="4">
        <f>표.실시간4[[#This Row],[시가총액 (조원)]]/표.실시간4[[#This Row],[현재가]]*(표.실시간4[[#This Row],[현재가]]-표.실시간4[[#This Row],[대비]])</f>
        <v>4.3927225680000008</v>
      </c>
      <c r="J111" s="5">
        <f>_xll.IMDP("STK",표.실시간4[[#This Row],[nxt_code]],"전일대비")</f>
        <v>-3500</v>
      </c>
      <c r="K111">
        <f>_xll.IMDP("STK",표.실시간4[[#This Row],[nxt_code]],"등락률")</f>
        <v>-3.1</v>
      </c>
      <c r="L111" s="4">
        <f>_xll.IMDP("STK",표.실시간4[[#This Row],[nxt_code]],"누적거래량")</f>
        <v>116592</v>
      </c>
      <c r="M111" s="4">
        <f>_xll.IMDP("STK",표.실시간4[[#This Row],[nxt_code]],"누적거래대금")</f>
        <v>13493878300</v>
      </c>
      <c r="N111" s="4">
        <f>_xll.IMDP("STK",표.실시간4[[#This Row],[nxt_code]],"가중평균가")</f>
        <v>115735.884966</v>
      </c>
      <c r="O111" s="4">
        <f>_xll.IMDP("STK",표.실시간4[[#This Row],[nxt_code]],"시가")</f>
        <v>117000</v>
      </c>
      <c r="P111" s="4">
        <f>_xll.IMDP("STK",표.실시간4[[#This Row],[nxt_code]],"고가")</f>
        <v>118500</v>
      </c>
      <c r="Q111" s="4">
        <f>_xll.IMDP("STK",표.실시간4[[#This Row],[nxt_code]],"저가")</f>
        <v>112500</v>
      </c>
      <c r="R111">
        <f>_xll.IMDP("STK",표.실시간4[[#This Row],[nxt_code]],"세션명")</f>
        <v>0</v>
      </c>
      <c r="S111">
        <f>_xll.IMDP("STK",표.실시간4[[#This Row],[nxt_code]],"체결시간")</f>
        <v>0</v>
      </c>
      <c r="T111" s="4">
        <f>_xll.IMDP("STK","036570","현재가")</f>
        <v>229500</v>
      </c>
      <c r="U111">
        <f>_xll.IMDP("STK","036570","누적거래량")</f>
        <v>3367</v>
      </c>
    </row>
    <row r="112" spans="3:21" x14ac:dyDescent="0.3">
      <c r="C112">
        <v>107</v>
      </c>
      <c r="D112">
        <v>62040</v>
      </c>
      <c r="E112" t="s">
        <v>131</v>
      </c>
      <c r="F112" t="str">
        <f>ConvertStockCode(표.실시간4[[#This Row],[코드]])</f>
        <v>N062040</v>
      </c>
      <c r="G112" s="4">
        <f>_xll.IMDP("STK",표.실시간4[[#This Row],[nxt_code]],"현재가")</f>
        <v>140500</v>
      </c>
      <c r="H112" s="4">
        <f>_xll.IMDP("STK",표.실시간4[[#This Row],[nxt_code]],"시가총액")/10^12</f>
        <v>4.2916005999999998</v>
      </c>
      <c r="I112" s="4">
        <f>표.실시간4[[#This Row],[시가총액 (조원)]]/표.실시간4[[#This Row],[현재가]]*(표.실시간4[[#This Row],[현재가]]-표.실시간4[[#This Row],[대비]])</f>
        <v>4.3282548399999996</v>
      </c>
      <c r="J112" s="5">
        <f>_xll.IMDP("STK",표.실시간4[[#This Row],[nxt_code]],"전일대비")</f>
        <v>-1200</v>
      </c>
      <c r="K112">
        <f>_xll.IMDP("STK",표.실시간4[[#This Row],[nxt_code]],"등락률")</f>
        <v>-7.0000000000000007E-2</v>
      </c>
      <c r="L112" s="4">
        <f>_xll.IMDP("STK",표.실시간4[[#This Row],[nxt_code]],"누적거래량")</f>
        <v>14836</v>
      </c>
      <c r="M112" s="4">
        <f>_xll.IMDP("STK",표.실시간4[[#This Row],[nxt_code]],"누적거래대금")</f>
        <v>2109197200</v>
      </c>
      <c r="N112" s="4">
        <f>_xll.IMDP("STK",표.실시간4[[#This Row],[nxt_code]],"가중평균가")</f>
        <v>142167.511459</v>
      </c>
      <c r="O112" s="4">
        <f>_xll.IMDP("STK",표.실시간4[[#This Row],[nxt_code]],"시가")</f>
        <v>142200</v>
      </c>
      <c r="P112" s="4">
        <f>_xll.IMDP("STK",표.실시간4[[#This Row],[nxt_code]],"고가")</f>
        <v>143500</v>
      </c>
      <c r="Q112" s="4">
        <f>_xll.IMDP("STK",표.실시간4[[#This Row],[nxt_code]],"저가")</f>
        <v>140500</v>
      </c>
      <c r="R112">
        <f>_xll.IMDP("STK",표.실시간4[[#This Row],[nxt_code]],"세션명")</f>
        <v>0</v>
      </c>
      <c r="S112">
        <f>_xll.IMDP("STK",표.실시간4[[#This Row],[nxt_code]],"체결시간")</f>
        <v>0</v>
      </c>
      <c r="T112" s="4">
        <f>_xll.IMDP("STK","138930","현재가")</f>
        <v>15730</v>
      </c>
      <c r="U112">
        <f>_xll.IMDP("STK","138930","누적거래량")</f>
        <v>12984</v>
      </c>
    </row>
    <row r="113" spans="3:21" x14ac:dyDescent="0.3">
      <c r="C113">
        <v>108</v>
      </c>
      <c r="D113">
        <v>990</v>
      </c>
      <c r="E113" t="s">
        <v>137</v>
      </c>
      <c r="F113" t="str">
        <f>ConvertStockCode(표.실시간4[[#This Row],[코드]])</f>
        <v>N000990</v>
      </c>
      <c r="G113" s="4">
        <f>_xll.IMDP("STK",표.실시간4[[#This Row],[nxt_code]],"현재가")</f>
        <v>92200</v>
      </c>
      <c r="H113" s="4">
        <f>_xll.IMDP("STK",표.실시간4[[#This Row],[nxt_code]],"시가총액")/10^12</f>
        <v>4.0111230135999998</v>
      </c>
      <c r="I113" s="4">
        <f>표.실시간4[[#This Row],[시가총액 (조원)]]/표.실시간4[[#This Row],[현재가]]*(표.실시간4[[#This Row],[현재가]]-표.실시간4[[#This Row],[대비]])</f>
        <v>4.0111230135999998</v>
      </c>
      <c r="J113" s="5">
        <f>_xll.IMDP("STK",표.실시간4[[#This Row],[nxt_code]],"전일대비")</f>
        <v>0</v>
      </c>
      <c r="K113">
        <f>_xll.IMDP("STK",표.실시간4[[#This Row],[nxt_code]],"등락률")</f>
        <v>-0.97</v>
      </c>
      <c r="L113" s="4">
        <f>_xll.IMDP("STK",표.실시간4[[#This Row],[nxt_code]],"누적거래량")</f>
        <v>18138</v>
      </c>
      <c r="M113" s="4">
        <f>_xll.IMDP("STK",표.실시간4[[#This Row],[nxt_code]],"누적거래대금")</f>
        <v>1716145600</v>
      </c>
      <c r="N113" s="4">
        <f>_xll.IMDP("STK",표.실시간4[[#This Row],[nxt_code]],"가중평균가")</f>
        <v>93421.099619000001</v>
      </c>
      <c r="O113" s="4">
        <f>_xll.IMDP("STK",표.실시간4[[#This Row],[nxt_code]],"시가")</f>
        <v>93100</v>
      </c>
      <c r="P113" s="4">
        <f>_xll.IMDP("STK",표.실시간4[[#This Row],[nxt_code]],"고가")</f>
        <v>95000</v>
      </c>
      <c r="Q113" s="4">
        <f>_xll.IMDP("STK",표.실시간4[[#This Row],[nxt_code]],"저가")</f>
        <v>92100</v>
      </c>
      <c r="R113">
        <f>_xll.IMDP("STK",표.실시간4[[#This Row],[nxt_code]],"세션명")</f>
        <v>0</v>
      </c>
      <c r="S113">
        <f>_xll.IMDP("STK",표.실시간4[[#This Row],[nxt_code]],"체결시간")</f>
        <v>0</v>
      </c>
      <c r="T113" s="4">
        <f>_xll.IMDP("STK","009830","현재가")</f>
        <v>29450</v>
      </c>
      <c r="U113">
        <f>_xll.IMDP("STK","009830","누적거래량")</f>
        <v>272762</v>
      </c>
    </row>
    <row r="114" spans="3:21" x14ac:dyDescent="0.3">
      <c r="C114">
        <v>109</v>
      </c>
      <c r="D114">
        <v>51900</v>
      </c>
      <c r="E114" t="s">
        <v>136</v>
      </c>
      <c r="F114" t="str">
        <f>ConvertStockCode(표.실시간4[[#This Row],[코드]])</f>
        <v>N051900</v>
      </c>
      <c r="G114" s="4">
        <f>_xll.IMDP("STK",표.실시간4[[#This Row],[nxt_code]],"현재가")</f>
        <v>271500</v>
      </c>
      <c r="H114" s="4">
        <f>_xll.IMDP("STK",표.실시간4[[#This Row],[nxt_code]],"시가총액")/10^12</f>
        <v>4.1546176184999997</v>
      </c>
      <c r="I114" s="4">
        <f>표.실시간4[[#This Row],[시가총액 (조원)]]/표.실시간4[[#This Row],[현재가]]*(표.실시간4[[#This Row],[현재가]]-표.실시간4[[#This Row],[대비]])</f>
        <v>4.1928737659999999</v>
      </c>
      <c r="J114" s="5">
        <f>_xll.IMDP("STK",표.실시간4[[#This Row],[nxt_code]],"전일대비")</f>
        <v>-2500</v>
      </c>
      <c r="K114">
        <f>_xll.IMDP("STK",표.실시간4[[#This Row],[nxt_code]],"등락률")</f>
        <v>-0.91</v>
      </c>
      <c r="L114" s="4">
        <f>_xll.IMDP("STK",표.실시간4[[#This Row],[nxt_code]],"누적거래량")</f>
        <v>4485</v>
      </c>
      <c r="M114" s="4">
        <f>_xll.IMDP("STK",표.실시간4[[#This Row],[nxt_code]],"누적거래대금")</f>
        <v>1228085000</v>
      </c>
      <c r="N114" s="4">
        <f>_xll.IMDP("STK",표.실시간4[[#This Row],[nxt_code]],"가중평균가")</f>
        <v>273820.51282100001</v>
      </c>
      <c r="O114" s="4">
        <f>_xll.IMDP("STK",표.실시간4[[#This Row],[nxt_code]],"시가")</f>
        <v>274000</v>
      </c>
      <c r="P114" s="4">
        <f>_xll.IMDP("STK",표.실시간4[[#This Row],[nxt_code]],"고가")</f>
        <v>275000</v>
      </c>
      <c r="Q114" s="4">
        <f>_xll.IMDP("STK",표.실시간4[[#This Row],[nxt_code]],"저가")</f>
        <v>271000</v>
      </c>
      <c r="R114">
        <f>_xll.IMDP("STK",표.실시간4[[#This Row],[nxt_code]],"세션명")</f>
        <v>0</v>
      </c>
      <c r="S114">
        <f>_xll.IMDP("STK",표.실시간4[[#This Row],[nxt_code]],"체결시간")</f>
        <v>0</v>
      </c>
      <c r="T114" s="4">
        <f>_xll.IMDP("STK","271560","현재가")</f>
        <v>115600</v>
      </c>
      <c r="U114">
        <f>_xll.IMDP("STK","271560","누적거래량")</f>
        <v>585</v>
      </c>
    </row>
    <row r="115" spans="3:21" x14ac:dyDescent="0.3">
      <c r="C115">
        <v>110</v>
      </c>
      <c r="D115">
        <v>2380</v>
      </c>
      <c r="E115" t="s">
        <v>139</v>
      </c>
      <c r="F115" t="str">
        <f>ConvertStockCode(표.실시간4[[#This Row],[코드]])</f>
        <v>N002380</v>
      </c>
      <c r="G115" s="4">
        <f>_xll.IMDP("STK",표.실시간4[[#This Row],[nxt_code]],"현재가")</f>
        <v>457500</v>
      </c>
      <c r="H115" s="4">
        <f>_xll.IMDP("STK",표.실시간4[[#This Row],[nxt_code]],"시가총액")/10^12</f>
        <v>4.0655604824999996</v>
      </c>
      <c r="I115" s="4">
        <f>표.실시간4[[#This Row],[시가총액 (조원)]]/표.실시간4[[#This Row],[현재가]]*(표.실시간4[[#This Row],[현재가]]-표.실시간4[[#This Row],[대비]])</f>
        <v>3.9411498884999996</v>
      </c>
      <c r="J115" s="5">
        <f>_xll.IMDP("STK",표.실시간4[[#This Row],[nxt_code]],"전일대비")</f>
        <v>14000</v>
      </c>
      <c r="K115">
        <f>_xll.IMDP("STK",표.실시간4[[#This Row],[nxt_code]],"등락률")</f>
        <v>3.16</v>
      </c>
      <c r="L115" s="4">
        <f>_xll.IMDP("STK",표.실시간4[[#This Row],[nxt_code]],"누적거래량")</f>
        <v>2266</v>
      </c>
      <c r="M115" s="4">
        <f>_xll.IMDP("STK",표.실시간4[[#This Row],[nxt_code]],"누적거래대금")</f>
        <v>1021052000</v>
      </c>
      <c r="N115" s="4">
        <f>_xll.IMDP("STK",표.실시간4[[#This Row],[nxt_code]],"가중평균가")</f>
        <v>450596.64607199997</v>
      </c>
      <c r="O115" s="4">
        <f>_xll.IMDP("STK",표.실시간4[[#This Row],[nxt_code]],"시가")</f>
        <v>446000</v>
      </c>
      <c r="P115" s="4">
        <f>_xll.IMDP("STK",표.실시간4[[#This Row],[nxt_code]],"고가")</f>
        <v>459500</v>
      </c>
      <c r="Q115" s="4">
        <f>_xll.IMDP("STK",표.실시간4[[#This Row],[nxt_code]],"저가")</f>
        <v>446000</v>
      </c>
      <c r="R115">
        <f>_xll.IMDP("STK",표.실시간4[[#This Row],[nxt_code]],"세션명")</f>
        <v>0</v>
      </c>
      <c r="S115">
        <f>_xll.IMDP("STK",표.실시간4[[#This Row],[nxt_code]],"체결시간")</f>
        <v>0</v>
      </c>
      <c r="T115" s="4">
        <f>_xll.IMDP("STK","066970","현재가")</f>
        <v>125000</v>
      </c>
      <c r="U115">
        <f>_xll.IMDP("STK","066970","누적거래량")</f>
        <v>51107</v>
      </c>
    </row>
    <row r="116" spans="3:21" x14ac:dyDescent="0.3">
      <c r="C116">
        <v>111</v>
      </c>
      <c r="D116">
        <v>302440</v>
      </c>
      <c r="E116" t="s">
        <v>143</v>
      </c>
      <c r="F116" t="str">
        <f>ConvertStockCode(표.실시간4[[#This Row],[코드]])</f>
        <v>N302440</v>
      </c>
      <c r="G116" s="4">
        <f>_xll.IMDP("STK",표.실시간4[[#This Row],[nxt_code]],"현재가")</f>
        <v>49400</v>
      </c>
      <c r="H116" s="4">
        <f>_xll.IMDP("STK",표.실시간4[[#This Row],[nxt_code]],"시가총액")/10^12</f>
        <v>3.8746742294000001</v>
      </c>
      <c r="I116" s="4">
        <f>표.실시간4[[#This Row],[시가총액 (조원)]]/표.실시간4[[#This Row],[현재가]]*(표.실시간4[[#This Row],[현재가]]-표.실시간4[[#This Row],[대비]])</f>
        <v>3.8629090242500004</v>
      </c>
      <c r="J116" s="5">
        <f>_xll.IMDP("STK",표.실시간4[[#This Row],[nxt_code]],"전일대비")</f>
        <v>150</v>
      </c>
      <c r="K116">
        <f>_xll.IMDP("STK",표.실시간4[[#This Row],[nxt_code]],"등락률")</f>
        <v>0.3</v>
      </c>
      <c r="L116" s="4">
        <f>_xll.IMDP("STK",표.실시간4[[#This Row],[nxt_code]],"누적거래량")</f>
        <v>8619</v>
      </c>
      <c r="M116" s="4">
        <f>_xll.IMDP("STK",표.실시간4[[#This Row],[nxt_code]],"누적거래대금")</f>
        <v>425152500</v>
      </c>
      <c r="N116" s="4">
        <f>_xll.IMDP("STK",표.실시간4[[#This Row],[nxt_code]],"가중평균가")</f>
        <v>49327.358161999997</v>
      </c>
      <c r="O116" s="4">
        <f>_xll.IMDP("STK",표.실시간4[[#This Row],[nxt_code]],"시가")</f>
        <v>49400</v>
      </c>
      <c r="P116" s="4">
        <f>_xll.IMDP("STK",표.실시간4[[#This Row],[nxt_code]],"고가")</f>
        <v>49550</v>
      </c>
      <c r="Q116" s="4">
        <f>_xll.IMDP("STK",표.실시간4[[#This Row],[nxt_code]],"저가")</f>
        <v>49100</v>
      </c>
      <c r="R116">
        <f>_xll.IMDP("STK",표.실시간4[[#This Row],[nxt_code]],"세션명")</f>
        <v>0</v>
      </c>
      <c r="S116">
        <f>_xll.IMDP("STK",표.실시간4[[#This Row],[nxt_code]],"체결시간")</f>
        <v>0</v>
      </c>
      <c r="T116" s="4">
        <f>_xll.IMDP("STK","082740","현재가")</f>
        <v>53200</v>
      </c>
      <c r="U116">
        <f>_xll.IMDP("STK","082740","누적거래량")</f>
        <v>12224</v>
      </c>
    </row>
    <row r="117" spans="3:21" x14ac:dyDescent="0.3">
      <c r="C117">
        <v>112</v>
      </c>
      <c r="D117">
        <v>11780</v>
      </c>
      <c r="E117" t="s">
        <v>145</v>
      </c>
      <c r="F117" t="str">
        <f>ConvertStockCode(표.실시간4[[#This Row],[코드]])</f>
        <v>N011780</v>
      </c>
      <c r="G117" s="4">
        <f>_xll.IMDP("STK",표.실시간4[[#This Row],[nxt_code]],"현재가")</f>
        <v>150400</v>
      </c>
      <c r="H117" s="4">
        <f>_xll.IMDP("STK",표.실시간4[[#This Row],[nxt_code]],"시가총액")/10^12</f>
        <v>3.9151739968000001</v>
      </c>
      <c r="I117" s="4">
        <f>표.실시간4[[#This Row],[시가총액 (조원)]]/표.실시간4[[#This Row],[현재가]]*(표.실시간4[[#This Row],[현재가]]-표.실시간4[[#This Row],[대비]])</f>
        <v>3.7798089384000004</v>
      </c>
      <c r="J117" s="5">
        <f>_xll.IMDP("STK",표.실시간4[[#This Row],[nxt_code]],"전일대비")</f>
        <v>5200</v>
      </c>
      <c r="K117">
        <f>_xll.IMDP("STK",표.실시간4[[#This Row],[nxt_code]],"등락률")</f>
        <v>3.58</v>
      </c>
      <c r="L117" s="4">
        <f>_xll.IMDP("STK",표.실시간4[[#This Row],[nxt_code]],"누적거래량")</f>
        <v>8047</v>
      </c>
      <c r="M117" s="4">
        <f>_xll.IMDP("STK",표.실시간4[[#This Row],[nxt_code]],"누적거래대금")</f>
        <v>1196498700</v>
      </c>
      <c r="N117" s="4">
        <f>_xll.IMDP("STK",표.실시간4[[#This Row],[nxt_code]],"가중평균가")</f>
        <v>148688.79085399999</v>
      </c>
      <c r="O117" s="4">
        <f>_xll.IMDP("STK",표.실시간4[[#This Row],[nxt_code]],"시가")</f>
        <v>145300</v>
      </c>
      <c r="P117" s="4">
        <f>_xll.IMDP("STK",표.실시간4[[#This Row],[nxt_code]],"고가")</f>
        <v>151400</v>
      </c>
      <c r="Q117" s="4">
        <f>_xll.IMDP("STK",표.실시간4[[#This Row],[nxt_code]],"저가")</f>
        <v>145300</v>
      </c>
      <c r="R117">
        <f>_xll.IMDP("STK",표.실시간4[[#This Row],[nxt_code]],"세션명")</f>
        <v>0</v>
      </c>
      <c r="S117">
        <f>_xll.IMDP("STK",표.실시간4[[#This Row],[nxt_code]],"체결시간")</f>
        <v>0</v>
      </c>
      <c r="T117" s="4">
        <f>_xll.IMDP("STK","214450","현재가")</f>
        <v>464000</v>
      </c>
      <c r="U117">
        <f>_xll.IMDP("STK","214450","누적거래량")</f>
        <v>9256</v>
      </c>
    </row>
    <row r="118" spans="3:21" x14ac:dyDescent="0.3">
      <c r="C118">
        <v>113</v>
      </c>
      <c r="D118">
        <v>35250</v>
      </c>
      <c r="E118" t="s">
        <v>140</v>
      </c>
      <c r="F118" t="str">
        <f>ConvertStockCode(표.실시간4[[#This Row],[코드]])</f>
        <v>N035250</v>
      </c>
      <c r="G118" s="4">
        <f>_xll.IMDP("STK",표.실시간4[[#This Row],[nxt_code]],"현재가")</f>
        <v>17880</v>
      </c>
      <c r="H118" s="4">
        <f>_xll.IMDP("STK",표.실시간4[[#This Row],[nxt_code]],"시가총액")/10^12</f>
        <v>3.82525614</v>
      </c>
      <c r="I118" s="4">
        <f>표.실시간4[[#This Row],[시가총액 (조원)]]/표.실시간4[[#This Row],[현재가]]*(표.실시간4[[#This Row],[현재가]]-표.실시간4[[#This Row],[대비]])</f>
        <v>3.7995832800000002</v>
      </c>
      <c r="J118" s="5">
        <f>_xll.IMDP("STK",표.실시간4[[#This Row],[nxt_code]],"전일대비")</f>
        <v>120</v>
      </c>
      <c r="K118">
        <f>_xll.IMDP("STK",표.실시간4[[#This Row],[nxt_code]],"등락률")</f>
        <v>0.56000000000000005</v>
      </c>
      <c r="L118" s="4">
        <f>_xll.IMDP("STK",표.실시간4[[#This Row],[nxt_code]],"누적거래량")</f>
        <v>14390</v>
      </c>
      <c r="M118" s="4">
        <f>_xll.IMDP("STK",표.실시간4[[#This Row],[nxt_code]],"누적거래대금")</f>
        <v>253495170</v>
      </c>
      <c r="N118" s="4">
        <f>_xll.IMDP("STK",표.실시간4[[#This Row],[nxt_code]],"가중평균가")</f>
        <v>17845.841557</v>
      </c>
      <c r="O118" s="4">
        <f>_xll.IMDP("STK",표.실시간4[[#This Row],[nxt_code]],"시가")</f>
        <v>17880</v>
      </c>
      <c r="P118" s="4">
        <f>_xll.IMDP("STK",표.실시간4[[#This Row],[nxt_code]],"고가")</f>
        <v>18010</v>
      </c>
      <c r="Q118" s="4">
        <f>_xll.IMDP("STK",표.실시간4[[#This Row],[nxt_code]],"저가")</f>
        <v>17780</v>
      </c>
      <c r="R118">
        <f>_xll.IMDP("STK",표.실시간4[[#This Row],[nxt_code]],"세션명")</f>
        <v>0</v>
      </c>
      <c r="S118">
        <f>_xll.IMDP("STK",표.실시간4[[#This Row],[nxt_code]],"체결시간")</f>
        <v>0</v>
      </c>
      <c r="T118" s="4">
        <f>_xll.IMDP("STK","175330","현재가")</f>
        <v>24250</v>
      </c>
      <c r="U118">
        <f>_xll.IMDP("STK","175330","누적거래량")</f>
        <v>9525</v>
      </c>
    </row>
    <row r="119" spans="3:21" x14ac:dyDescent="0.3">
      <c r="C119">
        <v>114</v>
      </c>
      <c r="D119">
        <v>36460</v>
      </c>
      <c r="E119" t="s">
        <v>146</v>
      </c>
      <c r="F119" t="str">
        <f>ConvertStockCode(표.실시간4[[#This Row],[코드]])</f>
        <v>N036460</v>
      </c>
      <c r="G119" s="4">
        <f>_xll.IMDP("STK",표.실시간4[[#This Row],[nxt_code]],"현재가")</f>
        <v>40800</v>
      </c>
      <c r="H119" s="4">
        <f>_xll.IMDP("STK",표.실시간4[[#This Row],[nxt_code]],"시가총액")/10^12</f>
        <v>3.7663704</v>
      </c>
      <c r="I119" s="4">
        <f>표.실시간4[[#This Row],[시가총액 (조원)]]/표.실시간4[[#This Row],[현재가]]*(표.실시간4[[#This Row],[현재가]]-표.실시간4[[#This Row],[대비]])</f>
        <v>3.8079112499999996</v>
      </c>
      <c r="J119" s="5">
        <f>_xll.IMDP("STK",표.실시간4[[#This Row],[nxt_code]],"전일대비")</f>
        <v>-450</v>
      </c>
      <c r="K119">
        <f>_xll.IMDP("STK",표.실시간4[[#This Row],[nxt_code]],"등락률")</f>
        <v>-1.0900000000000001</v>
      </c>
      <c r="L119" s="4">
        <f>_xll.IMDP("STK",표.실시간4[[#This Row],[nxt_code]],"누적거래량")</f>
        <v>91246</v>
      </c>
      <c r="M119" s="4">
        <f>_xll.IMDP("STK",표.실시간4[[#This Row],[nxt_code]],"누적거래대금")</f>
        <v>3756543000</v>
      </c>
      <c r="N119" s="4">
        <f>_xll.IMDP("STK",표.실시간4[[#This Row],[nxt_code]],"가중평균가")</f>
        <v>41169.399207000002</v>
      </c>
      <c r="O119" s="4">
        <f>_xll.IMDP("STK",표.실시간4[[#This Row],[nxt_code]],"시가")</f>
        <v>41250</v>
      </c>
      <c r="P119" s="4">
        <f>_xll.IMDP("STK",표.실시간4[[#This Row],[nxt_code]],"고가")</f>
        <v>41700</v>
      </c>
      <c r="Q119" s="4">
        <f>_xll.IMDP("STK",표.실시간4[[#This Row],[nxt_code]],"저가")</f>
        <v>40750</v>
      </c>
      <c r="R119">
        <f>_xll.IMDP("STK",표.실시간4[[#This Row],[nxt_code]],"세션명")</f>
        <v>0</v>
      </c>
      <c r="S119">
        <f>_xll.IMDP("STK",표.실시간4[[#This Row],[nxt_code]],"체결시간")</f>
        <v>0</v>
      </c>
      <c r="T119" s="4">
        <f>_xll.IMDP("STK","062040","현재가")</f>
        <v>140600</v>
      </c>
      <c r="U119">
        <f>_xll.IMDP("STK","062040","누적거래량")</f>
        <v>4686</v>
      </c>
    </row>
    <row r="120" spans="3:21" x14ac:dyDescent="0.3">
      <c r="C120">
        <v>115</v>
      </c>
      <c r="D120">
        <v>111770</v>
      </c>
      <c r="E120" t="s">
        <v>147</v>
      </c>
      <c r="F120" t="str">
        <f>ConvertStockCode(표.실시간4[[#This Row],[코드]])</f>
        <v>N111770</v>
      </c>
      <c r="G120" s="4">
        <f>_xll.IMDP("STK",표.실시간4[[#This Row],[nxt_code]],"현재가")</f>
        <v>85200</v>
      </c>
      <c r="H120" s="4">
        <f>_xll.IMDP("STK",표.실시간4[[#This Row],[nxt_code]],"시가총액")/10^12</f>
        <v>3.7753370735999998</v>
      </c>
      <c r="I120" s="4">
        <f>표.실시간4[[#This Row],[시가총액 (조원)]]/표.실시간4[[#This Row],[현재가]]*(표.실시간4[[#This Row],[현재가]]-표.실시간4[[#This Row],[대비]])</f>
        <v>3.7841993671999998</v>
      </c>
      <c r="J120" s="5">
        <f>_xll.IMDP("STK",표.실시간4[[#This Row],[nxt_code]],"전일대비")</f>
        <v>-200</v>
      </c>
      <c r="K120">
        <f>_xll.IMDP("STK",표.실시간4[[#This Row],[nxt_code]],"등락률")</f>
        <v>-0.23</v>
      </c>
      <c r="L120" s="4">
        <f>_xll.IMDP("STK",표.실시간4[[#This Row],[nxt_code]],"누적거래량")</f>
        <v>432</v>
      </c>
      <c r="M120" s="4">
        <f>_xll.IMDP("STK",표.실시간4[[#This Row],[nxt_code]],"누적거래대금")</f>
        <v>36618900</v>
      </c>
      <c r="N120" s="4">
        <f>_xll.IMDP("STK",표.실시간4[[#This Row],[nxt_code]],"가중평균가")</f>
        <v>84765.972221999997</v>
      </c>
      <c r="O120" s="4">
        <f>_xll.IMDP("STK",표.실시간4[[#This Row],[nxt_code]],"시가")</f>
        <v>85400</v>
      </c>
      <c r="P120" s="4">
        <f>_xll.IMDP("STK",표.실시간4[[#This Row],[nxt_code]],"고가")</f>
        <v>85400</v>
      </c>
      <c r="Q120" s="4">
        <f>_xll.IMDP("STK",표.실시간4[[#This Row],[nxt_code]],"저가")</f>
        <v>84700</v>
      </c>
      <c r="R120">
        <f>_xll.IMDP("STK",표.실시간4[[#This Row],[nxt_code]],"세션명")</f>
        <v>0</v>
      </c>
      <c r="S120">
        <f>_xll.IMDP("STK",표.실시간4[[#This Row],[nxt_code]],"체결시간")</f>
        <v>0</v>
      </c>
      <c r="T120" s="4">
        <f>_xll.IMDP("STK","251270","현재가")</f>
        <v>50600</v>
      </c>
      <c r="U120">
        <f>_xll.IMDP("STK","251270","누적거래량")</f>
        <v>5599</v>
      </c>
    </row>
    <row r="121" spans="3:21" x14ac:dyDescent="0.3">
      <c r="C121">
        <v>116</v>
      </c>
      <c r="D121">
        <v>17800</v>
      </c>
      <c r="E121" t="s">
        <v>149</v>
      </c>
      <c r="F121" t="str">
        <f>ConvertStockCode(표.실시간4[[#This Row],[코드]])</f>
        <v>N017800</v>
      </c>
      <c r="G121" s="4">
        <f>_xll.IMDP("STK",표.실시간4[[#This Row],[nxt_code]],"현재가")</f>
        <v>93500</v>
      </c>
      <c r="H121" s="4">
        <f>_xll.IMDP("STK",표.실시간4[[#This Row],[nxt_code]],"시가총액")/10^12</f>
        <v>3.6551379974999998</v>
      </c>
      <c r="I121" s="4">
        <f>표.실시간4[[#This Row],[시가총액 (조원)]]/표.실시간4[[#This Row],[현재가]]*(표.실시간4[[#This Row],[현재가]]-표.실시간4[[#This Row],[대비]])</f>
        <v>3.6473195205</v>
      </c>
      <c r="J121" s="5">
        <f>_xll.IMDP("STK",표.실시간4[[#This Row],[nxt_code]],"전일대비")</f>
        <v>200</v>
      </c>
      <c r="K121">
        <f>_xll.IMDP("STK",표.실시간4[[#This Row],[nxt_code]],"등락률")</f>
        <v>0.21</v>
      </c>
      <c r="L121" s="4">
        <f>_xll.IMDP("STK",표.실시간4[[#This Row],[nxt_code]],"누적거래량")</f>
        <v>8559</v>
      </c>
      <c r="M121" s="4">
        <f>_xll.IMDP("STK",표.실시간4[[#This Row],[nxt_code]],"누적거래대금")</f>
        <v>801911900</v>
      </c>
      <c r="N121" s="4">
        <f>_xll.IMDP("STK",표.실시간4[[#This Row],[nxt_code]],"가중평균가")</f>
        <v>93692.242083999998</v>
      </c>
      <c r="O121" s="4">
        <f>_xll.IMDP("STK",표.실시간4[[#This Row],[nxt_code]],"시가")</f>
        <v>93500</v>
      </c>
      <c r="P121" s="4">
        <f>_xll.IMDP("STK",표.실시간4[[#This Row],[nxt_code]],"고가")</f>
        <v>94100</v>
      </c>
      <c r="Q121" s="4">
        <f>_xll.IMDP("STK",표.실시간4[[#This Row],[nxt_code]],"저가")</f>
        <v>93200</v>
      </c>
      <c r="R121">
        <f>_xll.IMDP("STK",표.실시간4[[#This Row],[nxt_code]],"세션명")</f>
        <v>0</v>
      </c>
      <c r="S121">
        <f>_xll.IMDP("STK",표.실시간4[[#This Row],[nxt_code]],"체결시간")</f>
        <v>0</v>
      </c>
      <c r="T121" s="4">
        <f>_xll.IMDP("STK","450080","현재가")</f>
        <v>62300</v>
      </c>
      <c r="U121">
        <f>_xll.IMDP("STK","450080","누적거래량")</f>
        <v>48171</v>
      </c>
    </row>
    <row r="122" spans="3:21" x14ac:dyDescent="0.3">
      <c r="C122">
        <v>117</v>
      </c>
      <c r="D122">
        <v>18880</v>
      </c>
      <c r="E122" t="s">
        <v>154</v>
      </c>
      <c r="F122" t="str">
        <f>ConvertStockCode(표.실시간4[[#This Row],[코드]])</f>
        <v>N018880</v>
      </c>
      <c r="G122" s="4">
        <f>_xll.IMDP("STK",표.실시간4[[#This Row],[nxt_code]],"현재가")</f>
        <v>3340</v>
      </c>
      <c r="H122" s="4">
        <f>_xll.IMDP("STK",표.실시간4[[#This Row],[nxt_code]],"시가총액")/10^12</f>
        <v>3.4277169236799998</v>
      </c>
      <c r="I122" s="4">
        <f>표.실시간4[[#This Row],[시가총액 (조원)]]/표.실시간4[[#This Row],[현재가]]*(표.실시간4[[#This Row],[현재가]]-표.실시간4[[#This Row],[대비]])</f>
        <v>3.4841613640399998</v>
      </c>
      <c r="J122" s="5">
        <f>_xll.IMDP("STK",표.실시간4[[#This Row],[nxt_code]],"전일대비")</f>
        <v>-55</v>
      </c>
      <c r="K122">
        <f>_xll.IMDP("STK",표.실시간4[[#This Row],[nxt_code]],"등락률")</f>
        <v>-1.76</v>
      </c>
      <c r="L122" s="4">
        <f>_xll.IMDP("STK",표.실시간4[[#This Row],[nxt_code]],"누적거래량")</f>
        <v>4488020</v>
      </c>
      <c r="M122" s="4">
        <f>_xll.IMDP("STK",표.실시간4[[#This Row],[nxt_code]],"누적거래대금")</f>
        <v>15535848765</v>
      </c>
      <c r="N122" s="4">
        <f>_xll.IMDP("STK",표.실시간4[[#This Row],[nxt_code]],"가중평균가")</f>
        <v>3461.6141149999999</v>
      </c>
      <c r="O122" s="4">
        <f>_xll.IMDP("STK",표.실시간4[[#This Row],[nxt_code]],"시가")</f>
        <v>3385</v>
      </c>
      <c r="P122" s="4">
        <f>_xll.IMDP("STK",표.실시간4[[#This Row],[nxt_code]],"고가")</f>
        <v>3510</v>
      </c>
      <c r="Q122" s="4">
        <f>_xll.IMDP("STK",표.실시간4[[#This Row],[nxt_code]],"저가")</f>
        <v>3315</v>
      </c>
      <c r="R122">
        <f>_xll.IMDP("STK",표.실시간4[[#This Row],[nxt_code]],"세션명")</f>
        <v>0</v>
      </c>
      <c r="S122">
        <f>_xll.IMDP("STK",표.실시간4[[#This Row],[nxt_code]],"체결시간")</f>
        <v>0</v>
      </c>
      <c r="T122" s="4">
        <f>_xll.IMDP("STK","004020","현재가")</f>
        <v>34800</v>
      </c>
      <c r="U122">
        <f>_xll.IMDP("STK","004020","누적거래량")</f>
        <v>85509</v>
      </c>
    </row>
    <row r="123" spans="3:21" x14ac:dyDescent="0.3">
      <c r="C123">
        <v>118</v>
      </c>
      <c r="D123">
        <v>31210</v>
      </c>
      <c r="E123" t="s">
        <v>152</v>
      </c>
      <c r="F123" t="str">
        <f>ConvertStockCode(표.실시간4[[#This Row],[코드]])</f>
        <v>N031210</v>
      </c>
      <c r="G123" s="4">
        <f>_xll.IMDP("STK",표.실시간4[[#This Row],[nxt_code]],"현재가")</f>
        <v>49450</v>
      </c>
      <c r="H123" s="4">
        <f>_xll.IMDP("STK",표.실시간4[[#This Row],[nxt_code]],"시가총액")/10^12</f>
        <v>3.4526780211000001</v>
      </c>
      <c r="I123" s="4">
        <f>표.실시간4[[#This Row],[시가총액 (조원)]]/표.실시간4[[#This Row],[현재가]]*(표.실시간4[[#This Row],[현재가]]-표.실시간4[[#This Row],[대비]])</f>
        <v>3.456169101</v>
      </c>
      <c r="J123" s="5">
        <f>_xll.IMDP("STK",표.실시간4[[#This Row],[nxt_code]],"전일대비")</f>
        <v>-50</v>
      </c>
      <c r="K123">
        <f>_xll.IMDP("STK",표.실시간4[[#This Row],[nxt_code]],"등락률")</f>
        <v>-0.1</v>
      </c>
      <c r="L123" s="4">
        <f>_xll.IMDP("STK",표.실시간4[[#This Row],[nxt_code]],"누적거래량")</f>
        <v>141</v>
      </c>
      <c r="M123" s="4">
        <f>_xll.IMDP("STK",표.실시간4[[#This Row],[nxt_code]],"누적거래대금")</f>
        <v>6986500</v>
      </c>
      <c r="N123" s="4">
        <f>_xll.IMDP("STK",표.실시간4[[#This Row],[nxt_code]],"가중평균가")</f>
        <v>49549.645389999998</v>
      </c>
      <c r="O123" s="4">
        <f>_xll.IMDP("STK",표.실시간4[[#This Row],[nxt_code]],"시가")</f>
        <v>49300</v>
      </c>
      <c r="P123" s="4">
        <f>_xll.IMDP("STK",표.실시간4[[#This Row],[nxt_code]],"고가")</f>
        <v>49750</v>
      </c>
      <c r="Q123" s="4">
        <f>_xll.IMDP("STK",표.실시간4[[#This Row],[nxt_code]],"저가")</f>
        <v>49300</v>
      </c>
      <c r="R123">
        <f>_xll.IMDP("STK",표.실시간4[[#This Row],[nxt_code]],"세션명")</f>
        <v>0</v>
      </c>
      <c r="S123">
        <f>_xll.IMDP("STK",표.실시간4[[#This Row],[nxt_code]],"체결시간")</f>
        <v>0</v>
      </c>
      <c r="T123" s="4">
        <f>_xll.IMDP("STK","011790","현재가")</f>
        <v>112500</v>
      </c>
      <c r="U123">
        <f>_xll.IMDP("STK","011790","누적거래량")</f>
        <v>24664</v>
      </c>
    </row>
    <row r="124" spans="3:21" x14ac:dyDescent="0.3">
      <c r="C124">
        <v>119</v>
      </c>
      <c r="D124">
        <v>103140</v>
      </c>
      <c r="E124" t="s">
        <v>153</v>
      </c>
      <c r="F124" t="str">
        <f>ConvertStockCode(표.실시간4[[#This Row],[코드]])</f>
        <v>N103140</v>
      </c>
      <c r="G124" s="4">
        <f>_xll.IMDP("STK",표.실시간4[[#This Row],[nxt_code]],"현재가")</f>
        <v>119900</v>
      </c>
      <c r="H124" s="4">
        <f>_xll.IMDP("STK",표.실시간4[[#This Row],[nxt_code]],"시가총액")/10^12</f>
        <v>3.3601109322</v>
      </c>
      <c r="I124" s="4">
        <f>표.실시간4[[#This Row],[시가총액 (조원)]]/표.실시간4[[#This Row],[현재가]]*(표.실시간4[[#This Row],[현재가]]-표.실시간4[[#This Row],[대비]])</f>
        <v>3.3376915098</v>
      </c>
      <c r="J124" s="5">
        <f>_xll.IMDP("STK",표.실시간4[[#This Row],[nxt_code]],"전일대비")</f>
        <v>800</v>
      </c>
      <c r="K124">
        <f>_xll.IMDP("STK",표.실시간4[[#This Row],[nxt_code]],"등락률")</f>
        <v>0.67</v>
      </c>
      <c r="L124" s="4">
        <f>_xll.IMDP("STK",표.실시간4[[#This Row],[nxt_code]],"누적거래량")</f>
        <v>20315</v>
      </c>
      <c r="M124" s="4">
        <f>_xll.IMDP("STK",표.실시간4[[#This Row],[nxt_code]],"누적거래대금")</f>
        <v>2425769900</v>
      </c>
      <c r="N124" s="4">
        <f>_xll.IMDP("STK",표.실시간4[[#This Row],[nxt_code]],"가중평균가")</f>
        <v>119407.821807</v>
      </c>
      <c r="O124" s="4">
        <f>_xll.IMDP("STK",표.실시간4[[#This Row],[nxt_code]],"시가")</f>
        <v>119100</v>
      </c>
      <c r="P124" s="4">
        <f>_xll.IMDP("STK",표.실시간4[[#This Row],[nxt_code]],"고가")</f>
        <v>120000</v>
      </c>
      <c r="Q124" s="4">
        <f>_xll.IMDP("STK",표.실시간4[[#This Row],[nxt_code]],"저가")</f>
        <v>119000</v>
      </c>
      <c r="R124">
        <f>_xll.IMDP("STK",표.실시간4[[#This Row],[nxt_code]],"세션명")</f>
        <v>0</v>
      </c>
      <c r="S124">
        <f>_xll.IMDP("STK",표.실시간4[[#This Row],[nxt_code]],"체결시간")</f>
        <v>0</v>
      </c>
      <c r="T124" s="4">
        <f>_xll.IMDP("STK","051900","현재가")</f>
        <v>271500</v>
      </c>
      <c r="U124">
        <f>_xll.IMDP("STK","051900","누적거래량")</f>
        <v>1364</v>
      </c>
    </row>
    <row r="125" spans="3:21" x14ac:dyDescent="0.3">
      <c r="C125">
        <v>120</v>
      </c>
      <c r="D125">
        <v>204320</v>
      </c>
      <c r="E125" t="s">
        <v>151</v>
      </c>
      <c r="F125" t="str">
        <f>ConvertStockCode(표.실시간4[[#This Row],[코드]])</f>
        <v>N204320</v>
      </c>
      <c r="G125" s="4">
        <f>_xll.IMDP("STK",표.실시간4[[#This Row],[nxt_code]],"현재가")</f>
        <v>66000</v>
      </c>
      <c r="H125" s="4">
        <f>_xll.IMDP("STK",표.실시간4[[#This Row],[nxt_code]],"시가총액")/10^12</f>
        <v>3.09916992</v>
      </c>
      <c r="I125" s="4">
        <f>표.실시간4[[#This Row],[시가총액 (조원)]]/표.실시간4[[#This Row],[현재가]]*(표.실시간4[[#This Row],[현재가]]-표.실시간4[[#This Row],[대비]])</f>
        <v>3.188388448</v>
      </c>
      <c r="J125" s="5">
        <f>_xll.IMDP("STK",표.실시간4[[#This Row],[nxt_code]],"전일대비")</f>
        <v>-1900</v>
      </c>
      <c r="K125">
        <f>_xll.IMDP("STK",표.실시간4[[#This Row],[nxt_code]],"등락률")</f>
        <v>-2.8</v>
      </c>
      <c r="L125" s="4">
        <f>_xll.IMDP("STK",표.실시간4[[#This Row],[nxt_code]],"누적거래량")</f>
        <v>348275</v>
      </c>
      <c r="M125" s="4">
        <f>_xll.IMDP("STK",표.실시간4[[#This Row],[nxt_code]],"누적거래대금")</f>
        <v>23681370200</v>
      </c>
      <c r="N125" s="4">
        <f>_xll.IMDP("STK",표.실시간4[[#This Row],[nxt_code]],"가중평균가")</f>
        <v>67995.986516000004</v>
      </c>
      <c r="O125" s="4">
        <f>_xll.IMDP("STK",표.실시간4[[#This Row],[nxt_code]],"시가")</f>
        <v>67900</v>
      </c>
      <c r="P125" s="4">
        <f>_xll.IMDP("STK",표.실시간4[[#This Row],[nxt_code]],"고가")</f>
        <v>69500</v>
      </c>
      <c r="Q125" s="4">
        <f>_xll.IMDP("STK",표.실시간4[[#This Row],[nxt_code]],"저가")</f>
        <v>65700</v>
      </c>
      <c r="R125">
        <f>_xll.IMDP("STK",표.실시간4[[#This Row],[nxt_code]],"세션명")</f>
        <v>0</v>
      </c>
      <c r="S125">
        <f>_xll.IMDP("STK",표.실시간4[[#This Row],[nxt_code]],"체결시간")</f>
        <v>0</v>
      </c>
      <c r="T125" s="4">
        <f>_xll.IMDP("STK","000990","현재가")</f>
        <v>92300</v>
      </c>
      <c r="U125">
        <f>_xll.IMDP("STK","000990","누적거래량")</f>
        <v>7286</v>
      </c>
    </row>
    <row r="126" spans="3:21" x14ac:dyDescent="0.3">
      <c r="C126">
        <v>121</v>
      </c>
      <c r="D126">
        <v>11170</v>
      </c>
      <c r="E126" t="s">
        <v>161</v>
      </c>
      <c r="F126" t="str">
        <f>ConvertStockCode(표.실시간4[[#This Row],[코드]])</f>
        <v>N011170</v>
      </c>
      <c r="G126" s="4">
        <f>_xll.IMDP("STK",표.실시간4[[#This Row],[nxt_code]],"현재가")</f>
        <v>79400</v>
      </c>
      <c r="H126" s="4">
        <f>_xll.IMDP("STK",표.실시간4[[#This Row],[nxt_code]],"시가총액")/10^12</f>
        <v>3.3963682685999999</v>
      </c>
      <c r="I126" s="4">
        <f>표.실시간4[[#This Row],[시가총액 (조원)]]/표.실시간4[[#This Row],[현재가]]*(표.실시간4[[#This Row],[현재가]]-표.실시간4[[#This Row],[대비]])</f>
        <v>3.2937072629999995</v>
      </c>
      <c r="J126" s="5">
        <f>_xll.IMDP("STK",표.실시간4[[#This Row],[nxt_code]],"전일대비")</f>
        <v>2400</v>
      </c>
      <c r="K126">
        <f>_xll.IMDP("STK",표.실시간4[[#This Row],[nxt_code]],"등락률")</f>
        <v>3.12</v>
      </c>
      <c r="L126" s="4">
        <f>_xll.IMDP("STK",표.실시간4[[#This Row],[nxt_code]],"누적거래량")</f>
        <v>34603</v>
      </c>
      <c r="M126" s="4">
        <f>_xll.IMDP("STK",표.실시간4[[#This Row],[nxt_code]],"누적거래대금")</f>
        <v>2714362600</v>
      </c>
      <c r="N126" s="4">
        <f>_xll.IMDP("STK",표.실시간4[[#This Row],[nxt_code]],"가중평균가")</f>
        <v>78442.984712000005</v>
      </c>
      <c r="O126" s="4">
        <f>_xll.IMDP("STK",표.실시간4[[#This Row],[nxt_code]],"시가")</f>
        <v>77200</v>
      </c>
      <c r="P126" s="4">
        <f>_xll.IMDP("STK",표.실시간4[[#This Row],[nxt_code]],"고가")</f>
        <v>80000</v>
      </c>
      <c r="Q126" s="4">
        <f>_xll.IMDP("STK",표.실시간4[[#This Row],[nxt_code]],"저가")</f>
        <v>77200</v>
      </c>
      <c r="R126">
        <f>_xll.IMDP("STK",표.실시간4[[#This Row],[nxt_code]],"세션명")</f>
        <v>0</v>
      </c>
      <c r="S126">
        <f>_xll.IMDP("STK",표.실시간4[[#This Row],[nxt_code]],"체결시간")</f>
        <v>0</v>
      </c>
      <c r="T126" s="4">
        <f>_xll.IMDP("STK","214370","현재가")</f>
        <v>75700</v>
      </c>
      <c r="U126">
        <f>_xll.IMDP("STK","214370","누적거래량")</f>
        <v>3071</v>
      </c>
    </row>
    <row r="127" spans="3:21" x14ac:dyDescent="0.3">
      <c r="C127">
        <v>122</v>
      </c>
      <c r="D127">
        <v>457190</v>
      </c>
      <c r="E127" t="s">
        <v>171</v>
      </c>
      <c r="F127" t="str">
        <f>ConvertStockCode(표.실시간4[[#This Row],[코드]])</f>
        <v>N457190</v>
      </c>
      <c r="G127" s="4">
        <f>_xll.IMDP("STK",표.실시간4[[#This Row],[nxt_code]],"현재가")</f>
        <v>97200</v>
      </c>
      <c r="H127" s="4">
        <f>_xll.IMDP("STK",표.실시간4[[#This Row],[nxt_code]],"시가총액")/10^12</f>
        <v>2.9362448159999999</v>
      </c>
      <c r="I127" s="4">
        <f>표.실시간4[[#This Row],[시가총액 (조원)]]/표.실시간4[[#This Row],[현재가]]*(표.실시간4[[#This Row],[현재가]]-표.실시간4[[#This Row],[대비]])</f>
        <v>3.0933278719999997</v>
      </c>
      <c r="J127" s="5">
        <f>_xll.IMDP("STK",표.실시간4[[#This Row],[nxt_code]],"전일대비")</f>
        <v>-5200</v>
      </c>
      <c r="K127">
        <f>_xll.IMDP("STK",표.실시간4[[#This Row],[nxt_code]],"등락률")</f>
        <v>-4.99</v>
      </c>
      <c r="L127" s="4">
        <f>_xll.IMDP("STK",표.실시간4[[#This Row],[nxt_code]],"누적거래량")</f>
        <v>530574</v>
      </c>
      <c r="M127" s="4">
        <f>_xll.IMDP("STK",표.실시간4[[#This Row],[nxt_code]],"누적거래대금")</f>
        <v>52948425900</v>
      </c>
      <c r="N127" s="4">
        <f>_xll.IMDP("STK",표.실시간4[[#This Row],[nxt_code]],"가중평균가")</f>
        <v>99793.482415000006</v>
      </c>
      <c r="O127" s="4">
        <f>_xll.IMDP("STK",표.실시간4[[#This Row],[nxt_code]],"시가")</f>
        <v>103500</v>
      </c>
      <c r="P127" s="4">
        <f>_xll.IMDP("STK",표.실시간4[[#This Row],[nxt_code]],"고가")</f>
        <v>103500</v>
      </c>
      <c r="Q127" s="4">
        <f>_xll.IMDP("STK",표.실시간4[[#This Row],[nxt_code]],"저가")</f>
        <v>97100</v>
      </c>
      <c r="R127">
        <f>_xll.IMDP("STK",표.실시간4[[#This Row],[nxt_code]],"세션명")</f>
        <v>0</v>
      </c>
      <c r="S127">
        <f>_xll.IMDP("STK",표.실시간4[[#This Row],[nxt_code]],"체결시간")</f>
        <v>0</v>
      </c>
      <c r="T127" s="4">
        <f>_xll.IMDP("STK","002380","현재가")</f>
        <v>457000</v>
      </c>
      <c r="U127">
        <f>_xll.IMDP("STK","002380","누적거래량")</f>
        <v>1011</v>
      </c>
    </row>
    <row r="128" spans="3:21" x14ac:dyDescent="0.3">
      <c r="C128">
        <v>123</v>
      </c>
      <c r="D128">
        <v>97950</v>
      </c>
      <c r="E128" t="s">
        <v>159</v>
      </c>
      <c r="F128" t="str">
        <f>ConvertStockCode(표.실시간4[[#This Row],[코드]])</f>
        <v>N097950</v>
      </c>
      <c r="G128" s="4">
        <f>_xll.IMDP("STK",표.실시간4[[#This Row],[nxt_code]],"현재가")</f>
        <v>214500</v>
      </c>
      <c r="H128" s="4">
        <f>_xll.IMDP("STK",표.실시간4[[#This Row],[nxt_code]],"시가총액")/10^12</f>
        <v>3.2291228969999999</v>
      </c>
      <c r="I128" s="4">
        <f>표.실시간4[[#This Row],[시가총액 (조원)]]/표.실시간4[[#This Row],[현재가]]*(표.실시간4[[#This Row],[현재가]]-표.실시간4[[#This Row],[대비]])</f>
        <v>3.2441770829999999</v>
      </c>
      <c r="J128" s="5">
        <f>_xll.IMDP("STK",표.실시간4[[#This Row],[nxt_code]],"전일대비")</f>
        <v>-1000</v>
      </c>
      <c r="K128">
        <f>_xll.IMDP("STK",표.실시간4[[#This Row],[nxt_code]],"등락률")</f>
        <v>-0.46</v>
      </c>
      <c r="L128" s="4">
        <f>_xll.IMDP("STK",표.실시간4[[#This Row],[nxt_code]],"누적거래량")</f>
        <v>2982</v>
      </c>
      <c r="M128" s="4">
        <f>_xll.IMDP("STK",표.실시간4[[#This Row],[nxt_code]],"누적거래대금")</f>
        <v>672042500</v>
      </c>
      <c r="N128" s="4">
        <f>_xll.IMDP("STK",표.실시간4[[#This Row],[nxt_code]],"가중평균가")</f>
        <v>215224.01073099999</v>
      </c>
      <c r="O128" s="4">
        <f>_xll.IMDP("STK",표.실시간4[[#This Row],[nxt_code]],"시가")</f>
        <v>215500</v>
      </c>
      <c r="P128" s="4">
        <f>_xll.IMDP("STK",표.실시간4[[#This Row],[nxt_code]],"고가")</f>
        <v>219000</v>
      </c>
      <c r="Q128" s="4">
        <f>_xll.IMDP("STK",표.실시간4[[#This Row],[nxt_code]],"저가")</f>
        <v>214500</v>
      </c>
      <c r="R128">
        <f>_xll.IMDP("STK",표.실시간4[[#This Row],[nxt_code]],"세션명")</f>
        <v>0</v>
      </c>
      <c r="S128">
        <f>_xll.IMDP("STK",표.실시간4[[#This Row],[nxt_code]],"체결시간")</f>
        <v>0</v>
      </c>
      <c r="T128" s="4">
        <f>_xll.IMDP("STK","035250","현재가")</f>
        <v>17880</v>
      </c>
      <c r="U128">
        <f>_xll.IMDP("STK","035250","누적거래량")</f>
        <v>14300</v>
      </c>
    </row>
    <row r="129" spans="3:21" x14ac:dyDescent="0.3">
      <c r="C129">
        <v>124</v>
      </c>
      <c r="D129">
        <v>14680</v>
      </c>
      <c r="E129" t="s">
        <v>164</v>
      </c>
      <c r="F129" t="str">
        <f>ConvertStockCode(표.실시간4[[#This Row],[코드]])</f>
        <v>N014680</v>
      </c>
      <c r="G129" s="4">
        <f>_xll.IMDP("STK",표.실시간4[[#This Row],[nxt_code]],"현재가")</f>
        <v>282000</v>
      </c>
      <c r="H129" s="4">
        <f>_xll.IMDP("STK",표.실시간4[[#This Row],[nxt_code]],"시가총액")/10^12</f>
        <v>3.1965249899999999</v>
      </c>
      <c r="I129" s="4">
        <f>표.실시간4[[#This Row],[시가총액 (조원)]]/표.실시간4[[#This Row],[현재가]]*(표.실시간4[[#This Row],[현재가]]-표.실시간4[[#This Row],[대비]])</f>
        <v>3.1228462224999998</v>
      </c>
      <c r="J129" s="5">
        <f>_xll.IMDP("STK",표.실시간4[[#This Row],[nxt_code]],"전일대비")</f>
        <v>6500</v>
      </c>
      <c r="K129">
        <f>_xll.IMDP("STK",표.실시간4[[#This Row],[nxt_code]],"등락률")</f>
        <v>2.17</v>
      </c>
      <c r="L129" s="4">
        <f>_xll.IMDP("STK",표.실시간4[[#This Row],[nxt_code]],"누적거래량")</f>
        <v>6759</v>
      </c>
      <c r="M129" s="4">
        <f>_xll.IMDP("STK",표.실시간4[[#This Row],[nxt_code]],"누적거래대금")</f>
        <v>1920132000</v>
      </c>
      <c r="N129" s="4">
        <f>_xll.IMDP("STK",표.실시간4[[#This Row],[nxt_code]],"가중평균가")</f>
        <v>284085.21970700001</v>
      </c>
      <c r="O129" s="4">
        <f>_xll.IMDP("STK",표.실시간4[[#This Row],[nxt_code]],"시가")</f>
        <v>278000</v>
      </c>
      <c r="P129" s="4">
        <f>_xll.IMDP("STK",표.실시간4[[#This Row],[nxt_code]],"고가")</f>
        <v>289000</v>
      </c>
      <c r="Q129" s="4">
        <f>_xll.IMDP("STK",표.실시간4[[#This Row],[nxt_code]],"저가")</f>
        <v>278000</v>
      </c>
      <c r="R129">
        <f>_xll.IMDP("STK",표.실시간4[[#This Row],[nxt_code]],"세션명")</f>
        <v>0</v>
      </c>
      <c r="S129">
        <f>_xll.IMDP("STK",표.실시간4[[#This Row],[nxt_code]],"체결시간")</f>
        <v>0</v>
      </c>
      <c r="T129" s="4">
        <f>_xll.IMDP("STK","214150","현재가")</f>
        <v>59900</v>
      </c>
      <c r="U129">
        <f>_xll.IMDP("STK","214150","누적거래량")</f>
        <v>6134</v>
      </c>
    </row>
    <row r="130" spans="3:21" x14ac:dyDescent="0.3">
      <c r="C130">
        <v>125</v>
      </c>
      <c r="D130">
        <v>71970</v>
      </c>
      <c r="E130" t="s">
        <v>160</v>
      </c>
      <c r="F130" t="str">
        <f>ConvertStockCode(표.실시간4[[#This Row],[코드]])</f>
        <v>N071970</v>
      </c>
      <c r="G130" s="4">
        <f>_xll.IMDP("STK",표.실시간4[[#This Row],[nxt_code]],"현재가")</f>
        <v>91800</v>
      </c>
      <c r="H130" s="4">
        <f>_xll.IMDP("STK",표.실시간4[[#This Row],[nxt_code]],"시가총액")/10^12</f>
        <v>3.1139932410000002</v>
      </c>
      <c r="I130" s="4">
        <f>표.실시간4[[#This Row],[시가총액 (조원)]]/표.실시간4[[#This Row],[현재가]]*(표.실시간4[[#This Row],[현재가]]-표.실시간4[[#This Row],[대비]])</f>
        <v>3.0529345500000002</v>
      </c>
      <c r="J130" s="5">
        <f>_xll.IMDP("STK",표.실시간4[[#This Row],[nxt_code]],"전일대비")</f>
        <v>1800</v>
      </c>
      <c r="K130">
        <f>_xll.IMDP("STK",표.실시간4[[#This Row],[nxt_code]],"등락률")</f>
        <v>2</v>
      </c>
      <c r="L130" s="4">
        <f>_xll.IMDP("STK",표.실시간4[[#This Row],[nxt_code]],"누적거래량")</f>
        <v>23190</v>
      </c>
      <c r="M130" s="4">
        <f>_xll.IMDP("STK",표.실시간4[[#This Row],[nxt_code]],"누적거래대금")</f>
        <v>2118788800</v>
      </c>
      <c r="N130" s="4">
        <f>_xll.IMDP("STK",표.실시간4[[#This Row],[nxt_code]],"가중평균가")</f>
        <v>91327.103447999994</v>
      </c>
      <c r="O130" s="4">
        <f>_xll.IMDP("STK",표.실시간4[[#This Row],[nxt_code]],"시가")</f>
        <v>90700</v>
      </c>
      <c r="P130" s="4">
        <f>_xll.IMDP("STK",표.실시간4[[#This Row],[nxt_code]],"고가")</f>
        <v>92600</v>
      </c>
      <c r="Q130" s="4">
        <f>_xll.IMDP("STK",표.실시간4[[#This Row],[nxt_code]],"저가")</f>
        <v>90500</v>
      </c>
      <c r="R130">
        <f>_xll.IMDP("STK",표.실시간4[[#This Row],[nxt_code]],"세션명")</f>
        <v>0</v>
      </c>
      <c r="S130">
        <f>_xll.IMDP("STK",표.실시간4[[#This Row],[nxt_code]],"체결시간")</f>
        <v>0</v>
      </c>
      <c r="T130" s="4">
        <f>_xll.IMDP("STK","240810","현재가")</f>
        <v>76300</v>
      </c>
      <c r="U130">
        <f>_xll.IMDP("STK","240810","누적거래량")</f>
        <v>3609</v>
      </c>
    </row>
    <row r="131" spans="3:21" x14ac:dyDescent="0.3">
      <c r="C131">
        <v>126</v>
      </c>
      <c r="D131">
        <v>4990</v>
      </c>
      <c r="E131" t="s">
        <v>162</v>
      </c>
      <c r="F131" t="str">
        <f>ConvertStockCode(표.실시간4[[#This Row],[코드]])</f>
        <v>N004990</v>
      </c>
      <c r="G131" s="4">
        <f>_xll.IMDP("STK",표.실시간4[[#This Row],[nxt_code]],"현재가")</f>
        <v>29650</v>
      </c>
      <c r="H131" s="4">
        <f>_xll.IMDP("STK",표.실시간4[[#This Row],[nxt_code]],"시가총액")/10^12</f>
        <v>3.1105588770499999</v>
      </c>
      <c r="I131" s="4">
        <f>표.실시간4[[#This Row],[시가총액 (조원)]]/표.실시간4[[#This Row],[현재가]]*(표.실시간4[[#This Row],[현재가]]-표.실시간4[[#This Row],[대비]])</f>
        <v>3.0318769493</v>
      </c>
      <c r="J131" s="5">
        <f>_xll.IMDP("STK",표.실시간4[[#This Row],[nxt_code]],"전일대비")</f>
        <v>750</v>
      </c>
      <c r="K131">
        <f>_xll.IMDP("STK",표.실시간4[[#This Row],[nxt_code]],"등락률")</f>
        <v>2.6</v>
      </c>
      <c r="L131" s="4">
        <f>_xll.IMDP("STK",표.실시간4[[#This Row],[nxt_code]],"누적거래량")</f>
        <v>35218</v>
      </c>
      <c r="M131" s="4">
        <f>_xll.IMDP("STK",표.실시간4[[#This Row],[nxt_code]],"누적거래대금")</f>
        <v>1034061900</v>
      </c>
      <c r="N131" s="4">
        <f>_xll.IMDP("STK",표.실시간4[[#This Row],[nxt_code]],"가중평균가")</f>
        <v>29361.743995000001</v>
      </c>
      <c r="O131" s="4">
        <f>_xll.IMDP("STK",표.실시간4[[#This Row],[nxt_code]],"시가")</f>
        <v>29050</v>
      </c>
      <c r="P131" s="4">
        <f>_xll.IMDP("STK",표.실시간4[[#This Row],[nxt_code]],"고가")</f>
        <v>29850</v>
      </c>
      <c r="Q131" s="4">
        <f>_xll.IMDP("STK",표.실시간4[[#This Row],[nxt_code]],"저가")</f>
        <v>29000</v>
      </c>
      <c r="R131">
        <f>_xll.IMDP("STK",표.실시간4[[#This Row],[nxt_code]],"세션명")</f>
        <v>0</v>
      </c>
      <c r="S131">
        <f>_xll.IMDP("STK",표.실시간4[[#This Row],[nxt_code]],"체결시간")</f>
        <v>0</v>
      </c>
      <c r="T131" s="4">
        <f>_xll.IMDP("STK","302440","현재가")</f>
        <v>49350</v>
      </c>
      <c r="U131">
        <f>_xll.IMDP("STK","302440","누적거래량")</f>
        <v>3078</v>
      </c>
    </row>
    <row r="132" spans="3:21" x14ac:dyDescent="0.3">
      <c r="C132">
        <v>127</v>
      </c>
      <c r="D132">
        <v>12750</v>
      </c>
      <c r="E132" t="s">
        <v>165</v>
      </c>
      <c r="F132" t="str">
        <f>ConvertStockCode(표.실시간4[[#This Row],[코드]])</f>
        <v>N012750</v>
      </c>
      <c r="G132" s="4">
        <f>_xll.IMDP("STK",표.실시간4[[#This Row],[nxt_code]],"현재가")</f>
        <v>77900</v>
      </c>
      <c r="H132" s="4">
        <f>_xll.IMDP("STK",표.실시간4[[#This Row],[nxt_code]],"시가총액")/10^12</f>
        <v>2.9601359662000002</v>
      </c>
      <c r="I132" s="4">
        <f>표.실시간4[[#This Row],[시가총액 (조원)]]/표.실시간4[[#This Row],[현재가]]*(표.실시간4[[#This Row],[현재가]]-표.실시간4[[#This Row],[대비]])</f>
        <v>2.9829354729999999</v>
      </c>
      <c r="J132" s="5">
        <f>_xll.IMDP("STK",표.실시간4[[#This Row],[nxt_code]],"전일대비")</f>
        <v>-600</v>
      </c>
      <c r="K132">
        <f>_xll.IMDP("STK",표.실시간4[[#This Row],[nxt_code]],"등락률")</f>
        <v>-0.76</v>
      </c>
      <c r="L132" s="4">
        <f>_xll.IMDP("STK",표.실시간4[[#This Row],[nxt_code]],"누적거래량")</f>
        <v>263</v>
      </c>
      <c r="M132" s="4">
        <f>_xll.IMDP("STK",표.실시간4[[#This Row],[nxt_code]],"누적거래대금")</f>
        <v>20589700</v>
      </c>
      <c r="N132" s="4">
        <f>_xll.IMDP("STK",표.실시간4[[#This Row],[nxt_code]],"가중평균가")</f>
        <v>78287.832699999999</v>
      </c>
      <c r="O132" s="4">
        <f>_xll.IMDP("STK",표.실시간4[[#This Row],[nxt_code]],"시가")</f>
        <v>78600</v>
      </c>
      <c r="P132" s="4">
        <f>_xll.IMDP("STK",표.실시간4[[#This Row],[nxt_code]],"고가")</f>
        <v>78600</v>
      </c>
      <c r="Q132" s="4">
        <f>_xll.IMDP("STK",표.실시간4[[#This Row],[nxt_code]],"저가")</f>
        <v>77900</v>
      </c>
      <c r="R132">
        <f>_xll.IMDP("STK",표.실시간4[[#This Row],[nxt_code]],"세션명")</f>
        <v>0</v>
      </c>
      <c r="S132">
        <f>_xll.IMDP("STK",표.실시간4[[#This Row],[nxt_code]],"체결시간")</f>
        <v>0</v>
      </c>
      <c r="T132" s="4">
        <f>_xll.IMDP("STK","108490","현재가")</f>
        <v>245000</v>
      </c>
      <c r="U132">
        <f>_xll.IMDP("STK","108490","누적거래량")</f>
        <v>6569</v>
      </c>
    </row>
    <row r="133" spans="3:21" x14ac:dyDescent="0.3">
      <c r="C133">
        <v>128</v>
      </c>
      <c r="D133">
        <v>12510</v>
      </c>
      <c r="E133" t="s">
        <v>167</v>
      </c>
      <c r="F133" t="str">
        <f>ConvertStockCode(표.실시간4[[#This Row],[코드]])</f>
        <v>N012510</v>
      </c>
      <c r="G133" s="4">
        <f>_xll.IMDP("STK",표.실시간4[[#This Row],[nxt_code]],"현재가")</f>
        <v>96800</v>
      </c>
      <c r="H133" s="4">
        <f>_xll.IMDP("STK",표.실시간4[[#This Row],[nxt_code]],"시가총액")/10^12</f>
        <v>2.9410534911999999</v>
      </c>
      <c r="I133" s="4">
        <f>표.실시간4[[#This Row],[시가총액 (조원)]]/표.실시간4[[#This Row],[현재가]]*(표.실시간4[[#This Row],[현재가]]-표.실시간4[[#This Row],[대비]])</f>
        <v>2.9532066048000001</v>
      </c>
      <c r="J133" s="5">
        <f>_xll.IMDP("STK",표.실시간4[[#This Row],[nxt_code]],"전일대비")</f>
        <v>-400</v>
      </c>
      <c r="K133">
        <f>_xll.IMDP("STK",표.실시간4[[#This Row],[nxt_code]],"등락률")</f>
        <v>-0.41</v>
      </c>
      <c r="L133" s="4">
        <f>_xll.IMDP("STK",표.실시간4[[#This Row],[nxt_code]],"누적거래량")</f>
        <v>1845</v>
      </c>
      <c r="M133" s="4">
        <f>_xll.IMDP("STK",표.실시간4[[#This Row],[nxt_code]],"누적거래대금")</f>
        <v>178388200</v>
      </c>
      <c r="N133" s="4">
        <f>_xll.IMDP("STK",표.실시간4[[#This Row],[nxt_code]],"가중평균가")</f>
        <v>96687.371274000005</v>
      </c>
      <c r="O133" s="4">
        <f>_xll.IMDP("STK",표.실시간4[[#This Row],[nxt_code]],"시가")</f>
        <v>97500</v>
      </c>
      <c r="P133" s="4">
        <f>_xll.IMDP("STK",표.실시간4[[#This Row],[nxt_code]],"고가")</f>
        <v>97500</v>
      </c>
      <c r="Q133" s="4">
        <f>_xll.IMDP("STK",표.실시간4[[#This Row],[nxt_code]],"저가")</f>
        <v>96400</v>
      </c>
      <c r="R133">
        <f>_xll.IMDP("STK",표.실시간4[[#This Row],[nxt_code]],"세션명")</f>
        <v>0</v>
      </c>
      <c r="S133">
        <f>_xll.IMDP("STK",표.실시간4[[#This Row],[nxt_code]],"체결시간")</f>
        <v>0</v>
      </c>
      <c r="T133" s="4">
        <f>_xll.IMDP("STK","011780","현재가")</f>
        <v>150900</v>
      </c>
      <c r="U133">
        <f>_xll.IMDP("STK","011780","누적거래량")</f>
        <v>15811</v>
      </c>
    </row>
    <row r="134" spans="3:21" x14ac:dyDescent="0.3">
      <c r="C134">
        <v>129</v>
      </c>
      <c r="D134">
        <v>103590</v>
      </c>
      <c r="E134" t="s">
        <v>166</v>
      </c>
      <c r="F134" t="str">
        <f>ConvertStockCode(표.실시간4[[#This Row],[코드]])</f>
        <v>N103590</v>
      </c>
      <c r="G134" s="4">
        <f>_xll.IMDP("STK",표.실시간4[[#This Row],[nxt_code]],"현재가")</f>
        <v>60500</v>
      </c>
      <c r="H134" s="4">
        <f>_xll.IMDP("STK",표.실시간4[[#This Row],[nxt_code]],"시가총액")/10^12</f>
        <v>2.8849660949999998</v>
      </c>
      <c r="I134" s="4">
        <f>표.실시간4[[#This Row],[시가총액 (조원)]]/표.실시간4[[#This Row],[현재가]]*(표.실시간4[[#This Row],[현재가]]-표.실시간4[[#This Row],[대비]])</f>
        <v>2.9135773289999998</v>
      </c>
      <c r="J134" s="5">
        <f>_xll.IMDP("STK",표.실시간4[[#This Row],[nxt_code]],"전일대비")</f>
        <v>-600</v>
      </c>
      <c r="K134">
        <f>_xll.IMDP("STK",표.실시간4[[#This Row],[nxt_code]],"등락률")</f>
        <v>-0.98</v>
      </c>
      <c r="L134" s="4">
        <f>_xll.IMDP("STK",표.실시간4[[#This Row],[nxt_code]],"누적거래량")</f>
        <v>33838</v>
      </c>
      <c r="M134" s="4">
        <f>_xll.IMDP("STK",표.실시간4[[#This Row],[nxt_code]],"누적거래대금")</f>
        <v>2096043300</v>
      </c>
      <c r="N134" s="4">
        <f>_xll.IMDP("STK",표.실시간4[[#This Row],[nxt_code]],"가중평균가")</f>
        <v>61194.771108000001</v>
      </c>
      <c r="O134" s="4">
        <f>_xll.IMDP("STK",표.실시간4[[#This Row],[nxt_code]],"시가")</f>
        <v>61200</v>
      </c>
      <c r="P134" s="4">
        <f>_xll.IMDP("STK",표.실시간4[[#This Row],[nxt_code]],"고가")</f>
        <v>61600</v>
      </c>
      <c r="Q134" s="4">
        <f>_xll.IMDP("STK",표.실시간4[[#This Row],[nxt_code]],"저가")</f>
        <v>60200</v>
      </c>
      <c r="R134">
        <f>_xll.IMDP("STK",표.실시간4[[#This Row],[nxt_code]],"세션명")</f>
        <v>0</v>
      </c>
      <c r="S134">
        <f>_xll.IMDP("STK",표.실시간4[[#This Row],[nxt_code]],"체결시간")</f>
        <v>0</v>
      </c>
      <c r="T134" s="4">
        <f>_xll.IMDP("STK","036460","현재가")</f>
        <v>40750</v>
      </c>
      <c r="U134">
        <f>_xll.IMDP("STK","036460","누적거래량")</f>
        <v>22396</v>
      </c>
    </row>
    <row r="135" spans="3:21" x14ac:dyDescent="0.3">
      <c r="C135">
        <v>130</v>
      </c>
      <c r="D135">
        <v>5850</v>
      </c>
      <c r="E135" t="s">
        <v>156</v>
      </c>
      <c r="F135" t="str">
        <f>ConvertStockCode(표.실시간4[[#This Row],[코드]])</f>
        <v>N005850</v>
      </c>
      <c r="G135" s="4">
        <f>_xll.IMDP("STK",표.실시간4[[#This Row],[nxt_code]],"현재가")</f>
        <v>59800</v>
      </c>
      <c r="H135" s="4">
        <f>_xll.IMDP("STK",표.실시간4[[#This Row],[nxt_code]],"시가총액")/10^12</f>
        <v>2.7776214960000001</v>
      </c>
      <c r="I135" s="4">
        <f>표.실시간4[[#This Row],[시가총액 (조원)]]/표.실시간4[[#This Row],[현재가]]*(표.실시간4[[#This Row],[현재가]]-표.실시간4[[#This Row],[대비]])</f>
        <v>2.8705185360000001</v>
      </c>
      <c r="J135" s="5">
        <f>_xll.IMDP("STK",표.실시간4[[#This Row],[nxt_code]],"전일대비")</f>
        <v>-2000</v>
      </c>
      <c r="K135">
        <f>_xll.IMDP("STK",표.실시간4[[#This Row],[nxt_code]],"등락률")</f>
        <v>-3.24</v>
      </c>
      <c r="L135" s="4">
        <f>_xll.IMDP("STK",표.실시간4[[#This Row],[nxt_code]],"누적거래량")</f>
        <v>95716</v>
      </c>
      <c r="M135" s="4">
        <f>_xll.IMDP("STK",표.실시간4[[#This Row],[nxt_code]],"누적거래대금")</f>
        <v>5858722550</v>
      </c>
      <c r="N135" s="4">
        <f>_xll.IMDP("STK",표.실시간4[[#This Row],[nxt_code]],"가중평균가")</f>
        <v>61209.437815999998</v>
      </c>
      <c r="O135" s="4">
        <f>_xll.IMDP("STK",표.실시간4[[#This Row],[nxt_code]],"시가")</f>
        <v>61800</v>
      </c>
      <c r="P135" s="4">
        <f>_xll.IMDP("STK",표.실시간4[[#This Row],[nxt_code]],"고가")</f>
        <v>62700</v>
      </c>
      <c r="Q135" s="4">
        <f>_xll.IMDP("STK",표.실시간4[[#This Row],[nxt_code]],"저가")</f>
        <v>59500</v>
      </c>
      <c r="R135">
        <f>_xll.IMDP("STK",표.실시간4[[#This Row],[nxt_code]],"세션명")</f>
        <v>0</v>
      </c>
      <c r="S135">
        <f>_xll.IMDP("STK",표.실시간4[[#This Row],[nxt_code]],"체결시간")</f>
        <v>0</v>
      </c>
      <c r="T135" s="4">
        <f>_xll.IMDP("STK","111770","현재가")</f>
        <v>85300</v>
      </c>
      <c r="U135">
        <f>_xll.IMDP("STK","111770","누적거래량")</f>
        <v>370</v>
      </c>
    </row>
    <row r="136" spans="3:21" x14ac:dyDescent="0.3">
      <c r="C136">
        <v>131</v>
      </c>
      <c r="D136">
        <v>4170</v>
      </c>
      <c r="E136" t="s">
        <v>172</v>
      </c>
      <c r="F136" t="str">
        <f>ConvertStockCode(표.실시간4[[#This Row],[코드]])</f>
        <v>N004170</v>
      </c>
      <c r="G136" s="4">
        <f>_xll.IMDP("STK",표.실시간4[[#This Row],[nxt_code]],"현재가")</f>
        <v>287500</v>
      </c>
      <c r="H136" s="4">
        <f>_xll.IMDP("STK",표.실시간4[[#This Row],[nxt_code]],"시가총액")/10^12</f>
        <v>2.7729895375</v>
      </c>
      <c r="I136" s="4">
        <f>표.실시간4[[#This Row],[시가총액 (조원)]]/표.실시간4[[#This Row],[현재가]]*(표.실시간4[[#This Row],[현재가]]-표.실시간4[[#This Row],[대비]])</f>
        <v>2.7633443565000002</v>
      </c>
      <c r="J136" s="5">
        <f>_xll.IMDP("STK",표.실시간4[[#This Row],[nxt_code]],"전일대비")</f>
        <v>1000</v>
      </c>
      <c r="K136">
        <f>_xll.IMDP("STK",표.실시간4[[#This Row],[nxt_code]],"등락률")</f>
        <v>0.35</v>
      </c>
      <c r="L136" s="4">
        <f>_xll.IMDP("STK",표.실시간4[[#This Row],[nxt_code]],"누적거래량")</f>
        <v>359</v>
      </c>
      <c r="M136" s="4">
        <f>_xll.IMDP("STK",표.실시간4[[#This Row],[nxt_code]],"누적거래대금")</f>
        <v>103244000</v>
      </c>
      <c r="N136" s="4">
        <f>_xll.IMDP("STK",표.실시간4[[#This Row],[nxt_code]],"가중평균가")</f>
        <v>287587.74373300001</v>
      </c>
      <c r="O136" s="4">
        <f>_xll.IMDP("STK",표.실시간4[[#This Row],[nxt_code]],"시가")</f>
        <v>292000</v>
      </c>
      <c r="P136" s="4">
        <f>_xll.IMDP("STK",표.실시간4[[#This Row],[nxt_code]],"고가")</f>
        <v>292000</v>
      </c>
      <c r="Q136" s="4">
        <f>_xll.IMDP("STK",표.실시간4[[#This Row],[nxt_code]],"저가")</f>
        <v>287000</v>
      </c>
      <c r="R136">
        <f>_xll.IMDP("STK",표.실시간4[[#This Row],[nxt_code]],"세션명")</f>
        <v>0</v>
      </c>
      <c r="S136">
        <f>_xll.IMDP("STK",표.실시간4[[#This Row],[nxt_code]],"체결시간")</f>
        <v>0</v>
      </c>
      <c r="T136" s="4">
        <f>_xll.IMDP("STK","039030","현재가")</f>
        <v>297500</v>
      </c>
      <c r="U136">
        <f>_xll.IMDP("STK","039030","누적거래량")</f>
        <v>1228</v>
      </c>
    </row>
    <row r="137" spans="3:21" x14ac:dyDescent="0.3">
      <c r="C137">
        <v>132</v>
      </c>
      <c r="D137">
        <v>88350</v>
      </c>
      <c r="E137" t="s">
        <v>173</v>
      </c>
      <c r="F137" t="str">
        <f>ConvertStockCode(표.실시간4[[#This Row],[코드]])</f>
        <v>N088350</v>
      </c>
      <c r="G137" s="4">
        <f>_xll.IMDP("STK",표.실시간4[[#This Row],[nxt_code]],"현재가")</f>
        <v>3255</v>
      </c>
      <c r="H137" s="4">
        <f>_xll.IMDP("STK",표.실시간4[[#This Row],[nxt_code]],"시가총액")/10^12</f>
        <v>2.8270651500000001</v>
      </c>
      <c r="I137" s="4">
        <f>표.실시간4[[#This Row],[시가총액 (조원)]]/표.실시간4[[#This Row],[현재가]]*(표.실시간4[[#This Row],[현재가]]-표.실시간4[[#This Row],[대비]])</f>
        <v>2.7836386500000003</v>
      </c>
      <c r="J137" s="5">
        <f>_xll.IMDP("STK",표.실시간4[[#This Row],[nxt_code]],"전일대비")</f>
        <v>50</v>
      </c>
      <c r="K137">
        <f>_xll.IMDP("STK",표.실시간4[[#This Row],[nxt_code]],"등락률")</f>
        <v>1.56</v>
      </c>
      <c r="L137" s="4">
        <f>_xll.IMDP("STK",표.실시간4[[#This Row],[nxt_code]],"누적거래량")</f>
        <v>385441</v>
      </c>
      <c r="M137" s="4">
        <f>_xll.IMDP("STK",표.실시간4[[#This Row],[nxt_code]],"누적거래대금")</f>
        <v>1324283780</v>
      </c>
      <c r="N137" s="4">
        <f>_xll.IMDP("STK",표.실시간4[[#This Row],[nxt_code]],"가중평균가")</f>
        <v>3252.4818930000001</v>
      </c>
      <c r="O137" s="4">
        <f>_xll.IMDP("STK",표.실시간4[[#This Row],[nxt_code]],"시가")</f>
        <v>3220</v>
      </c>
      <c r="P137" s="4">
        <f>_xll.IMDP("STK",표.실시간4[[#This Row],[nxt_code]],"고가")</f>
        <v>3270</v>
      </c>
      <c r="Q137" s="4">
        <f>_xll.IMDP("STK",표.실시간4[[#This Row],[nxt_code]],"저가")</f>
        <v>3220</v>
      </c>
      <c r="R137">
        <f>_xll.IMDP("STK",표.실시간4[[#This Row],[nxt_code]],"세션명")</f>
        <v>0</v>
      </c>
      <c r="S137">
        <f>_xll.IMDP("STK",표.실시간4[[#This Row],[nxt_code]],"체결시간")</f>
        <v>0</v>
      </c>
      <c r="T137" s="4">
        <f>_xll.IMDP("STK","017800","현재가")</f>
        <v>93400</v>
      </c>
      <c r="U137">
        <f>_xll.IMDP("STK","017800","누적거래량")</f>
        <v>2757</v>
      </c>
    </row>
    <row r="138" spans="3:21" x14ac:dyDescent="0.3">
      <c r="C138">
        <v>133</v>
      </c>
      <c r="D138">
        <v>9970</v>
      </c>
      <c r="E138" t="s">
        <v>185</v>
      </c>
      <c r="F138" t="str">
        <f>ConvertStockCode(표.실시간4[[#This Row],[코드]])</f>
        <v>N009970</v>
      </c>
      <c r="G138" s="4">
        <f>_xll.IMDP("STK",표.실시간4[[#This Row],[nxt_code]],"현재가")</f>
        <v>194300</v>
      </c>
      <c r="H138" s="4">
        <f>_xll.IMDP("STK",표.실시간4[[#This Row],[nxt_code]],"시가총액")/10^12</f>
        <v>2.6229017491</v>
      </c>
      <c r="I138" s="4">
        <f>표.실시간4[[#This Row],[시가총액 (조원)]]/표.실시간4[[#This Row],[현재가]]*(표.실시간4[[#This Row],[현재가]]-표.실시간4[[#This Row],[대비]])</f>
        <v>2.6242516727999998</v>
      </c>
      <c r="J138" s="5">
        <f>_xll.IMDP("STK",표.실시간4[[#This Row],[nxt_code]],"전일대비")</f>
        <v>-100</v>
      </c>
      <c r="K138">
        <f>_xll.IMDP("STK",표.실시간4[[#This Row],[nxt_code]],"등락률")</f>
        <v>-0.05</v>
      </c>
      <c r="L138" s="4">
        <f>_xll.IMDP("STK",표.실시간4[[#This Row],[nxt_code]],"누적거래량")</f>
        <v>34</v>
      </c>
      <c r="M138" s="4">
        <f>_xll.IMDP("STK",표.실시간4[[#This Row],[nxt_code]],"누적거래대금")</f>
        <v>6609500</v>
      </c>
      <c r="N138" s="4">
        <f>_xll.IMDP("STK",표.실시간4[[#This Row],[nxt_code]],"가중평균가")</f>
        <v>194397.05882400001</v>
      </c>
      <c r="O138" s="4">
        <f>_xll.IMDP("STK",표.실시간4[[#This Row],[nxt_code]],"시가")</f>
        <v>195000</v>
      </c>
      <c r="P138" s="4">
        <f>_xll.IMDP("STK",표.실시간4[[#This Row],[nxt_code]],"고가")</f>
        <v>195000</v>
      </c>
      <c r="Q138" s="4">
        <f>_xll.IMDP("STK",표.실시간4[[#This Row],[nxt_code]],"저가")</f>
        <v>194200</v>
      </c>
      <c r="R138">
        <f>_xll.IMDP("STK",표.실시간4[[#This Row],[nxt_code]],"세션명")</f>
        <v>0</v>
      </c>
      <c r="S138">
        <f>_xll.IMDP("STK",표.실시간4[[#This Row],[nxt_code]],"체결시간")</f>
        <v>0</v>
      </c>
      <c r="T138" s="4">
        <f>_xll.IMDP("STK","347850","현재가")</f>
        <v>79600</v>
      </c>
      <c r="U138">
        <f>_xll.IMDP("STK","347850","누적거래량")</f>
        <v>11694</v>
      </c>
    </row>
    <row r="139" spans="3:21" x14ac:dyDescent="0.3">
      <c r="C139">
        <v>134</v>
      </c>
      <c r="D139">
        <v>489790</v>
      </c>
      <c r="E139" t="s">
        <v>182</v>
      </c>
      <c r="F139" t="str">
        <f>ConvertStockCode(표.실시간4[[#This Row],[코드]])</f>
        <v>N489790</v>
      </c>
      <c r="G139" s="4">
        <f>_xll.IMDP("STK",표.실시간4[[#This Row],[nxt_code]],"현재가")</f>
        <v>55100</v>
      </c>
      <c r="H139" s="4">
        <f>_xll.IMDP("STK",표.실시간4[[#This Row],[nxt_code]],"시가총액")/10^12</f>
        <v>2.7819102889999998</v>
      </c>
      <c r="I139" s="4">
        <f>표.실시간4[[#This Row],[시가총액 (조원)]]/표.실시간4[[#This Row],[현재가]]*(표.실시간4[[#This Row],[현재가]]-표.실시간4[[#This Row],[대비]])</f>
        <v>2.7516172549999998</v>
      </c>
      <c r="J139" s="5">
        <f>_xll.IMDP("STK",표.실시간4[[#This Row],[nxt_code]],"전일대비")</f>
        <v>600</v>
      </c>
      <c r="K139">
        <f>_xll.IMDP("STK",표.실시간4[[#This Row],[nxt_code]],"등락률")</f>
        <v>1.29</v>
      </c>
      <c r="L139" s="4">
        <f>_xll.IMDP("STK",표.실시간4[[#This Row],[nxt_code]],"누적거래량")</f>
        <v>85416</v>
      </c>
      <c r="M139" s="4">
        <f>_xll.IMDP("STK",표.실시간4[[#This Row],[nxt_code]],"누적거래대금")</f>
        <v>4656851050</v>
      </c>
      <c r="N139" s="4">
        <f>_xll.IMDP("STK",표.실시간4[[#This Row],[nxt_code]],"가중평균가")</f>
        <v>54506.894634999997</v>
      </c>
      <c r="O139" s="4">
        <f>_xll.IMDP("STK",표.실시간4[[#This Row],[nxt_code]],"시가")</f>
        <v>54500</v>
      </c>
      <c r="P139" s="4">
        <f>_xll.IMDP("STK",표.실시간4[[#This Row],[nxt_code]],"고가")</f>
        <v>55300</v>
      </c>
      <c r="Q139" s="4">
        <f>_xll.IMDP("STK",표.실시간4[[#This Row],[nxt_code]],"저가")</f>
        <v>53900</v>
      </c>
      <c r="R139">
        <f>_xll.IMDP("STK",표.실시간4[[#This Row],[nxt_code]],"세션명")</f>
        <v>0</v>
      </c>
      <c r="S139">
        <f>_xll.IMDP("STK",표.실시간4[[#This Row],[nxt_code]],"체결시간")</f>
        <v>0</v>
      </c>
      <c r="T139" s="4">
        <f>_xll.IMDP("STK","204320","현재가")</f>
        <v>65900</v>
      </c>
      <c r="U139">
        <f>_xll.IMDP("STK","204320","누적거래량")</f>
        <v>65227</v>
      </c>
    </row>
    <row r="140" spans="3:21" x14ac:dyDescent="0.3">
      <c r="C140">
        <v>135</v>
      </c>
      <c r="D140">
        <v>8930</v>
      </c>
      <c r="E140" t="s">
        <v>177</v>
      </c>
      <c r="F140" t="str">
        <f>ConvertStockCode(표.실시간4[[#This Row],[코드]])</f>
        <v>N008930</v>
      </c>
      <c r="G140" s="4">
        <f>_xll.IMDP("STK",표.실시간4[[#This Row],[nxt_code]],"현재가")</f>
        <v>39000</v>
      </c>
      <c r="H140" s="4">
        <f>_xll.IMDP("STK",표.실시간4[[#This Row],[nxt_code]],"시가총액")/10^12</f>
        <v>2.6672704500000002</v>
      </c>
      <c r="I140" s="4">
        <f>표.실시간4[[#This Row],[시가총액 (조원)]]/표.실시간4[[#This Row],[현재가]]*(표.실시간4[[#This Row],[현재가]]-표.실시간4[[#This Row],[대비]])</f>
        <v>2.6741096049999999</v>
      </c>
      <c r="J140" s="5">
        <f>_xll.IMDP("STK",표.실시간4[[#This Row],[nxt_code]],"전일대비")</f>
        <v>-100</v>
      </c>
      <c r="K140">
        <f>_xll.IMDP("STK",표.실시간4[[#This Row],[nxt_code]],"등락률")</f>
        <v>-0.26</v>
      </c>
      <c r="L140" s="4">
        <f>_xll.IMDP("STK",표.실시간4[[#This Row],[nxt_code]],"누적거래량")</f>
        <v>4562</v>
      </c>
      <c r="M140" s="4">
        <f>_xll.IMDP("STK",표.실시간4[[#This Row],[nxt_code]],"누적거래대금")</f>
        <v>177910900</v>
      </c>
      <c r="N140" s="4">
        <f>_xll.IMDP("STK",표.실시간4[[#This Row],[nxt_code]],"가중평균가")</f>
        <v>38998.443664999999</v>
      </c>
      <c r="O140" s="4">
        <f>_xll.IMDP("STK",표.실시간4[[#This Row],[nxt_code]],"시가")</f>
        <v>39000</v>
      </c>
      <c r="P140" s="4">
        <f>_xll.IMDP("STK",표.실시간4[[#This Row],[nxt_code]],"고가")</f>
        <v>39150</v>
      </c>
      <c r="Q140" s="4">
        <f>_xll.IMDP("STK",표.실시간4[[#This Row],[nxt_code]],"저가")</f>
        <v>38850</v>
      </c>
      <c r="R140">
        <f>_xll.IMDP("STK",표.실시간4[[#This Row],[nxt_code]],"세션명")</f>
        <v>0</v>
      </c>
      <c r="S140">
        <f>_xll.IMDP("STK",표.실시간4[[#This Row],[nxt_code]],"체결시간")</f>
        <v>0</v>
      </c>
      <c r="T140" s="4">
        <f>_xll.IMDP("STK","031210","현재가")</f>
        <v>49250</v>
      </c>
      <c r="U140">
        <f>_xll.IMDP("STK","031210","누적거래량")</f>
        <v>779</v>
      </c>
    </row>
    <row r="141" spans="3:21" x14ac:dyDescent="0.3">
      <c r="C141">
        <v>136</v>
      </c>
      <c r="D141">
        <v>1430</v>
      </c>
      <c r="E141" t="s">
        <v>175</v>
      </c>
      <c r="F141" t="str">
        <f>ConvertStockCode(표.실시간4[[#This Row],[코드]])</f>
        <v>N001430</v>
      </c>
      <c r="G141" s="4">
        <f>_xll.IMDP("STK",표.실시간4[[#This Row],[nxt_code]],"현재가")</f>
        <v>74400</v>
      </c>
      <c r="H141" s="4">
        <f>_xll.IMDP("STK",표.실시간4[[#This Row],[nxt_code]],"시가총액")/10^12</f>
        <v>2.6681416536000002</v>
      </c>
      <c r="I141" s="4">
        <f>표.실시간4[[#This Row],[시가총액 (조원)]]/표.실시간4[[#This Row],[현재가]]*(표.실시간4[[#This Row],[현재가]]-표.실시간4[[#This Row],[대비]])</f>
        <v>2.6286933227000002</v>
      </c>
      <c r="J141" s="5">
        <f>_xll.IMDP("STK",표.실시간4[[#This Row],[nxt_code]],"전일대비")</f>
        <v>1100</v>
      </c>
      <c r="K141">
        <f>_xll.IMDP("STK",표.실시간4[[#This Row],[nxt_code]],"등락률")</f>
        <v>1.5</v>
      </c>
      <c r="L141" s="4">
        <f>_xll.IMDP("STK",표.실시간4[[#This Row],[nxt_code]],"누적거래량")</f>
        <v>54550</v>
      </c>
      <c r="M141" s="4">
        <f>_xll.IMDP("STK",표.실시간4[[#This Row],[nxt_code]],"누적거래대금")</f>
        <v>4098379200</v>
      </c>
      <c r="N141" s="4">
        <f>_xll.IMDP("STK",표.실시간4[[#This Row],[nxt_code]],"가중평균가")</f>
        <v>75130.691109000007</v>
      </c>
      <c r="O141" s="4">
        <f>_xll.IMDP("STK",표.실시간4[[#This Row],[nxt_code]],"시가")</f>
        <v>74100</v>
      </c>
      <c r="P141" s="4">
        <f>_xll.IMDP("STK",표.실시간4[[#This Row],[nxt_code]],"고가")</f>
        <v>76000</v>
      </c>
      <c r="Q141" s="4">
        <f>_xll.IMDP("STK",표.실시간4[[#This Row],[nxt_code]],"저가")</f>
        <v>73400</v>
      </c>
      <c r="R141">
        <f>_xll.IMDP("STK",표.실시간4[[#This Row],[nxt_code]],"세션명")</f>
        <v>0</v>
      </c>
      <c r="S141">
        <f>_xll.IMDP("STK",표.실시간4[[#This Row],[nxt_code]],"체결시간")</f>
        <v>0</v>
      </c>
      <c r="T141" s="4">
        <f>_xll.IMDP("STK","103140","현재가")</f>
        <v>119900</v>
      </c>
      <c r="U141">
        <f>_xll.IMDP("STK","103140","누적거래량")</f>
        <v>4301</v>
      </c>
    </row>
    <row r="142" spans="3:21" x14ac:dyDescent="0.3">
      <c r="C142">
        <v>137</v>
      </c>
      <c r="D142">
        <v>51600</v>
      </c>
      <c r="E142" t="s">
        <v>178</v>
      </c>
      <c r="F142" t="str">
        <f>ConvertStockCode(표.실시간4[[#This Row],[코드]])</f>
        <v>N051600</v>
      </c>
      <c r="G142" s="4">
        <f>_xll.IMDP("STK",표.실시간4[[#This Row],[nxt_code]],"현재가")</f>
        <v>57500</v>
      </c>
      <c r="H142" s="4">
        <f>_xll.IMDP("STK",표.실시간4[[#This Row],[nxt_code]],"시가총액")/10^12</f>
        <v>2.5874999999999999</v>
      </c>
      <c r="I142" s="4">
        <f>표.실시간4[[#This Row],[시가총액 (조원)]]/표.실시간4[[#This Row],[현재가]]*(표.실시간4[[#This Row],[현재가]]-표.실시간4[[#This Row],[대비]])</f>
        <v>2.601</v>
      </c>
      <c r="J142" s="5">
        <f>_xll.IMDP("STK",표.실시간4[[#This Row],[nxt_code]],"전일대비")</f>
        <v>-300</v>
      </c>
      <c r="K142">
        <f>_xll.IMDP("STK",표.실시간4[[#This Row],[nxt_code]],"등락률")</f>
        <v>-0.52</v>
      </c>
      <c r="L142" s="4">
        <f>_xll.IMDP("STK",표.실시간4[[#This Row],[nxt_code]],"누적거래량")</f>
        <v>38171</v>
      </c>
      <c r="M142" s="4">
        <f>_xll.IMDP("STK",표.실시간4[[#This Row],[nxt_code]],"누적거래대금")</f>
        <v>2213998700</v>
      </c>
      <c r="N142" s="4">
        <f>_xll.IMDP("STK",표.실시간4[[#This Row],[nxt_code]],"가중평균가")</f>
        <v>58002.114170000001</v>
      </c>
      <c r="O142" s="4">
        <f>_xll.IMDP("STK",표.실시간4[[#This Row],[nxt_code]],"시가")</f>
        <v>58100</v>
      </c>
      <c r="P142" s="4">
        <f>_xll.IMDP("STK",표.실시간4[[#This Row],[nxt_code]],"고가")</f>
        <v>58300</v>
      </c>
      <c r="Q142" s="4">
        <f>_xll.IMDP("STK",표.실시간4[[#This Row],[nxt_code]],"저가")</f>
        <v>57400</v>
      </c>
      <c r="R142">
        <f>_xll.IMDP("STK",표.실시간4[[#This Row],[nxt_code]],"세션명")</f>
        <v>0</v>
      </c>
      <c r="S142">
        <f>_xll.IMDP("STK",표.실시간4[[#This Row],[nxt_code]],"체결시간")</f>
        <v>0</v>
      </c>
      <c r="T142" s="4">
        <f>_xll.IMDP("STK","018880","현재가")</f>
        <v>3340</v>
      </c>
      <c r="U142">
        <f>_xll.IMDP("STK","018880","누적거래량")</f>
        <v>1039102</v>
      </c>
    </row>
    <row r="143" spans="3:21" x14ac:dyDescent="0.3">
      <c r="C143">
        <v>138</v>
      </c>
      <c r="D143">
        <v>439260</v>
      </c>
      <c r="E143" t="s">
        <v>181</v>
      </c>
      <c r="F143" t="str">
        <f>ConvertStockCode(표.실시간4[[#This Row],[코드]])</f>
        <v>N439260</v>
      </c>
      <c r="G143" s="4">
        <f>_xll.IMDP("STK",표.실시간4[[#This Row],[nxt_code]],"현재가")</f>
        <v>70600</v>
      </c>
      <c r="H143" s="4">
        <f>_xll.IMDP("STK",표.실시간4[[#This Row],[nxt_code]],"시가총액")/10^12</f>
        <v>2.7199576271999999</v>
      </c>
      <c r="I143" s="4">
        <f>표.실시간4[[#This Row],[시가총액 (조원)]]/표.실시간4[[#This Row],[현재가]]*(표.실시간4[[#This Row],[현재가]]-표.실시간4[[#This Row],[대비]])</f>
        <v>2.7045471023999998</v>
      </c>
      <c r="J143" s="5">
        <f>_xll.IMDP("STK",표.실시간4[[#This Row],[nxt_code]],"전일대비")</f>
        <v>400</v>
      </c>
      <c r="K143">
        <f>_xll.IMDP("STK",표.실시간4[[#This Row],[nxt_code]],"등락률")</f>
        <v>0.56999999999999995</v>
      </c>
      <c r="L143" s="4">
        <f>_xll.IMDP("STK",표.실시간4[[#This Row],[nxt_code]],"누적거래량")</f>
        <v>37780</v>
      </c>
      <c r="M143" s="4">
        <f>_xll.IMDP("STK",표.실시간4[[#This Row],[nxt_code]],"누적거래대금")</f>
        <v>2695851600</v>
      </c>
      <c r="N143" s="4">
        <f>_xll.IMDP("STK",표.실시간4[[#This Row],[nxt_code]],"가중평균가")</f>
        <v>71356.580201000004</v>
      </c>
      <c r="O143" s="4">
        <f>_xll.IMDP("STK",표.실시간4[[#This Row],[nxt_code]],"시가")</f>
        <v>71500</v>
      </c>
      <c r="P143" s="4">
        <f>_xll.IMDP("STK",표.실시간4[[#This Row],[nxt_code]],"고가")</f>
        <v>72000</v>
      </c>
      <c r="Q143" s="4">
        <f>_xll.IMDP("STK",표.실시간4[[#This Row],[nxt_code]],"저가")</f>
        <v>70600</v>
      </c>
      <c r="R143">
        <f>_xll.IMDP("STK",표.실시간4[[#This Row],[nxt_code]],"세션명")</f>
        <v>0</v>
      </c>
      <c r="S143">
        <f>_xll.IMDP("STK",표.실시간4[[#This Row],[nxt_code]],"체결시간")</f>
        <v>0</v>
      </c>
      <c r="T143" s="4">
        <f>_xll.IMDP("STK","0009K0","현재가")</f>
        <v>51000</v>
      </c>
      <c r="U143">
        <f>_xll.IMDP("STK","0009K0","누적거래량")</f>
        <v>2969</v>
      </c>
    </row>
    <row r="144" spans="3:21" x14ac:dyDescent="0.3">
      <c r="C144">
        <v>139</v>
      </c>
      <c r="D144">
        <v>26960</v>
      </c>
      <c r="E144" t="s">
        <v>184</v>
      </c>
      <c r="F144" t="str">
        <f>ConvertStockCode(표.실시간4[[#This Row],[코드]])</f>
        <v>N026960</v>
      </c>
      <c r="G144" s="4">
        <f>_xll.IMDP("STK",표.실시간4[[#This Row],[nxt_code]],"현재가")</f>
        <v>26300</v>
      </c>
      <c r="H144" s="4">
        <f>_xll.IMDP("STK",표.실시간4[[#This Row],[nxt_code]],"시가총액")/10^12</f>
        <v>2.6221100000000002</v>
      </c>
      <c r="I144" s="4">
        <f>표.실시간4[[#This Row],[시가총액 (조원)]]/표.실시간4[[#This Row],[현재가]]*(표.실시간4[[#This Row],[현재가]]-표.실시간4[[#This Row],[대비]])</f>
        <v>2.5971850000000001</v>
      </c>
      <c r="J144" s="5">
        <f>_xll.IMDP("STK",표.실시간4[[#This Row],[nxt_code]],"전일대비")</f>
        <v>250</v>
      </c>
      <c r="K144">
        <f>_xll.IMDP("STK",표.실시간4[[#This Row],[nxt_code]],"등락률")</f>
        <v>0.96</v>
      </c>
      <c r="L144" s="4">
        <f>_xll.IMDP("STK",표.실시간4[[#This Row],[nxt_code]],"누적거래량")</f>
        <v>11047</v>
      </c>
      <c r="M144" s="4">
        <f>_xll.IMDP("STK",표.실시간4[[#This Row],[nxt_code]],"누적거래대금")</f>
        <v>287507100</v>
      </c>
      <c r="N144" s="4">
        <f>_xll.IMDP("STK",표.실시간4[[#This Row],[nxt_code]],"가중평균가")</f>
        <v>26025.807912</v>
      </c>
      <c r="O144" s="4">
        <f>_xll.IMDP("STK",표.실시간4[[#This Row],[nxt_code]],"시가")</f>
        <v>26300</v>
      </c>
      <c r="P144" s="4">
        <f>_xll.IMDP("STK",표.실시간4[[#This Row],[nxt_code]],"고가")</f>
        <v>26350</v>
      </c>
      <c r="Q144" s="4">
        <f>_xll.IMDP("STK",표.실시간4[[#This Row],[nxt_code]],"저가")</f>
        <v>25900</v>
      </c>
      <c r="R144">
        <f>_xll.IMDP("STK",표.실시간4[[#This Row],[nxt_code]],"세션명")</f>
        <v>0</v>
      </c>
      <c r="S144">
        <f>_xll.IMDP("STK",표.실시간4[[#This Row],[nxt_code]],"체결시간")</f>
        <v>0</v>
      </c>
      <c r="T144" s="4">
        <f>_xll.IMDP("STK","005850","현재가")</f>
        <v>59800</v>
      </c>
      <c r="U144">
        <f>_xll.IMDP("STK","005850","누적거래량")</f>
        <v>18323</v>
      </c>
    </row>
    <row r="145" spans="3:21" x14ac:dyDescent="0.3">
      <c r="C145">
        <v>140</v>
      </c>
      <c r="D145">
        <v>240</v>
      </c>
      <c r="E145" t="s">
        <v>183</v>
      </c>
      <c r="F145" t="str">
        <f>ConvertStockCode(표.실시간4[[#This Row],[코드]])</f>
        <v>N000240</v>
      </c>
      <c r="G145" s="4">
        <f>_xll.IMDP("STK",표.실시간4[[#This Row],[nxt_code]],"현재가")</f>
        <v>27000</v>
      </c>
      <c r="H145" s="4">
        <f>_xll.IMDP("STK",표.실시간4[[#This Row],[nxt_code]],"시가총액")/10^12</f>
        <v>2.5632514799999999</v>
      </c>
      <c r="I145" s="4">
        <f>표.실시간4[[#This Row],[시가총액 (조원)]]/표.실시간4[[#This Row],[현재가]]*(표.실시간4[[#This Row],[현재가]]-표.실시간4[[#This Row],[대비]])</f>
        <v>2.5679982419999998</v>
      </c>
      <c r="J145" s="5">
        <f>_xll.IMDP("STK",표.실시간4[[#This Row],[nxt_code]],"전일대비")</f>
        <v>-50</v>
      </c>
      <c r="K145">
        <f>_xll.IMDP("STK",표.실시간4[[#This Row],[nxt_code]],"등락률")</f>
        <v>-0.18</v>
      </c>
      <c r="L145" s="4">
        <f>_xll.IMDP("STK",표.실시간4[[#This Row],[nxt_code]],"누적거래량")</f>
        <v>1160</v>
      </c>
      <c r="M145" s="4">
        <f>_xll.IMDP("STK",표.실시간4[[#This Row],[nxt_code]],"누적거래대금")</f>
        <v>31344650</v>
      </c>
      <c r="N145" s="4">
        <f>_xll.IMDP("STK",표.실시간4[[#This Row],[nxt_code]],"가중평균가")</f>
        <v>27021.25</v>
      </c>
      <c r="O145" s="4">
        <f>_xll.IMDP("STK",표.실시간4[[#This Row],[nxt_code]],"시가")</f>
        <v>27050</v>
      </c>
      <c r="P145" s="4">
        <f>_xll.IMDP("STK",표.실시간4[[#This Row],[nxt_code]],"고가")</f>
        <v>27100</v>
      </c>
      <c r="Q145" s="4">
        <f>_xll.IMDP("STK",표.실시간4[[#This Row],[nxt_code]],"저가")</f>
        <v>26800</v>
      </c>
      <c r="R145">
        <f>_xll.IMDP("STK",표.실시간4[[#This Row],[nxt_code]],"세션명")</f>
        <v>0</v>
      </c>
      <c r="S145">
        <f>_xll.IMDP("STK",표.실시간4[[#This Row],[nxt_code]],"체결시간")</f>
        <v>0</v>
      </c>
      <c r="T145" s="4">
        <f>_xll.IMDP("STK","310210","현재가")</f>
        <v>180100</v>
      </c>
      <c r="U145">
        <f>_xll.IMDP("STK","310210","누적거래량")</f>
        <v>1258</v>
      </c>
    </row>
    <row r="146" spans="3:21" x14ac:dyDescent="0.3">
      <c r="C146">
        <v>141</v>
      </c>
      <c r="D146">
        <v>11210</v>
      </c>
      <c r="E146" t="s">
        <v>176</v>
      </c>
      <c r="F146" t="str">
        <f>ConvertStockCode(표.실시간4[[#This Row],[코드]])</f>
        <v>N011210</v>
      </c>
      <c r="G146" s="4">
        <f>_xll.IMDP("STK",표.실시간4[[#This Row],[nxt_code]],"현재가")</f>
        <v>88200</v>
      </c>
      <c r="H146" s="4">
        <f>_xll.IMDP("STK",표.실시간4[[#This Row],[nxt_code]],"시가총액")/10^12</f>
        <v>2.3986063205999999</v>
      </c>
      <c r="I146" s="4">
        <f>표.실시간4[[#This Row],[시가총액 (조원)]]/표.실시간4[[#This Row],[현재가]]*(표.실시간4[[#This Row],[현재가]]-표.실시간4[[#This Row],[대비]])</f>
        <v>2.4339599285000002</v>
      </c>
      <c r="J146" s="5">
        <f>_xll.IMDP("STK",표.실시간4[[#This Row],[nxt_code]],"전일대비")</f>
        <v>-1300</v>
      </c>
      <c r="K146">
        <f>_xll.IMDP("STK",표.실시간4[[#This Row],[nxt_code]],"등락률")</f>
        <v>-1.45</v>
      </c>
      <c r="L146" s="4">
        <f>_xll.IMDP("STK",표.실시간4[[#This Row],[nxt_code]],"누적거래량")</f>
        <v>58226</v>
      </c>
      <c r="M146" s="4">
        <f>_xll.IMDP("STK",표.실시간4[[#This Row],[nxt_code]],"누적거래대금")</f>
        <v>5204817600</v>
      </c>
      <c r="N146" s="4">
        <f>_xll.IMDP("STK",표.실시간4[[#This Row],[nxt_code]],"가중평균가")</f>
        <v>89389.922028000001</v>
      </c>
      <c r="O146" s="4">
        <f>_xll.IMDP("STK",표.실시간4[[#This Row],[nxt_code]],"시가")</f>
        <v>91300</v>
      </c>
      <c r="P146" s="4">
        <f>_xll.IMDP("STK",표.실시간4[[#This Row],[nxt_code]],"고가")</f>
        <v>91400</v>
      </c>
      <c r="Q146" s="4">
        <f>_xll.IMDP("STK",표.실시간4[[#This Row],[nxt_code]],"저가")</f>
        <v>88100</v>
      </c>
      <c r="R146">
        <f>_xll.IMDP("STK",표.실시간4[[#This Row],[nxt_code]],"세션명")</f>
        <v>0</v>
      </c>
      <c r="S146">
        <f>_xll.IMDP("STK",표.실시간4[[#This Row],[nxt_code]],"체결시간")</f>
        <v>0</v>
      </c>
      <c r="T146" s="4">
        <f>_xll.IMDP("STK","030530","현재가")</f>
        <v>39650</v>
      </c>
      <c r="U146">
        <f>_xll.IMDP("STK","030530","누적거래량")</f>
        <v>49971</v>
      </c>
    </row>
    <row r="147" spans="3:21" x14ac:dyDescent="0.3">
      <c r="C147">
        <v>142</v>
      </c>
      <c r="D147">
        <v>383220</v>
      </c>
      <c r="E147" t="s">
        <v>187</v>
      </c>
      <c r="F147" t="str">
        <f>ConvertStockCode(표.실시간4[[#This Row],[코드]])</f>
        <v>N383220</v>
      </c>
      <c r="G147" s="4">
        <f>_xll.IMDP("STK",표.실시간4[[#This Row],[nxt_code]],"현재가")</f>
        <v>66400</v>
      </c>
      <c r="H147" s="4">
        <f>_xll.IMDP("STK",표.실시간4[[#This Row],[nxt_code]],"시가총액")/10^12</f>
        <v>2.54358978</v>
      </c>
      <c r="I147" s="4">
        <f>표.실시간4[[#This Row],[시가총액 (조원)]]/표.실시간4[[#This Row],[현재가]]*(표.실시간4[[#This Row],[현재가]]-표.실시간4[[#This Row],[대비]])</f>
        <v>2.5282669500000003</v>
      </c>
      <c r="J147" s="5">
        <f>_xll.IMDP("STK",표.실시간4[[#This Row],[nxt_code]],"전일대비")</f>
        <v>400</v>
      </c>
      <c r="K147">
        <f>_xll.IMDP("STK",표.실시간4[[#This Row],[nxt_code]],"등락률")</f>
        <v>0.61</v>
      </c>
      <c r="L147" s="4">
        <f>_xll.IMDP("STK",표.실시간4[[#This Row],[nxt_code]],"누적거래량")</f>
        <v>1264</v>
      </c>
      <c r="M147" s="4">
        <f>_xll.IMDP("STK",표.실시간4[[#This Row],[nxt_code]],"누적거래대금")</f>
        <v>83562500</v>
      </c>
      <c r="N147" s="4">
        <f>_xll.IMDP("STK",표.실시간4[[#This Row],[nxt_code]],"가중평균가")</f>
        <v>66109.572784999997</v>
      </c>
      <c r="O147" s="4">
        <f>_xll.IMDP("STK",표.실시간4[[#This Row],[nxt_code]],"시가")</f>
        <v>66100</v>
      </c>
      <c r="P147" s="4">
        <f>_xll.IMDP("STK",표.실시간4[[#This Row],[nxt_code]],"고가")</f>
        <v>66400</v>
      </c>
      <c r="Q147" s="4">
        <f>_xll.IMDP("STK",표.실시간4[[#This Row],[nxt_code]],"저가")</f>
        <v>65800</v>
      </c>
      <c r="R147">
        <f>_xll.IMDP("STK",표.실시간4[[#This Row],[nxt_code]],"세션명")</f>
        <v>0</v>
      </c>
      <c r="S147">
        <f>_xll.IMDP("STK",표.실시간4[[#This Row],[nxt_code]],"체결시간")</f>
        <v>0</v>
      </c>
      <c r="T147" s="4">
        <f>_xll.IMDP("STK","097950","현재가")</f>
        <v>214500</v>
      </c>
      <c r="U147">
        <f>_xll.IMDP("STK","097950","누적거래량")</f>
        <v>583</v>
      </c>
    </row>
    <row r="148" spans="3:21" x14ac:dyDescent="0.3">
      <c r="C148">
        <v>143</v>
      </c>
      <c r="D148">
        <v>4800</v>
      </c>
      <c r="E148" t="s">
        <v>186</v>
      </c>
      <c r="F148" t="str">
        <f>ConvertStockCode(표.실시간4[[#This Row],[코드]])</f>
        <v>N004800</v>
      </c>
      <c r="G148" s="4">
        <f>_xll.IMDP("STK",표.실시간4[[#This Row],[nxt_code]],"현재가")</f>
        <v>152500</v>
      </c>
      <c r="H148" s="4">
        <f>_xll.IMDP("STK",표.실시간4[[#This Row],[nxt_code]],"시가총액")/10^12</f>
        <v>2.5529120674999999</v>
      </c>
      <c r="I148" s="4">
        <f>표.실시간4[[#This Row],[시가총액 (조원)]]/표.실시간4[[#This Row],[현재가]]*(표.실시간4[[#This Row],[현재가]]-표.실시간4[[#This Row],[대비]])</f>
        <v>2.5361716605</v>
      </c>
      <c r="J148" s="5">
        <f>_xll.IMDP("STK",표.실시간4[[#This Row],[nxt_code]],"전일대비")</f>
        <v>1000</v>
      </c>
      <c r="K148">
        <f>_xll.IMDP("STK",표.실시간4[[#This Row],[nxt_code]],"등락률")</f>
        <v>0.66</v>
      </c>
      <c r="L148" s="4">
        <f>_xll.IMDP("STK",표.실시간4[[#This Row],[nxt_code]],"누적거래량")</f>
        <v>2034</v>
      </c>
      <c r="M148" s="4">
        <f>_xll.IMDP("STK",표.실시간4[[#This Row],[nxt_code]],"누적거래대금")</f>
        <v>311528500</v>
      </c>
      <c r="N148" s="4">
        <f>_xll.IMDP("STK",표.실시간4[[#This Row],[nxt_code]],"가중평균가")</f>
        <v>153160.521141</v>
      </c>
      <c r="O148" s="4">
        <f>_xll.IMDP("STK",표.실시간4[[#This Row],[nxt_code]],"시가")</f>
        <v>151600</v>
      </c>
      <c r="P148" s="4">
        <f>_xll.IMDP("STK",표.실시간4[[#This Row],[nxt_code]],"고가")</f>
        <v>154000</v>
      </c>
      <c r="Q148" s="4">
        <f>_xll.IMDP("STK",표.실시간4[[#This Row],[nxt_code]],"저가")</f>
        <v>151600</v>
      </c>
      <c r="R148">
        <f>_xll.IMDP("STK",표.실시간4[[#This Row],[nxt_code]],"세션명")</f>
        <v>0</v>
      </c>
      <c r="S148">
        <f>_xll.IMDP("STK",표.실시간4[[#This Row],[nxt_code]],"체결시간")</f>
        <v>0</v>
      </c>
      <c r="T148" s="4">
        <f>_xll.IMDP("STK","071970","현재가")</f>
        <v>91400</v>
      </c>
      <c r="U148">
        <f>_xll.IMDP("STK","071970","누적거래량")</f>
        <v>8990</v>
      </c>
    </row>
    <row r="149" spans="3:21" x14ac:dyDescent="0.3">
      <c r="C149">
        <v>144</v>
      </c>
      <c r="D149">
        <v>4370</v>
      </c>
      <c r="E149" t="s">
        <v>191</v>
      </c>
      <c r="F149" t="str">
        <f>ConvertStockCode(표.실시간4[[#This Row],[코드]])</f>
        <v>N004370</v>
      </c>
      <c r="G149" s="4">
        <f>_xll.IMDP("STK",표.실시간4[[#This Row],[nxt_code]],"현재가")</f>
        <v>409500</v>
      </c>
      <c r="H149" s="4">
        <f>_xll.IMDP("STK",표.실시간4[[#This Row],[nxt_code]],"시가총액")/10^12</f>
        <v>2.4908418989999999</v>
      </c>
      <c r="I149" s="4">
        <f>표.실시간4[[#This Row],[시가총액 (조원)]]/표.실시간4[[#This Row],[현재가]]*(표.실시간4[[#This Row],[현재가]]-표.실시간4[[#This Row],[대비]])</f>
        <v>2.4938832199999998</v>
      </c>
      <c r="J149" s="5">
        <f>_xll.IMDP("STK",표.실시간4[[#This Row],[nxt_code]],"전일대비")</f>
        <v>-500</v>
      </c>
      <c r="K149">
        <f>_xll.IMDP("STK",표.실시간4[[#This Row],[nxt_code]],"등락률")</f>
        <v>-0.12</v>
      </c>
      <c r="L149" s="4">
        <f>_xll.IMDP("STK",표.실시간4[[#This Row],[nxt_code]],"누적거래량")</f>
        <v>1179</v>
      </c>
      <c r="M149" s="4">
        <f>_xll.IMDP("STK",표.실시간4[[#This Row],[nxt_code]],"누적거래대금")</f>
        <v>484260000</v>
      </c>
      <c r="N149" s="4">
        <f>_xll.IMDP("STK",표.실시간4[[#This Row],[nxt_code]],"가중평균가")</f>
        <v>410737.91348599998</v>
      </c>
      <c r="O149" s="4">
        <f>_xll.IMDP("STK",표.실시간4[[#This Row],[nxt_code]],"시가")</f>
        <v>410000</v>
      </c>
      <c r="P149" s="4">
        <f>_xll.IMDP("STK",표.실시간4[[#This Row],[nxt_code]],"고가")</f>
        <v>417000</v>
      </c>
      <c r="Q149" s="4">
        <f>_xll.IMDP("STK",표.실시간4[[#This Row],[nxt_code]],"저가")</f>
        <v>407500</v>
      </c>
      <c r="R149">
        <f>_xll.IMDP("STK",표.실시간4[[#This Row],[nxt_code]],"세션명")</f>
        <v>0</v>
      </c>
      <c r="S149">
        <f>_xll.IMDP("STK",표.실시간4[[#This Row],[nxt_code]],"체결시간")</f>
        <v>0</v>
      </c>
      <c r="T149" s="4">
        <f>_xll.IMDP("STK","011170","현재가")</f>
        <v>79500</v>
      </c>
      <c r="U149">
        <f>_xll.IMDP("STK","011170","누적거래량")</f>
        <v>21789</v>
      </c>
    </row>
    <row r="150" spans="3:21" x14ac:dyDescent="0.3">
      <c r="C150">
        <v>145</v>
      </c>
      <c r="D150">
        <v>336260</v>
      </c>
      <c r="E150" t="s">
        <v>195</v>
      </c>
      <c r="F150" t="str">
        <f>ConvertStockCode(표.실시간4[[#This Row],[코드]])</f>
        <v>N336260</v>
      </c>
      <c r="G150" s="4">
        <f>_xll.IMDP("STK",표.실시간4[[#This Row],[nxt_code]],"현재가")</f>
        <v>37150</v>
      </c>
      <c r="H150" s="4">
        <f>_xll.IMDP("STK",표.실시간4[[#This Row],[nxt_code]],"시가총액")/10^12</f>
        <v>2.4330919208999999</v>
      </c>
      <c r="I150" s="4">
        <f>표.실시간4[[#This Row],[시가총액 (조원)]]/표.실시간4[[#This Row],[현재가]]*(표.실시간4[[#This Row],[현재가]]-표.실시간4[[#This Row],[대비]])</f>
        <v>2.488761588</v>
      </c>
      <c r="J150" s="5">
        <f>_xll.IMDP("STK",표.실시간4[[#This Row],[nxt_code]],"전일대비")</f>
        <v>-850</v>
      </c>
      <c r="K150">
        <f>_xll.IMDP("STK",표.실시간4[[#This Row],[nxt_code]],"등락률")</f>
        <v>-2.2400000000000002</v>
      </c>
      <c r="L150" s="4">
        <f>_xll.IMDP("STK",표.실시간4[[#This Row],[nxt_code]],"누적거래량")</f>
        <v>111373</v>
      </c>
      <c r="M150" s="4">
        <f>_xll.IMDP("STK",표.실시간4[[#This Row],[nxt_code]],"누적거래대금")</f>
        <v>4235256450</v>
      </c>
      <c r="N150" s="4">
        <f>_xll.IMDP("STK",표.실시간4[[#This Row],[nxt_code]],"가중평균가")</f>
        <v>38027.676815999999</v>
      </c>
      <c r="O150" s="4">
        <f>_xll.IMDP("STK",표.실시간4[[#This Row],[nxt_code]],"시가")</f>
        <v>38400</v>
      </c>
      <c r="P150" s="4">
        <f>_xll.IMDP("STK",표.실시간4[[#This Row],[nxt_code]],"고가")</f>
        <v>38850</v>
      </c>
      <c r="Q150" s="4">
        <f>_xll.IMDP("STK",표.실시간4[[#This Row],[nxt_code]],"저가")</f>
        <v>37100</v>
      </c>
      <c r="R150">
        <f>_xll.IMDP("STK",표.실시간4[[#This Row],[nxt_code]],"세션명")</f>
        <v>0</v>
      </c>
      <c r="S150">
        <f>_xll.IMDP("STK",표.실시간4[[#This Row],[nxt_code]],"체결시간")</f>
        <v>0</v>
      </c>
      <c r="T150" s="4">
        <f>_xll.IMDP("STK","004990","현재가")</f>
        <v>29750</v>
      </c>
      <c r="U150">
        <f>_xll.IMDP("STK","004990","누적거래량")</f>
        <v>19781</v>
      </c>
    </row>
    <row r="151" spans="3:21" x14ac:dyDescent="0.3">
      <c r="C151">
        <v>146</v>
      </c>
      <c r="D151">
        <v>1450</v>
      </c>
      <c r="E151" t="s">
        <v>192</v>
      </c>
      <c r="F151" t="str">
        <f>ConvertStockCode(표.실시간4[[#This Row],[코드]])</f>
        <v>N001450</v>
      </c>
      <c r="G151" s="4">
        <f>_xll.IMDP("STK",표.실시간4[[#This Row],[nxt_code]],"현재가")</f>
        <v>27750</v>
      </c>
      <c r="H151" s="4">
        <f>_xll.IMDP("STK",표.실시간4[[#This Row],[nxt_code]],"시가총액")/10^12</f>
        <v>2.4808500000000002</v>
      </c>
      <c r="I151" s="4">
        <f>표.실시간4[[#This Row],[시가총액 (조원)]]/표.실시간4[[#This Row],[현재가]]*(표.실시간4[[#This Row],[현재가]]-표.실시간4[[#This Row],[대비]])</f>
        <v>2.4808500000000002</v>
      </c>
      <c r="J151" s="5">
        <f>_xll.IMDP("STK",표.실시간4[[#This Row],[nxt_code]],"전일대비")</f>
        <v>0</v>
      </c>
      <c r="K151">
        <f>_xll.IMDP("STK",표.실시간4[[#This Row],[nxt_code]],"등락률")</f>
        <v>0</v>
      </c>
      <c r="L151" s="4">
        <f>_xll.IMDP("STK",표.실시간4[[#This Row],[nxt_code]],"누적거래량")</f>
        <v>10811</v>
      </c>
      <c r="M151" s="4">
        <f>_xll.IMDP("STK",표.실시간4[[#This Row],[nxt_code]],"누적거래대금")</f>
        <v>300623100</v>
      </c>
      <c r="N151" s="4">
        <f>_xll.IMDP("STK",표.실시간4[[#This Row],[nxt_code]],"가중평균가")</f>
        <v>27807.150125</v>
      </c>
      <c r="O151" s="4">
        <f>_xll.IMDP("STK",표.실시간4[[#This Row],[nxt_code]],"시가")</f>
        <v>27950</v>
      </c>
      <c r="P151" s="4">
        <f>_xll.IMDP("STK",표.실시간4[[#This Row],[nxt_code]],"고가")</f>
        <v>27950</v>
      </c>
      <c r="Q151" s="4">
        <f>_xll.IMDP("STK",표.실시간4[[#This Row],[nxt_code]],"저가")</f>
        <v>27500</v>
      </c>
      <c r="R151">
        <f>_xll.IMDP("STK",표.실시간4[[#This Row],[nxt_code]],"세션명")</f>
        <v>0</v>
      </c>
      <c r="S151">
        <f>_xll.IMDP("STK",표.실시간4[[#This Row],[nxt_code]],"체결시간")</f>
        <v>0</v>
      </c>
      <c r="T151" s="4">
        <f>_xll.IMDP("STK","140410","현재가")</f>
        <v>109400</v>
      </c>
      <c r="U151">
        <f>_xll.IMDP("STK","140410","누적거래량")</f>
        <v>2750</v>
      </c>
    </row>
    <row r="152" spans="3:21" x14ac:dyDescent="0.3">
      <c r="C152">
        <v>147</v>
      </c>
      <c r="D152">
        <v>9420</v>
      </c>
      <c r="E152" t="s">
        <v>199</v>
      </c>
      <c r="F152" t="str">
        <f>ConvertStockCode(표.실시간4[[#This Row],[코드]])</f>
        <v>N009420</v>
      </c>
      <c r="G152" s="4">
        <f>_xll.IMDP("STK",표.실시간4[[#This Row],[nxt_code]],"현재가")</f>
        <v>48150</v>
      </c>
      <c r="H152" s="4">
        <f>_xll.IMDP("STK",표.실시간4[[#This Row],[nxt_code]],"시가총액")/10^12</f>
        <v>2.5153867196999999</v>
      </c>
      <c r="I152" s="4">
        <f>표.실시간4[[#This Row],[시가총액 (조원)]]/표.실시간4[[#This Row],[현재가]]*(표.실시간4[[#This Row],[현재가]]-표.실시간4[[#This Row],[대비]])</f>
        <v>2.5023265601999998</v>
      </c>
      <c r="J152" s="5">
        <f>_xll.IMDP("STK",표.실시간4[[#This Row],[nxt_code]],"전일대비")</f>
        <v>250</v>
      </c>
      <c r="K152">
        <f>_xll.IMDP("STK",표.실시간4[[#This Row],[nxt_code]],"등락률")</f>
        <v>0.52</v>
      </c>
      <c r="L152" s="4">
        <f>_xll.IMDP("STK",표.실시간4[[#This Row],[nxt_code]],"누적거래량")</f>
        <v>26126</v>
      </c>
      <c r="M152" s="4">
        <f>_xll.IMDP("STK",표.실시간4[[#This Row],[nxt_code]],"누적거래대금")</f>
        <v>1247177200</v>
      </c>
      <c r="N152" s="4">
        <f>_xll.IMDP("STK",표.실시간4[[#This Row],[nxt_code]],"가중평균가")</f>
        <v>47737.012937</v>
      </c>
      <c r="O152" s="4">
        <f>_xll.IMDP("STK",표.실시간4[[#This Row],[nxt_code]],"시가")</f>
        <v>47600</v>
      </c>
      <c r="P152" s="4">
        <f>_xll.IMDP("STK",표.실시간4[[#This Row],[nxt_code]],"고가")</f>
        <v>48300</v>
      </c>
      <c r="Q152" s="4">
        <f>_xll.IMDP("STK",표.실시간4[[#This Row],[nxt_code]],"저가")</f>
        <v>47450</v>
      </c>
      <c r="R152">
        <f>_xll.IMDP("STK",표.실시간4[[#This Row],[nxt_code]],"세션명")</f>
        <v>0</v>
      </c>
      <c r="S152">
        <f>_xll.IMDP("STK",표.실시간4[[#This Row],[nxt_code]],"체결시간")</f>
        <v>0</v>
      </c>
      <c r="T152" s="4">
        <f>_xll.IMDP("STK","014680","현재가")</f>
        <v>282000</v>
      </c>
      <c r="U152">
        <f>_xll.IMDP("STK","014680","누적거래량")</f>
        <v>6857</v>
      </c>
    </row>
    <row r="153" spans="3:21" x14ac:dyDescent="0.3">
      <c r="C153">
        <v>148</v>
      </c>
      <c r="D153">
        <v>353200</v>
      </c>
      <c r="E153" t="s">
        <v>188</v>
      </c>
      <c r="F153" t="str">
        <f>ConvertStockCode(표.실시간4[[#This Row],[코드]])</f>
        <v>N353200</v>
      </c>
      <c r="G153" s="4">
        <f>_xll.IMDP("STK",표.실시간4[[#This Row],[nxt_code]],"현재가")</f>
        <v>49700</v>
      </c>
      <c r="H153" s="4">
        <f>_xll.IMDP("STK",표.실시간4[[#This Row],[nxt_code]],"시가총액")/10^12</f>
        <v>2.4560211724999998</v>
      </c>
      <c r="I153" s="4">
        <f>표.실시간4[[#This Row],[시가총액 (조원)]]/표.실시간4[[#This Row],[현재가]]*(표.실시간4[[#This Row],[현재가]]-표.실시간4[[#This Row],[대비]])</f>
        <v>2.4906130200000001</v>
      </c>
      <c r="J153" s="5">
        <f>_xll.IMDP("STK",표.실시간4[[#This Row],[nxt_code]],"전일대비")</f>
        <v>-700</v>
      </c>
      <c r="K153">
        <f>_xll.IMDP("STK",표.실시간4[[#This Row],[nxt_code]],"등락률")</f>
        <v>-1.39</v>
      </c>
      <c r="L153" s="4">
        <f>_xll.IMDP("STK",표.실시간4[[#This Row],[nxt_code]],"누적거래량")</f>
        <v>73749</v>
      </c>
      <c r="M153" s="4">
        <f>_xll.IMDP("STK",표.실시간4[[#This Row],[nxt_code]],"누적거래대금")</f>
        <v>3680448850</v>
      </c>
      <c r="N153" s="4">
        <f>_xll.IMDP("STK",표.실시간4[[#This Row],[nxt_code]],"가중평균가")</f>
        <v>49905.067864999997</v>
      </c>
      <c r="O153" s="4">
        <f>_xll.IMDP("STK",표.실시간4[[#This Row],[nxt_code]],"시가")</f>
        <v>50000</v>
      </c>
      <c r="P153" s="4">
        <f>_xll.IMDP("STK",표.실시간4[[#This Row],[nxt_code]],"고가")</f>
        <v>50600</v>
      </c>
      <c r="Q153" s="4">
        <f>_xll.IMDP("STK",표.실시간4[[#This Row],[nxt_code]],"저가")</f>
        <v>49700</v>
      </c>
      <c r="R153">
        <f>_xll.IMDP("STK",표.실시간4[[#This Row],[nxt_code]],"세션명")</f>
        <v>0</v>
      </c>
      <c r="S153">
        <f>_xll.IMDP("STK",표.실시간4[[#This Row],[nxt_code]],"체결시간")</f>
        <v>0</v>
      </c>
      <c r="T153" s="4">
        <f>_xll.IMDP("STK","012750","현재가")</f>
        <v>77600</v>
      </c>
      <c r="U153">
        <f>_xll.IMDP("STK","012750","누적거래량")</f>
        <v>810</v>
      </c>
    </row>
    <row r="154" spans="3:21" x14ac:dyDescent="0.3">
      <c r="C154">
        <v>149</v>
      </c>
      <c r="D154">
        <v>81660</v>
      </c>
      <c r="E154" t="s">
        <v>201</v>
      </c>
      <c r="F154" t="str">
        <f>ConvertStockCode(표.실시간4[[#This Row],[코드]])</f>
        <v>N081660</v>
      </c>
      <c r="G154" s="4">
        <f>_xll.IMDP("STK",표.실시간4[[#This Row],[nxt_code]],"현재가")</f>
        <v>45250</v>
      </c>
      <c r="H154" s="4">
        <f>_xll.IMDP("STK",표.실시간4[[#This Row],[nxt_code]],"시가총액")/10^12</f>
        <v>2.4024057600000002</v>
      </c>
      <c r="I154" s="4">
        <f>표.실시간4[[#This Row],[시가총액 (조원)]]/표.실시간4[[#This Row],[현재가]]*(표.실시간4[[#This Row],[현재가]]-표.실시간4[[#This Row],[대비]])</f>
        <v>2.420987904</v>
      </c>
      <c r="J154" s="5">
        <f>_xll.IMDP("STK",표.실시간4[[#This Row],[nxt_code]],"전일대비")</f>
        <v>-350</v>
      </c>
      <c r="K154">
        <f>_xll.IMDP("STK",표.실시간4[[#This Row],[nxt_code]],"등락률")</f>
        <v>-0.77</v>
      </c>
      <c r="L154" s="4">
        <f>_xll.IMDP("STK",표.실시간4[[#This Row],[nxt_code]],"누적거래량")</f>
        <v>279</v>
      </c>
      <c r="M154" s="4">
        <f>_xll.IMDP("STK",표.실시간4[[#This Row],[nxt_code]],"누적거래대금")</f>
        <v>12600650</v>
      </c>
      <c r="N154" s="4">
        <f>_xll.IMDP("STK",표.실시간4[[#This Row],[nxt_code]],"가중평균가")</f>
        <v>45163.620071999998</v>
      </c>
      <c r="O154" s="4">
        <f>_xll.IMDP("STK",표.실시간4[[#This Row],[nxt_code]],"시가")</f>
        <v>45200</v>
      </c>
      <c r="P154" s="4">
        <f>_xll.IMDP("STK",표.실시간4[[#This Row],[nxt_code]],"고가")</f>
        <v>45250</v>
      </c>
      <c r="Q154" s="4">
        <f>_xll.IMDP("STK",표.실시간4[[#This Row],[nxt_code]],"저가")</f>
        <v>45050</v>
      </c>
      <c r="R154">
        <f>_xll.IMDP("STK",표.실시간4[[#This Row],[nxt_code]],"세션명")</f>
        <v>0</v>
      </c>
      <c r="S154">
        <f>_xll.IMDP("STK",표.실시간4[[#This Row],[nxt_code]],"체결시간")</f>
        <v>0</v>
      </c>
      <c r="T154" s="4">
        <f>_xll.IMDP("STK","103590","현재가")</f>
        <v>60400</v>
      </c>
      <c r="U154">
        <f>_xll.IMDP("STK","103590","누적거래량")</f>
        <v>11769</v>
      </c>
    </row>
    <row r="155" spans="3:21" x14ac:dyDescent="0.3">
      <c r="C155">
        <v>150</v>
      </c>
      <c r="D155">
        <v>1720</v>
      </c>
      <c r="E155" t="s">
        <v>193</v>
      </c>
      <c r="F155" t="str">
        <f>ConvertStockCode(표.실시간4[[#This Row],[코드]])</f>
        <v>N001720</v>
      </c>
      <c r="G155" s="4">
        <f>_xll.IMDP("STK",표.실시간4[[#This Row],[nxt_code]],"현재가")</f>
        <v>157300</v>
      </c>
      <c r="H155" s="4">
        <f>_xll.IMDP("STK",표.실시간4[[#This Row],[nxt_code]],"시가총액")/10^12</f>
        <v>2.5860120000000002</v>
      </c>
      <c r="I155" s="4">
        <f>표.실시간4[[#This Row],[시가총액 (조원)]]/표.실시간4[[#This Row],[현재가]]*(표.실시간4[[#This Row],[현재가]]-표.실시간4[[#This Row],[대비]])</f>
        <v>2.4117480000000002</v>
      </c>
      <c r="J155" s="5">
        <f>_xll.IMDP("STK",표.실시간4[[#This Row],[nxt_code]],"전일대비")</f>
        <v>10600</v>
      </c>
      <c r="K155">
        <f>_xll.IMDP("STK",표.실시간4[[#This Row],[nxt_code]],"등락률")</f>
        <v>7.23</v>
      </c>
      <c r="L155" s="4">
        <f>_xll.IMDP("STK",표.실시간4[[#This Row],[nxt_code]],"누적거래량")</f>
        <v>7348</v>
      </c>
      <c r="M155" s="4">
        <f>_xll.IMDP("STK",표.실시간4[[#This Row],[nxt_code]],"누적거래대금")</f>
        <v>1119253300</v>
      </c>
      <c r="N155" s="4">
        <f>_xll.IMDP("STK",표.실시간4[[#This Row],[nxt_code]],"가중평균가")</f>
        <v>152320.808383</v>
      </c>
      <c r="O155" s="4">
        <f>_xll.IMDP("STK",표.실시간4[[#This Row],[nxt_code]],"시가")</f>
        <v>151500</v>
      </c>
      <c r="P155" s="4">
        <f>_xll.IMDP("STK",표.실시간4[[#This Row],[nxt_code]],"고가")</f>
        <v>157900</v>
      </c>
      <c r="Q155" s="4">
        <f>_xll.IMDP("STK",표.실시간4[[#This Row],[nxt_code]],"저가")</f>
        <v>150300</v>
      </c>
      <c r="R155">
        <f>_xll.IMDP("STK",표.실시간4[[#This Row],[nxt_code]],"세션명")</f>
        <v>0</v>
      </c>
      <c r="S155">
        <f>_xll.IMDP("STK",표.실시간4[[#This Row],[nxt_code]],"체결시간")</f>
        <v>0</v>
      </c>
      <c r="T155" s="4">
        <f>_xll.IMDP("STK","012510","현재가")</f>
        <v>96500</v>
      </c>
      <c r="U155">
        <f>_xll.IMDP("STK","012510","누적거래량")</f>
        <v>106</v>
      </c>
    </row>
    <row r="156" spans="3:21" x14ac:dyDescent="0.3">
      <c r="C156">
        <v>151</v>
      </c>
      <c r="D156">
        <v>30000</v>
      </c>
      <c r="E156" t="s">
        <v>196</v>
      </c>
      <c r="F156" t="str">
        <f>ConvertStockCode(표.실시간4[[#This Row],[코드]])</f>
        <v>N030000</v>
      </c>
      <c r="G156" s="4">
        <f>_xll.IMDP("STK",표.실시간4[[#This Row],[nxt_code]],"현재가")</f>
        <v>20900</v>
      </c>
      <c r="H156" s="4">
        <f>_xll.IMDP("STK",표.실시간4[[#This Row],[nxt_code]],"시가총액")/10^12</f>
        <v>2.4043616024999999</v>
      </c>
      <c r="I156" s="4">
        <f>표.실시간4[[#This Row],[시가총액 (조원)]]/표.실시간4[[#This Row],[현재가]]*(표.실시간4[[#This Row],[현재가]]-표.실시간4[[#This Row],[대비]])</f>
        <v>2.3986095412499999</v>
      </c>
      <c r="J156" s="5">
        <f>_xll.IMDP("STK",표.실시간4[[#This Row],[nxt_code]],"전일대비")</f>
        <v>50</v>
      </c>
      <c r="K156">
        <f>_xll.IMDP("STK",표.실시간4[[#This Row],[nxt_code]],"등락률")</f>
        <v>0.24</v>
      </c>
      <c r="L156" s="4">
        <f>_xll.IMDP("STK",표.실시간4[[#This Row],[nxt_code]],"누적거래량")</f>
        <v>4635</v>
      </c>
      <c r="M156" s="4">
        <f>_xll.IMDP("STK",표.실시간4[[#This Row],[nxt_code]],"누적거래대금")</f>
        <v>96804350</v>
      </c>
      <c r="N156" s="4">
        <f>_xll.IMDP("STK",표.실시간4[[#This Row],[nxt_code]],"가중평균가")</f>
        <v>20885.512406000002</v>
      </c>
      <c r="O156" s="4">
        <f>_xll.IMDP("STK",표.실시간4[[#This Row],[nxt_code]],"시가")</f>
        <v>20850</v>
      </c>
      <c r="P156" s="4">
        <f>_xll.IMDP("STK",표.실시간4[[#This Row],[nxt_code]],"고가")</f>
        <v>20900</v>
      </c>
      <c r="Q156" s="4">
        <f>_xll.IMDP("STK",표.실시간4[[#This Row],[nxt_code]],"저가")</f>
        <v>20800</v>
      </c>
      <c r="R156">
        <f>_xll.IMDP("STK",표.실시간4[[#This Row],[nxt_code]],"세션명")</f>
        <v>0</v>
      </c>
      <c r="S156">
        <f>_xll.IMDP("STK",표.실시간4[[#This Row],[nxt_code]],"체결시간")</f>
        <v>0</v>
      </c>
      <c r="T156" s="4">
        <f>_xll.IMDP("STK","257720","현재가")</f>
        <v>48750</v>
      </c>
      <c r="U156">
        <f>_xll.IMDP("STK","257720","누적거래량")</f>
        <v>15865</v>
      </c>
    </row>
    <row r="157" spans="3:21" x14ac:dyDescent="0.3">
      <c r="C157">
        <v>152</v>
      </c>
      <c r="D157">
        <v>28670</v>
      </c>
      <c r="E157" t="s">
        <v>200</v>
      </c>
      <c r="F157" t="str">
        <f>ConvertStockCode(표.실시간4[[#This Row],[코드]])</f>
        <v>N028670</v>
      </c>
      <c r="G157" s="4">
        <f>_xll.IMDP("STK",표.실시간4[[#This Row],[nxt_code]],"현재가")</f>
        <v>4395</v>
      </c>
      <c r="H157" s="4">
        <f>_xll.IMDP("STK",표.실시간4[[#This Row],[nxt_code]],"시가총액")/10^12</f>
        <v>2.3494330052399999</v>
      </c>
      <c r="I157" s="4">
        <f>표.실시간4[[#This Row],[시가총액 (조원)]]/표.실시간4[[#This Row],[현재가]]*(표.실시간4[[#This Row],[현재가]]-표.실시간4[[#This Row],[대비]])</f>
        <v>2.3921985661999998</v>
      </c>
      <c r="J157" s="5">
        <f>_xll.IMDP("STK",표.실시간4[[#This Row],[nxt_code]],"전일대비")</f>
        <v>-80</v>
      </c>
      <c r="K157">
        <f>_xll.IMDP("STK",표.실시간4[[#This Row],[nxt_code]],"등락률")</f>
        <v>-1.79</v>
      </c>
      <c r="L157" s="4">
        <f>_xll.IMDP("STK",표.실시간4[[#This Row],[nxt_code]],"누적거래량")</f>
        <v>229536</v>
      </c>
      <c r="M157" s="4">
        <f>_xll.IMDP("STK",표.실시간4[[#This Row],[nxt_code]],"누적거래대금")</f>
        <v>1024301390</v>
      </c>
      <c r="N157" s="4">
        <f>_xll.IMDP("STK",표.실시간4[[#This Row],[nxt_code]],"가중평균가")</f>
        <v>4458.6574220000002</v>
      </c>
      <c r="O157" s="4">
        <f>_xll.IMDP("STK",표.실시간4[[#This Row],[nxt_code]],"시가")</f>
        <v>4500</v>
      </c>
      <c r="P157" s="4">
        <f>_xll.IMDP("STK",표.실시간4[[#This Row],[nxt_code]],"고가")</f>
        <v>4535</v>
      </c>
      <c r="Q157" s="4">
        <f>_xll.IMDP("STK",표.실시간4[[#This Row],[nxt_code]],"저가")</f>
        <v>4370</v>
      </c>
      <c r="R157">
        <f>_xll.IMDP("STK",표.실시간4[[#This Row],[nxt_code]],"세션명")</f>
        <v>0</v>
      </c>
      <c r="S157">
        <f>_xll.IMDP("STK",표.실시간4[[#This Row],[nxt_code]],"체결시간")</f>
        <v>0</v>
      </c>
      <c r="T157" s="4">
        <f>_xll.IMDP("STK","403870","현재가")</f>
        <v>33250</v>
      </c>
      <c r="U157">
        <f>_xll.IMDP("STK","403870","누적거래량")</f>
        <v>16010</v>
      </c>
    </row>
    <row r="158" spans="3:21" x14ac:dyDescent="0.3">
      <c r="C158">
        <v>153</v>
      </c>
      <c r="D158">
        <v>139480</v>
      </c>
      <c r="E158" t="s">
        <v>203</v>
      </c>
      <c r="F158" t="str">
        <f>ConvertStockCode(표.실시간4[[#This Row],[코드]])</f>
        <v>N139480</v>
      </c>
      <c r="G158" s="4">
        <f>_xll.IMDP("STK",표.실시간4[[#This Row],[nxt_code]],"현재가")</f>
        <v>86300</v>
      </c>
      <c r="H158" s="4">
        <f>_xll.IMDP("STK",표.실시간4[[#This Row],[nxt_code]],"시가총액")/10^12</f>
        <v>2.373240434</v>
      </c>
      <c r="I158" s="4">
        <f>표.실시간4[[#This Row],[시가총액 (조원)]]/표.실시간4[[#This Row],[현재가]]*(표.실시간4[[#This Row],[현재가]]-표.실시간4[[#This Row],[대비]])</f>
        <v>2.3649904672537656</v>
      </c>
      <c r="J158" s="5">
        <f>_xll.IMDP("STK",표.실시간4[[#This Row],[nxt_code]],"전일대비")</f>
        <v>300</v>
      </c>
      <c r="K158">
        <f>_xll.IMDP("STK",표.실시간4[[#This Row],[nxt_code]],"등락률")</f>
        <v>0.35</v>
      </c>
      <c r="L158" s="4">
        <f>_xll.IMDP("STK",표.실시간4[[#This Row],[nxt_code]],"누적거래량")</f>
        <v>9955</v>
      </c>
      <c r="M158" s="4">
        <f>_xll.IMDP("STK",표.실시간4[[#This Row],[nxt_code]],"누적거래대금")</f>
        <v>860768100</v>
      </c>
      <c r="N158" s="4">
        <f>_xll.IMDP("STK",표.실시간4[[#This Row],[nxt_code]],"가중평균가")</f>
        <v>86465.906579999995</v>
      </c>
      <c r="O158" s="4">
        <f>_xll.IMDP("STK",표.실시간4[[#This Row],[nxt_code]],"시가")</f>
        <v>86000</v>
      </c>
      <c r="P158" s="4">
        <f>_xll.IMDP("STK",표.실시간4[[#This Row],[nxt_code]],"고가")</f>
        <v>86700</v>
      </c>
      <c r="Q158" s="4">
        <f>_xll.IMDP("STK",표.실시간4[[#This Row],[nxt_code]],"저가")</f>
        <v>86000</v>
      </c>
      <c r="R158">
        <f>_xll.IMDP("STK",표.실시간4[[#This Row],[nxt_code]],"세션명")</f>
        <v>0</v>
      </c>
      <c r="S158">
        <f>_xll.IMDP("STK",표.실시간4[[#This Row],[nxt_code]],"체결시간")</f>
        <v>0</v>
      </c>
      <c r="T158" s="4">
        <f>_xll.IMDP("STK","145020","현재가")</f>
        <v>260000</v>
      </c>
      <c r="U158">
        <f>_xll.IMDP("STK","145020","누적거래량")</f>
        <v>3425</v>
      </c>
    </row>
    <row r="159" spans="3:21" x14ac:dyDescent="0.3">
      <c r="C159">
        <v>154</v>
      </c>
      <c r="D159">
        <v>120</v>
      </c>
      <c r="E159" t="s">
        <v>206</v>
      </c>
      <c r="F159" t="str">
        <f>ConvertStockCode(표.실시간4[[#This Row],[코드]])</f>
        <v>N000120</v>
      </c>
      <c r="G159" s="4">
        <f>_xll.IMDP("STK",표.실시간4[[#This Row],[nxt_code]],"현재가")</f>
        <v>100100</v>
      </c>
      <c r="H159" s="4">
        <f>_xll.IMDP("STK",표.실시간4[[#This Row],[nxt_code]],"시가총액")/10^12</f>
        <v>2.2835156344</v>
      </c>
      <c r="I159" s="4">
        <f>표.실시간4[[#This Row],[시가총액 (조원)]]/표.실시간4[[#This Row],[현재가]]*(표.실시간4[[#This Row],[현재가]]-표.실시간4[[#This Row],[대비]])</f>
        <v>2.2880781032000002</v>
      </c>
      <c r="J159" s="5">
        <f>_xll.IMDP("STK",표.실시간4[[#This Row],[nxt_code]],"전일대비")</f>
        <v>-200</v>
      </c>
      <c r="K159">
        <f>_xll.IMDP("STK",표.실시간4[[#This Row],[nxt_code]],"등락률")</f>
        <v>-0.2</v>
      </c>
      <c r="L159" s="4">
        <f>_xll.IMDP("STK",표.실시간4[[#This Row],[nxt_code]],"누적거래량")</f>
        <v>2867</v>
      </c>
      <c r="M159" s="4">
        <f>_xll.IMDP("STK",표.실시간4[[#This Row],[nxt_code]],"누적거래대금")</f>
        <v>287573300</v>
      </c>
      <c r="N159" s="4">
        <f>_xll.IMDP("STK",표.실시간4[[#This Row],[nxt_code]],"가중평균가")</f>
        <v>100304.604116</v>
      </c>
      <c r="O159" s="4">
        <f>_xll.IMDP("STK",표.실시간4[[#This Row],[nxt_code]],"시가")</f>
        <v>102700</v>
      </c>
      <c r="P159" s="4">
        <f>_xll.IMDP("STK",표.실시간4[[#This Row],[nxt_code]],"고가")</f>
        <v>102700</v>
      </c>
      <c r="Q159" s="4">
        <f>_xll.IMDP("STK",표.실시간4[[#This Row],[nxt_code]],"저가")</f>
        <v>99700</v>
      </c>
      <c r="R159">
        <f>_xll.IMDP("STK",표.실시간4[[#This Row],[nxt_code]],"세션명")</f>
        <v>0</v>
      </c>
      <c r="S159">
        <f>_xll.IMDP("STK",표.실시간4[[#This Row],[nxt_code]],"체결시간")</f>
        <v>0</v>
      </c>
      <c r="T159" s="4">
        <f>_xll.IMDP("STK","457190","현재가")</f>
        <v>97100</v>
      </c>
      <c r="U159">
        <f>_xll.IMDP("STK","457190","누적거래량")</f>
        <v>82762</v>
      </c>
    </row>
    <row r="160" spans="3:21" x14ac:dyDescent="0.3">
      <c r="C160">
        <v>155</v>
      </c>
      <c r="D160">
        <v>139130</v>
      </c>
      <c r="E160" t="s">
        <v>205</v>
      </c>
      <c r="F160" t="str">
        <f>ConvertStockCode(표.실시간4[[#This Row],[코드]])</f>
        <v>N139130</v>
      </c>
      <c r="G160" s="4">
        <f>_xll.IMDP("STK",표.실시간4[[#This Row],[nxt_code]],"현재가")</f>
        <v>14340</v>
      </c>
      <c r="H160" s="4">
        <f>_xll.IMDP("STK",표.실시간4[[#This Row],[nxt_code]],"시가총액")/10^12</f>
        <v>2.3033565202199999</v>
      </c>
      <c r="I160" s="4">
        <f>표.실시간4[[#This Row],[시가총액 (조원)]]/표.실시간4[[#This Row],[현재가]]*(표.실시간4[[#This Row],[현재가]]-표.실시간4[[#This Row],[대비]])</f>
        <v>2.3049627660500001</v>
      </c>
      <c r="J160" s="5">
        <f>_xll.IMDP("STK",표.실시간4[[#This Row],[nxt_code]],"전일대비")</f>
        <v>-10</v>
      </c>
      <c r="K160">
        <f>_xll.IMDP("STK",표.실시간4[[#This Row],[nxt_code]],"등락률")</f>
        <v>-7.0000000000000007E-2</v>
      </c>
      <c r="L160" s="4">
        <f>_xll.IMDP("STK",표.실시간4[[#This Row],[nxt_code]],"누적거래량")</f>
        <v>4467</v>
      </c>
      <c r="M160" s="4">
        <f>_xll.IMDP("STK",표.실시간4[[#This Row],[nxt_code]],"누적거래대금")</f>
        <v>64106430</v>
      </c>
      <c r="N160" s="4">
        <f>_xll.IMDP("STK",표.실시간4[[#This Row],[nxt_code]],"가중평균가")</f>
        <v>14351.114842000001</v>
      </c>
      <c r="O160" s="4">
        <f>_xll.IMDP("STK",표.실시간4[[#This Row],[nxt_code]],"시가")</f>
        <v>14300</v>
      </c>
      <c r="P160" s="4">
        <f>_xll.IMDP("STK",표.실시간4[[#This Row],[nxt_code]],"고가")</f>
        <v>14420</v>
      </c>
      <c r="Q160" s="4">
        <f>_xll.IMDP("STK",표.실시간4[[#This Row],[nxt_code]],"저가")</f>
        <v>14300</v>
      </c>
      <c r="R160">
        <f>_xll.IMDP("STK",표.실시간4[[#This Row],[nxt_code]],"세션명")</f>
        <v>0</v>
      </c>
      <c r="S160">
        <f>_xll.IMDP("STK",표.실시간4[[#This Row],[nxt_code]],"체결시간")</f>
        <v>0</v>
      </c>
      <c r="T160" s="4">
        <f>_xll.IMDP("STK","004170","현재가")</f>
        <v>286000</v>
      </c>
      <c r="U160">
        <f>_xll.IMDP("STK","004170","누적거래량")</f>
        <v>594</v>
      </c>
    </row>
    <row r="161" spans="3:21" x14ac:dyDescent="0.3">
      <c r="C161">
        <v>156</v>
      </c>
      <c r="D161">
        <v>192820</v>
      </c>
      <c r="E161" t="s">
        <v>217</v>
      </c>
      <c r="F161" t="str">
        <f>ConvertStockCode(표.실시간4[[#This Row],[코드]])</f>
        <v>N192820</v>
      </c>
      <c r="G161" s="4">
        <f>_xll.IMDP("STK",표.실시간4[[#This Row],[nxt_code]],"현재가")</f>
        <v>194700</v>
      </c>
      <c r="H161" s="4">
        <f>_xll.IMDP("STK",표.실시간4[[#This Row],[nxt_code]],"시가총액")/10^12</f>
        <v>2.2097494022999999</v>
      </c>
      <c r="I161" s="4">
        <f>표.실시간4[[#This Row],[시가총액 (조원)]]/표.실시간4[[#This Row],[현재가]]*(표.실시간4[[#This Row],[현재가]]-표.실시간4[[#This Row],[대비]])</f>
        <v>2.1904552370000001</v>
      </c>
      <c r="J161" s="5">
        <f>_xll.IMDP("STK",표.실시간4[[#This Row],[nxt_code]],"전일대비")</f>
        <v>1700</v>
      </c>
      <c r="K161">
        <f>_xll.IMDP("STK",표.실시간4[[#This Row],[nxt_code]],"등락률")</f>
        <v>0.88</v>
      </c>
      <c r="L161" s="4">
        <f>_xll.IMDP("STK",표.실시간4[[#This Row],[nxt_code]],"누적거래량")</f>
        <v>6159</v>
      </c>
      <c r="M161" s="4">
        <f>_xll.IMDP("STK",표.실시간4[[#This Row],[nxt_code]],"누적거래대금")</f>
        <v>1203932300</v>
      </c>
      <c r="N161" s="4">
        <f>_xll.IMDP("STK",표.실시간4[[#This Row],[nxt_code]],"가중평균가")</f>
        <v>195158.42113800001</v>
      </c>
      <c r="O161" s="4">
        <f>_xll.IMDP("STK",표.실시간4[[#This Row],[nxt_code]],"시가")</f>
        <v>193400</v>
      </c>
      <c r="P161" s="4">
        <f>_xll.IMDP("STK",표.실시간4[[#This Row],[nxt_code]],"고가")</f>
        <v>195900</v>
      </c>
      <c r="Q161" s="4">
        <f>_xll.IMDP("STK",표.실시간4[[#This Row],[nxt_code]],"저가")</f>
        <v>193400</v>
      </c>
      <c r="R161">
        <f>_xll.IMDP("STK",표.실시간4[[#This Row],[nxt_code]],"세션명")</f>
        <v>0</v>
      </c>
      <c r="S161">
        <f>_xll.IMDP("STK",표.실시간4[[#This Row],[nxt_code]],"체결시간")</f>
        <v>0</v>
      </c>
      <c r="T161" s="4">
        <f>_xll.IMDP("STK","088350","현재가")</f>
        <v>3255</v>
      </c>
      <c r="U161">
        <f>_xll.IMDP("STK","088350","누적거래량")</f>
        <v>90143</v>
      </c>
    </row>
    <row r="162" spans="3:21" x14ac:dyDescent="0.3">
      <c r="C162">
        <v>157</v>
      </c>
      <c r="D162">
        <v>3690</v>
      </c>
      <c r="E162" t="s">
        <v>208</v>
      </c>
      <c r="F162" t="str">
        <f>ConvertStockCode(표.실시간4[[#This Row],[코드]])</f>
        <v>N003690</v>
      </c>
      <c r="G162" s="4">
        <f>_xll.IMDP("STK",표.실시간4[[#This Row],[nxt_code]],"현재가")</f>
        <v>11080</v>
      </c>
      <c r="H162" s="4">
        <f>_xll.IMDP("STK",표.실시간4[[#This Row],[nxt_code]],"시가총액")/10^12</f>
        <v>2.1586170234800002</v>
      </c>
      <c r="I162" s="4">
        <f>표.실시간4[[#This Row],[시가총액 (조원)]]/표.실시간4[[#This Row],[현재가]]*(표.실시간4[[#This Row],[현재가]]-표.실시간4[[#This Row],[대비]])</f>
        <v>2.1586170234800002</v>
      </c>
      <c r="J162" s="5">
        <f>_xll.IMDP("STK",표.실시간4[[#This Row],[nxt_code]],"전일대비")</f>
        <v>0</v>
      </c>
      <c r="K162">
        <f>_xll.IMDP("STK",표.실시간4[[#This Row],[nxt_code]],"등락률")</f>
        <v>0</v>
      </c>
      <c r="L162" s="4">
        <f>_xll.IMDP("STK",표.실시간4[[#This Row],[nxt_code]],"누적거래량")</f>
        <v>1995</v>
      </c>
      <c r="M162" s="4">
        <f>_xll.IMDP("STK",표.실시간4[[#This Row],[nxt_code]],"누적거래대금")</f>
        <v>22072280</v>
      </c>
      <c r="N162" s="4">
        <f>_xll.IMDP("STK",표.실시간4[[#This Row],[nxt_code]],"가중평균가")</f>
        <v>11063.799499000001</v>
      </c>
      <c r="O162" s="4">
        <f>_xll.IMDP("STK",표.실시간4[[#This Row],[nxt_code]],"시가")</f>
        <v>11110</v>
      </c>
      <c r="P162" s="4">
        <f>_xll.IMDP("STK",표.실시간4[[#This Row],[nxt_code]],"고가")</f>
        <v>11120</v>
      </c>
      <c r="Q162" s="4">
        <f>_xll.IMDP("STK",표.실시간4[[#This Row],[nxt_code]],"저가")</f>
        <v>11040</v>
      </c>
      <c r="R162">
        <f>_xll.IMDP("STK",표.실시간4[[#This Row],[nxt_code]],"세션명")</f>
        <v>0</v>
      </c>
      <c r="S162">
        <f>_xll.IMDP("STK",표.실시간4[[#This Row],[nxt_code]],"체결시간")</f>
        <v>0</v>
      </c>
      <c r="T162" s="4">
        <f>_xll.IMDP("STK","263750","현재가")</f>
        <v>43550</v>
      </c>
      <c r="U162">
        <f>_xll.IMDP("STK","263750","누적거래량")</f>
        <v>5825</v>
      </c>
    </row>
    <row r="163" spans="3:21" x14ac:dyDescent="0.3">
      <c r="C163">
        <v>158</v>
      </c>
      <c r="D163">
        <v>23530</v>
      </c>
      <c r="E163" t="s">
        <v>212</v>
      </c>
      <c r="F163" t="str">
        <f>ConvertStockCode(표.실시간4[[#This Row],[코드]])</f>
        <v>N023530</v>
      </c>
      <c r="G163" s="4">
        <f>_xll.IMDP("STK",표.실시간4[[#This Row],[nxt_code]],"현재가")</f>
        <v>77300</v>
      </c>
      <c r="H163" s="4">
        <f>_xll.IMDP("STK",표.실시간4[[#This Row],[nxt_code]],"시가총액")/10^12</f>
        <v>2.1867207615000002</v>
      </c>
      <c r="I163" s="4">
        <f>표.실시간4[[#This Row],[시가총액 (조원)]]/표.실시간4[[#This Row],[현재가]]*(표.실시간4[[#This Row],[현재가]]-표.실시간4[[#This Row],[대비]])</f>
        <v>2.1810630105000004</v>
      </c>
      <c r="J163" s="5">
        <f>_xll.IMDP("STK",표.실시간4[[#This Row],[nxt_code]],"전일대비")</f>
        <v>200</v>
      </c>
      <c r="K163">
        <f>_xll.IMDP("STK",표.실시간4[[#This Row],[nxt_code]],"등락률")</f>
        <v>0.26</v>
      </c>
      <c r="L163" s="4">
        <f>_xll.IMDP("STK",표.실시간4[[#This Row],[nxt_code]],"누적거래량")</f>
        <v>2105</v>
      </c>
      <c r="M163" s="4">
        <f>_xll.IMDP("STK",표.실시간4[[#This Row],[nxt_code]],"누적거래대금")</f>
        <v>163264700</v>
      </c>
      <c r="N163" s="4">
        <f>_xll.IMDP("STK",표.실시간4[[#This Row],[nxt_code]],"가중평균가")</f>
        <v>77560.427553000001</v>
      </c>
      <c r="O163" s="4">
        <f>_xll.IMDP("STK",표.실시간4[[#This Row],[nxt_code]],"시가")</f>
        <v>77200</v>
      </c>
      <c r="P163" s="4">
        <f>_xll.IMDP("STK",표.실시간4[[#This Row],[nxt_code]],"고가")</f>
        <v>77900</v>
      </c>
      <c r="Q163" s="4">
        <f>_xll.IMDP("STK",표.실시간4[[#This Row],[nxt_code]],"저가")</f>
        <v>77100</v>
      </c>
      <c r="R163">
        <f>_xll.IMDP("STK",표.실시간4[[#This Row],[nxt_code]],"세션명")</f>
        <v>0</v>
      </c>
      <c r="S163">
        <f>_xll.IMDP("STK",표.실시간4[[#This Row],[nxt_code]],"체결시간")</f>
        <v>0</v>
      </c>
      <c r="T163" s="4">
        <f>_xll.IMDP("STK","001430","현재가")</f>
        <v>74300</v>
      </c>
      <c r="U163">
        <f>_xll.IMDP("STK","001430","누적거래량")</f>
        <v>8189</v>
      </c>
    </row>
    <row r="164" spans="3:21" x14ac:dyDescent="0.3">
      <c r="C164">
        <v>159</v>
      </c>
      <c r="D164">
        <v>97230</v>
      </c>
      <c r="E164" t="s">
        <v>207</v>
      </c>
      <c r="F164" t="str">
        <f>ConvertStockCode(표.실시간4[[#This Row],[코드]])</f>
        <v>N097230</v>
      </c>
      <c r="G164" s="4">
        <f>_xll.IMDP("STK",표.실시간4[[#This Row],[nxt_code]],"현재가")</f>
        <v>23850</v>
      </c>
      <c r="H164" s="4">
        <f>_xll.IMDP("STK",표.실시간4[[#This Row],[nxt_code]],"시가총액")/10^12</f>
        <v>2.1535439543999999</v>
      </c>
      <c r="I164" s="4">
        <f>표.실시간4[[#This Row],[시가총액 (조원)]]/표.실시간4[[#This Row],[현재가]]*(표.실시간4[[#This Row],[현재가]]-표.실시간4[[#This Row],[대비]])</f>
        <v>2.1445144199999997</v>
      </c>
      <c r="J164" s="5">
        <f>_xll.IMDP("STK",표.실시간4[[#This Row],[nxt_code]],"전일대비")</f>
        <v>100</v>
      </c>
      <c r="K164">
        <f>_xll.IMDP("STK",표.실시간4[[#This Row],[nxt_code]],"등락률")</f>
        <v>0.42</v>
      </c>
      <c r="L164" s="4">
        <f>_xll.IMDP("STK",표.실시간4[[#This Row],[nxt_code]],"누적거래량")</f>
        <v>94818</v>
      </c>
      <c r="M164" s="4">
        <f>_xll.IMDP("STK",표.실시간4[[#This Row],[nxt_code]],"누적거래대금")</f>
        <v>2258429900</v>
      </c>
      <c r="N164" s="4">
        <f>_xll.IMDP("STK",표.실시간4[[#This Row],[nxt_code]],"가중평균가")</f>
        <v>23818.577696</v>
      </c>
      <c r="O164" s="4">
        <f>_xll.IMDP("STK",표.실시간4[[#This Row],[nxt_code]],"시가")</f>
        <v>23950</v>
      </c>
      <c r="P164" s="4">
        <f>_xll.IMDP("STK",표.실시간4[[#This Row],[nxt_code]],"고가")</f>
        <v>24050</v>
      </c>
      <c r="Q164" s="4">
        <f>_xll.IMDP("STK",표.실시간4[[#This Row],[nxt_code]],"저가")</f>
        <v>23500</v>
      </c>
      <c r="R164">
        <f>_xll.IMDP("STK",표.실시간4[[#This Row],[nxt_code]],"세션명")</f>
        <v>0</v>
      </c>
      <c r="S164">
        <f>_xll.IMDP("STK",표.실시간4[[#This Row],[nxt_code]],"체결시간")</f>
        <v>0</v>
      </c>
      <c r="T164" s="4">
        <f>_xll.IMDP("STK","011210","현재가")</f>
        <v>88100</v>
      </c>
      <c r="U164">
        <f>_xll.IMDP("STK","011210","누적거래량")</f>
        <v>10222</v>
      </c>
    </row>
    <row r="165" spans="3:21" x14ac:dyDescent="0.3">
      <c r="C165">
        <v>160</v>
      </c>
      <c r="D165">
        <v>10060</v>
      </c>
      <c r="E165" t="s">
        <v>211</v>
      </c>
      <c r="F165" t="str">
        <f>ConvertStockCode(표.실시간4[[#This Row],[코드]])</f>
        <v>N010060</v>
      </c>
      <c r="G165" s="4">
        <f>_xll.IMDP("STK",표.실시간4[[#This Row],[nxt_code]],"현재가")</f>
        <v>122300</v>
      </c>
      <c r="H165" s="4">
        <f>_xll.IMDP("STK",표.실시간4[[#This Row],[nxt_code]],"시가총액")/10^12</f>
        <v>2.2833693735999998</v>
      </c>
      <c r="I165" s="4">
        <f>표.실시간4[[#This Row],[시가총액 (조원)]]/표.실시간4[[#This Row],[현재가]]*(표.실시간4[[#This Row],[현재가]]-표.실시간4[[#This Row],[대비]])</f>
        <v>2.1526777495999996</v>
      </c>
      <c r="J165" s="5">
        <f>_xll.IMDP("STK",표.실시간4[[#This Row],[nxt_code]],"전일대비")</f>
        <v>7000</v>
      </c>
      <c r="K165">
        <f>_xll.IMDP("STK",표.실시간4[[#This Row],[nxt_code]],"등락률")</f>
        <v>6.07</v>
      </c>
      <c r="L165" s="4">
        <f>_xll.IMDP("STK",표.실시간4[[#This Row],[nxt_code]],"누적거래량")</f>
        <v>22837</v>
      </c>
      <c r="M165" s="4">
        <f>_xll.IMDP("STK",표.실시간4[[#This Row],[nxt_code]],"누적거래대금")</f>
        <v>2711180400</v>
      </c>
      <c r="N165" s="4">
        <f>_xll.IMDP("STK",표.실시간4[[#This Row],[nxt_code]],"가중평균가")</f>
        <v>118718.76341</v>
      </c>
      <c r="O165" s="4">
        <f>_xll.IMDP("STK",표.실시간4[[#This Row],[nxt_code]],"시가")</f>
        <v>115500</v>
      </c>
      <c r="P165" s="4">
        <f>_xll.IMDP("STK",표.실시간4[[#This Row],[nxt_code]],"고가")</f>
        <v>122400</v>
      </c>
      <c r="Q165" s="4">
        <f>_xll.IMDP("STK",표.실시간4[[#This Row],[nxt_code]],"저가")</f>
        <v>115000</v>
      </c>
      <c r="R165">
        <f>_xll.IMDP("STK",표.실시간4[[#This Row],[nxt_code]],"세션명")</f>
        <v>0</v>
      </c>
      <c r="S165">
        <f>_xll.IMDP("STK",표.실시간4[[#This Row],[nxt_code]],"체결시간")</f>
        <v>0</v>
      </c>
      <c r="T165" s="4">
        <f>_xll.IMDP("STK","008930","현재가")</f>
        <v>39000</v>
      </c>
      <c r="U165">
        <f>_xll.IMDP("STK","008930","누적거래량")</f>
        <v>3757</v>
      </c>
    </row>
    <row r="166" spans="3:21" x14ac:dyDescent="0.3">
      <c r="C166">
        <v>161</v>
      </c>
      <c r="D166">
        <v>2790</v>
      </c>
      <c r="E166" t="s">
        <v>219</v>
      </c>
      <c r="F166" t="str">
        <f>ConvertStockCode(표.실시간4[[#This Row],[코드]])</f>
        <v>N002790</v>
      </c>
      <c r="G166" s="4">
        <f>_xll.IMDP("STK",표.실시간4[[#This Row],[nxt_code]],"현재가")</f>
        <v>26800</v>
      </c>
      <c r="H166" s="4">
        <f>_xll.IMDP("STK",표.실시간4[[#This Row],[nxt_code]],"시가총액")/10^12</f>
        <v>2.1294792239999998</v>
      </c>
      <c r="I166" s="4">
        <f>표.실시간4[[#This Row],[시가총액 (조원)]]/표.실시간4[[#This Row],[현재가]]*(표.실시간4[[#This Row],[현재가]]-표.실시간4[[#This Row],[대비]])</f>
        <v>2.1135875879999997</v>
      </c>
      <c r="J166" s="5">
        <f>_xll.IMDP("STK",표.실시간4[[#This Row],[nxt_code]],"전일대비")</f>
        <v>200</v>
      </c>
      <c r="K166">
        <f>_xll.IMDP("STK",표.실시간4[[#This Row],[nxt_code]],"등락률")</f>
        <v>0.75</v>
      </c>
      <c r="L166" s="4">
        <f>_xll.IMDP("STK",표.실시간4[[#This Row],[nxt_code]],"누적거래량")</f>
        <v>11915</v>
      </c>
      <c r="M166" s="4">
        <f>_xll.IMDP("STK",표.실시간4[[#This Row],[nxt_code]],"누적거래대금")</f>
        <v>319676000</v>
      </c>
      <c r="N166" s="4">
        <f>_xll.IMDP("STK",표.실시간4[[#This Row],[nxt_code]],"가중평균가")</f>
        <v>26829.710448999998</v>
      </c>
      <c r="O166" s="4">
        <f>_xll.IMDP("STK",표.실시간4[[#This Row],[nxt_code]],"시가")</f>
        <v>26650</v>
      </c>
      <c r="P166" s="4">
        <f>_xll.IMDP("STK",표.실시간4[[#This Row],[nxt_code]],"고가")</f>
        <v>26950</v>
      </c>
      <c r="Q166" s="4">
        <f>_xll.IMDP("STK",표.실시간4[[#This Row],[nxt_code]],"저가")</f>
        <v>26650</v>
      </c>
      <c r="R166">
        <f>_xll.IMDP("STK",표.실시간4[[#This Row],[nxt_code]],"세션명")</f>
        <v>0</v>
      </c>
      <c r="S166">
        <f>_xll.IMDP("STK",표.실시간4[[#This Row],[nxt_code]],"체결시간")</f>
        <v>0</v>
      </c>
      <c r="T166" s="4">
        <f>_xll.IMDP("STK","051600","현재가")</f>
        <v>57500</v>
      </c>
      <c r="U166">
        <f>_xll.IMDP("STK","051600","누적거래량")</f>
        <v>4331</v>
      </c>
    </row>
    <row r="167" spans="3:21" x14ac:dyDescent="0.3">
      <c r="C167">
        <v>162</v>
      </c>
      <c r="D167">
        <v>18670</v>
      </c>
      <c r="E167" t="s">
        <v>218</v>
      </c>
      <c r="F167" t="str">
        <f>ConvertStockCode(표.실시간4[[#This Row],[코드]])</f>
        <v>N018670</v>
      </c>
      <c r="G167" s="4">
        <f>_xll.IMDP("STK",표.실시간4[[#This Row],[nxt_code]],"현재가")</f>
        <v>229500</v>
      </c>
      <c r="H167" s="4">
        <f>_xll.IMDP("STK",표.실시간4[[#This Row],[nxt_code]],"시가총액")/10^12</f>
        <v>2.1217834980000001</v>
      </c>
      <c r="I167" s="4">
        <f>표.실시간4[[#This Row],[시가총액 (조원)]]/표.실시간4[[#This Row],[현재가]]*(표.실시간4[[#This Row],[현재가]]-표.실시간4[[#This Row],[대비]])</f>
        <v>2.1032930100000002</v>
      </c>
      <c r="J167" s="5">
        <f>_xll.IMDP("STK",표.실시간4[[#This Row],[nxt_code]],"전일대비")</f>
        <v>2000</v>
      </c>
      <c r="K167">
        <f>_xll.IMDP("STK",표.실시간4[[#This Row],[nxt_code]],"등락률")</f>
        <v>0.88</v>
      </c>
      <c r="L167" s="4">
        <f>_xll.IMDP("STK",표.실시간4[[#This Row],[nxt_code]],"누적거래량")</f>
        <v>911</v>
      </c>
      <c r="M167" s="4">
        <f>_xll.IMDP("STK",표.실시간4[[#This Row],[nxt_code]],"누적거래대금")</f>
        <v>209240000</v>
      </c>
      <c r="N167" s="4">
        <f>_xll.IMDP("STK",표.실시간4[[#This Row],[nxt_code]],"가중평균가")</f>
        <v>229681.668496</v>
      </c>
      <c r="O167" s="4">
        <f>_xll.IMDP("STK",표.실시간4[[#This Row],[nxt_code]],"시가")</f>
        <v>230500</v>
      </c>
      <c r="P167" s="4">
        <f>_xll.IMDP("STK",표.실시간4[[#This Row],[nxt_code]],"고가")</f>
        <v>230500</v>
      </c>
      <c r="Q167" s="4">
        <f>_xll.IMDP("STK",표.실시간4[[#This Row],[nxt_code]],"저가")</f>
        <v>229000</v>
      </c>
      <c r="R167">
        <f>_xll.IMDP("STK",표.실시간4[[#This Row],[nxt_code]],"세션명")</f>
        <v>0</v>
      </c>
      <c r="S167">
        <f>_xll.IMDP("STK",표.실시간4[[#This Row],[nxt_code]],"체결시간")</f>
        <v>0</v>
      </c>
      <c r="T167" s="4">
        <f>_xll.IMDP("STK","357780","현재가")</f>
        <v>323500</v>
      </c>
      <c r="U167">
        <f>_xll.IMDP("STK","357780","누적거래량")</f>
        <v>931</v>
      </c>
    </row>
    <row r="168" spans="3:21" x14ac:dyDescent="0.3">
      <c r="C168">
        <v>163</v>
      </c>
      <c r="D168">
        <v>361610</v>
      </c>
      <c r="E168" t="s">
        <v>223</v>
      </c>
      <c r="F168" t="str">
        <f>ConvertStockCode(표.실시간4[[#This Row],[코드]])</f>
        <v>N361610</v>
      </c>
      <c r="G168" s="4">
        <f>_xll.IMDP("STK",표.실시간4[[#This Row],[nxt_code]],"현재가")</f>
        <v>26500</v>
      </c>
      <c r="H168" s="4">
        <f>_xll.IMDP("STK",표.실시간4[[#This Row],[nxt_code]],"시가총액")/10^12</f>
        <v>2.1673581500000001</v>
      </c>
      <c r="I168" s="4">
        <f>표.실시간4[[#This Row],[시가총액 (조원)]]/표.실시간4[[#This Row],[현재가]]*(표.실시간4[[#This Row],[현재가]]-표.실시간4[[#This Row],[대비]])</f>
        <v>2.1755368600000002</v>
      </c>
      <c r="J168" s="5">
        <f>_xll.IMDP("STK",표.실시간4[[#This Row],[nxt_code]],"전일대비")</f>
        <v>-100</v>
      </c>
      <c r="K168">
        <f>_xll.IMDP("STK",표.실시간4[[#This Row],[nxt_code]],"등락률")</f>
        <v>-0.19</v>
      </c>
      <c r="L168" s="4">
        <f>_xll.IMDP("STK",표.실시간4[[#This Row],[nxt_code]],"누적거래량")</f>
        <v>68845</v>
      </c>
      <c r="M168" s="4">
        <f>_xll.IMDP("STK",표.실시간4[[#This Row],[nxt_code]],"누적거래대금")</f>
        <v>1851344800</v>
      </c>
      <c r="N168" s="4">
        <f>_xll.IMDP("STK",표.실시간4[[#This Row],[nxt_code]],"가중평균가")</f>
        <v>26891.492483000002</v>
      </c>
      <c r="O168" s="4">
        <f>_xll.IMDP("STK",표.실시간4[[#This Row],[nxt_code]],"시가")</f>
        <v>26800</v>
      </c>
      <c r="P168" s="4">
        <f>_xll.IMDP("STK",표.실시간4[[#This Row],[nxt_code]],"고가")</f>
        <v>27200</v>
      </c>
      <c r="Q168" s="4">
        <f>_xll.IMDP("STK",표.실시간4[[#This Row],[nxt_code]],"저가")</f>
        <v>26450</v>
      </c>
      <c r="R168">
        <f>_xll.IMDP("STK",표.실시간4[[#This Row],[nxt_code]],"세션명")</f>
        <v>0</v>
      </c>
      <c r="S168">
        <f>_xll.IMDP("STK",표.실시간4[[#This Row],[nxt_code]],"체결시간")</f>
        <v>0</v>
      </c>
      <c r="T168" s="4">
        <f>_xll.IMDP("STK","068760","현재가")</f>
        <v>61100</v>
      </c>
      <c r="U168">
        <f>_xll.IMDP("STK","068760","누적거래량")</f>
        <v>1424</v>
      </c>
    </row>
    <row r="169" spans="3:21" x14ac:dyDescent="0.3">
      <c r="C169">
        <v>164</v>
      </c>
      <c r="D169">
        <v>69960</v>
      </c>
      <c r="E169" t="s">
        <v>215</v>
      </c>
      <c r="F169" t="str">
        <f>ConvertStockCode(표.실시간4[[#This Row],[코드]])</f>
        <v>N069960</v>
      </c>
      <c r="G169" s="4">
        <f>_xll.IMDP("STK",표.실시간4[[#This Row],[nxt_code]],"현재가")</f>
        <v>91000</v>
      </c>
      <c r="H169" s="4">
        <f>_xll.IMDP("STK",표.실시간4[[#This Row],[nxt_code]],"시가총액")/10^12</f>
        <v>2.059221983</v>
      </c>
      <c r="I169" s="4">
        <f>표.실시간4[[#This Row],[시가총액 (조원)]]/표.실시간4[[#This Row],[현재가]]*(표.실시간4[[#This Row],[현재가]]-표.실시간4[[#This Row],[대비]])</f>
        <v>2.059221983</v>
      </c>
      <c r="J169" s="5">
        <f>_xll.IMDP("STK",표.실시간4[[#This Row],[nxt_code]],"전일대비")</f>
        <v>0</v>
      </c>
      <c r="K169">
        <f>_xll.IMDP("STK",표.실시간4[[#This Row],[nxt_code]],"등락률")</f>
        <v>0</v>
      </c>
      <c r="L169" s="4">
        <f>_xll.IMDP("STK",표.실시간4[[#This Row],[nxt_code]],"누적거래량")</f>
        <v>1297</v>
      </c>
      <c r="M169" s="4">
        <f>_xll.IMDP("STK",표.실시간4[[#This Row],[nxt_code]],"누적거래대금")</f>
        <v>118443900</v>
      </c>
      <c r="N169" s="4">
        <f>_xll.IMDP("STK",표.실시간4[[#This Row],[nxt_code]],"가중평균가")</f>
        <v>91321.434078999999</v>
      </c>
      <c r="O169" s="4">
        <f>_xll.IMDP("STK",표.실시간4[[#This Row],[nxt_code]],"시가")</f>
        <v>91100</v>
      </c>
      <c r="P169" s="4">
        <f>_xll.IMDP("STK",표.실시간4[[#This Row],[nxt_code]],"고가")</f>
        <v>91700</v>
      </c>
      <c r="Q169" s="4">
        <f>_xll.IMDP("STK",표.실시간4[[#This Row],[nxt_code]],"저가")</f>
        <v>91000</v>
      </c>
      <c r="R169">
        <f>_xll.IMDP("STK",표.실시간4[[#This Row],[nxt_code]],"세션명")</f>
        <v>0</v>
      </c>
      <c r="S169">
        <f>_xll.IMDP("STK",표.실시간4[[#This Row],[nxt_code]],"체결시간")</f>
        <v>0</v>
      </c>
      <c r="T169" s="4">
        <f>_xll.IMDP("STK","439260","현재가")</f>
        <v>70700</v>
      </c>
      <c r="U169">
        <f>_xll.IMDP("STK","439260","누적거래량")</f>
        <v>3598</v>
      </c>
    </row>
    <row r="170" spans="3:21" x14ac:dyDescent="0.3">
      <c r="C170">
        <v>165</v>
      </c>
      <c r="D170">
        <v>20150</v>
      </c>
      <c r="E170" t="s">
        <v>237</v>
      </c>
      <c r="F170" t="str">
        <f>ConvertStockCode(표.실시간4[[#This Row],[코드]])</f>
        <v>N020150</v>
      </c>
      <c r="G170" s="4">
        <f>_xll.IMDP("STK",표.실시간4[[#This Row],[nxt_code]],"현재가")</f>
        <v>41050</v>
      </c>
      <c r="H170" s="4">
        <f>_xll.IMDP("STK",표.실시간4[[#This Row],[nxt_code]],"시가총액")/10^12</f>
        <v>2.1496022561500001</v>
      </c>
      <c r="I170" s="4">
        <f>표.실시간4[[#This Row],[시가총액 (조원)]]/표.실시간4[[#This Row],[현재가]]*(표.실시간4[[#This Row],[현재가]]-표.실시간4[[#This Row],[대비]])</f>
        <v>2.2150590849</v>
      </c>
      <c r="J170" s="5">
        <f>_xll.IMDP("STK",표.실시간4[[#This Row],[nxt_code]],"전일대비")</f>
        <v>-1250</v>
      </c>
      <c r="K170">
        <f>_xll.IMDP("STK",표.실시간4[[#This Row],[nxt_code]],"등락률")</f>
        <v>-3.07</v>
      </c>
      <c r="L170" s="4">
        <f>_xll.IMDP("STK",표.실시간4[[#This Row],[nxt_code]],"누적거래량")</f>
        <v>660583</v>
      </c>
      <c r="M170" s="4">
        <f>_xll.IMDP("STK",표.실시간4[[#This Row],[nxt_code]],"누적거래대금")</f>
        <v>28024129100</v>
      </c>
      <c r="N170" s="4">
        <f>_xll.IMDP("STK",표.실시간4[[#This Row],[nxt_code]],"가중평균가")</f>
        <v>42420.373764999997</v>
      </c>
      <c r="O170" s="4">
        <f>_xll.IMDP("STK",표.실시간4[[#This Row],[nxt_code]],"시가")</f>
        <v>43950</v>
      </c>
      <c r="P170" s="4">
        <f>_xll.IMDP("STK",표.실시간4[[#This Row],[nxt_code]],"고가")</f>
        <v>46700</v>
      </c>
      <c r="Q170" s="4">
        <f>_xll.IMDP("STK",표.실시간4[[#This Row],[nxt_code]],"저가")</f>
        <v>41050</v>
      </c>
      <c r="R170">
        <f>_xll.IMDP("STK",표.실시간4[[#This Row],[nxt_code]],"세션명")</f>
        <v>0</v>
      </c>
      <c r="S170">
        <f>_xll.IMDP("STK",표.실시간4[[#This Row],[nxt_code]],"체결시간")</f>
        <v>0</v>
      </c>
      <c r="T170" s="4">
        <f>_xll.IMDP("STK","489790","현재가")</f>
        <v>55100</v>
      </c>
      <c r="U170">
        <f>_xll.IMDP("STK","489790","누적거래량")</f>
        <v>33728</v>
      </c>
    </row>
    <row r="171" spans="3:21" x14ac:dyDescent="0.3">
      <c r="C171">
        <v>166</v>
      </c>
      <c r="D171">
        <v>282330</v>
      </c>
      <c r="E171" t="s">
        <v>222</v>
      </c>
      <c r="F171" t="str">
        <f>ConvertStockCode(표.실시간4[[#This Row],[코드]])</f>
        <v>N282330</v>
      </c>
      <c r="G171" s="4">
        <f>_xll.IMDP("STK",표.실시간4[[#This Row],[nxt_code]],"현재가")</f>
        <v>120000</v>
      </c>
      <c r="H171" s="4">
        <f>_xll.IMDP("STK",표.실시간4[[#This Row],[nxt_code]],"시가총액")/10^12</f>
        <v>2.0740687200000001</v>
      </c>
      <c r="I171" s="4">
        <f>표.실시간4[[#This Row],[시가총액 (조원)]]/표.실시간4[[#This Row],[현재가]]*(표.실시간4[[#This Row],[현재가]]-표.실시간4[[#This Row],[대비]])</f>
        <v>2.0671551576000002</v>
      </c>
      <c r="J171" s="5">
        <f>_xll.IMDP("STK",표.실시간4[[#This Row],[nxt_code]],"전일대비")</f>
        <v>400</v>
      </c>
      <c r="K171">
        <f>_xll.IMDP("STK",표.실시간4[[#This Row],[nxt_code]],"등락률")</f>
        <v>0.33</v>
      </c>
      <c r="L171" s="4">
        <f>_xll.IMDP("STK",표.실시간4[[#This Row],[nxt_code]],"누적거래량")</f>
        <v>1091</v>
      </c>
      <c r="M171" s="4">
        <f>_xll.IMDP("STK",표.실시간4[[#This Row],[nxt_code]],"누적거래대금")</f>
        <v>131522100</v>
      </c>
      <c r="N171" s="4">
        <f>_xll.IMDP("STK",표.실시간4[[#This Row],[nxt_code]],"가중평균가")</f>
        <v>120551.87901</v>
      </c>
      <c r="O171" s="4">
        <f>_xll.IMDP("STK",표.실시간4[[#This Row],[nxt_code]],"시가")</f>
        <v>121000</v>
      </c>
      <c r="P171" s="4">
        <f>_xll.IMDP("STK",표.실시간4[[#This Row],[nxt_code]],"고가")</f>
        <v>121400</v>
      </c>
      <c r="Q171" s="4">
        <f>_xll.IMDP("STK",표.실시간4[[#This Row],[nxt_code]],"저가")</f>
        <v>120000</v>
      </c>
      <c r="R171">
        <f>_xll.IMDP("STK",표.실시간4[[#This Row],[nxt_code]],"세션명")</f>
        <v>0</v>
      </c>
      <c r="S171">
        <f>_xll.IMDP("STK",표.실시간4[[#This Row],[nxt_code]],"체결시간")</f>
        <v>0</v>
      </c>
      <c r="T171" s="4">
        <f>_xll.IMDP("STK","000240","현재가")</f>
        <v>26950</v>
      </c>
      <c r="U171">
        <f>_xll.IMDP("STK","000240","누적거래량")</f>
        <v>1702</v>
      </c>
    </row>
    <row r="172" spans="3:21" x14ac:dyDescent="0.3">
      <c r="C172">
        <v>167</v>
      </c>
      <c r="D172">
        <v>462870</v>
      </c>
      <c r="E172" t="s">
        <v>226</v>
      </c>
      <c r="F172" t="str">
        <f>ConvertStockCode(표.실시간4[[#This Row],[코드]])</f>
        <v>N462870</v>
      </c>
      <c r="G172" s="4">
        <f>_xll.IMDP("STK",표.실시간4[[#This Row],[nxt_code]],"현재가")</f>
        <v>34200</v>
      </c>
      <c r="H172" s="4">
        <f>_xll.IMDP("STK",표.실시간4[[#This Row],[nxt_code]],"시가총액")/10^12</f>
        <v>2.0164812479999998</v>
      </c>
      <c r="I172" s="4">
        <f>표.실시간4[[#This Row],[시가총액 (조원)]]/표.실시간4[[#This Row],[현재가]]*(표.실시간4[[#This Row],[현재가]]-표.실시간4[[#This Row],[대비]])</f>
        <v>2.0135331759999997</v>
      </c>
      <c r="J172" s="5">
        <f>_xll.IMDP("STK",표.실시간4[[#This Row],[nxt_code]],"전일대비")</f>
        <v>50</v>
      </c>
      <c r="K172">
        <f>_xll.IMDP("STK",표.실시간4[[#This Row],[nxt_code]],"등락률")</f>
        <v>0.15</v>
      </c>
      <c r="L172" s="4">
        <f>_xll.IMDP("STK",표.실시간4[[#This Row],[nxt_code]],"누적거래량")</f>
        <v>2729</v>
      </c>
      <c r="M172" s="4">
        <f>_xll.IMDP("STK",표.실시간4[[#This Row],[nxt_code]],"누적거래대금")</f>
        <v>93446350</v>
      </c>
      <c r="N172" s="4">
        <f>_xll.IMDP("STK",표.실시간4[[#This Row],[nxt_code]],"가중평균가")</f>
        <v>34241.975081999997</v>
      </c>
      <c r="O172" s="4">
        <f>_xll.IMDP("STK",표.실시간4[[#This Row],[nxt_code]],"시가")</f>
        <v>34250</v>
      </c>
      <c r="P172" s="4">
        <f>_xll.IMDP("STK",표.실시간4[[#This Row],[nxt_code]],"고가")</f>
        <v>34350</v>
      </c>
      <c r="Q172" s="4">
        <f>_xll.IMDP("STK",표.실시간4[[#This Row],[nxt_code]],"저가")</f>
        <v>34100</v>
      </c>
      <c r="R172">
        <f>_xll.IMDP("STK",표.실시간4[[#This Row],[nxt_code]],"세션명")</f>
        <v>0</v>
      </c>
      <c r="S172">
        <f>_xll.IMDP("STK",표.실시간4[[#This Row],[nxt_code]],"체결시간")</f>
        <v>0</v>
      </c>
      <c r="T172" s="4">
        <f>_xll.IMDP("STK","026960","현재가")</f>
        <v>26250</v>
      </c>
      <c r="U172">
        <f>_xll.IMDP("STK","026960","누적거래량")</f>
        <v>1452</v>
      </c>
    </row>
    <row r="173" spans="3:21" x14ac:dyDescent="0.3">
      <c r="C173">
        <v>168</v>
      </c>
      <c r="D173">
        <v>47040</v>
      </c>
      <c r="E173" t="s">
        <v>220</v>
      </c>
      <c r="F173" t="str">
        <f>ConvertStockCode(표.실시간4[[#This Row],[코드]])</f>
        <v>N047040</v>
      </c>
      <c r="G173" s="4">
        <f>_xll.IMDP("STK",표.실시간4[[#This Row],[nxt_code]],"현재가")</f>
        <v>5130</v>
      </c>
      <c r="H173" s="4">
        <f>_xll.IMDP("STK",표.실시간4[[#This Row],[nxt_code]],"시가총액")/10^12</f>
        <v>2.1321441329400002</v>
      </c>
      <c r="I173" s="4">
        <f>표.실시간4[[#This Row],[시가총액 (조원)]]/표.실시간4[[#This Row],[현재가]]*(표.실시간4[[#This Row],[현재가]]-표.실시간4[[#This Row],[대비]])</f>
        <v>2.0656445108600003</v>
      </c>
      <c r="J173" s="5">
        <f>_xll.IMDP("STK",표.실시간4[[#This Row],[nxt_code]],"전일대비")</f>
        <v>160</v>
      </c>
      <c r="K173">
        <f>_xll.IMDP("STK",표.실시간4[[#This Row],[nxt_code]],"등락률")</f>
        <v>3.22</v>
      </c>
      <c r="L173" s="4">
        <f>_xll.IMDP("STK",표.실시간4[[#This Row],[nxt_code]],"누적거래량")</f>
        <v>1236318</v>
      </c>
      <c r="M173" s="4">
        <f>_xll.IMDP("STK",표.실시간4[[#This Row],[nxt_code]],"누적거래대금")</f>
        <v>6281889530</v>
      </c>
      <c r="N173" s="4">
        <f>_xll.IMDP("STK",표.실시간4[[#This Row],[nxt_code]],"가중평균가")</f>
        <v>5081.127614</v>
      </c>
      <c r="O173" s="4">
        <f>_xll.IMDP("STK",표.실시간4[[#This Row],[nxt_code]],"시가")</f>
        <v>5000</v>
      </c>
      <c r="P173" s="4">
        <f>_xll.IMDP("STK",표.실시간4[[#This Row],[nxt_code]],"고가")</f>
        <v>5140</v>
      </c>
      <c r="Q173" s="4">
        <f>_xll.IMDP("STK",표.실시간4[[#This Row],[nxt_code]],"저가")</f>
        <v>4970</v>
      </c>
      <c r="R173">
        <f>_xll.IMDP("STK",표.실시간4[[#This Row],[nxt_code]],"세션명")</f>
        <v>0</v>
      </c>
      <c r="S173">
        <f>_xll.IMDP("STK",표.실시간4[[#This Row],[nxt_code]],"체결시간")</f>
        <v>0</v>
      </c>
      <c r="T173" s="4">
        <f>_xll.IMDP("STK","009970","현재가")</f>
        <v>196300</v>
      </c>
      <c r="U173">
        <f>_xll.IMDP("STK","009970","누적거래량")</f>
        <v>70</v>
      </c>
    </row>
    <row r="174" spans="3:21" x14ac:dyDescent="0.3">
      <c r="C174">
        <v>169</v>
      </c>
      <c r="D174">
        <v>267270</v>
      </c>
      <c r="E174" t="s">
        <v>225</v>
      </c>
      <c r="F174" t="str">
        <f>ConvertStockCode(표.실시간4[[#This Row],[코드]])</f>
        <v>N267270</v>
      </c>
      <c r="G174" s="4">
        <f>_xll.IMDP("STK",표.실시간4[[#This Row],[nxt_code]],"현재가")</f>
        <v>120000</v>
      </c>
      <c r="H174" s="4">
        <f>_xll.IMDP("STK",표.실시간4[[#This Row],[nxt_code]],"시가총액")/10^12</f>
        <v>2.0829135600000002</v>
      </c>
      <c r="I174" s="4">
        <f>표.실시간4[[#This Row],[시가총액 (조원)]]/표.실시간4[[#This Row],[현재가]]*(표.실시간4[[#This Row],[현재가]]-표.실시간4[[#This Row],[대비]])</f>
        <v>1.9891824497999999</v>
      </c>
      <c r="J174" s="5">
        <f>_xll.IMDP("STK",표.실시간4[[#This Row],[nxt_code]],"전일대비")</f>
        <v>5400</v>
      </c>
      <c r="K174">
        <f>_xll.IMDP("STK",표.실시간4[[#This Row],[nxt_code]],"등락률")</f>
        <v>4.62</v>
      </c>
      <c r="L174" s="4">
        <f>_xll.IMDP("STK",표.실시간4[[#This Row],[nxt_code]],"누적거래량")</f>
        <v>88729</v>
      </c>
      <c r="M174" s="4">
        <f>_xll.IMDP("STK",표.실시간4[[#This Row],[nxt_code]],"누적거래대금")</f>
        <v>10563368700</v>
      </c>
      <c r="N174" s="4">
        <f>_xll.IMDP("STK",표.실시간4[[#This Row],[nxt_code]],"가중평균가")</f>
        <v>119052.042737</v>
      </c>
      <c r="O174" s="4">
        <f>_xll.IMDP("STK",표.실시간4[[#This Row],[nxt_code]],"시가")</f>
        <v>116000</v>
      </c>
      <c r="P174" s="4">
        <f>_xll.IMDP("STK",표.실시간4[[#This Row],[nxt_code]],"고가")</f>
        <v>121100</v>
      </c>
      <c r="Q174" s="4">
        <f>_xll.IMDP("STK",표.실시간4[[#This Row],[nxt_code]],"저가")</f>
        <v>115600</v>
      </c>
      <c r="R174">
        <f>_xll.IMDP("STK",표.실시간4[[#This Row],[nxt_code]],"세션명")</f>
        <v>0</v>
      </c>
      <c r="S174">
        <f>_xll.IMDP("STK",표.실시간4[[#This Row],[nxt_code]],"체결시간")</f>
        <v>0</v>
      </c>
      <c r="T174" s="4">
        <f>_xll.IMDP("STK","004800","현재가")</f>
        <v>153000</v>
      </c>
      <c r="U174">
        <f>_xll.IMDP("STK","004800","누적거래량")</f>
        <v>539</v>
      </c>
    </row>
    <row r="175" spans="3:21" x14ac:dyDescent="0.3">
      <c r="C175">
        <v>170</v>
      </c>
      <c r="D175">
        <v>69620</v>
      </c>
      <c r="E175" t="s">
        <v>229</v>
      </c>
      <c r="F175" t="str">
        <f>ConvertStockCode(표.실시간4[[#This Row],[코드]])</f>
        <v>N069620</v>
      </c>
      <c r="G175" s="4">
        <f>_xll.IMDP("STK",표.실시간4[[#This Row],[nxt_code]],"현재가")</f>
        <v>164900</v>
      </c>
      <c r="H175" s="4">
        <f>_xll.IMDP("STK",표.실시간4[[#This Row],[nxt_code]],"시가총액")/10^12</f>
        <v>1.9106262174999999</v>
      </c>
      <c r="I175" s="4">
        <f>표.실시간4[[#This Row],[시가총액 (조원)]]/표.실시간4[[#This Row],[현재가]]*(표.실시간4[[#This Row],[현재가]]-표.실시간4[[#This Row],[대비]])</f>
        <v>1.907150245</v>
      </c>
      <c r="J175" s="5">
        <f>_xll.IMDP("STK",표.실시간4[[#This Row],[nxt_code]],"전일대비")</f>
        <v>300</v>
      </c>
      <c r="K175">
        <f>_xll.IMDP("STK",표.실시간4[[#This Row],[nxt_code]],"등락률")</f>
        <v>0.18</v>
      </c>
      <c r="L175" s="4">
        <f>_xll.IMDP("STK",표.실시간4[[#This Row],[nxt_code]],"누적거래량")</f>
        <v>580</v>
      </c>
      <c r="M175" s="4">
        <f>_xll.IMDP("STK",표.실시간4[[#This Row],[nxt_code]],"누적거래대금")</f>
        <v>95501200</v>
      </c>
      <c r="N175" s="4">
        <f>_xll.IMDP("STK",표.실시간4[[#This Row],[nxt_code]],"가중평균가")</f>
        <v>164657.24137900001</v>
      </c>
      <c r="O175" s="4">
        <f>_xll.IMDP("STK",표.실시간4[[#This Row],[nxt_code]],"시가")</f>
        <v>164600</v>
      </c>
      <c r="P175" s="4">
        <f>_xll.IMDP("STK",표.실시간4[[#This Row],[nxt_code]],"고가")</f>
        <v>165000</v>
      </c>
      <c r="Q175" s="4">
        <f>_xll.IMDP("STK",표.실시간4[[#This Row],[nxt_code]],"저가")</f>
        <v>164100</v>
      </c>
      <c r="R175">
        <f>_xll.IMDP("STK",표.실시간4[[#This Row],[nxt_code]],"세션명")</f>
        <v>0</v>
      </c>
      <c r="S175">
        <f>_xll.IMDP("STK",표.실시간4[[#This Row],[nxt_code]],"체결시간")</f>
        <v>0</v>
      </c>
      <c r="T175" s="4">
        <f>_xll.IMDP("STK","383220","현재가")</f>
        <v>66300</v>
      </c>
      <c r="U175">
        <f>_xll.IMDP("STK","383220","누적거래량")</f>
        <v>681</v>
      </c>
    </row>
    <row r="176" spans="3:21" x14ac:dyDescent="0.3">
      <c r="C176">
        <v>171</v>
      </c>
      <c r="D176">
        <v>32350</v>
      </c>
      <c r="E176" t="s">
        <v>235</v>
      </c>
      <c r="F176" t="str">
        <f>ConvertStockCode(표.실시간4[[#This Row],[코드]])</f>
        <v>N032350</v>
      </c>
      <c r="G176" s="4">
        <f>_xll.IMDP("STK",표.실시간4[[#This Row],[nxt_code]],"현재가")</f>
        <v>23600</v>
      </c>
      <c r="H176" s="4">
        <f>_xll.IMDP("STK",표.실시간4[[#This Row],[nxt_code]],"시가총액")/10^12</f>
        <v>1.8771318224</v>
      </c>
      <c r="I176" s="4">
        <f>표.실시간4[[#This Row],[시가총액 (조원)]]/표.실시간4[[#This Row],[현재가]]*(표.실시간4[[#This Row],[현재가]]-표.실시간4[[#This Row],[대비]])</f>
        <v>1.8890627450000002</v>
      </c>
      <c r="J176" s="5">
        <f>_xll.IMDP("STK",표.실시간4[[#This Row],[nxt_code]],"전일대비")</f>
        <v>-150</v>
      </c>
      <c r="K176">
        <f>_xll.IMDP("STK",표.실시간4[[#This Row],[nxt_code]],"등락률")</f>
        <v>-0.63</v>
      </c>
      <c r="L176" s="4">
        <f>_xll.IMDP("STK",표.실시간4[[#This Row],[nxt_code]],"누적거래량")</f>
        <v>33216</v>
      </c>
      <c r="M176" s="4">
        <f>_xll.IMDP("STK",표.실시간4[[#This Row],[nxt_code]],"누적거래대금")</f>
        <v>781970000</v>
      </c>
      <c r="N176" s="4">
        <f>_xll.IMDP("STK",표.실시간4[[#This Row],[nxt_code]],"가중평균가")</f>
        <v>23541.967725999999</v>
      </c>
      <c r="O176" s="4">
        <f>_xll.IMDP("STK",표.실시간4[[#This Row],[nxt_code]],"시가")</f>
        <v>23800</v>
      </c>
      <c r="P176" s="4">
        <f>_xll.IMDP("STK",표.실시간4[[#This Row],[nxt_code]],"고가")</f>
        <v>23800</v>
      </c>
      <c r="Q176" s="4">
        <f>_xll.IMDP("STK",표.실시간4[[#This Row],[nxt_code]],"저가")</f>
        <v>23350</v>
      </c>
      <c r="R176">
        <f>_xll.IMDP("STK",표.실시간4[[#This Row],[nxt_code]],"세션명")</f>
        <v>0</v>
      </c>
      <c r="S176">
        <f>_xll.IMDP("STK",표.실시간4[[#This Row],[nxt_code]],"체결시간")</f>
        <v>0</v>
      </c>
      <c r="T176" s="4">
        <f>_xll.IMDP("STK","353200","현재가")</f>
        <v>49700</v>
      </c>
      <c r="U176">
        <f>_xll.IMDP("STK","353200","누적거래량")</f>
        <v>17821</v>
      </c>
    </row>
    <row r="177" spans="3:21" x14ac:dyDescent="0.3">
      <c r="C177">
        <v>172</v>
      </c>
      <c r="D177">
        <v>483650</v>
      </c>
      <c r="E177" t="s">
        <v>245</v>
      </c>
      <c r="F177" t="str">
        <f>ConvertStockCode(표.실시간4[[#This Row],[코드]])</f>
        <v>N483650</v>
      </c>
      <c r="G177" s="4">
        <f>_xll.IMDP("STK",표.실시간4[[#This Row],[nxt_code]],"현재가")</f>
        <v>148000</v>
      </c>
      <c r="H177" s="4">
        <f>_xll.IMDP("STK",표.실시간4[[#This Row],[nxt_code]],"시가총액")/10^12</f>
        <v>1.8341144199999999</v>
      </c>
      <c r="I177" s="4">
        <f>표.실시간4[[#This Row],[시가총액 (조원)]]/표.실시간4[[#This Row],[현재가]]*(표.실시간4[[#This Row],[현재가]]-표.실시간4[[#This Row],[대비]])</f>
        <v>1.8328751535000001</v>
      </c>
      <c r="J177" s="5">
        <f>_xll.IMDP("STK",표.실시간4[[#This Row],[nxt_code]],"전일대비")</f>
        <v>100</v>
      </c>
      <c r="K177">
        <f>_xll.IMDP("STK",표.실시간4[[#This Row],[nxt_code]],"등락률")</f>
        <v>0.27</v>
      </c>
      <c r="L177" s="4">
        <f>_xll.IMDP("STK",표.실시간4[[#This Row],[nxt_code]],"누적거래량")</f>
        <v>12444</v>
      </c>
      <c r="M177" s="4">
        <f>_xll.IMDP("STK",표.실시간4[[#This Row],[nxt_code]],"누적거래대금")</f>
        <v>1854294900</v>
      </c>
      <c r="N177" s="4">
        <f>_xll.IMDP("STK",표.실시간4[[#This Row],[nxt_code]],"가중평균가")</f>
        <v>148855.655455</v>
      </c>
      <c r="O177" s="4">
        <f>_xll.IMDP("STK",표.실시간4[[#This Row],[nxt_code]],"시가")</f>
        <v>150000</v>
      </c>
      <c r="P177" s="4">
        <f>_xll.IMDP("STK",표.실시간4[[#This Row],[nxt_code]],"고가")</f>
        <v>150000</v>
      </c>
      <c r="Q177" s="4">
        <f>_xll.IMDP("STK",표.실시간4[[#This Row],[nxt_code]],"저가")</f>
        <v>147400</v>
      </c>
      <c r="R177">
        <f>_xll.IMDP("STK",표.실시간4[[#This Row],[nxt_code]],"세션명")</f>
        <v>0</v>
      </c>
      <c r="S177">
        <f>_xll.IMDP("STK",표.실시간4[[#This Row],[nxt_code]],"체결시간")</f>
        <v>0</v>
      </c>
      <c r="T177" s="4">
        <f>_xll.IMDP("STK","041510","현재가")</f>
        <v>107900</v>
      </c>
      <c r="U177">
        <f>_xll.IMDP("STK","041510","누적거래량")</f>
        <v>6515</v>
      </c>
    </row>
    <row r="178" spans="3:21" x14ac:dyDescent="0.3">
      <c r="C178">
        <v>173</v>
      </c>
      <c r="D178">
        <v>17960</v>
      </c>
      <c r="E178" t="s">
        <v>230</v>
      </c>
      <c r="F178" t="str">
        <f>ConvertStockCode(표.실시간4[[#This Row],[코드]])</f>
        <v>N017960</v>
      </c>
      <c r="G178" s="4">
        <f>_xll.IMDP("STK",표.실시간4[[#This Row],[nxt_code]],"현재가")</f>
        <v>35600</v>
      </c>
      <c r="H178" s="4">
        <f>_xll.IMDP("STK",표.실시간4[[#This Row],[nxt_code]],"시가총액")/10^12</f>
        <v>1.8479408911999999</v>
      </c>
      <c r="I178" s="4">
        <f>표.실시간4[[#This Row],[시가총액 (조원)]]/표.실시간4[[#This Row],[현재가]]*(표.실시간4[[#This Row],[현재가]]-표.실시간4[[#This Row],[대비]])</f>
        <v>1.8090095522</v>
      </c>
      <c r="J178" s="5">
        <f>_xll.IMDP("STK",표.실시간4[[#This Row],[nxt_code]],"전일대비")</f>
        <v>750</v>
      </c>
      <c r="K178">
        <f>_xll.IMDP("STK",표.실시간4[[#This Row],[nxt_code]],"등락률")</f>
        <v>2.15</v>
      </c>
      <c r="L178" s="4">
        <f>_xll.IMDP("STK",표.실시간4[[#This Row],[nxt_code]],"누적거래량")</f>
        <v>19916</v>
      </c>
      <c r="M178" s="4">
        <f>_xll.IMDP("STK",표.실시간4[[#This Row],[nxt_code]],"누적거래대금")</f>
        <v>702694950</v>
      </c>
      <c r="N178" s="4">
        <f>_xll.IMDP("STK",표.실시간4[[#This Row],[nxt_code]],"가중평균가")</f>
        <v>35282.935830000002</v>
      </c>
      <c r="O178" s="4">
        <f>_xll.IMDP("STK",표.실시간4[[#This Row],[nxt_code]],"시가")</f>
        <v>35100</v>
      </c>
      <c r="P178" s="4">
        <f>_xll.IMDP("STK",표.실시간4[[#This Row],[nxt_code]],"고가")</f>
        <v>35700</v>
      </c>
      <c r="Q178" s="4">
        <f>_xll.IMDP("STK",표.실시간4[[#This Row],[nxt_code]],"저가")</f>
        <v>35000</v>
      </c>
      <c r="R178">
        <f>_xll.IMDP("STK",표.실시간4[[#This Row],[nxt_code]],"세션명")</f>
        <v>0</v>
      </c>
      <c r="S178">
        <f>_xll.IMDP("STK",표.실시간4[[#This Row],[nxt_code]],"체결시간")</f>
        <v>0</v>
      </c>
      <c r="T178" s="4">
        <f>_xll.IMDP("STK","058610","현재가")</f>
        <v>104400</v>
      </c>
      <c r="U178">
        <f>_xll.IMDP("STK","058610","누적거래량")</f>
        <v>16662</v>
      </c>
    </row>
    <row r="179" spans="3:21" x14ac:dyDescent="0.3">
      <c r="C179">
        <v>174</v>
      </c>
      <c r="D179">
        <v>8770</v>
      </c>
      <c r="E179" t="s">
        <v>238</v>
      </c>
      <c r="F179" t="str">
        <f>ConvertStockCode(표.실시간4[[#This Row],[코드]])</f>
        <v>N008770</v>
      </c>
      <c r="G179" s="4">
        <f>_xll.IMDP("STK",표.실시간4[[#This Row],[nxt_code]],"현재가")</f>
        <v>45400</v>
      </c>
      <c r="H179" s="4">
        <f>_xll.IMDP("STK",표.실시간4[[#This Row],[nxt_code]],"시가총액")/10^12</f>
        <v>1.7818646934</v>
      </c>
      <c r="I179" s="4">
        <f>표.실시간4[[#This Row],[시가총액 (조원)]]/표.실시간4[[#This Row],[현재가]]*(표.실시간4[[#This Row],[현재가]]-표.실시간4[[#This Row],[대비]])</f>
        <v>1.7897143175999999</v>
      </c>
      <c r="J179" s="5">
        <f>_xll.IMDP("STK",표.실시간4[[#This Row],[nxt_code]],"전일대비")</f>
        <v>-200</v>
      </c>
      <c r="K179">
        <f>_xll.IMDP("STK",표.실시간4[[#This Row],[nxt_code]],"등락률")</f>
        <v>-0.44</v>
      </c>
      <c r="L179" s="4">
        <f>_xll.IMDP("STK",표.실시간4[[#This Row],[nxt_code]],"누적거래량")</f>
        <v>8220</v>
      </c>
      <c r="M179" s="4">
        <f>_xll.IMDP("STK",표.실시간4[[#This Row],[nxt_code]],"누적거래대금")</f>
        <v>374384500</v>
      </c>
      <c r="N179" s="4">
        <f>_xll.IMDP("STK",표.실시간4[[#This Row],[nxt_code]],"가중평균가")</f>
        <v>45545.559610999997</v>
      </c>
      <c r="O179" s="4">
        <f>_xll.IMDP("STK",표.실시간4[[#This Row],[nxt_code]],"시가")</f>
        <v>45750</v>
      </c>
      <c r="P179" s="4">
        <f>_xll.IMDP("STK",표.실시간4[[#This Row],[nxt_code]],"고가")</f>
        <v>45750</v>
      </c>
      <c r="Q179" s="4">
        <f>_xll.IMDP("STK",표.실시간4[[#This Row],[nxt_code]],"저가")</f>
        <v>45400</v>
      </c>
      <c r="R179">
        <f>_xll.IMDP("STK",표.실시간4[[#This Row],[nxt_code]],"세션명")</f>
        <v>0</v>
      </c>
      <c r="S179">
        <f>_xll.IMDP("STK",표.실시간4[[#This Row],[nxt_code]],"체결시간")</f>
        <v>0</v>
      </c>
      <c r="T179" s="4">
        <f>_xll.IMDP("STK","004370","현재가")</f>
        <v>409000</v>
      </c>
      <c r="U179">
        <f>_xll.IMDP("STK","004370","누적거래량")</f>
        <v>578</v>
      </c>
    </row>
    <row r="180" spans="3:21" x14ac:dyDescent="0.3">
      <c r="C180">
        <v>175</v>
      </c>
      <c r="D180">
        <v>73240</v>
      </c>
      <c r="E180" t="s">
        <v>236</v>
      </c>
      <c r="F180" t="str">
        <f>ConvertStockCode(표.실시간4[[#This Row],[코드]])</f>
        <v>N073240</v>
      </c>
      <c r="G180" s="4">
        <f>_xll.IMDP("STK",표.실시간4[[#This Row],[nxt_code]],"현재가")</f>
        <v>6260</v>
      </c>
      <c r="H180" s="4">
        <f>_xll.IMDP("STK",표.실시간4[[#This Row],[nxt_code]],"시가총액")/10^12</f>
        <v>1.7982493966199999</v>
      </c>
      <c r="I180" s="4">
        <f>표.실시간4[[#This Row],[시가총액 (조원)]]/표.실시간4[[#This Row],[현재가]]*(표.실시간4[[#This Row],[현재가]]-표.실시간4[[#This Row],[대비]])</f>
        <v>1.7982493966199999</v>
      </c>
      <c r="J180" s="5">
        <f>_xll.IMDP("STK",표.실시간4[[#This Row],[nxt_code]],"전일대비")</f>
        <v>0</v>
      </c>
      <c r="K180">
        <f>_xll.IMDP("STK",표.실시간4[[#This Row],[nxt_code]],"등락률")</f>
        <v>0</v>
      </c>
      <c r="L180" s="4">
        <f>_xll.IMDP("STK",표.실시간4[[#This Row],[nxt_code]],"누적거래량")</f>
        <v>16832</v>
      </c>
      <c r="M180" s="4">
        <f>_xll.IMDP("STK",표.실시간4[[#This Row],[nxt_code]],"누적거래대금")</f>
        <v>105677970</v>
      </c>
      <c r="N180" s="4">
        <f>_xll.IMDP("STK",표.실시간4[[#This Row],[nxt_code]],"가중평균가")</f>
        <v>6278.3965070000004</v>
      </c>
      <c r="O180" s="4">
        <f>_xll.IMDP("STK",표.실시간4[[#This Row],[nxt_code]],"시가")</f>
        <v>6280</v>
      </c>
      <c r="P180" s="4">
        <f>_xll.IMDP("STK",표.실시간4[[#This Row],[nxt_code]],"고가")</f>
        <v>6320</v>
      </c>
      <c r="Q180" s="4">
        <f>_xll.IMDP("STK",표.실시간4[[#This Row],[nxt_code]],"저가")</f>
        <v>6250</v>
      </c>
      <c r="R180">
        <f>_xll.IMDP("STK",표.실시간4[[#This Row],[nxt_code]],"세션명")</f>
        <v>0</v>
      </c>
      <c r="S180">
        <f>_xll.IMDP("STK",표.실시간4[[#This Row],[nxt_code]],"체결시간")</f>
        <v>0</v>
      </c>
      <c r="T180" s="4">
        <f>_xll.IMDP("STK","001450","현재가")</f>
        <v>27750</v>
      </c>
      <c r="U180">
        <f>_xll.IMDP("STK","001450","누적거래량")</f>
        <v>14331</v>
      </c>
    </row>
    <row r="181" spans="3:21" x14ac:dyDescent="0.3">
      <c r="C181">
        <v>176</v>
      </c>
      <c r="D181">
        <v>6040</v>
      </c>
      <c r="E181" t="s">
        <v>239</v>
      </c>
      <c r="F181" t="str">
        <f>ConvertStockCode(표.실시간4[[#This Row],[코드]])</f>
        <v>N006040</v>
      </c>
      <c r="G181" s="4">
        <f>_xll.IMDP("STK",표.실시간4[[#This Row],[nxt_code]],"현재가")</f>
        <v>41100</v>
      </c>
      <c r="H181" s="4">
        <f>_xll.IMDP("STK",표.실시간4[[#This Row],[nxt_code]],"시가총액")/10^12</f>
        <v>1.8144822246000001</v>
      </c>
      <c r="I181" s="4">
        <f>표.실시간4[[#This Row],[시가총액 (조원)]]/표.실시간4[[#This Row],[현재가]]*(표.실시간4[[#This Row],[현재가]]-표.실시간4[[#This Row],[대비]])</f>
        <v>1.8012378287999999</v>
      </c>
      <c r="J181" s="5">
        <f>_xll.IMDP("STK",표.실시간4[[#This Row],[nxt_code]],"전일대비")</f>
        <v>300</v>
      </c>
      <c r="K181">
        <f>_xll.IMDP("STK",표.실시간4[[#This Row],[nxt_code]],"등락률")</f>
        <v>0.74</v>
      </c>
      <c r="L181" s="4">
        <f>_xll.IMDP("STK",표.실시간4[[#This Row],[nxt_code]],"누적거래량")</f>
        <v>1391</v>
      </c>
      <c r="M181" s="4">
        <f>_xll.IMDP("STK",표.실시간4[[#This Row],[nxt_code]],"누적거래대금")</f>
        <v>57084600</v>
      </c>
      <c r="N181" s="4">
        <f>_xll.IMDP("STK",표.실시간4[[#This Row],[nxt_code]],"가중평균가")</f>
        <v>41038.533429000003</v>
      </c>
      <c r="O181" s="4">
        <f>_xll.IMDP("STK",표.실시간4[[#This Row],[nxt_code]],"시가")</f>
        <v>41000</v>
      </c>
      <c r="P181" s="4">
        <f>_xll.IMDP("STK",표.실시간4[[#This Row],[nxt_code]],"고가")</f>
        <v>41150</v>
      </c>
      <c r="Q181" s="4">
        <f>_xll.IMDP("STK",표.실시간4[[#This Row],[nxt_code]],"저가")</f>
        <v>40850</v>
      </c>
      <c r="R181">
        <f>_xll.IMDP("STK",표.실시간4[[#This Row],[nxt_code]],"세션명")</f>
        <v>0</v>
      </c>
      <c r="S181">
        <f>_xll.IMDP("STK",표.실시간4[[#This Row],[nxt_code]],"체결시간")</f>
        <v>0</v>
      </c>
      <c r="T181" s="4">
        <f>_xll.IMDP("STK","001720","현재가")</f>
        <v>157300</v>
      </c>
      <c r="U181">
        <f>_xll.IMDP("STK","001720","누적거래량")</f>
        <v>1435</v>
      </c>
    </row>
    <row r="182" spans="3:21" x14ac:dyDescent="0.3">
      <c r="C182">
        <v>177</v>
      </c>
      <c r="D182">
        <v>23590</v>
      </c>
      <c r="E182" t="s">
        <v>234</v>
      </c>
      <c r="F182" t="str">
        <f>ConvertStockCode(표.실시간4[[#This Row],[코드]])</f>
        <v>N023590</v>
      </c>
      <c r="G182" s="4">
        <f>_xll.IMDP("STK",표.실시간4[[#This Row],[nxt_code]],"현재가")</f>
        <v>40200</v>
      </c>
      <c r="H182" s="4">
        <f>_xll.IMDP("STK",표.실시간4[[#This Row],[nxt_code]],"시가총액")/10^12</f>
        <v>1.8036380033999999</v>
      </c>
      <c r="I182" s="4">
        <f>표.실시간4[[#This Row],[시가총액 (조원)]]/표.실시간4[[#This Row],[현재가]]*(표.실시간4[[#This Row],[현재가]]-표.실시간4[[#This Row],[대비]])</f>
        <v>1.7879346874499997</v>
      </c>
      <c r="J182" s="5">
        <f>_xll.IMDP("STK",표.실시간4[[#This Row],[nxt_code]],"전일대비")</f>
        <v>350</v>
      </c>
      <c r="K182">
        <f>_xll.IMDP("STK",표.실시간4[[#This Row],[nxt_code]],"등락률")</f>
        <v>0.88</v>
      </c>
      <c r="L182" s="4">
        <f>_xll.IMDP("STK",표.실시간4[[#This Row],[nxt_code]],"누적거래량")</f>
        <v>1851</v>
      </c>
      <c r="M182" s="4">
        <f>_xll.IMDP("STK",표.실시간4[[#This Row],[nxt_code]],"누적거래대금")</f>
        <v>74159450</v>
      </c>
      <c r="N182" s="4">
        <f>_xll.IMDP("STK",표.실시간4[[#This Row],[nxt_code]],"가중평균가")</f>
        <v>40064.532684999998</v>
      </c>
      <c r="O182" s="4">
        <f>_xll.IMDP("STK",표.실시간4[[#This Row],[nxt_code]],"시가")</f>
        <v>39850</v>
      </c>
      <c r="P182" s="4">
        <f>_xll.IMDP("STK",표.실시간4[[#This Row],[nxt_code]],"고가")</f>
        <v>40600</v>
      </c>
      <c r="Q182" s="4">
        <f>_xll.IMDP("STK",표.실시간4[[#This Row],[nxt_code]],"저가")</f>
        <v>39850</v>
      </c>
      <c r="R182">
        <f>_xll.IMDP("STK",표.실시간4[[#This Row],[nxt_code]],"세션명")</f>
        <v>0</v>
      </c>
      <c r="S182">
        <f>_xll.IMDP("STK",표.실시간4[[#This Row],[nxt_code]],"체결시간")</f>
        <v>0</v>
      </c>
      <c r="T182" s="4">
        <f>_xll.IMDP("STK","237690","현재가")</f>
        <v>120100</v>
      </c>
      <c r="U182">
        <f>_xll.IMDP("STK","237690","누적거래량")</f>
        <v>735</v>
      </c>
    </row>
    <row r="183" spans="3:21" x14ac:dyDescent="0.3">
      <c r="C183">
        <v>178</v>
      </c>
      <c r="D183">
        <v>7070</v>
      </c>
      <c r="E183" t="s">
        <v>244</v>
      </c>
      <c r="F183" t="str">
        <f>ConvertStockCode(표.실시간4[[#This Row],[코드]])</f>
        <v>N007070</v>
      </c>
      <c r="G183" s="4">
        <f>_xll.IMDP("STK",표.실시간4[[#This Row],[nxt_code]],"현재가")</f>
        <v>21200</v>
      </c>
      <c r="H183" s="4">
        <f>_xll.IMDP("STK",표.실시간4[[#This Row],[nxt_code]],"시가총액")/10^12</f>
        <v>1.772477198</v>
      </c>
      <c r="I183" s="4">
        <f>표.실시간4[[#This Row],[시가총액 (조원)]]/표.실시간4[[#This Row],[현재가]]*(표.실시간4[[#This Row],[현재가]]-표.실시간4[[#This Row],[대비]])</f>
        <v>1.7682968272499999</v>
      </c>
      <c r="J183" s="5">
        <f>_xll.IMDP("STK",표.실시간4[[#This Row],[nxt_code]],"전일대비")</f>
        <v>50</v>
      </c>
      <c r="K183">
        <f>_xll.IMDP("STK",표.실시간4[[#This Row],[nxt_code]],"등락률")</f>
        <v>0.24</v>
      </c>
      <c r="L183" s="4">
        <f>_xll.IMDP("STK",표.실시간4[[#This Row],[nxt_code]],"누적거래량")</f>
        <v>9705</v>
      </c>
      <c r="M183" s="4">
        <f>_xll.IMDP("STK",표.실시간4[[#This Row],[nxt_code]],"누적거래대금")</f>
        <v>207619200</v>
      </c>
      <c r="N183" s="4">
        <f>_xll.IMDP("STK",표.실시간4[[#This Row],[nxt_code]],"가중평균가")</f>
        <v>21393.013910000001</v>
      </c>
      <c r="O183" s="4">
        <f>_xll.IMDP("STK",표.실시간4[[#This Row],[nxt_code]],"시가")</f>
        <v>21400</v>
      </c>
      <c r="P183" s="4">
        <f>_xll.IMDP("STK",표.실시간4[[#This Row],[nxt_code]],"고가")</f>
        <v>21450</v>
      </c>
      <c r="Q183" s="4">
        <f>_xll.IMDP("STK",표.실시간4[[#This Row],[nxt_code]],"저가")</f>
        <v>21200</v>
      </c>
      <c r="R183">
        <f>_xll.IMDP("STK",표.실시간4[[#This Row],[nxt_code]],"세션명")</f>
        <v>0</v>
      </c>
      <c r="S183">
        <f>_xll.IMDP("STK",표.실시간4[[#This Row],[nxt_code]],"체결시간")</f>
        <v>0</v>
      </c>
      <c r="T183" s="4">
        <f>_xll.IMDP("STK","336260","현재가")</f>
        <v>37100</v>
      </c>
      <c r="U183">
        <f>_xll.IMDP("STK","336260","누적거래량")</f>
        <v>28951</v>
      </c>
    </row>
    <row r="184" spans="3:21" x14ac:dyDescent="0.3">
      <c r="C184">
        <v>179</v>
      </c>
      <c r="D184">
        <v>6280</v>
      </c>
      <c r="E184" t="s">
        <v>241</v>
      </c>
      <c r="F184" t="str">
        <f>ConvertStockCode(표.실시간4[[#This Row],[코드]])</f>
        <v>N006280</v>
      </c>
      <c r="G184" s="4">
        <f>_xll.IMDP("STK",표.실시간4[[#This Row],[nxt_code]],"현재가")</f>
        <v>153800</v>
      </c>
      <c r="H184" s="4">
        <f>_xll.IMDP("STK",표.실시간4[[#This Row],[nxt_code]],"시가총액")/10^12</f>
        <v>1.7973895444000001</v>
      </c>
      <c r="I184" s="4">
        <f>표.실시간4[[#This Row],[시가총액 (조원)]]/표.실시간4[[#This Row],[현재가]]*(표.실시간4[[#This Row],[현재가]]-표.실시간4[[#This Row],[대비]])</f>
        <v>1.7880403140000003</v>
      </c>
      <c r="J184" s="5">
        <f>_xll.IMDP("STK",표.실시간4[[#This Row],[nxt_code]],"전일대비")</f>
        <v>800</v>
      </c>
      <c r="K184">
        <f>_xll.IMDP("STK",표.실시간4[[#This Row],[nxt_code]],"등락률")</f>
        <v>0.72</v>
      </c>
      <c r="L184" s="4">
        <f>_xll.IMDP("STK",표.실시간4[[#This Row],[nxt_code]],"누적거래량")</f>
        <v>2694</v>
      </c>
      <c r="M184" s="4">
        <f>_xll.IMDP("STK",표.실시간4[[#This Row],[nxt_code]],"누적거래대금")</f>
        <v>412086200</v>
      </c>
      <c r="N184" s="4">
        <f>_xll.IMDP("STK",표.실시간4[[#This Row],[nxt_code]],"가중평균가")</f>
        <v>152964.439495</v>
      </c>
      <c r="O184" s="4">
        <f>_xll.IMDP("STK",표.실시간4[[#This Row],[nxt_code]],"시가")</f>
        <v>152700</v>
      </c>
      <c r="P184" s="4">
        <f>_xll.IMDP("STK",표.실시간4[[#This Row],[nxt_code]],"고가")</f>
        <v>153800</v>
      </c>
      <c r="Q184" s="4">
        <f>_xll.IMDP("STK",표.실시간4[[#This Row],[nxt_code]],"저가")</f>
        <v>152000</v>
      </c>
      <c r="R184">
        <f>_xll.IMDP("STK",표.실시간4[[#This Row],[nxt_code]],"세션명")</f>
        <v>0</v>
      </c>
      <c r="S184">
        <f>_xll.IMDP("STK",표.실시간4[[#This Row],[nxt_code]],"체결시간")</f>
        <v>0</v>
      </c>
      <c r="T184" s="4">
        <f>_xll.IMDP("STK","030000","현재가")</f>
        <v>20900</v>
      </c>
      <c r="U184">
        <f>_xll.IMDP("STK","030000","누적거래량")</f>
        <v>3385</v>
      </c>
    </row>
    <row r="185" spans="3:21" x14ac:dyDescent="0.3">
      <c r="C185">
        <v>180</v>
      </c>
      <c r="D185">
        <v>112610</v>
      </c>
      <c r="E185" t="s">
        <v>249</v>
      </c>
      <c r="F185" t="str">
        <f>ConvertStockCode(표.실시간4[[#This Row],[코드]])</f>
        <v>N112610</v>
      </c>
      <c r="G185" s="4">
        <f>_xll.IMDP("STK",표.실시간4[[#This Row],[nxt_code]],"현재가")</f>
        <v>40850</v>
      </c>
      <c r="H185" s="4">
        <f>_xll.IMDP("STK",표.실시간4[[#This Row],[nxt_code]],"시가총액")/10^12</f>
        <v>1.7205932423999999</v>
      </c>
      <c r="I185" s="4">
        <f>표.실시간4[[#This Row],[시가총액 (조원)]]/표.실시간4[[#This Row],[현재가]]*(표.실시간4[[#This Row],[현재가]]-표.실시간4[[#This Row],[대비]])</f>
        <v>1.6932153817498163</v>
      </c>
      <c r="J185" s="5">
        <f>_xll.IMDP("STK",표.실시간4[[#This Row],[nxt_code]],"전일대비")</f>
        <v>650</v>
      </c>
      <c r="K185">
        <f>_xll.IMDP("STK",표.실시간4[[#This Row],[nxt_code]],"등락률")</f>
        <v>1.62</v>
      </c>
      <c r="L185" s="4">
        <f>_xll.IMDP("STK",표.실시간4[[#This Row],[nxt_code]],"누적거래량")</f>
        <v>24100</v>
      </c>
      <c r="M185" s="4">
        <f>_xll.IMDP("STK",표.실시간4[[#This Row],[nxt_code]],"누적거래대금")</f>
        <v>973475400</v>
      </c>
      <c r="N185" s="4">
        <f>_xll.IMDP("STK",표.실시간4[[#This Row],[nxt_code]],"가중평균가")</f>
        <v>40393.170123999997</v>
      </c>
      <c r="O185" s="4">
        <f>_xll.IMDP("STK",표.실시간4[[#This Row],[nxt_code]],"시가")</f>
        <v>40400</v>
      </c>
      <c r="P185" s="4">
        <f>_xll.IMDP("STK",표.실시간4[[#This Row],[nxt_code]],"고가")</f>
        <v>40850</v>
      </c>
      <c r="Q185" s="4">
        <f>_xll.IMDP("STK",표.실시간4[[#This Row],[nxt_code]],"저가")</f>
        <v>40100</v>
      </c>
      <c r="R185">
        <f>_xll.IMDP("STK",표.실시간4[[#This Row],[nxt_code]],"세션명")</f>
        <v>0</v>
      </c>
      <c r="S185">
        <f>_xll.IMDP("STK",표.실시간4[[#This Row],[nxt_code]],"체결시간")</f>
        <v>0</v>
      </c>
      <c r="T185" s="4">
        <f>_xll.IMDP("STK","035900","현재가")</f>
        <v>68500</v>
      </c>
      <c r="U185">
        <f>_xll.IMDP("STK","035900","누적거래량")</f>
        <v>15161</v>
      </c>
    </row>
    <row r="186" spans="3:21" x14ac:dyDescent="0.3">
      <c r="C186">
        <v>181</v>
      </c>
      <c r="D186">
        <v>3570</v>
      </c>
      <c r="E186" t="s">
        <v>246</v>
      </c>
      <c r="F186" t="str">
        <f>ConvertStockCode(표.실시간4[[#This Row],[코드]])</f>
        <v>N003570</v>
      </c>
      <c r="G186" s="4">
        <f>_xll.IMDP("STK",표.실시간4[[#This Row],[nxt_code]],"현재가")</f>
        <v>50200</v>
      </c>
      <c r="H186" s="4">
        <f>_xll.IMDP("STK",표.실시간4[[#This Row],[nxt_code]],"시가총액")/10^12</f>
        <v>1.6692853893999999</v>
      </c>
      <c r="I186" s="4">
        <f>표.실시간4[[#This Row],[시가총액 (조원)]]/표.실시간4[[#This Row],[현재가]]*(표.실시간4[[#This Row],[현재가]]-표.실시간4[[#This Row],[대비]])</f>
        <v>1.65764694545</v>
      </c>
      <c r="J186" s="5">
        <f>_xll.IMDP("STK",표.실시간4[[#This Row],[nxt_code]],"전일대비")</f>
        <v>350</v>
      </c>
      <c r="K186">
        <f>_xll.IMDP("STK",표.실시간4[[#This Row],[nxt_code]],"등락률")</f>
        <v>0.7</v>
      </c>
      <c r="L186" s="4">
        <f>_xll.IMDP("STK",표.실시간4[[#This Row],[nxt_code]],"누적거래량")</f>
        <v>3793</v>
      </c>
      <c r="M186" s="4">
        <f>_xll.IMDP("STK",표.실시간4[[#This Row],[nxt_code]],"누적거래대금")</f>
        <v>190171850</v>
      </c>
      <c r="N186" s="4">
        <f>_xll.IMDP("STK",표.실시간4[[#This Row],[nxt_code]],"가중평균가")</f>
        <v>50137.582389000003</v>
      </c>
      <c r="O186" s="4">
        <f>_xll.IMDP("STK",표.실시간4[[#This Row],[nxt_code]],"시가")</f>
        <v>49900</v>
      </c>
      <c r="P186" s="4">
        <f>_xll.IMDP("STK",표.실시간4[[#This Row],[nxt_code]],"고가")</f>
        <v>50400</v>
      </c>
      <c r="Q186" s="4">
        <f>_xll.IMDP("STK",표.실시간4[[#This Row],[nxt_code]],"저가")</f>
        <v>49900</v>
      </c>
      <c r="R186">
        <f>_xll.IMDP("STK",표.실시간4[[#This Row],[nxt_code]],"세션명")</f>
        <v>0</v>
      </c>
      <c r="S186">
        <f>_xll.IMDP("STK",표.실시간4[[#This Row],[nxt_code]],"체결시간")</f>
        <v>0</v>
      </c>
      <c r="T186" s="4">
        <f>_xll.IMDP("STK","226950","현재가")</f>
        <v>118500</v>
      </c>
      <c r="U186">
        <f>_xll.IMDP("STK","226950","누적거래량")</f>
        <v>8461</v>
      </c>
    </row>
    <row r="187" spans="3:21" x14ac:dyDescent="0.3">
      <c r="C187">
        <v>182</v>
      </c>
      <c r="D187">
        <v>375500</v>
      </c>
      <c r="E187" t="s">
        <v>247</v>
      </c>
      <c r="F187" t="str">
        <f>ConvertStockCode(표.실시간4[[#This Row],[코드]])</f>
        <v>N375500</v>
      </c>
      <c r="G187" s="4">
        <f>_xll.IMDP("STK",표.실시간4[[#This Row],[nxt_code]],"현재가")</f>
        <v>44275</v>
      </c>
      <c r="H187" s="4">
        <f>_xll.IMDP("STK",표.실시간4[[#This Row],[nxt_code]],"시가총액")/10^12</f>
        <v>1.713160158325</v>
      </c>
      <c r="I187" s="4">
        <f>표.실시간4[[#This Row],[시가총액 (조원)]]/표.실시간4[[#This Row],[현재가]]*(표.실시간4[[#This Row],[현재가]]-표.실시간4[[#This Row],[대비]])</f>
        <v>1.6667278107250001</v>
      </c>
      <c r="J187" s="5">
        <f>_xll.IMDP("STK",표.실시간4[[#This Row],[nxt_code]],"전일대비")</f>
        <v>1200</v>
      </c>
      <c r="K187">
        <f>_xll.IMDP("STK",표.실시간4[[#This Row],[nxt_code]],"등락률")</f>
        <v>2.73</v>
      </c>
      <c r="L187" s="4">
        <f>_xll.IMDP("STK",표.실시간4[[#This Row],[nxt_code]],"누적거래량")</f>
        <v>86324</v>
      </c>
      <c r="M187" s="4">
        <f>_xll.IMDP("STK",표.실시간4[[#This Row],[nxt_code]],"누적거래대금")</f>
        <v>3801033900</v>
      </c>
      <c r="N187" s="4">
        <f>_xll.IMDP("STK",표.실시간4[[#This Row],[nxt_code]],"가중평균가")</f>
        <v>44031.159789999998</v>
      </c>
      <c r="O187" s="4">
        <f>_xll.IMDP("STK",표.실시간4[[#This Row],[nxt_code]],"시가")</f>
        <v>43450</v>
      </c>
      <c r="P187" s="4">
        <f>_xll.IMDP("STK",표.실시간4[[#This Row],[nxt_code]],"고가")</f>
        <v>45000</v>
      </c>
      <c r="Q187" s="4">
        <f>_xll.IMDP("STK",표.실시간4[[#This Row],[nxt_code]],"저가")</f>
        <v>43100</v>
      </c>
      <c r="R187">
        <f>_xll.IMDP("STK",표.실시간4[[#This Row],[nxt_code]],"세션명")</f>
        <v>0</v>
      </c>
      <c r="S187">
        <f>_xll.IMDP("STK",표.실시간4[[#This Row],[nxt_code]],"체결시간")</f>
        <v>0</v>
      </c>
      <c r="T187" s="4">
        <f>_xll.IMDP("STK","009420","현재가")</f>
        <v>48200</v>
      </c>
      <c r="U187">
        <f>_xll.IMDP("STK","009420","누적거래량")</f>
        <v>10604</v>
      </c>
    </row>
    <row r="188" spans="3:21" x14ac:dyDescent="0.3">
      <c r="C188">
        <v>183</v>
      </c>
      <c r="D188">
        <v>298020</v>
      </c>
      <c r="E188" t="s">
        <v>243</v>
      </c>
      <c r="F188" t="str">
        <f>ConvertStockCode(표.실시간4[[#This Row],[코드]])</f>
        <v>N298020</v>
      </c>
      <c r="G188" s="4">
        <f>_xll.IMDP("STK",표.실시간4[[#This Row],[nxt_code]],"현재가")</f>
        <v>380000</v>
      </c>
      <c r="H188" s="4">
        <f>_xll.IMDP("STK",표.실시간4[[#This Row],[nxt_code]],"시가총액")/10^12</f>
        <v>1.64451916</v>
      </c>
      <c r="I188" s="4">
        <f>표.실시간4[[#This Row],[시가총액 (조원)]]/표.실시간4[[#This Row],[현재가]]*(표.실시간4[[#This Row],[현재가]]-표.실시간4[[#This Row],[대비]])</f>
        <v>1.681304457</v>
      </c>
      <c r="J188" s="5">
        <f>_xll.IMDP("STK",표.실시간4[[#This Row],[nxt_code]],"전일대비")</f>
        <v>-8500</v>
      </c>
      <c r="K188">
        <f>_xll.IMDP("STK",표.실시간4[[#This Row],[nxt_code]],"등락률")</f>
        <v>-2.19</v>
      </c>
      <c r="L188" s="4">
        <f>_xll.IMDP("STK",표.실시간4[[#This Row],[nxt_code]],"누적거래량")</f>
        <v>6660</v>
      </c>
      <c r="M188" s="4">
        <f>_xll.IMDP("STK",표.실시간4[[#This Row],[nxt_code]],"누적거래대금")</f>
        <v>2566287500</v>
      </c>
      <c r="N188" s="4">
        <f>_xll.IMDP("STK",표.실시간4[[#This Row],[nxt_code]],"가중평균가")</f>
        <v>385328.45345299999</v>
      </c>
      <c r="O188" s="4">
        <f>_xll.IMDP("STK",표.실시간4[[#This Row],[nxt_code]],"시가")</f>
        <v>388500</v>
      </c>
      <c r="P188" s="4">
        <f>_xll.IMDP("STK",표.실시간4[[#This Row],[nxt_code]],"고가")</f>
        <v>399000</v>
      </c>
      <c r="Q188" s="4">
        <f>_xll.IMDP("STK",표.실시간4[[#This Row],[nxt_code]],"저가")</f>
        <v>376000</v>
      </c>
      <c r="R188">
        <f>_xll.IMDP("STK",표.실시간4[[#This Row],[nxt_code]],"세션명")</f>
        <v>0</v>
      </c>
      <c r="S188">
        <f>_xll.IMDP("STK",표.실시간4[[#This Row],[nxt_code]],"체결시간")</f>
        <v>0</v>
      </c>
      <c r="T188" s="4">
        <f>_xll.IMDP("STK","028670","현재가")</f>
        <v>4395</v>
      </c>
      <c r="U188">
        <f>_xll.IMDP("STK","028670","누적거래량")</f>
        <v>135060</v>
      </c>
    </row>
    <row r="189" spans="3:21" x14ac:dyDescent="0.3">
      <c r="C189">
        <v>184</v>
      </c>
      <c r="D189">
        <v>34230</v>
      </c>
      <c r="E189" t="s">
        <v>254</v>
      </c>
      <c r="F189" t="str">
        <f>ConvertStockCode(표.실시간4[[#This Row],[코드]])</f>
        <v>N034230</v>
      </c>
      <c r="G189" s="4">
        <f>_xll.IMDP("STK",표.실시간4[[#This Row],[nxt_code]],"현재가")</f>
        <v>17380</v>
      </c>
      <c r="H189" s="4">
        <f>_xll.IMDP("STK",표.실시간4[[#This Row],[nxt_code]],"시가총액")/10^12</f>
        <v>1.60600861542</v>
      </c>
      <c r="I189" s="4">
        <f>표.실시간4[[#This Row],[시가총액 (조원)]]/표.실시간4[[#This Row],[현재가]]*(표.실시간4[[#This Row],[현재가]]-표.실시간4[[#This Row],[대비]])</f>
        <v>1.59214778157</v>
      </c>
      <c r="J189" s="5">
        <f>_xll.IMDP("STK",표.실시간4[[#This Row],[nxt_code]],"전일대비")</f>
        <v>150</v>
      </c>
      <c r="K189">
        <f>_xll.IMDP("STK",표.실시간4[[#This Row],[nxt_code]],"등락률")</f>
        <v>0.87</v>
      </c>
      <c r="L189" s="4">
        <f>_xll.IMDP("STK",표.실시간4[[#This Row],[nxt_code]],"누적거래량")</f>
        <v>7246</v>
      </c>
      <c r="M189" s="4">
        <f>_xll.IMDP("STK",표.실시간4[[#This Row],[nxt_code]],"누적거래대금")</f>
        <v>125251670</v>
      </c>
      <c r="N189" s="4">
        <f>_xll.IMDP("STK",표.실시간4[[#This Row],[nxt_code]],"가중평균가")</f>
        <v>17285.629313000001</v>
      </c>
      <c r="O189" s="4">
        <f>_xll.IMDP("STK",표.실시간4[[#This Row],[nxt_code]],"시가")</f>
        <v>17350</v>
      </c>
      <c r="P189" s="4">
        <f>_xll.IMDP("STK",표.실시간4[[#This Row],[nxt_code]],"고가")</f>
        <v>17380</v>
      </c>
      <c r="Q189" s="4">
        <f>_xll.IMDP("STK",표.실시간4[[#This Row],[nxt_code]],"저가")</f>
        <v>17270</v>
      </c>
      <c r="R189">
        <f>_xll.IMDP("STK",표.실시간4[[#This Row],[nxt_code]],"세션명")</f>
        <v>0</v>
      </c>
      <c r="S189">
        <f>_xll.IMDP("STK",표.실시간4[[#This Row],[nxt_code]],"체결시간")</f>
        <v>0</v>
      </c>
      <c r="T189" s="4">
        <f>_xll.IMDP("STK","081660","현재가")</f>
        <v>45550</v>
      </c>
      <c r="U189">
        <f>_xll.IMDP("STK","081660","누적거래량")</f>
        <v>787</v>
      </c>
    </row>
    <row r="190" spans="3:21" x14ac:dyDescent="0.3">
      <c r="C190">
        <v>185</v>
      </c>
      <c r="D190">
        <v>85620</v>
      </c>
      <c r="E190" t="s">
        <v>253</v>
      </c>
      <c r="F190" t="str">
        <f>ConvertStockCode(표.실시간4[[#This Row],[코드]])</f>
        <v>N085620</v>
      </c>
      <c r="G190" s="4">
        <f>_xll.IMDP("STK",표.실시간4[[#This Row],[nxt_code]],"현재가")</f>
        <v>8990</v>
      </c>
      <c r="H190" s="4">
        <f>_xll.IMDP("STK",표.실시간4[[#This Row],[nxt_code]],"시가총액")/10^12</f>
        <v>1.59137553911</v>
      </c>
      <c r="I190" s="4">
        <f>표.실시간4[[#This Row],[시가총액 (조원)]]/표.실시간4[[#This Row],[현재가]]*(표.실시간4[[#This Row],[현재가]]-표.실시간4[[#This Row],[대비]])</f>
        <v>1.58606505344</v>
      </c>
      <c r="J190" s="5">
        <f>_xll.IMDP("STK",표.실시간4[[#This Row],[nxt_code]],"전일대비")</f>
        <v>30</v>
      </c>
      <c r="K190">
        <f>_xll.IMDP("STK",표.실시간4[[#This Row],[nxt_code]],"등락률")</f>
        <v>0.33</v>
      </c>
      <c r="L190" s="4">
        <f>_xll.IMDP("STK",표.실시간4[[#This Row],[nxt_code]],"누적거래량")</f>
        <v>106</v>
      </c>
      <c r="M190" s="4">
        <f>_xll.IMDP("STK",표.실시간4[[#This Row],[nxt_code]],"누적거래대금")</f>
        <v>961740</v>
      </c>
      <c r="N190" s="4">
        <f>_xll.IMDP("STK",표.실시간4[[#This Row],[nxt_code]],"가중평균가")</f>
        <v>9073.0188679999992</v>
      </c>
      <c r="O190" s="4">
        <f>_xll.IMDP("STK",표.실시간4[[#This Row],[nxt_code]],"시가")</f>
        <v>9090</v>
      </c>
      <c r="P190" s="4">
        <f>_xll.IMDP("STK",표.실시간4[[#This Row],[nxt_code]],"고가")</f>
        <v>9090</v>
      </c>
      <c r="Q190" s="4">
        <f>_xll.IMDP("STK",표.실시간4[[#This Row],[nxt_code]],"저가")</f>
        <v>8990</v>
      </c>
      <c r="R190">
        <f>_xll.IMDP("STK",표.실시간4[[#This Row],[nxt_code]],"세션명")</f>
        <v>0</v>
      </c>
      <c r="S190">
        <f>_xll.IMDP("STK",표.실시간4[[#This Row],[nxt_code]],"체결시간")</f>
        <v>0</v>
      </c>
      <c r="T190" s="4">
        <f>_xll.IMDP("STK","160190","현재가")</f>
        <v>69800</v>
      </c>
      <c r="U190">
        <f>_xll.IMDP("STK","160190","누적거래량")</f>
        <v>10846</v>
      </c>
    </row>
    <row r="191" spans="3:21" x14ac:dyDescent="0.3">
      <c r="C191">
        <v>186</v>
      </c>
      <c r="D191">
        <v>6360</v>
      </c>
      <c r="E191" t="s">
        <v>252</v>
      </c>
      <c r="F191" t="str">
        <f>ConvertStockCode(표.실시간4[[#This Row],[코드]])</f>
        <v>N006360</v>
      </c>
      <c r="G191" s="4">
        <f>_xll.IMDP("STK",표.실시간4[[#This Row],[nxt_code]],"현재가")</f>
        <v>18840</v>
      </c>
      <c r="H191" s="4">
        <f>_xll.IMDP("STK",표.실시간4[[#This Row],[nxt_code]],"시가총액")/10^12</f>
        <v>1.6123552716</v>
      </c>
      <c r="I191" s="4">
        <f>표.실시간4[[#This Row],[시가총액 (조원)]]/표.실시간4[[#This Row],[현재가]]*(표.실시간4[[#This Row],[현재가]]-표.실시간4[[#This Row],[대비]])</f>
        <v>1.5952389735999999</v>
      </c>
      <c r="J191" s="5">
        <f>_xll.IMDP("STK",표.실시간4[[#This Row],[nxt_code]],"전일대비")</f>
        <v>200</v>
      </c>
      <c r="K191">
        <f>_xll.IMDP("STK",표.실시간4[[#This Row],[nxt_code]],"등락률")</f>
        <v>1.07</v>
      </c>
      <c r="L191" s="4">
        <f>_xll.IMDP("STK",표.실시간4[[#This Row],[nxt_code]],"누적거래량")</f>
        <v>45305</v>
      </c>
      <c r="M191" s="4">
        <f>_xll.IMDP("STK",표.실시간4[[#This Row],[nxt_code]],"누적거래대금")</f>
        <v>849398920</v>
      </c>
      <c r="N191" s="4">
        <f>_xll.IMDP("STK",표.실시간4[[#This Row],[nxt_code]],"가중평균가")</f>
        <v>18748.458669</v>
      </c>
      <c r="O191" s="4">
        <f>_xll.IMDP("STK",표.실시간4[[#This Row],[nxt_code]],"시가")</f>
        <v>18710</v>
      </c>
      <c r="P191" s="4">
        <f>_xll.IMDP("STK",표.실시간4[[#This Row],[nxt_code]],"고가")</f>
        <v>18860</v>
      </c>
      <c r="Q191" s="4">
        <f>_xll.IMDP("STK",표.실시간4[[#This Row],[nxt_code]],"저가")</f>
        <v>18660</v>
      </c>
      <c r="R191">
        <f>_xll.IMDP("STK",표.실시간4[[#This Row],[nxt_code]],"세션명")</f>
        <v>0</v>
      </c>
      <c r="S191">
        <f>_xll.IMDP("STK",표.실시간4[[#This Row],[nxt_code]],"체결시간")</f>
        <v>0</v>
      </c>
      <c r="T191" s="4">
        <f>_xll.IMDP("STK","139480","현재가")</f>
        <v>86100</v>
      </c>
      <c r="U191">
        <f>_xll.IMDP("STK","139480","누적거래량")</f>
        <v>1978</v>
      </c>
    </row>
    <row r="192" spans="3:21" x14ac:dyDescent="0.3">
      <c r="C192">
        <v>187</v>
      </c>
      <c r="D192">
        <v>20560</v>
      </c>
      <c r="E192" t="s">
        <v>255</v>
      </c>
      <c r="F192" t="str">
        <f>ConvertStockCode(표.실시간4[[#This Row],[코드]])</f>
        <v>N020560</v>
      </c>
      <c r="G192" s="4">
        <f>_xll.IMDP("STK",표.실시간4[[#This Row],[nxt_code]],"현재가")</f>
        <v>7710</v>
      </c>
      <c r="H192" s="4">
        <f>_xll.IMDP("STK",표.실시간4[[#This Row],[nxt_code]],"시가총액")/10^12</f>
        <v>1.58818838181</v>
      </c>
      <c r="I192" s="4">
        <f>표.실시간4[[#This Row],[시가총액 (조원)]]/표.실시간4[[#This Row],[현재가]]*(표.실시간4[[#This Row],[현재가]]-표.실시간4[[#This Row],[대비]])</f>
        <v>1.59024828892</v>
      </c>
      <c r="J192" s="5">
        <f>_xll.IMDP("STK",표.실시간4[[#This Row],[nxt_code]],"전일대비")</f>
        <v>-10</v>
      </c>
      <c r="K192">
        <f>_xll.IMDP("STK",표.실시간4[[#This Row],[nxt_code]],"등락률")</f>
        <v>-0.13</v>
      </c>
      <c r="L192" s="4">
        <f>_xll.IMDP("STK",표.실시간4[[#This Row],[nxt_code]],"누적거래량")</f>
        <v>5547</v>
      </c>
      <c r="M192" s="4">
        <f>_xll.IMDP("STK",표.실시간4[[#This Row],[nxt_code]],"누적거래대금")</f>
        <v>42861520</v>
      </c>
      <c r="N192" s="4">
        <f>_xll.IMDP("STK",표.실시간4[[#This Row],[nxt_code]],"가중평균가")</f>
        <v>7726.9731389999997</v>
      </c>
      <c r="O192" s="4">
        <f>_xll.IMDP("STK",표.실시간4[[#This Row],[nxt_code]],"시가")</f>
        <v>7700</v>
      </c>
      <c r="P192" s="4">
        <f>_xll.IMDP("STK",표.실시간4[[#This Row],[nxt_code]],"고가")</f>
        <v>7750</v>
      </c>
      <c r="Q192" s="4">
        <f>_xll.IMDP("STK",표.실시간4[[#This Row],[nxt_code]],"저가")</f>
        <v>7700</v>
      </c>
      <c r="R192">
        <f>_xll.IMDP("STK",표.실시간4[[#This Row],[nxt_code]],"세션명")</f>
        <v>0</v>
      </c>
      <c r="S192">
        <f>_xll.IMDP("STK",표.실시간4[[#This Row],[nxt_code]],"체결시간")</f>
        <v>0</v>
      </c>
      <c r="T192" s="4">
        <f>_xll.IMDP("STK","437730","현재가")</f>
        <v>66200</v>
      </c>
      <c r="U192">
        <f>_xll.IMDP("STK","437730","누적거래량")</f>
        <v>16961</v>
      </c>
    </row>
    <row r="193" spans="3:21" x14ac:dyDescent="0.3">
      <c r="C193">
        <v>188</v>
      </c>
      <c r="D193">
        <v>161890</v>
      </c>
      <c r="E193" t="s">
        <v>257</v>
      </c>
      <c r="F193" t="str">
        <f>ConvertStockCode(표.실시간4[[#This Row],[코드]])</f>
        <v>N161890</v>
      </c>
      <c r="G193" s="4">
        <f>_xll.IMDP("STK",표.실시간4[[#This Row],[nxt_code]],"현재가")</f>
        <v>66100</v>
      </c>
      <c r="H193" s="4">
        <f>_xll.IMDP("STK",표.실시간4[[#This Row],[nxt_code]],"시가총액")/10^12</f>
        <v>1.5602955896999999</v>
      </c>
      <c r="I193" s="4">
        <f>표.실시간4[[#This Row],[시가총액 (조원)]]/표.실시간4[[#This Row],[현재가]]*(표.실시간4[[#This Row],[현재가]]-표.실시간4[[#This Row],[대비]])</f>
        <v>1.5673771128</v>
      </c>
      <c r="J193" s="5">
        <f>_xll.IMDP("STK",표.실시간4[[#This Row],[nxt_code]],"전일대비")</f>
        <v>-300</v>
      </c>
      <c r="K193">
        <f>_xll.IMDP("STK",표.실시간4[[#This Row],[nxt_code]],"등락률")</f>
        <v>-0.45</v>
      </c>
      <c r="L193" s="4">
        <f>_xll.IMDP("STK",표.실시간4[[#This Row],[nxt_code]],"누적거래량")</f>
        <v>39276</v>
      </c>
      <c r="M193" s="4">
        <f>_xll.IMDP("STK",표.실시간4[[#This Row],[nxt_code]],"누적거래대금")</f>
        <v>2622967400</v>
      </c>
      <c r="N193" s="4">
        <f>_xll.IMDP("STK",표.실시간4[[#This Row],[nxt_code]],"가중평균가")</f>
        <v>66782.956512999997</v>
      </c>
      <c r="O193" s="4">
        <f>_xll.IMDP("STK",표.실시간4[[#This Row],[nxt_code]],"시가")</f>
        <v>67100</v>
      </c>
      <c r="P193" s="4">
        <f>_xll.IMDP("STK",표.실시간4[[#This Row],[nxt_code]],"고가")</f>
        <v>67900</v>
      </c>
      <c r="Q193" s="4">
        <f>_xll.IMDP("STK",표.실시간4[[#This Row],[nxt_code]],"저가")</f>
        <v>66100</v>
      </c>
      <c r="R193">
        <f>_xll.IMDP("STK",표.실시간4[[#This Row],[nxt_code]],"세션명")</f>
        <v>0</v>
      </c>
      <c r="S193">
        <f>_xll.IMDP("STK",표.실시간4[[#This Row],[nxt_code]],"체결시간")</f>
        <v>0</v>
      </c>
      <c r="T193" s="4">
        <f>_xll.IMDP("STK","139130","현재가")</f>
        <v>14380</v>
      </c>
      <c r="U193">
        <f>_xll.IMDP("STK","139130","누적거래량")</f>
        <v>6985</v>
      </c>
    </row>
    <row r="194" spans="3:21" x14ac:dyDescent="0.3">
      <c r="C194">
        <v>189</v>
      </c>
      <c r="D194">
        <v>7310</v>
      </c>
      <c r="E194" t="s">
        <v>256</v>
      </c>
      <c r="F194" t="str">
        <f>ConvertStockCode(표.실시간4[[#This Row],[코드]])</f>
        <v>N007310</v>
      </c>
      <c r="G194" s="4">
        <f>_xll.IMDP("STK",표.실시간4[[#This Row],[nxt_code]],"현재가")</f>
        <v>389000</v>
      </c>
      <c r="H194" s="4">
        <f>_xll.IMDP("STK",표.실시간4[[#This Row],[nxt_code]],"시가총액")/10^12</f>
        <v>1.5590458700000001</v>
      </c>
      <c r="I194" s="4">
        <f>표.실시간4[[#This Row],[시가총액 (조원)]]/표.실시간4[[#This Row],[현재가]]*(표.실시간4[[#This Row],[현재가]]-표.실시간4[[#This Row],[대비]])</f>
        <v>1.5570419550000001</v>
      </c>
      <c r="J194" s="5">
        <f>_xll.IMDP("STK",표.실시간4[[#This Row],[nxt_code]],"전일대비")</f>
        <v>500</v>
      </c>
      <c r="K194">
        <f>_xll.IMDP("STK",표.실시간4[[#This Row],[nxt_code]],"등락률")</f>
        <v>0.39</v>
      </c>
      <c r="L194" s="4">
        <f>_xll.IMDP("STK",표.실시간4[[#This Row],[nxt_code]],"누적거래량")</f>
        <v>298</v>
      </c>
      <c r="M194" s="4">
        <f>_xll.IMDP("STK",표.실시간4[[#This Row],[nxt_code]],"누적거래대금")</f>
        <v>115328500</v>
      </c>
      <c r="N194" s="4">
        <f>_xll.IMDP("STK",표.실시간4[[#This Row],[nxt_code]],"가중평균가")</f>
        <v>387008.38926199998</v>
      </c>
      <c r="O194" s="4">
        <f>_xll.IMDP("STK",표.실시간4[[#This Row],[nxt_code]],"시가")</f>
        <v>388500</v>
      </c>
      <c r="P194" s="4">
        <f>_xll.IMDP("STK",표.실시간4[[#This Row],[nxt_code]],"고가")</f>
        <v>388500</v>
      </c>
      <c r="Q194" s="4">
        <f>_xll.IMDP("STK",표.실시간4[[#This Row],[nxt_code]],"저가")</f>
        <v>385500</v>
      </c>
      <c r="R194">
        <f>_xll.IMDP("STK",표.실시간4[[#This Row],[nxt_code]],"세션명")</f>
        <v>0</v>
      </c>
      <c r="S194">
        <f>_xll.IMDP("STK",표.실시간4[[#This Row],[nxt_code]],"체결시간")</f>
        <v>0</v>
      </c>
      <c r="T194" s="4">
        <f>_xll.IMDP("STK","000120","현재가")</f>
        <v>99900</v>
      </c>
      <c r="U194">
        <f>_xll.IMDP("STK","000120","누적거래량")</f>
        <v>2336</v>
      </c>
    </row>
    <row r="195" spans="3:21" x14ac:dyDescent="0.3">
      <c r="C195">
        <v>190</v>
      </c>
      <c r="D195">
        <v>5070</v>
      </c>
      <c r="E195" t="s">
        <v>264</v>
      </c>
      <c r="F195" t="str">
        <f>ConvertStockCode(표.실시간4[[#This Row],[코드]])</f>
        <v>N005070</v>
      </c>
      <c r="G195" s="4">
        <f>_xll.IMDP("STK",표.실시간4[[#This Row],[nxt_code]],"현재가")</f>
        <v>50400</v>
      </c>
      <c r="H195" s="4">
        <f>_xll.IMDP("STK",표.실시간4[[#This Row],[nxt_code]],"시가총액")/10^12</f>
        <v>1.6385421024</v>
      </c>
      <c r="I195" s="4">
        <f>표.실시간4[[#This Row],[시가총액 (조원)]]/표.실시간4[[#This Row],[현재가]]*(표.실시간4[[#This Row],[현재가]]-표.실시간4[[#This Row],[대비]])</f>
        <v>1.5572652123999999</v>
      </c>
      <c r="J195" s="5">
        <f>_xll.IMDP("STK",표.실시간4[[#This Row],[nxt_code]],"전일대비")</f>
        <v>2500</v>
      </c>
      <c r="K195">
        <f>_xll.IMDP("STK",표.실시간4[[#This Row],[nxt_code]],"등락률")</f>
        <v>5.22</v>
      </c>
      <c r="L195" s="4">
        <f>_xll.IMDP("STK",표.실시간4[[#This Row],[nxt_code]],"누적거래량")</f>
        <v>615053</v>
      </c>
      <c r="M195" s="4">
        <f>_xll.IMDP("STK",표.실시간4[[#This Row],[nxt_code]],"누적거래대금")</f>
        <v>31862540300</v>
      </c>
      <c r="N195" s="4">
        <f>_xll.IMDP("STK",표.실시간4[[#This Row],[nxt_code]],"가중평균가")</f>
        <v>51804.544160999998</v>
      </c>
      <c r="O195" s="4">
        <f>_xll.IMDP("STK",표.실시간4[[#This Row],[nxt_code]],"시가")</f>
        <v>48900</v>
      </c>
      <c r="P195" s="4">
        <f>_xll.IMDP("STK",표.실시간4[[#This Row],[nxt_code]],"고가")</f>
        <v>53700</v>
      </c>
      <c r="Q195" s="4">
        <f>_xll.IMDP("STK",표.실시간4[[#This Row],[nxt_code]],"저가")</f>
        <v>48550</v>
      </c>
      <c r="R195">
        <f>_xll.IMDP("STK",표.실시간4[[#This Row],[nxt_code]],"세션명")</f>
        <v>0</v>
      </c>
      <c r="S195">
        <f>_xll.IMDP("STK",표.실시간4[[#This Row],[nxt_code]],"체결시간")</f>
        <v>0</v>
      </c>
      <c r="T195" s="4">
        <f>_xll.IMDP("STK","097230","현재가")</f>
        <v>24050</v>
      </c>
      <c r="U195">
        <f>_xll.IMDP("STK","097230","누적거래량")</f>
        <v>33221</v>
      </c>
    </row>
    <row r="196" spans="3:21" x14ac:dyDescent="0.3">
      <c r="C196">
        <v>191</v>
      </c>
      <c r="D196">
        <v>500</v>
      </c>
      <c r="E196" t="s">
        <v>261</v>
      </c>
      <c r="F196" t="str">
        <f>ConvertStockCode(표.실시간4[[#This Row],[코드]])</f>
        <v>N000500</v>
      </c>
      <c r="G196" s="4">
        <f>_xll.IMDP("STK",표.실시간4[[#This Row],[nxt_code]],"현재가")</f>
        <v>88800</v>
      </c>
      <c r="H196" s="4">
        <f>_xll.IMDP("STK",표.실시간4[[#This Row],[nxt_code]],"시가총액")/10^12</f>
        <v>1.469028612</v>
      </c>
      <c r="I196" s="4">
        <f>표.실시간4[[#This Row],[시가총액 (조원)]]/표.실시간4[[#This Row],[현재가]]*(표.실시간4[[#This Row],[현재가]]-표.실시간4[[#This Row],[대비]])</f>
        <v>1.4657199889999999</v>
      </c>
      <c r="J196" s="5">
        <f>_xll.IMDP("STK",표.실시간4[[#This Row],[nxt_code]],"전일대비")</f>
        <v>200</v>
      </c>
      <c r="K196">
        <f>_xll.IMDP("STK",표.실시간4[[#This Row],[nxt_code]],"등락률")</f>
        <v>0.23</v>
      </c>
      <c r="L196" s="4">
        <f>_xll.IMDP("STK",표.실시간4[[#This Row],[nxt_code]],"누적거래량")</f>
        <v>3049</v>
      </c>
      <c r="M196" s="4">
        <f>_xll.IMDP("STK",표.실시간4[[#This Row],[nxt_code]],"누적거래대금")</f>
        <v>271644600</v>
      </c>
      <c r="N196" s="4">
        <f>_xll.IMDP("STK",표.실시간4[[#This Row],[nxt_code]],"가중평균가")</f>
        <v>89093.014102999994</v>
      </c>
      <c r="O196" s="4">
        <f>_xll.IMDP("STK",표.실시간4[[#This Row],[nxt_code]],"시가")</f>
        <v>88600</v>
      </c>
      <c r="P196" s="4">
        <f>_xll.IMDP("STK",표.실시간4[[#This Row],[nxt_code]],"고가")</f>
        <v>89500</v>
      </c>
      <c r="Q196" s="4">
        <f>_xll.IMDP("STK",표.실시간4[[#This Row],[nxt_code]],"저가")</f>
        <v>88600</v>
      </c>
      <c r="R196">
        <f>_xll.IMDP("STK",표.실시간4[[#This Row],[nxt_code]],"세션명")</f>
        <v>0</v>
      </c>
      <c r="S196">
        <f>_xll.IMDP("STK",표.실시간4[[#This Row],[nxt_code]],"체결시간")</f>
        <v>0</v>
      </c>
      <c r="T196" s="4">
        <f>_xll.IMDP("STK","003690","현재가")</f>
        <v>11080</v>
      </c>
      <c r="U196">
        <f>_xll.IMDP("STK","003690","누적거래량")</f>
        <v>3550</v>
      </c>
    </row>
    <row r="197" spans="3:21" x14ac:dyDescent="0.3">
      <c r="C197">
        <v>192</v>
      </c>
      <c r="D197">
        <v>77970</v>
      </c>
      <c r="E197" t="s">
        <v>258</v>
      </c>
      <c r="F197" t="str">
        <f>ConvertStockCode(표.실시간4[[#This Row],[코드]])</f>
        <v>N077970</v>
      </c>
      <c r="G197" s="4">
        <f>_xll.IMDP("STK",표.실시간4[[#This Row],[nxt_code]],"현재가")</f>
        <v>37600</v>
      </c>
      <c r="H197" s="4">
        <f>_xll.IMDP("STK",표.실시간4[[#This Row],[nxt_code]],"시가총액")/10^12</f>
        <v>1.5095671688000001</v>
      </c>
      <c r="I197" s="4">
        <f>표.실시간4[[#This Row],[시가총액 (조원)]]/표.실시간4[[#This Row],[현재가]]*(표.실시간4[[#This Row],[현재가]]-표.실시간4[[#This Row],[대비]])</f>
        <v>1.4854783310000002</v>
      </c>
      <c r="J197" s="5">
        <f>_xll.IMDP("STK",표.실시간4[[#This Row],[nxt_code]],"전일대비")</f>
        <v>600</v>
      </c>
      <c r="K197">
        <f>_xll.IMDP("STK",표.실시간4[[#This Row],[nxt_code]],"등락률")</f>
        <v>1.62</v>
      </c>
      <c r="L197" s="4">
        <f>_xll.IMDP("STK",표.실시간4[[#This Row],[nxt_code]],"누적거래량")</f>
        <v>24034</v>
      </c>
      <c r="M197" s="4">
        <f>_xll.IMDP("STK",표.실시간4[[#This Row],[nxt_code]],"누적거래대금")</f>
        <v>894461950</v>
      </c>
      <c r="N197" s="4">
        <f>_xll.IMDP("STK",표.실시간4[[#This Row],[nxt_code]],"가중평균가")</f>
        <v>37216.524507000002</v>
      </c>
      <c r="O197" s="4">
        <f>_xll.IMDP("STK",표.실시간4[[#This Row],[nxt_code]],"시가")</f>
        <v>37000</v>
      </c>
      <c r="P197" s="4">
        <f>_xll.IMDP("STK",표.실시간4[[#This Row],[nxt_code]],"고가")</f>
        <v>37600</v>
      </c>
      <c r="Q197" s="4">
        <f>_xll.IMDP("STK",표.실시간4[[#This Row],[nxt_code]],"저가")</f>
        <v>36900</v>
      </c>
      <c r="R197">
        <f>_xll.IMDP("STK",표.실시간4[[#This Row],[nxt_code]],"세션명")</f>
        <v>0</v>
      </c>
      <c r="S197">
        <f>_xll.IMDP("STK",표.실시간4[[#This Row],[nxt_code]],"체결시간")</f>
        <v>0</v>
      </c>
      <c r="T197" s="4">
        <f>_xll.IMDP("STK","475830","현재가")</f>
        <v>107600</v>
      </c>
      <c r="U197">
        <f>_xll.IMDP("STK","475830","누적거래량")</f>
        <v>6685</v>
      </c>
    </row>
    <row r="198" spans="3:21" x14ac:dyDescent="0.3">
      <c r="C198">
        <v>193</v>
      </c>
      <c r="D198">
        <v>7340</v>
      </c>
      <c r="E198" t="s">
        <v>263</v>
      </c>
      <c r="F198" t="str">
        <f>ConvertStockCode(표.실시간4[[#This Row],[코드]])</f>
        <v>N007340</v>
      </c>
      <c r="G198" s="4">
        <f>_xll.IMDP("STK",표.실시간4[[#This Row],[nxt_code]],"현재가")</f>
        <v>25550</v>
      </c>
      <c r="H198" s="4">
        <f>_xll.IMDP("STK",표.실시간4[[#This Row],[nxt_code]],"시가총액")/10^12</f>
        <v>1.49495260075</v>
      </c>
      <c r="I198" s="4">
        <f>표.실시간4[[#This Row],[시가총액 (조원)]]/표.실시간4[[#This Row],[현재가]]*(표.실시간4[[#This Row],[현재가]]-표.실시간4[[#This Row],[대비]])</f>
        <v>1.4891015142499999</v>
      </c>
      <c r="J198" s="5">
        <f>_xll.IMDP("STK",표.실시간4[[#This Row],[nxt_code]],"전일대비")</f>
        <v>100</v>
      </c>
      <c r="K198">
        <f>_xll.IMDP("STK",표.실시간4[[#This Row],[nxt_code]],"등락률")</f>
        <v>0.39</v>
      </c>
      <c r="L198" s="4">
        <f>_xll.IMDP("STK",표.실시간4[[#This Row],[nxt_code]],"누적거래량")</f>
        <v>17419</v>
      </c>
      <c r="M198" s="4">
        <f>_xll.IMDP("STK",표.실시간4[[#This Row],[nxt_code]],"누적거래대금")</f>
        <v>449509400</v>
      </c>
      <c r="N198" s="4">
        <f>_xll.IMDP("STK",표.실시간4[[#This Row],[nxt_code]],"가중평균가")</f>
        <v>25805.694931000002</v>
      </c>
      <c r="O198" s="4">
        <f>_xll.IMDP("STK",표.실시간4[[#This Row],[nxt_code]],"시가")</f>
        <v>25150</v>
      </c>
      <c r="P198" s="4">
        <f>_xll.IMDP("STK",표.실시간4[[#This Row],[nxt_code]],"고가")</f>
        <v>26150</v>
      </c>
      <c r="Q198" s="4">
        <f>_xll.IMDP("STK",표.실시간4[[#This Row],[nxt_code]],"저가")</f>
        <v>25150</v>
      </c>
      <c r="R198">
        <f>_xll.IMDP("STK",표.실시간4[[#This Row],[nxt_code]],"세션명")</f>
        <v>0</v>
      </c>
      <c r="S198">
        <f>_xll.IMDP("STK",표.실시간4[[#This Row],[nxt_code]],"체결시간")</f>
        <v>0</v>
      </c>
      <c r="T198" s="4">
        <f>_xll.IMDP("STK","095340","현재가")</f>
        <v>102600</v>
      </c>
      <c r="U198">
        <f>_xll.IMDP("STK","095340","누적거래량")</f>
        <v>13140</v>
      </c>
    </row>
    <row r="199" spans="3:21" x14ac:dyDescent="0.3">
      <c r="C199">
        <v>194</v>
      </c>
      <c r="D199">
        <v>7810</v>
      </c>
      <c r="E199" t="s">
        <v>262</v>
      </c>
      <c r="F199" t="str">
        <f>ConvertStockCode(표.실시간4[[#This Row],[코드]])</f>
        <v>N007810</v>
      </c>
      <c r="G199" s="4">
        <f>_xll.IMDP("STK",표.실시간4[[#This Row],[nxt_code]],"현재가")</f>
        <v>62400</v>
      </c>
      <c r="H199" s="4">
        <f>_xll.IMDP("STK",표.실시간4[[#This Row],[nxt_code]],"시가총액")/10^12</f>
        <v>1.4739348623999999</v>
      </c>
      <c r="I199" s="4">
        <f>표.실시간4[[#This Row],[시가총액 (조원)]]/표.실시간4[[#This Row],[현재가]]*(표.실시간4[[#This Row],[현재가]]-표.실시간4[[#This Row],[대비]])</f>
        <v>1.5093659889</v>
      </c>
      <c r="J199" s="5">
        <f>_xll.IMDP("STK",표.실시간4[[#This Row],[nxt_code]],"전일대비")</f>
        <v>-1500</v>
      </c>
      <c r="K199">
        <f>_xll.IMDP("STK",표.실시간4[[#This Row],[nxt_code]],"등락률")</f>
        <v>-2.35</v>
      </c>
      <c r="L199" s="4">
        <f>_xll.IMDP("STK",표.실시간4[[#This Row],[nxt_code]],"누적거래량")</f>
        <v>37168</v>
      </c>
      <c r="M199" s="4">
        <f>_xll.IMDP("STK",표.실시간4[[#This Row],[nxt_code]],"누적거래대금")</f>
        <v>2356509400</v>
      </c>
      <c r="N199" s="4">
        <f>_xll.IMDP("STK",표.실시간4[[#This Row],[nxt_code]],"가중평균가")</f>
        <v>63401.565863000003</v>
      </c>
      <c r="O199" s="4">
        <f>_xll.IMDP("STK",표.실시간4[[#This Row],[nxt_code]],"시가")</f>
        <v>65800</v>
      </c>
      <c r="P199" s="4">
        <f>_xll.IMDP("STK",표.실시간4[[#This Row],[nxt_code]],"고가")</f>
        <v>66000</v>
      </c>
      <c r="Q199" s="4">
        <f>_xll.IMDP("STK",표.실시간4[[#This Row],[nxt_code]],"저가")</f>
        <v>62200</v>
      </c>
      <c r="R199">
        <f>_xll.IMDP("STK",표.실시간4[[#This Row],[nxt_code]],"세션명")</f>
        <v>0</v>
      </c>
      <c r="S199">
        <f>_xll.IMDP("STK",표.실시간4[[#This Row],[nxt_code]],"체결시간")</f>
        <v>0</v>
      </c>
      <c r="T199" s="4">
        <f>_xll.IMDP("STK","010060","현재가")</f>
        <v>122200</v>
      </c>
      <c r="U199">
        <f>_xll.IMDP("STK","010060","누적거래량")</f>
        <v>19570</v>
      </c>
    </row>
    <row r="200" spans="3:21" x14ac:dyDescent="0.3">
      <c r="C200">
        <v>195</v>
      </c>
      <c r="D200">
        <v>3540</v>
      </c>
      <c r="E200" t="s">
        <v>271</v>
      </c>
      <c r="F200" t="str">
        <f>ConvertStockCode(표.실시간4[[#This Row],[코드]])</f>
        <v>N003540</v>
      </c>
      <c r="G200" s="4">
        <f>_xll.IMDP("STK",표.실시간4[[#This Row],[nxt_code]],"현재가")</f>
        <v>28150</v>
      </c>
      <c r="H200" s="4">
        <f>_xll.IMDP("STK",표.실시간4[[#This Row],[nxt_code]],"시가총액")/10^12</f>
        <v>1.42927121</v>
      </c>
      <c r="I200" s="4">
        <f>표.실시간4[[#This Row],[시가총액 (조원)]]/표.실시간4[[#This Row],[현재가]]*(표.실시간4[[#This Row],[현재가]]-표.실시간4[[#This Row],[대비]])</f>
        <v>1.4115005199999999</v>
      </c>
      <c r="J200" s="5">
        <f>_xll.IMDP("STK",표.실시간4[[#This Row],[nxt_code]],"전일대비")</f>
        <v>350</v>
      </c>
      <c r="K200">
        <f>_xll.IMDP("STK",표.실시간4[[#This Row],[nxt_code]],"등락률")</f>
        <v>2.36</v>
      </c>
      <c r="L200" s="4">
        <f>_xll.IMDP("STK",표.실시간4[[#This Row],[nxt_code]],"누적거래량")</f>
        <v>13531</v>
      </c>
      <c r="M200" s="4">
        <f>_xll.IMDP("STK",표.실시간4[[#This Row],[nxt_code]],"누적거래대금")</f>
        <v>377199900</v>
      </c>
      <c r="N200" s="4">
        <f>_xll.IMDP("STK",표.실시간4[[#This Row],[nxt_code]],"가중평균가")</f>
        <v>27876.720123999999</v>
      </c>
      <c r="O200" s="4">
        <f>_xll.IMDP("STK",표.실시간4[[#This Row],[nxt_code]],"시가")</f>
        <v>27700</v>
      </c>
      <c r="P200" s="4">
        <f>_xll.IMDP("STK",표.실시간4[[#This Row],[nxt_code]],"고가")</f>
        <v>28150</v>
      </c>
      <c r="Q200" s="4">
        <f>_xll.IMDP("STK",표.실시간4[[#This Row],[nxt_code]],"저가")</f>
        <v>27600</v>
      </c>
      <c r="R200">
        <f>_xll.IMDP("STK",표.실시간4[[#This Row],[nxt_code]],"세션명")</f>
        <v>0</v>
      </c>
      <c r="S200">
        <f>_xll.IMDP("STK",표.실시간4[[#This Row],[nxt_code]],"체결시간")</f>
        <v>0</v>
      </c>
      <c r="T200" s="4">
        <f>_xll.IMDP("STK","023530","현재가")</f>
        <v>78000</v>
      </c>
      <c r="U200">
        <f>_xll.IMDP("STK","023530","누적거래량")</f>
        <v>1525</v>
      </c>
    </row>
    <row r="201" spans="3:21" x14ac:dyDescent="0.3">
      <c r="C201">
        <v>196</v>
      </c>
      <c r="D201">
        <v>1120</v>
      </c>
      <c r="E201" t="s">
        <v>269</v>
      </c>
      <c r="F201" t="str">
        <f>ConvertStockCode(표.실시간4[[#This Row],[코드]])</f>
        <v>N001120</v>
      </c>
      <c r="G201" s="4">
        <f>_xll.IMDP("STK",표.실시간4[[#This Row],[nxt_code]],"현재가")</f>
        <v>35850</v>
      </c>
      <c r="H201" s="4">
        <f>_xll.IMDP("STK",표.실시간4[[#This Row],[nxt_code]],"시가총액")/10^12</f>
        <v>1.3895459999999999</v>
      </c>
      <c r="I201" s="4">
        <f>표.실시간4[[#This Row],[시가총액 (조원)]]/표.실시간4[[#This Row],[현재가]]*(표.실시간4[[#This Row],[현재가]]-표.실시간4[[#This Row],[대비]])</f>
        <v>1.3895459999999999</v>
      </c>
      <c r="J201" s="5">
        <f>_xll.IMDP("STK",표.실시간4[[#This Row],[nxt_code]],"전일대비")</f>
        <v>0</v>
      </c>
      <c r="K201">
        <f>_xll.IMDP("STK",표.실시간4[[#This Row],[nxt_code]],"등락률")</f>
        <v>0</v>
      </c>
      <c r="L201" s="4">
        <f>_xll.IMDP("STK",표.실시간4[[#This Row],[nxt_code]],"누적거래량")</f>
        <v>5888</v>
      </c>
      <c r="M201" s="4">
        <f>_xll.IMDP("STK",표.실시간4[[#This Row],[nxt_code]],"누적거래대금")</f>
        <v>212159200</v>
      </c>
      <c r="N201" s="4">
        <f>_xll.IMDP("STK",표.실시간4[[#This Row],[nxt_code]],"가중평균가")</f>
        <v>36032.472825999997</v>
      </c>
      <c r="O201" s="4">
        <f>_xll.IMDP("STK",표.실시간4[[#This Row],[nxt_code]],"시가")</f>
        <v>37000</v>
      </c>
      <c r="P201" s="4">
        <f>_xll.IMDP("STK",표.실시간4[[#This Row],[nxt_code]],"고가")</f>
        <v>37000</v>
      </c>
      <c r="Q201" s="4">
        <f>_xll.IMDP("STK",표.실시간4[[#This Row],[nxt_code]],"저가")</f>
        <v>35850</v>
      </c>
      <c r="R201">
        <f>_xll.IMDP("STK",표.실시간4[[#This Row],[nxt_code]],"세션명")</f>
        <v>0</v>
      </c>
      <c r="S201">
        <f>_xll.IMDP("STK",표.실시간4[[#This Row],[nxt_code]],"체결시간")</f>
        <v>0</v>
      </c>
      <c r="T201" s="4">
        <f>_xll.IMDP("STK","005290","현재가")</f>
        <v>40200</v>
      </c>
      <c r="U201">
        <f>_xll.IMDP("STK","005290","누적거래량")</f>
        <v>9484</v>
      </c>
    </row>
    <row r="202" spans="3:21" x14ac:dyDescent="0.3">
      <c r="C202">
        <v>197</v>
      </c>
      <c r="D202">
        <v>294870</v>
      </c>
      <c r="E202" t="s">
        <v>276</v>
      </c>
      <c r="F202" t="str">
        <f>ConvertStockCode(표.실시간4[[#This Row],[코드]])</f>
        <v>N294870</v>
      </c>
      <c r="G202" s="4">
        <f>_xll.IMDP("STK",표.실시간4[[#This Row],[nxt_code]],"현재가")</f>
        <v>20400</v>
      </c>
      <c r="H202" s="4">
        <f>_xll.IMDP("STK",표.실시간4[[#This Row],[nxt_code]],"시가총액")/10^12</f>
        <v>1.344509532</v>
      </c>
      <c r="I202" s="4">
        <f>표.실시간4[[#This Row],[시가총액 (조원)]]/표.실시간4[[#This Row],[현재가]]*(표.실시간4[[#This Row],[현재가]]-표.실시간4[[#This Row],[대비]])</f>
        <v>1.3379187990000001</v>
      </c>
      <c r="J202" s="5">
        <f>_xll.IMDP("STK",표.실시간4[[#This Row],[nxt_code]],"전일대비")</f>
        <v>100</v>
      </c>
      <c r="K202">
        <f>_xll.IMDP("STK",표.실시간4[[#This Row],[nxt_code]],"등락률")</f>
        <v>0.49</v>
      </c>
      <c r="L202" s="4">
        <f>_xll.IMDP("STK",표.실시간4[[#This Row],[nxt_code]],"누적거래량")</f>
        <v>6979</v>
      </c>
      <c r="M202" s="4">
        <f>_xll.IMDP("STK",표.실시간4[[#This Row],[nxt_code]],"누적거래대금")</f>
        <v>141757900</v>
      </c>
      <c r="N202" s="4">
        <f>_xll.IMDP("STK",표.실시간4[[#This Row],[nxt_code]],"가중평균가")</f>
        <v>20312.064766</v>
      </c>
      <c r="O202" s="4">
        <f>_xll.IMDP("STK",표.실시간4[[#This Row],[nxt_code]],"시가")</f>
        <v>20300</v>
      </c>
      <c r="P202" s="4">
        <f>_xll.IMDP("STK",표.실시간4[[#This Row],[nxt_code]],"고가")</f>
        <v>20400</v>
      </c>
      <c r="Q202" s="4">
        <f>_xll.IMDP("STK",표.실시간4[[#This Row],[nxt_code]],"저가")</f>
        <v>20250</v>
      </c>
      <c r="R202">
        <f>_xll.IMDP("STK",표.실시간4[[#This Row],[nxt_code]],"세션명")</f>
        <v>0</v>
      </c>
      <c r="S202">
        <f>_xll.IMDP("STK",표.실시간4[[#This Row],[nxt_code]],"체결시간")</f>
        <v>0</v>
      </c>
      <c r="T202" s="4">
        <f>_xll.IMDP("STK","098460","현재가")</f>
        <v>28575</v>
      </c>
      <c r="U202">
        <f>_xll.IMDP("STK","098460","누적거래량")</f>
        <v>77650</v>
      </c>
    </row>
    <row r="203" spans="3:21" x14ac:dyDescent="0.3">
      <c r="C203">
        <v>198</v>
      </c>
      <c r="D203">
        <v>484870</v>
      </c>
      <c r="E203" t="s">
        <v>268</v>
      </c>
      <c r="F203" t="str">
        <f>ConvertStockCode(표.실시간4[[#This Row],[코드]])</f>
        <v>N484870</v>
      </c>
      <c r="G203" s="4">
        <f>_xll.IMDP("STK",표.실시간4[[#This Row],[nxt_code]],"현재가")</f>
        <v>145900</v>
      </c>
      <c r="H203" s="4">
        <f>_xll.IMDP("STK",표.실시간4[[#This Row],[nxt_code]],"시가총액")/10^12</f>
        <v>1.3355540100000001</v>
      </c>
      <c r="I203" s="4">
        <f>표.실시간4[[#This Row],[시가총액 (조원)]]/표.실시간4[[#This Row],[현재가]]*(표.실시간4[[#This Row],[현재가]]-표.실시간4[[#This Row],[대비]])</f>
        <v>1.31175387</v>
      </c>
      <c r="J203" s="5">
        <f>_xll.IMDP("STK",표.실시간4[[#This Row],[nxt_code]],"전일대비")</f>
        <v>2600</v>
      </c>
      <c r="K203">
        <f>_xll.IMDP("STK",표.실시간4[[#This Row],[nxt_code]],"등락률")</f>
        <v>1.81</v>
      </c>
      <c r="L203" s="4">
        <f>_xll.IMDP("STK",표.실시간4[[#This Row],[nxt_code]],"누적거래량")</f>
        <v>1411</v>
      </c>
      <c r="M203" s="4">
        <f>_xll.IMDP("STK",표.실시간4[[#This Row],[nxt_code]],"누적거래대금")</f>
        <v>205074700</v>
      </c>
      <c r="N203" s="4">
        <f>_xll.IMDP("STK",표.실시간4[[#This Row],[nxt_code]],"가중평균가")</f>
        <v>145339.971651</v>
      </c>
      <c r="O203" s="4">
        <f>_xll.IMDP("STK",표.실시간4[[#This Row],[nxt_code]],"시가")</f>
        <v>150000</v>
      </c>
      <c r="P203" s="4">
        <f>_xll.IMDP("STK",표.실시간4[[#This Row],[nxt_code]],"고가")</f>
        <v>150000</v>
      </c>
      <c r="Q203" s="4">
        <f>_xll.IMDP("STK",표.실시간4[[#This Row],[nxt_code]],"저가")</f>
        <v>144700</v>
      </c>
      <c r="R203">
        <f>_xll.IMDP("STK",표.실시간4[[#This Row],[nxt_code]],"세션명")</f>
        <v>0</v>
      </c>
      <c r="S203">
        <f>_xll.IMDP("STK",표.실시간4[[#This Row],[nxt_code]],"체결시간")</f>
        <v>0</v>
      </c>
      <c r="T203" s="4">
        <f>_xll.IMDP("STK","069960","현재가")</f>
        <v>90600</v>
      </c>
      <c r="U203">
        <f>_xll.IMDP("STK","069960","누적거래량")</f>
        <v>612</v>
      </c>
    </row>
    <row r="204" spans="3:21" x14ac:dyDescent="0.3">
      <c r="C204">
        <v>199</v>
      </c>
      <c r="D204">
        <v>5440</v>
      </c>
      <c r="E204" t="s">
        <v>277</v>
      </c>
      <c r="F204" t="str">
        <f>ConvertStockCode(표.실시간4[[#This Row],[코드]])</f>
        <v>N005440</v>
      </c>
      <c r="G204" s="4">
        <f>_xll.IMDP("STK",표.실시간4[[#This Row],[nxt_code]],"현재가")</f>
        <v>8610</v>
      </c>
      <c r="H204" s="4">
        <f>_xll.IMDP("STK",표.실시간4[[#This Row],[nxt_code]],"시가총액")/10^12</f>
        <v>1.3423360316099999</v>
      </c>
      <c r="I204" s="4">
        <f>표.실시간4[[#This Row],[시가총액 (조원)]]/표.실시간4[[#This Row],[현재가]]*(표.실시간4[[#This Row],[현재가]]-표.실시간4[[#This Row],[대비]])</f>
        <v>1.31739134345</v>
      </c>
      <c r="J204" s="5">
        <f>_xll.IMDP("STK",표.실시간4[[#This Row],[nxt_code]],"전일대비")</f>
        <v>160</v>
      </c>
      <c r="K204">
        <f>_xll.IMDP("STK",표.실시간4[[#This Row],[nxt_code]],"등락률")</f>
        <v>1.89</v>
      </c>
      <c r="L204" s="4">
        <f>_xll.IMDP("STK",표.실시간4[[#This Row],[nxt_code]],"누적거래량")</f>
        <v>6592</v>
      </c>
      <c r="M204" s="4">
        <f>_xll.IMDP("STK",표.실시간4[[#This Row],[nxt_code]],"누적거래대금")</f>
        <v>56056010</v>
      </c>
      <c r="N204" s="4">
        <f>_xll.IMDP("STK",표.실시간4[[#This Row],[nxt_code]],"가중평균가")</f>
        <v>8503.6422939999993</v>
      </c>
      <c r="O204" s="4">
        <f>_xll.IMDP("STK",표.실시간4[[#This Row],[nxt_code]],"시가")</f>
        <v>8480</v>
      </c>
      <c r="P204" s="4">
        <f>_xll.IMDP("STK",표.실시간4[[#This Row],[nxt_code]],"고가")</f>
        <v>8610</v>
      </c>
      <c r="Q204" s="4">
        <f>_xll.IMDP("STK",표.실시간4[[#This Row],[nxt_code]],"저가")</f>
        <v>8380</v>
      </c>
      <c r="R204">
        <f>_xll.IMDP("STK",표.실시간4[[#This Row],[nxt_code]],"세션명")</f>
        <v>0</v>
      </c>
      <c r="S204">
        <f>_xll.IMDP("STK",표.실시간4[[#This Row],[nxt_code]],"체결시간")</f>
        <v>0</v>
      </c>
      <c r="T204" s="4">
        <f>_xll.IMDP("STK","445680","현재가")</f>
        <v>127900</v>
      </c>
      <c r="U204">
        <f>_xll.IMDP("STK","445680","누적거래량")</f>
        <v>3503</v>
      </c>
    </row>
    <row r="205" spans="3:21" x14ac:dyDescent="0.3">
      <c r="C205">
        <v>200</v>
      </c>
      <c r="D205">
        <v>1800</v>
      </c>
      <c r="E205" t="s">
        <v>279</v>
      </c>
      <c r="F205" t="str">
        <f>ConvertStockCode(표.실시간4[[#This Row],[코드]])</f>
        <v>N001800</v>
      </c>
      <c r="G205" s="4">
        <f>_xll.IMDP("STK",표.실시간4[[#This Row],[nxt_code]],"현재가")</f>
        <v>20600</v>
      </c>
      <c r="H205" s="4">
        <f>_xll.IMDP("STK",표.실시간4[[#This Row],[nxt_code]],"시가총액")/10^12</f>
        <v>1.2904956932</v>
      </c>
      <c r="I205" s="4">
        <f>표.실시간4[[#This Row],[시가총액 (조원)]]/표.실시간4[[#This Row],[현재가]]*(표.실시간4[[#This Row],[현재가]]-표.실시간4[[#This Row],[대비]])</f>
        <v>1.2936279642999999</v>
      </c>
      <c r="J205" s="5">
        <f>_xll.IMDP("STK",표.실시간4[[#This Row],[nxt_code]],"전일대비")</f>
        <v>-50</v>
      </c>
      <c r="K205">
        <f>_xll.IMDP("STK",표.실시간4[[#This Row],[nxt_code]],"등락률")</f>
        <v>-0.24</v>
      </c>
      <c r="L205" s="4">
        <f>_xll.IMDP("STK",표.실시간4[[#This Row],[nxt_code]],"누적거래량")</f>
        <v>5723</v>
      </c>
      <c r="M205" s="4">
        <f>_xll.IMDP("STK",표.실시간4[[#This Row],[nxt_code]],"누적거래대금")</f>
        <v>118606750</v>
      </c>
      <c r="N205" s="4">
        <f>_xll.IMDP("STK",표.실시간4[[#This Row],[nxt_code]],"가중평균가")</f>
        <v>20724.576271000002</v>
      </c>
      <c r="O205" s="4">
        <f>_xll.IMDP("STK",표.실시간4[[#This Row],[nxt_code]],"시가")</f>
        <v>20800</v>
      </c>
      <c r="P205" s="4">
        <f>_xll.IMDP("STK",표.실시간4[[#This Row],[nxt_code]],"고가")</f>
        <v>20850</v>
      </c>
      <c r="Q205" s="4">
        <f>_xll.IMDP("STK",표.실시간4[[#This Row],[nxt_code]],"저가")</f>
        <v>20550</v>
      </c>
      <c r="R205">
        <f>_xll.IMDP("STK",표.실시간4[[#This Row],[nxt_code]],"세션명")</f>
        <v>0</v>
      </c>
      <c r="S205">
        <f>_xll.IMDP("STK",표.실시간4[[#This Row],[nxt_code]],"체결시간")</f>
        <v>0</v>
      </c>
      <c r="T205" s="4">
        <f>_xll.IMDP("STK","192820","현재가")</f>
        <v>194700</v>
      </c>
      <c r="U205">
        <f>_xll.IMDP("STK","192820","누적거래량")</f>
        <v>2440</v>
      </c>
    </row>
    <row r="206" spans="3:21" x14ac:dyDescent="0.3">
      <c r="C206">
        <v>201</v>
      </c>
      <c r="D206">
        <v>3090</v>
      </c>
      <c r="E206" t="s">
        <v>281</v>
      </c>
      <c r="F206" t="str">
        <f>ConvertStockCode(표.실시간4[[#This Row],[코드]])</f>
        <v>N003090</v>
      </c>
      <c r="G206" s="4">
        <f>_xll.IMDP("STK",표.실시간4[[#This Row],[nxt_code]],"현재가")</f>
        <v>22200</v>
      </c>
      <c r="H206" s="4">
        <f>_xll.IMDP("STK",표.실시간4[[#This Row],[nxt_code]],"시가총액")/10^12</f>
        <v>1.290751956</v>
      </c>
      <c r="I206" s="4">
        <f>표.실시간4[[#This Row],[시가총액 (조원)]]/표.실시간4[[#This Row],[현재가]]*(표.실시간4[[#This Row],[현재가]]-표.실시간4[[#This Row],[대비]])</f>
        <v>1.2849377579999999</v>
      </c>
      <c r="J206" s="5">
        <f>_xll.IMDP("STK",표.실시간4[[#This Row],[nxt_code]],"전일대비")</f>
        <v>100</v>
      </c>
      <c r="K206">
        <f>_xll.IMDP("STK",표.실시간4[[#This Row],[nxt_code]],"등락률")</f>
        <v>0.45</v>
      </c>
      <c r="L206" s="4">
        <f>_xll.IMDP("STK",표.실시간4[[#This Row],[nxt_code]],"누적거래량")</f>
        <v>8203</v>
      </c>
      <c r="M206" s="4">
        <f>_xll.IMDP("STK",표.실시간4[[#This Row],[nxt_code]],"누적거래대금")</f>
        <v>181464050</v>
      </c>
      <c r="N206" s="4">
        <f>_xll.IMDP("STK",표.실시간4[[#This Row],[nxt_code]],"가중평균가")</f>
        <v>22121.668902000001</v>
      </c>
      <c r="O206" s="4">
        <f>_xll.IMDP("STK",표.실시간4[[#This Row],[nxt_code]],"시가")</f>
        <v>21900</v>
      </c>
      <c r="P206" s="4">
        <f>_xll.IMDP("STK",표.실시간4[[#This Row],[nxt_code]],"고가")</f>
        <v>22250</v>
      </c>
      <c r="Q206" s="4">
        <f>_xll.IMDP("STK",표.실시간4[[#This Row],[nxt_code]],"저가")</f>
        <v>21900</v>
      </c>
      <c r="R206">
        <f>_xll.IMDP("STK",표.실시간4[[#This Row],[nxt_code]],"세션명")</f>
        <v>0</v>
      </c>
      <c r="S206">
        <f>_xll.IMDP("STK",표.실시간4[[#This Row],[nxt_code]],"체결시간")</f>
        <v>0</v>
      </c>
      <c r="T206" s="4">
        <f>_xll.IMDP("STK","018670","현재가")</f>
        <v>229500</v>
      </c>
      <c r="U206">
        <f>_xll.IMDP("STK","018670","누적거래량")</f>
        <v>66</v>
      </c>
    </row>
    <row r="207" spans="3:21" x14ac:dyDescent="0.3">
      <c r="C207">
        <v>202</v>
      </c>
      <c r="D207">
        <v>120110</v>
      </c>
      <c r="E207" t="s">
        <v>289</v>
      </c>
      <c r="F207" t="str">
        <f>ConvertStockCode(표.실시간4[[#This Row],[코드]])</f>
        <v>N120110</v>
      </c>
      <c r="G207" s="4">
        <f>_xll.IMDP("STK",표.실시간4[[#This Row],[nxt_code]],"현재가")</f>
        <v>47350</v>
      </c>
      <c r="H207" s="4">
        <f>_xll.IMDP("STK",표.실시간4[[#This Row],[nxt_code]],"시가총액")/10^12</f>
        <v>1.3030289588499999</v>
      </c>
      <c r="I207" s="4">
        <f>표.실시간4[[#This Row],[시가총액 (조원)]]/표.실시간4[[#This Row],[현재가]]*(표.실시간4[[#This Row],[현재가]]-표.실시간4[[#This Row],[대비]])</f>
        <v>1.28376559515</v>
      </c>
      <c r="J207" s="5">
        <f>_xll.IMDP("STK",표.실시간4[[#This Row],[nxt_code]],"전일대비")</f>
        <v>700</v>
      </c>
      <c r="K207">
        <f>_xll.IMDP("STK",표.실시간4[[#This Row],[nxt_code]],"등락률")</f>
        <v>1.5</v>
      </c>
      <c r="L207" s="4">
        <f>_xll.IMDP("STK",표.실시간4[[#This Row],[nxt_code]],"누적거래량")</f>
        <v>19536</v>
      </c>
      <c r="M207" s="4">
        <f>_xll.IMDP("STK",표.실시간4[[#This Row],[nxt_code]],"누적거래대금")</f>
        <v>918665550</v>
      </c>
      <c r="N207" s="4">
        <f>_xll.IMDP("STK",표.실시간4[[#This Row],[nxt_code]],"가중평균가")</f>
        <v>47024.239865000003</v>
      </c>
      <c r="O207" s="4">
        <f>_xll.IMDP("STK",표.실시간4[[#This Row],[nxt_code]],"시가")</f>
        <v>46800</v>
      </c>
      <c r="P207" s="4">
        <f>_xll.IMDP("STK",표.실시간4[[#This Row],[nxt_code]],"고가")</f>
        <v>47400</v>
      </c>
      <c r="Q207" s="4">
        <f>_xll.IMDP("STK",표.실시간4[[#This Row],[nxt_code]],"저가")</f>
        <v>46550</v>
      </c>
      <c r="R207">
        <f>_xll.IMDP("STK",표.실시간4[[#This Row],[nxt_code]],"세션명")</f>
        <v>0</v>
      </c>
      <c r="S207">
        <f>_xll.IMDP("STK",표.실시간4[[#This Row],[nxt_code]],"체결시간")</f>
        <v>0</v>
      </c>
      <c r="T207" s="4">
        <f>_xll.IMDP("STK","002790","현재가")</f>
        <v>26950</v>
      </c>
      <c r="U207">
        <f>_xll.IMDP("STK","002790","누적거래량")</f>
        <v>1487</v>
      </c>
    </row>
    <row r="208" spans="3:21" x14ac:dyDescent="0.3">
      <c r="C208">
        <v>203</v>
      </c>
      <c r="D208">
        <v>80</v>
      </c>
      <c r="E208" t="s">
        <v>286</v>
      </c>
      <c r="F208" t="str">
        <f>ConvertStockCode(표.실시간4[[#This Row],[코드]])</f>
        <v>N000080</v>
      </c>
      <c r="G208" s="4">
        <f>_xll.IMDP("STK",표.실시간4[[#This Row],[nxt_code]],"현재가")</f>
        <v>18020</v>
      </c>
      <c r="H208" s="4">
        <f>_xll.IMDP("STK",표.실시간4[[#This Row],[nxt_code]],"시가총액")/10^12</f>
        <v>1.2638076702200001</v>
      </c>
      <c r="I208" s="4">
        <f>표.실시간4[[#This Row],[시가총액 (조원)]]/표.실시간4[[#This Row],[현재가]]*(표.실시간4[[#This Row],[현재가]]-표.실시간4[[#This Row],[대비]])</f>
        <v>1.26450900633</v>
      </c>
      <c r="J208" s="5">
        <f>_xll.IMDP("STK",표.실시간4[[#This Row],[nxt_code]],"전일대비")</f>
        <v>-10</v>
      </c>
      <c r="K208">
        <f>_xll.IMDP("STK",표.실시간4[[#This Row],[nxt_code]],"등락률")</f>
        <v>-0.17</v>
      </c>
      <c r="L208" s="4">
        <f>_xll.IMDP("STK",표.실시간4[[#This Row],[nxt_code]],"누적거래량")</f>
        <v>3750</v>
      </c>
      <c r="M208" s="4">
        <f>_xll.IMDP("STK",표.실시간4[[#This Row],[nxt_code]],"누적거래대금")</f>
        <v>67697730</v>
      </c>
      <c r="N208" s="4">
        <f>_xll.IMDP("STK",표.실시간4[[#This Row],[nxt_code]],"가중평균가")</f>
        <v>18052.727999999999</v>
      </c>
      <c r="O208" s="4">
        <f>_xll.IMDP("STK",표.실시간4[[#This Row],[nxt_code]],"시가")</f>
        <v>18090</v>
      </c>
      <c r="P208" s="4">
        <f>_xll.IMDP("STK",표.실시간4[[#This Row],[nxt_code]],"고가")</f>
        <v>18100</v>
      </c>
      <c r="Q208" s="4">
        <f>_xll.IMDP("STK",표.실시간4[[#This Row],[nxt_code]],"저가")</f>
        <v>18020</v>
      </c>
      <c r="R208">
        <f>_xll.IMDP("STK",표.실시간4[[#This Row],[nxt_code]],"세션명")</f>
        <v>0</v>
      </c>
      <c r="S208">
        <f>_xll.IMDP("STK",표.실시간4[[#This Row],[nxt_code]],"체결시간")</f>
        <v>0</v>
      </c>
      <c r="T208" s="4">
        <f>_xll.IMDP("STK","047040","현재가")</f>
        <v>5120</v>
      </c>
      <c r="U208">
        <f>_xll.IMDP("STK","047040","누적거래량")</f>
        <v>181796</v>
      </c>
    </row>
    <row r="209" spans="3:21" x14ac:dyDescent="0.3">
      <c r="C209">
        <v>204</v>
      </c>
      <c r="D209">
        <v>71320</v>
      </c>
      <c r="E209" t="s">
        <v>283</v>
      </c>
      <c r="F209" t="str">
        <f>ConvertStockCode(표.실시간4[[#This Row],[코드]])</f>
        <v>N071320</v>
      </c>
      <c r="G209" s="4">
        <f>_xll.IMDP("STK",표.실시간4[[#This Row],[nxt_code]],"현재가")</f>
        <v>108800</v>
      </c>
      <c r="H209" s="4">
        <f>_xll.IMDP("STK",표.실시간4[[#This Row],[nxt_code]],"시가총액")/10^12</f>
        <v>1.2597673471999999</v>
      </c>
      <c r="I209" s="4">
        <f>표.실시간4[[#This Row],[시가총액 (조원)]]/표.실시간4[[#This Row],[현재가]]*(표.실시간4[[#This Row],[현재가]]-표.실시간4[[#This Row],[대비]])</f>
        <v>1.2701882168</v>
      </c>
      <c r="J209" s="5">
        <f>_xll.IMDP("STK",표.실시간4[[#This Row],[nxt_code]],"전일대비")</f>
        <v>-900</v>
      </c>
      <c r="K209">
        <f>_xll.IMDP("STK",표.실시간4[[#This Row],[nxt_code]],"등락률")</f>
        <v>-0.82</v>
      </c>
      <c r="L209" s="4">
        <f>_xll.IMDP("STK",표.실시간4[[#This Row],[nxt_code]],"누적거래량")</f>
        <v>1881</v>
      </c>
      <c r="M209" s="4">
        <f>_xll.IMDP("STK",표.실시간4[[#This Row],[nxt_code]],"누적거래대금")</f>
        <v>203796900</v>
      </c>
      <c r="N209" s="4">
        <f>_xll.IMDP("STK",표.실시간4[[#This Row],[nxt_code]],"가중평균가")</f>
        <v>108344.976077</v>
      </c>
      <c r="O209" s="4">
        <f>_xll.IMDP("STK",표.실시간4[[#This Row],[nxt_code]],"시가")</f>
        <v>109700</v>
      </c>
      <c r="P209" s="4">
        <f>_xll.IMDP("STK",표.실시간4[[#This Row],[nxt_code]],"고가")</f>
        <v>109700</v>
      </c>
      <c r="Q209" s="4">
        <f>_xll.IMDP("STK",표.실시간4[[#This Row],[nxt_code]],"저가")</f>
        <v>107900</v>
      </c>
      <c r="R209">
        <f>_xll.IMDP("STK",표.실시간4[[#This Row],[nxt_code]],"세션명")</f>
        <v>0</v>
      </c>
      <c r="S209">
        <f>_xll.IMDP("STK",표.실시간4[[#This Row],[nxt_code]],"체결시간")</f>
        <v>0</v>
      </c>
      <c r="T209" s="4">
        <f>_xll.IMDP("STK","476830","현재가")</f>
        <v>140500</v>
      </c>
      <c r="U209">
        <f>_xll.IMDP("STK","476830","누적거래량")</f>
        <v>6860</v>
      </c>
    </row>
    <row r="210" spans="3:21" x14ac:dyDescent="0.3">
      <c r="C210">
        <v>205</v>
      </c>
      <c r="D210">
        <v>5300</v>
      </c>
      <c r="E210" t="s">
        <v>293</v>
      </c>
      <c r="F210" t="str">
        <f>ConvertStockCode(표.실시간4[[#This Row],[코드]])</f>
        <v>N005300</v>
      </c>
      <c r="G210" s="4">
        <f>_xll.IMDP("STK",표.실시간4[[#This Row],[nxt_code]],"현재가")</f>
        <v>131500</v>
      </c>
      <c r="H210" s="4">
        <f>_xll.IMDP("STK",표.실시간4[[#This Row],[nxt_code]],"시가총액")/10^12</f>
        <v>1.2201732460000001</v>
      </c>
      <c r="I210" s="4">
        <f>표.실시간4[[#This Row],[시가총액 (조원)]]/표.실시간4[[#This Row],[현재가]]*(표.실시간4[[#This Row],[현재가]]-표.실시간4[[#This Row],[대비]])</f>
        <v>1.2201732460000001</v>
      </c>
      <c r="J210" s="5">
        <f>_xll.IMDP("STK",표.실시간4[[#This Row],[nxt_code]],"전일대비")</f>
        <v>0</v>
      </c>
      <c r="K210">
        <f>_xll.IMDP("STK",표.실시간4[[#This Row],[nxt_code]],"등락률")</f>
        <v>0</v>
      </c>
      <c r="L210" s="4">
        <f>_xll.IMDP("STK",표.실시간4[[#This Row],[nxt_code]],"누적거래량")</f>
        <v>332</v>
      </c>
      <c r="M210" s="4">
        <f>_xll.IMDP("STK",표.실시간4[[#This Row],[nxt_code]],"누적거래대금")</f>
        <v>43733100</v>
      </c>
      <c r="N210" s="4">
        <f>_xll.IMDP("STK",표.실시간4[[#This Row],[nxt_code]],"가중평균가")</f>
        <v>131726.20481900001</v>
      </c>
      <c r="O210" s="4">
        <f>_xll.IMDP("STK",표.실시간4[[#This Row],[nxt_code]],"시가")</f>
        <v>131500</v>
      </c>
      <c r="P210" s="4">
        <f>_xll.IMDP("STK",표.실시간4[[#This Row],[nxt_code]],"고가")</f>
        <v>132500</v>
      </c>
      <c r="Q210" s="4">
        <f>_xll.IMDP("STK",표.실시간4[[#This Row],[nxt_code]],"저가")</f>
        <v>131400</v>
      </c>
      <c r="R210">
        <f>_xll.IMDP("STK",표.실시간4[[#This Row],[nxt_code]],"세션명")</f>
        <v>0</v>
      </c>
      <c r="S210">
        <f>_xll.IMDP("STK",표.실시간4[[#This Row],[nxt_code]],"체결시간")</f>
        <v>0</v>
      </c>
      <c r="T210" s="4">
        <f>_xll.IMDP("STK","282330","현재가")</f>
        <v>119200</v>
      </c>
      <c r="U210">
        <f>_xll.IMDP("STK","282330","누적거래량")</f>
        <v>601</v>
      </c>
    </row>
    <row r="211" spans="3:21" x14ac:dyDescent="0.3">
      <c r="C211">
        <v>206</v>
      </c>
      <c r="D211">
        <v>300720</v>
      </c>
      <c r="E211" t="s">
        <v>291</v>
      </c>
      <c r="F211" t="str">
        <f>ConvertStockCode(표.실시간4[[#This Row],[코드]])</f>
        <v>N300720</v>
      </c>
      <c r="G211" s="4">
        <f>_xll.IMDP("STK",표.실시간4[[#This Row],[nxt_code]],"현재가")</f>
        <v>16540</v>
      </c>
      <c r="H211" s="4">
        <f>_xll.IMDP("STK",표.실시간4[[#This Row],[nxt_code]],"시가총액")/10^12</f>
        <v>1.21643775686</v>
      </c>
      <c r="I211" s="4">
        <f>표.실시간4[[#This Row],[시가총액 (조원)]]/표.실시간4[[#This Row],[현재가]]*(표.실시간4[[#This Row],[현재가]]-표.실시간4[[#This Row],[대비]])</f>
        <v>1.2134959485000001</v>
      </c>
      <c r="J211" s="5">
        <f>_xll.IMDP("STK",표.실시간4[[#This Row],[nxt_code]],"전일대비")</f>
        <v>40</v>
      </c>
      <c r="K211">
        <f>_xll.IMDP("STK",표.실시간4[[#This Row],[nxt_code]],"등락률")</f>
        <v>0.24</v>
      </c>
      <c r="L211" s="4">
        <f>_xll.IMDP("STK",표.실시간4[[#This Row],[nxt_code]],"누적거래량")</f>
        <v>1917</v>
      </c>
      <c r="M211" s="4">
        <f>_xll.IMDP("STK",표.실시간4[[#This Row],[nxt_code]],"누적거래대금")</f>
        <v>31727720</v>
      </c>
      <c r="N211" s="4">
        <f>_xll.IMDP("STK",표.실시간4[[#This Row],[nxt_code]],"가중평균가")</f>
        <v>16550.714658000001</v>
      </c>
      <c r="O211" s="4">
        <f>_xll.IMDP("STK",표.실시간4[[#This Row],[nxt_code]],"시가")</f>
        <v>16550</v>
      </c>
      <c r="P211" s="4">
        <f>_xll.IMDP("STK",표.실시간4[[#This Row],[nxt_code]],"고가")</f>
        <v>16600</v>
      </c>
      <c r="Q211" s="4">
        <f>_xll.IMDP("STK",표.실시간4[[#This Row],[nxt_code]],"저가")</f>
        <v>16500</v>
      </c>
      <c r="R211">
        <f>_xll.IMDP("STK",표.실시간4[[#This Row],[nxt_code]],"세션명")</f>
        <v>0</v>
      </c>
      <c r="S211">
        <f>_xll.IMDP("STK",표.실시간4[[#This Row],[nxt_code]],"체결시간")</f>
        <v>0</v>
      </c>
      <c r="T211" s="4">
        <f>_xll.IMDP("STK","361610","현재가")</f>
        <v>26550</v>
      </c>
      <c r="U211">
        <f>_xll.IMDP("STK","361610","누적거래량")</f>
        <v>16624</v>
      </c>
    </row>
    <row r="212" spans="3:21" x14ac:dyDescent="0.3">
      <c r="C212">
        <v>207</v>
      </c>
      <c r="D212">
        <v>100090</v>
      </c>
      <c r="E212" t="s">
        <v>294</v>
      </c>
      <c r="F212" t="str">
        <f>ConvertStockCode(표.실시간4[[#This Row],[코드]])</f>
        <v>N100090</v>
      </c>
      <c r="G212" s="4">
        <f>_xll.IMDP("STK",표.실시간4[[#This Row],[nxt_code]],"현재가")</f>
        <v>19470</v>
      </c>
      <c r="H212" s="4">
        <f>_xll.IMDP("STK",표.실시간4[[#This Row],[nxt_code]],"시가총액")/10^12</f>
        <v>1.2164491716300001</v>
      </c>
      <c r="I212" s="4">
        <f>표.실시간4[[#This Row],[시가총액 (조원)]]/표.실시간4[[#This Row],[현재가]]*(표.실시간4[[#This Row],[현재가]]-표.실시간4[[#This Row],[대비]])</f>
        <v>1.1970809516400001</v>
      </c>
      <c r="J212" s="5">
        <f>_xll.IMDP("STK",표.실시간4[[#This Row],[nxt_code]],"전일대비")</f>
        <v>310</v>
      </c>
      <c r="K212">
        <f>_xll.IMDP("STK",표.실시간4[[#This Row],[nxt_code]],"등락률")</f>
        <v>1.62</v>
      </c>
      <c r="L212" s="4">
        <f>_xll.IMDP("STK",표.실시간4[[#This Row],[nxt_code]],"누적거래량")</f>
        <v>27060</v>
      </c>
      <c r="M212" s="4">
        <f>_xll.IMDP("STK",표.실시간4[[#This Row],[nxt_code]],"누적거래대금")</f>
        <v>521756160</v>
      </c>
      <c r="N212" s="4">
        <f>_xll.IMDP("STK",표.실시간4[[#This Row],[nxt_code]],"가중평균가")</f>
        <v>19275.043776999999</v>
      </c>
      <c r="O212" s="4">
        <f>_xll.IMDP("STK",표.실시간4[[#This Row],[nxt_code]],"시가")</f>
        <v>19300</v>
      </c>
      <c r="P212" s="4">
        <f>_xll.IMDP("STK",표.실시간4[[#This Row],[nxt_code]],"고가")</f>
        <v>19500</v>
      </c>
      <c r="Q212" s="4">
        <f>_xll.IMDP("STK",표.실시간4[[#This Row],[nxt_code]],"저가")</f>
        <v>19120</v>
      </c>
      <c r="R212">
        <f>_xll.IMDP("STK",표.실시간4[[#This Row],[nxt_code]],"세션명")</f>
        <v>0</v>
      </c>
      <c r="S212">
        <f>_xll.IMDP("STK",표.실시간4[[#This Row],[nxt_code]],"체결시간")</f>
        <v>0</v>
      </c>
      <c r="T212" s="4">
        <f>_xll.IMDP("STK","083650","현재가")</f>
        <v>61500</v>
      </c>
      <c r="U212">
        <f>_xll.IMDP("STK","083650","누적거래량")</f>
        <v>26477</v>
      </c>
    </row>
    <row r="213" spans="3:21" x14ac:dyDescent="0.3">
      <c r="C213">
        <v>208</v>
      </c>
      <c r="D213">
        <v>30610</v>
      </c>
      <c r="E213" t="s">
        <v>298</v>
      </c>
      <c r="F213" t="str">
        <f>ConvertStockCode(표.실시간4[[#This Row],[코드]])</f>
        <v>N030610</v>
      </c>
      <c r="G213" s="4">
        <f>_xll.IMDP("STK",표.실시간4[[#This Row],[nxt_code]],"현재가")</f>
        <v>10700</v>
      </c>
      <c r="H213" s="4">
        <f>_xll.IMDP("STK",표.실시간4[[#This Row],[nxt_code]],"시가총액")/10^12</f>
        <v>1.2194036827000001</v>
      </c>
      <c r="I213" s="4">
        <f>표.실시간4[[#This Row],[시가총액 (조원)]]/표.실시간4[[#This Row],[현재가]]*(표.실시간4[[#This Row],[현재가]]-표.실시간4[[#This Row],[대비]])</f>
        <v>1.1966110905</v>
      </c>
      <c r="J213" s="5">
        <f>_xll.IMDP("STK",표.실시간4[[#This Row],[nxt_code]],"전일대비")</f>
        <v>200</v>
      </c>
      <c r="K213">
        <f>_xll.IMDP("STK",표.실시간4[[#This Row],[nxt_code]],"등락률")</f>
        <v>1.9</v>
      </c>
      <c r="L213" s="4">
        <f>_xll.IMDP("STK",표.실시간4[[#This Row],[nxt_code]],"누적거래량")</f>
        <v>12569</v>
      </c>
      <c r="M213" s="4">
        <f>_xll.IMDP("STK",표.실시간4[[#This Row],[nxt_code]],"누적거래대금")</f>
        <v>133581640</v>
      </c>
      <c r="N213" s="4">
        <f>_xll.IMDP("STK",표.실시간4[[#This Row],[nxt_code]],"가중평균가")</f>
        <v>10627.865383</v>
      </c>
      <c r="O213" s="4">
        <f>_xll.IMDP("STK",표.실시간4[[#This Row],[nxt_code]],"시가")</f>
        <v>10300</v>
      </c>
      <c r="P213" s="4">
        <f>_xll.IMDP("STK",표.실시간4[[#This Row],[nxt_code]],"고가")</f>
        <v>10700</v>
      </c>
      <c r="Q213" s="4">
        <f>_xll.IMDP("STK",표.실시간4[[#This Row],[nxt_code]],"저가")</f>
        <v>10300</v>
      </c>
      <c r="R213">
        <f>_xll.IMDP("STK",표.실시간4[[#This Row],[nxt_code]],"세션명")</f>
        <v>0</v>
      </c>
      <c r="S213">
        <f>_xll.IMDP("STK",표.실시간4[[#This Row],[nxt_code]],"체결시간")</f>
        <v>0</v>
      </c>
      <c r="T213" s="4">
        <f>_xll.IMDP("STK","267270","현재가")</f>
        <v>120100</v>
      </c>
      <c r="U213">
        <f>_xll.IMDP("STK","267270","누적거래량")</f>
        <v>17186</v>
      </c>
    </row>
    <row r="214" spans="3:21" x14ac:dyDescent="0.3">
      <c r="C214">
        <v>209</v>
      </c>
      <c r="D214">
        <v>229640</v>
      </c>
      <c r="E214" t="s">
        <v>301</v>
      </c>
      <c r="F214" t="str">
        <f>ConvertStockCode(표.실시간4[[#This Row],[코드]])</f>
        <v>N229640</v>
      </c>
      <c r="G214" s="4">
        <f>_xll.IMDP("STK",표.실시간4[[#This Row],[nxt_code]],"현재가")</f>
        <v>39100</v>
      </c>
      <c r="H214" s="4">
        <f>_xll.IMDP("STK",표.실시간4[[#This Row],[nxt_code]],"시가총액")/10^12</f>
        <v>1.1974327688999999</v>
      </c>
      <c r="I214" s="4">
        <f>표.실시간4[[#This Row],[시가총액 (조원)]]/표.실시간4[[#This Row],[현재가]]*(표.실시간4[[#This Row],[현재가]]-표.실시간4[[#This Row],[대비]])</f>
        <v>1.1821203294</v>
      </c>
      <c r="J214" s="5">
        <f>_xll.IMDP("STK",표.실시간4[[#This Row],[nxt_code]],"전일대비")</f>
        <v>500</v>
      </c>
      <c r="K214">
        <f>_xll.IMDP("STK",표.실시간4[[#This Row],[nxt_code]],"등락률")</f>
        <v>1.3</v>
      </c>
      <c r="L214" s="4">
        <f>_xll.IMDP("STK",표.실시간4[[#This Row],[nxt_code]],"누적거래량")</f>
        <v>59572</v>
      </c>
      <c r="M214" s="4">
        <f>_xll.IMDP("STK",표.실시간4[[#This Row],[nxt_code]],"누적거래대금")</f>
        <v>2356313450</v>
      </c>
      <c r="N214" s="4">
        <f>_xll.IMDP("STK",표.실시간4[[#This Row],[nxt_code]],"가중평균가")</f>
        <v>39554.043007</v>
      </c>
      <c r="O214" s="4">
        <f>_xll.IMDP("STK",표.실시간4[[#This Row],[nxt_code]],"시가")</f>
        <v>39100</v>
      </c>
      <c r="P214" s="4">
        <f>_xll.IMDP("STK",표.실시간4[[#This Row],[nxt_code]],"고가")</f>
        <v>39950</v>
      </c>
      <c r="Q214" s="4">
        <f>_xll.IMDP("STK",표.실시간4[[#This Row],[nxt_code]],"저가")</f>
        <v>39050</v>
      </c>
      <c r="R214">
        <f>_xll.IMDP("STK",표.실시간4[[#This Row],[nxt_code]],"세션명")</f>
        <v>0</v>
      </c>
      <c r="S214">
        <f>_xll.IMDP("STK",표.실시간4[[#This Row],[nxt_code]],"체결시간")</f>
        <v>0</v>
      </c>
      <c r="T214" s="4">
        <f>_xll.IMDP("STK","462870","현재가")</f>
        <v>34200</v>
      </c>
      <c r="U214">
        <f>_xll.IMDP("STK","462870","누적거래량")</f>
        <v>207</v>
      </c>
    </row>
    <row r="215" spans="3:21" x14ac:dyDescent="0.3">
      <c r="C215">
        <v>210</v>
      </c>
      <c r="D215">
        <v>285130</v>
      </c>
      <c r="E215" t="s">
        <v>304</v>
      </c>
      <c r="F215" t="str">
        <f>ConvertStockCode(표.실시간4[[#This Row],[코드]])</f>
        <v>N285130</v>
      </c>
      <c r="G215" s="4">
        <f>_xll.IMDP("STK",표.실시간4[[#This Row],[nxt_code]],"현재가")</f>
        <v>67200</v>
      </c>
      <c r="H215" s="4">
        <f>_xll.IMDP("STK",표.실시간4[[#This Row],[nxt_code]],"시가총액")/10^12</f>
        <v>1.1624770752</v>
      </c>
      <c r="I215" s="4">
        <f>표.실시간4[[#This Row],[시가총액 (조원)]]/표.실시간4[[#This Row],[현재가]]*(표.실시간4[[#This Row],[현재가]]-표.실시간4[[#This Row],[대비]])</f>
        <v>1.1572874454000002</v>
      </c>
      <c r="J215" s="5">
        <f>_xll.IMDP("STK",표.실시간4[[#This Row],[nxt_code]],"전일대비")</f>
        <v>300</v>
      </c>
      <c r="K215">
        <f>_xll.IMDP("STK",표.실시간4[[#This Row],[nxt_code]],"등락률")</f>
        <v>0.45</v>
      </c>
      <c r="L215" s="4">
        <f>_xll.IMDP("STK",표.실시간4[[#This Row],[nxt_code]],"누적거래량")</f>
        <v>1771</v>
      </c>
      <c r="M215" s="4">
        <f>_xll.IMDP("STK",표.실시간4[[#This Row],[nxt_code]],"누적거래대금")</f>
        <v>119414800</v>
      </c>
      <c r="N215" s="4">
        <f>_xll.IMDP("STK",표.실시간4[[#This Row],[nxt_code]],"가중평균가")</f>
        <v>67427.893844999999</v>
      </c>
      <c r="O215" s="4">
        <f>_xll.IMDP("STK",표.실시간4[[#This Row],[nxt_code]],"시가")</f>
        <v>67600</v>
      </c>
      <c r="P215" s="4">
        <f>_xll.IMDP("STK",표.실시간4[[#This Row],[nxt_code]],"고가")</f>
        <v>67600</v>
      </c>
      <c r="Q215" s="4">
        <f>_xll.IMDP("STK",표.실시간4[[#This Row],[nxt_code]],"저가")</f>
        <v>67200</v>
      </c>
      <c r="R215">
        <f>_xll.IMDP("STK",표.실시간4[[#This Row],[nxt_code]],"세션명")</f>
        <v>0</v>
      </c>
      <c r="S215">
        <f>_xll.IMDP("STK",표.실시간4[[#This Row],[nxt_code]],"체결시간")</f>
        <v>0</v>
      </c>
      <c r="T215" s="4">
        <f>_xll.IMDP("STK","064760","현재가")</f>
        <v>174100</v>
      </c>
      <c r="U215">
        <f>_xll.IMDP("STK","064760","누적거래량")</f>
        <v>966</v>
      </c>
    </row>
    <row r="216" spans="3:21" x14ac:dyDescent="0.3">
      <c r="C216">
        <v>211</v>
      </c>
      <c r="D216">
        <v>4000</v>
      </c>
      <c r="E216" t="s">
        <v>299</v>
      </c>
      <c r="F216" t="str">
        <f>ConvertStockCode(표.실시간4[[#This Row],[코드]])</f>
        <v>N004000</v>
      </c>
      <c r="G216" s="4">
        <f>_xll.IMDP("STK",표.실시간4[[#This Row],[nxt_code]],"현재가")</f>
        <v>45600</v>
      </c>
      <c r="H216" s="4">
        <f>_xll.IMDP("STK",표.실시간4[[#This Row],[nxt_code]],"시가총액")/10^12</f>
        <v>1.17648</v>
      </c>
      <c r="I216" s="4">
        <f>표.실시간4[[#This Row],[시가총액 (조원)]]/표.실시간4[[#This Row],[현재가]]*(표.실시간4[[#This Row],[현재가]]-표.실시간4[[#This Row],[대비]])</f>
        <v>1.1687400000000001</v>
      </c>
      <c r="J216" s="5">
        <f>_xll.IMDP("STK",표.실시간4[[#This Row],[nxt_code]],"전일대비")</f>
        <v>300</v>
      </c>
      <c r="K216">
        <f>_xll.IMDP("STK",표.실시간4[[#This Row],[nxt_code]],"등락률")</f>
        <v>0.66</v>
      </c>
      <c r="L216" s="4">
        <f>_xll.IMDP("STK",표.실시간4[[#This Row],[nxt_code]],"누적거래량")</f>
        <v>1672</v>
      </c>
      <c r="M216" s="4">
        <f>_xll.IMDP("STK",표.실시간4[[#This Row],[nxt_code]],"누적거래대금")</f>
        <v>76152450</v>
      </c>
      <c r="N216" s="4">
        <f>_xll.IMDP("STK",표.실시간4[[#This Row],[nxt_code]],"가중평균가")</f>
        <v>45545.723683999997</v>
      </c>
      <c r="O216" s="4">
        <f>_xll.IMDP("STK",표.실시간4[[#This Row],[nxt_code]],"시가")</f>
        <v>45350</v>
      </c>
      <c r="P216" s="4">
        <f>_xll.IMDP("STK",표.실시간4[[#This Row],[nxt_code]],"고가")</f>
        <v>45700</v>
      </c>
      <c r="Q216" s="4">
        <f>_xll.IMDP("STK",표.실시간4[[#This Row],[nxt_code]],"저가")</f>
        <v>45350</v>
      </c>
      <c r="R216">
        <f>_xll.IMDP("STK",표.실시간4[[#This Row],[nxt_code]],"세션명")</f>
        <v>0</v>
      </c>
      <c r="S216">
        <f>_xll.IMDP("STK",표.실시간4[[#This Row],[nxt_code]],"체결시간")</f>
        <v>0</v>
      </c>
      <c r="T216" s="4">
        <f>_xll.IMDP("STK","466100","현재가")</f>
        <v>68700</v>
      </c>
      <c r="U216">
        <f>_xll.IMDP("STK","466100","누적거래량")</f>
        <v>34002</v>
      </c>
    </row>
    <row r="217" spans="3:21" x14ac:dyDescent="0.3">
      <c r="C217">
        <v>212</v>
      </c>
      <c r="D217">
        <v>249420</v>
      </c>
      <c r="E217" t="s">
        <v>297</v>
      </c>
      <c r="F217" t="str">
        <f>ConvertStockCode(표.실시간4[[#This Row],[코드]])</f>
        <v>N249420</v>
      </c>
      <c r="G217" s="4">
        <f>_xll.IMDP("STK",표.실시간4[[#This Row],[nxt_code]],"현재가")</f>
        <v>36400</v>
      </c>
      <c r="H217" s="4">
        <f>_xll.IMDP("STK",표.실시간4[[#This Row],[nxt_code]],"시가총액")/10^12</f>
        <v>1.1516323728</v>
      </c>
      <c r="I217" s="4">
        <f>표.실시간4[[#This Row],[시가총액 (조원)]]/표.실시간4[[#This Row],[현재가]]*(표.실시간4[[#This Row],[현재가]]-표.실시간4[[#This Row],[대비]])</f>
        <v>1.1421408972</v>
      </c>
      <c r="J217" s="5">
        <f>_xll.IMDP("STK",표.실시간4[[#This Row],[nxt_code]],"전일대비")</f>
        <v>300</v>
      </c>
      <c r="K217">
        <f>_xll.IMDP("STK",표.실시간4[[#This Row],[nxt_code]],"등락률")</f>
        <v>0.83</v>
      </c>
      <c r="L217" s="4">
        <f>_xll.IMDP("STK",표.실시간4[[#This Row],[nxt_code]],"누적거래량")</f>
        <v>57814</v>
      </c>
      <c r="M217" s="4">
        <f>_xll.IMDP("STK",표.실시간4[[#This Row],[nxt_code]],"누적거래대금")</f>
        <v>2109127400</v>
      </c>
      <c r="N217" s="4">
        <f>_xll.IMDP("STK",표.실시간4[[#This Row],[nxt_code]],"가중평균가")</f>
        <v>36481.257135</v>
      </c>
      <c r="O217" s="4">
        <f>_xll.IMDP("STK",표.실시간4[[#This Row],[nxt_code]],"시가")</f>
        <v>36300</v>
      </c>
      <c r="P217" s="4">
        <f>_xll.IMDP("STK",표.실시간4[[#This Row],[nxt_code]],"고가")</f>
        <v>36700</v>
      </c>
      <c r="Q217" s="4">
        <f>_xll.IMDP("STK",표.실시간4[[#This Row],[nxt_code]],"저가")</f>
        <v>36200</v>
      </c>
      <c r="R217">
        <f>_xll.IMDP("STK",표.실시간4[[#This Row],[nxt_code]],"세션명")</f>
        <v>0</v>
      </c>
      <c r="S217">
        <f>_xll.IMDP("STK",표.실시간4[[#This Row],[nxt_code]],"체결시간")</f>
        <v>0</v>
      </c>
      <c r="T217" s="4">
        <f>_xll.IMDP("STK","069620","현재가")</f>
        <v>164600</v>
      </c>
      <c r="U217">
        <f>_xll.IMDP("STK","069620","누적거래량")</f>
        <v>294</v>
      </c>
    </row>
    <row r="218" spans="3:21" x14ac:dyDescent="0.3">
      <c r="C218">
        <v>213</v>
      </c>
      <c r="D218">
        <v>185750</v>
      </c>
      <c r="E218" t="s">
        <v>302</v>
      </c>
      <c r="F218" t="str">
        <f>ConvertStockCode(표.실시간4[[#This Row],[코드]])</f>
        <v>N185750</v>
      </c>
      <c r="G218" s="4">
        <f>_xll.IMDP("STK",표.실시간4[[#This Row],[nxt_code]],"현재가")</f>
        <v>84000</v>
      </c>
      <c r="H218" s="4">
        <f>_xll.IMDP("STK",표.실시간4[[#This Row],[nxt_code]],"시가총액")/10^12</f>
        <v>1.1594335200000001</v>
      </c>
      <c r="I218" s="4">
        <f>표.실시간4[[#This Row],[시가총액 (조원)]]/표.실시간4[[#This Row],[현재가]]*(표.실시간4[[#This Row],[현재가]]-표.실시간4[[#This Row],[대비]])</f>
        <v>1.1552926860000001</v>
      </c>
      <c r="J218" s="5">
        <f>_xll.IMDP("STK",표.실시간4[[#This Row],[nxt_code]],"전일대비")</f>
        <v>300</v>
      </c>
      <c r="K218">
        <f>_xll.IMDP("STK",표.실시간4[[#This Row],[nxt_code]],"등락률")</f>
        <v>0.36</v>
      </c>
      <c r="L218" s="4">
        <f>_xll.IMDP("STK",표.실시간4[[#This Row],[nxt_code]],"누적거래량")</f>
        <v>387</v>
      </c>
      <c r="M218" s="4">
        <f>_xll.IMDP("STK",표.실시간4[[#This Row],[nxt_code]],"누적거래대금")</f>
        <v>32477800</v>
      </c>
      <c r="N218" s="4">
        <f>_xll.IMDP("STK",표.실시간4[[#This Row],[nxt_code]],"가중평균가")</f>
        <v>83921.963824000006</v>
      </c>
      <c r="O218" s="4">
        <f>_xll.IMDP("STK",표.실시간4[[#This Row],[nxt_code]],"시가")</f>
        <v>83700</v>
      </c>
      <c r="P218" s="4">
        <f>_xll.IMDP("STK",표.실시간4[[#This Row],[nxt_code]],"고가")</f>
        <v>84200</v>
      </c>
      <c r="Q218" s="4">
        <f>_xll.IMDP("STK",표.실시간4[[#This Row],[nxt_code]],"저가")</f>
        <v>83700</v>
      </c>
      <c r="R218">
        <f>_xll.IMDP("STK",표.실시간4[[#This Row],[nxt_code]],"세션명")</f>
        <v>0</v>
      </c>
      <c r="S218">
        <f>_xll.IMDP("STK",표.실시간4[[#This Row],[nxt_code]],"체결시간")</f>
        <v>0</v>
      </c>
      <c r="T218" s="4">
        <f>_xll.IMDP("STK","017960","현재가")</f>
        <v>35600</v>
      </c>
      <c r="U218">
        <f>_xll.IMDP("STK","017960","누적거래량")</f>
        <v>8435</v>
      </c>
    </row>
    <row r="219" spans="3:21" x14ac:dyDescent="0.3">
      <c r="C219">
        <v>214</v>
      </c>
      <c r="D219">
        <v>6120</v>
      </c>
      <c r="E219" t="s">
        <v>303</v>
      </c>
      <c r="F219" t="str">
        <f>ConvertStockCode(표.실시간4[[#This Row],[코드]])</f>
        <v>N006120</v>
      </c>
      <c r="G219" s="4">
        <f>_xll.IMDP("STK",표.실시간4[[#This Row],[nxt_code]],"현재가")</f>
        <v>62900</v>
      </c>
      <c r="H219" s="4">
        <f>_xll.IMDP("STK",표.실시간4[[#This Row],[nxt_code]],"시가총액")/10^12</f>
        <v>1.1540800794999999</v>
      </c>
      <c r="I219" s="4">
        <f>표.실시간4[[#This Row],[시가총액 (조원)]]/표.실시간4[[#This Row],[현재가]]*(표.실시간4[[#This Row],[현재가]]-표.실시간4[[#This Row],[대비]])</f>
        <v>1.1449061519999999</v>
      </c>
      <c r="J219" s="5">
        <f>_xll.IMDP("STK",표.실시간4[[#This Row],[nxt_code]],"전일대비")</f>
        <v>500</v>
      </c>
      <c r="K219">
        <f>_xll.IMDP("STK",표.실시간4[[#This Row],[nxt_code]],"등락률")</f>
        <v>0.8</v>
      </c>
      <c r="L219" s="4">
        <f>_xll.IMDP("STK",표.실시간4[[#This Row],[nxt_code]],"누적거래량")</f>
        <v>389</v>
      </c>
      <c r="M219" s="4">
        <f>_xll.IMDP("STK",표.실시간4[[#This Row],[nxt_code]],"누적거래대금")</f>
        <v>24198500</v>
      </c>
      <c r="N219" s="4">
        <f>_xll.IMDP("STK",표.실시간4[[#This Row],[nxt_code]],"가중평균가")</f>
        <v>62206.940874</v>
      </c>
      <c r="O219" s="4">
        <f>_xll.IMDP("STK",표.실시간4[[#This Row],[nxt_code]],"시가")</f>
        <v>62400</v>
      </c>
      <c r="P219" s="4">
        <f>_xll.IMDP("STK",표.실시간4[[#This Row],[nxt_code]],"고가")</f>
        <v>62900</v>
      </c>
      <c r="Q219" s="4">
        <f>_xll.IMDP("STK",표.실시간4[[#This Row],[nxt_code]],"저가")</f>
        <v>62100</v>
      </c>
      <c r="R219">
        <f>_xll.IMDP("STK",표.실시간4[[#This Row],[nxt_code]],"세션명")</f>
        <v>0</v>
      </c>
      <c r="S219">
        <f>_xll.IMDP("STK",표.실시간4[[#This Row],[nxt_code]],"체결시간")</f>
        <v>0</v>
      </c>
      <c r="T219" s="4">
        <f>_xll.IMDP("STK","084370","현재가")</f>
        <v>74900</v>
      </c>
      <c r="U219">
        <f>_xll.IMDP("STK","084370","누적거래량")</f>
        <v>5403</v>
      </c>
    </row>
    <row r="220" spans="3:21" x14ac:dyDescent="0.3">
      <c r="C220">
        <v>215</v>
      </c>
      <c r="D220">
        <v>89860</v>
      </c>
      <c r="E220" t="s">
        <v>309</v>
      </c>
      <c r="F220" t="str">
        <f>ConvertStockCode(표.실시간4[[#This Row],[코드]])</f>
        <v>N089860</v>
      </c>
      <c r="G220" s="4">
        <f>_xll.IMDP("STK",표.실시간4[[#This Row],[nxt_code]],"현재가")</f>
        <v>30600</v>
      </c>
      <c r="H220" s="4">
        <f>_xll.IMDP("STK",표.실시간4[[#This Row],[nxt_code]],"시가총액")/10^12</f>
        <v>1.1110672727999999</v>
      </c>
      <c r="I220" s="4">
        <f>표.실시간4[[#This Row],[시가총액 (조원)]]/표.실시간4[[#This Row],[현재가]]*(표.실시간4[[#This Row],[현재가]]-표.실시간4[[#This Row],[대비]])</f>
        <v>1.1110672727999999</v>
      </c>
      <c r="J220" s="5">
        <f>_xll.IMDP("STK",표.실시간4[[#This Row],[nxt_code]],"전일대비")</f>
        <v>0</v>
      </c>
      <c r="K220">
        <f>_xll.IMDP("STK",표.실시간4[[#This Row],[nxt_code]],"등락률")</f>
        <v>0</v>
      </c>
      <c r="L220" s="4">
        <f>_xll.IMDP("STK",표.실시간4[[#This Row],[nxt_code]],"누적거래량")</f>
        <v>580</v>
      </c>
      <c r="M220" s="4">
        <f>_xll.IMDP("STK",표.실시간4[[#This Row],[nxt_code]],"누적거래대금")</f>
        <v>17734950</v>
      </c>
      <c r="N220" s="4">
        <f>_xll.IMDP("STK",표.실시간4[[#This Row],[nxt_code]],"가중평균가")</f>
        <v>30577.5</v>
      </c>
      <c r="O220" s="4">
        <f>_xll.IMDP("STK",표.실시간4[[#This Row],[nxt_code]],"시가")</f>
        <v>30550</v>
      </c>
      <c r="P220" s="4">
        <f>_xll.IMDP("STK",표.실시간4[[#This Row],[nxt_code]],"고가")</f>
        <v>30600</v>
      </c>
      <c r="Q220" s="4">
        <f>_xll.IMDP("STK",표.실시간4[[#This Row],[nxt_code]],"저가")</f>
        <v>30450</v>
      </c>
      <c r="R220">
        <f>_xll.IMDP("STK",표.실시간4[[#This Row],[nxt_code]],"세션명")</f>
        <v>0</v>
      </c>
      <c r="S220">
        <f>_xll.IMDP("STK",표.실시간4[[#This Row],[nxt_code]],"체결시간")</f>
        <v>0</v>
      </c>
      <c r="T220" s="4">
        <f>_xll.IMDP("STK","222800","현재가")</f>
        <v>48100</v>
      </c>
      <c r="U220">
        <f>_xll.IMDP("STK","222800","누적거래량")</f>
        <v>9703</v>
      </c>
    </row>
    <row r="221" spans="3:21" x14ac:dyDescent="0.3">
      <c r="C221">
        <v>216</v>
      </c>
      <c r="D221">
        <v>192080</v>
      </c>
      <c r="E221" t="s">
        <v>310</v>
      </c>
      <c r="F221" t="str">
        <f>ConvertStockCode(표.실시간4[[#This Row],[코드]])</f>
        <v>N192080</v>
      </c>
      <c r="G221" s="4">
        <f>_xll.IMDP("STK",표.실시간4[[#This Row],[nxt_code]],"현재가")</f>
        <v>51100</v>
      </c>
      <c r="H221" s="4">
        <f>_xll.IMDP("STK",표.실시간4[[#This Row],[nxt_code]],"시가총액")/10^12</f>
        <v>1.0984407966</v>
      </c>
      <c r="I221" s="4">
        <f>표.실시간4[[#This Row],[시가총액 (조원)]]/표.실시간4[[#This Row],[현재가]]*(표.실시간4[[#This Row],[현재가]]-표.실시간4[[#This Row],[대비]])</f>
        <v>1.0941416154000001</v>
      </c>
      <c r="J221" s="5">
        <f>_xll.IMDP("STK",표.실시간4[[#This Row],[nxt_code]],"전일대비")</f>
        <v>200</v>
      </c>
      <c r="K221">
        <f>_xll.IMDP("STK",표.실시간4[[#This Row],[nxt_code]],"등락률")</f>
        <v>0.39</v>
      </c>
      <c r="L221" s="4">
        <f>_xll.IMDP("STK",표.실시간4[[#This Row],[nxt_code]],"누적거래량")</f>
        <v>2941</v>
      </c>
      <c r="M221" s="4">
        <f>_xll.IMDP("STK",표.실시간4[[#This Row],[nxt_code]],"누적거래대금")</f>
        <v>150853500</v>
      </c>
      <c r="N221" s="4">
        <f>_xll.IMDP("STK",표.실시간4[[#This Row],[nxt_code]],"가중평균가")</f>
        <v>51293.267595999998</v>
      </c>
      <c r="O221" s="4">
        <f>_xll.IMDP("STK",표.실시간4[[#This Row],[nxt_code]],"시가")</f>
        <v>51400</v>
      </c>
      <c r="P221" s="4">
        <f>_xll.IMDP("STK",표.실시간4[[#This Row],[nxt_code]],"고가")</f>
        <v>51600</v>
      </c>
      <c r="Q221" s="4">
        <f>_xll.IMDP("STK",표.실시간4[[#This Row],[nxt_code]],"저가")</f>
        <v>51100</v>
      </c>
      <c r="R221">
        <f>_xll.IMDP("STK",표.실시간4[[#This Row],[nxt_code]],"세션명")</f>
        <v>0</v>
      </c>
      <c r="S221">
        <f>_xll.IMDP("STK",표.실시간4[[#This Row],[nxt_code]],"체결시간")</f>
        <v>0</v>
      </c>
      <c r="T221" s="4">
        <f>_xll.IMDP("STK","458870","현재가")</f>
        <v>159200</v>
      </c>
      <c r="U221">
        <f>_xll.IMDP("STK","458870","누적거래량")</f>
        <v>3821</v>
      </c>
    </row>
    <row r="222" spans="3:21" x14ac:dyDescent="0.3">
      <c r="C222">
        <v>217</v>
      </c>
      <c r="D222">
        <v>75580</v>
      </c>
      <c r="E222" t="s">
        <v>308</v>
      </c>
      <c r="F222" t="str">
        <f>ConvertStockCode(표.실시간4[[#This Row],[코드]])</f>
        <v>N075580</v>
      </c>
      <c r="G222" s="4">
        <f>_xll.IMDP("STK",표.실시간4[[#This Row],[nxt_code]],"현재가")</f>
        <v>19220</v>
      </c>
      <c r="H222" s="4">
        <f>_xll.IMDP("STK",표.실시간4[[#This Row],[nxt_code]],"시가총액")/10^12</f>
        <v>1.09264654432</v>
      </c>
      <c r="I222" s="4">
        <f>표.실시간4[[#This Row],[시가총액 (조원)]]/표.실시간4[[#This Row],[현재가]]*(표.실시간4[[#This Row],[현재가]]-표.실시간4[[#This Row],[대비]])</f>
        <v>1.0727492347200001</v>
      </c>
      <c r="J222" s="5">
        <f>_xll.IMDP("STK",표.실시간4[[#This Row],[nxt_code]],"전일대비")</f>
        <v>350</v>
      </c>
      <c r="K222">
        <f>_xll.IMDP("STK",표.실시간4[[#This Row],[nxt_code]],"등락률")</f>
        <v>1.8</v>
      </c>
      <c r="L222" s="4">
        <f>_xll.IMDP("STK",표.실시간4[[#This Row],[nxt_code]],"누적거래량")</f>
        <v>51569</v>
      </c>
      <c r="M222" s="4">
        <f>_xll.IMDP("STK",표.실시간4[[#This Row],[nxt_code]],"누적거래대금")</f>
        <v>984665390</v>
      </c>
      <c r="N222" s="4">
        <f>_xll.IMDP("STK",표.실시간4[[#This Row],[nxt_code]],"가중평균가")</f>
        <v>19094.104583</v>
      </c>
      <c r="O222" s="4">
        <f>_xll.IMDP("STK",표.실시간4[[#This Row],[nxt_code]],"시가")</f>
        <v>18950</v>
      </c>
      <c r="P222" s="4">
        <f>_xll.IMDP("STK",표.실시간4[[#This Row],[nxt_code]],"고가")</f>
        <v>19350</v>
      </c>
      <c r="Q222" s="4">
        <f>_xll.IMDP("STK",표.실시간4[[#This Row],[nxt_code]],"저가")</f>
        <v>18880</v>
      </c>
      <c r="R222">
        <f>_xll.IMDP("STK",표.실시간4[[#This Row],[nxt_code]],"세션명")</f>
        <v>0</v>
      </c>
      <c r="S222">
        <f>_xll.IMDP("STK",표.실시간4[[#This Row],[nxt_code]],"체결시간")</f>
        <v>0</v>
      </c>
      <c r="T222" s="4">
        <f>_xll.IMDP("STK","023590","현재가")</f>
        <v>40150</v>
      </c>
      <c r="U222">
        <f>_xll.IMDP("STK","023590","누적거래량")</f>
        <v>112</v>
      </c>
    </row>
    <row r="223" spans="3:21" x14ac:dyDescent="0.3">
      <c r="C223">
        <v>218</v>
      </c>
      <c r="D223">
        <v>9240</v>
      </c>
      <c r="E223" t="s">
        <v>313</v>
      </c>
      <c r="F223" t="str">
        <f>ConvertStockCode(표.실시간4[[#This Row],[코드]])</f>
        <v>N009240</v>
      </c>
      <c r="G223" s="4">
        <f>_xll.IMDP("STK",표.실시간4[[#This Row],[nxt_code]],"현재가")</f>
        <v>44250</v>
      </c>
      <c r="H223" s="4">
        <f>_xll.IMDP("STK",표.실시간4[[#This Row],[nxt_code]],"시가총액")/10^12</f>
        <v>1.0413763140000001</v>
      </c>
      <c r="I223" s="4">
        <f>표.실시간4[[#This Row],[시가총액 (조원)]]/표.실시간4[[#This Row],[현재가]]*(표.실시간4[[#This Row],[현재가]]-표.실시간4[[#This Row],[대비]])</f>
        <v>1.0378462248</v>
      </c>
      <c r="J223" s="5">
        <f>_xll.IMDP("STK",표.실시간4[[#This Row],[nxt_code]],"전일대비")</f>
        <v>150</v>
      </c>
      <c r="K223">
        <f>_xll.IMDP("STK",표.실시간4[[#This Row],[nxt_code]],"등락률")</f>
        <v>0.34</v>
      </c>
      <c r="L223" s="4">
        <f>_xll.IMDP("STK",표.실시간4[[#This Row],[nxt_code]],"누적거래량")</f>
        <v>977</v>
      </c>
      <c r="M223" s="4">
        <f>_xll.IMDP("STK",표.실시간4[[#This Row],[nxt_code]],"누적거래대금")</f>
        <v>43207600</v>
      </c>
      <c r="N223" s="4">
        <f>_xll.IMDP("STK",표.실시간4[[#This Row],[nxt_code]],"가중평균가")</f>
        <v>44224.769702999998</v>
      </c>
      <c r="O223" s="4">
        <f>_xll.IMDP("STK",표.실시간4[[#This Row],[nxt_code]],"시가")</f>
        <v>44400</v>
      </c>
      <c r="P223" s="4">
        <f>_xll.IMDP("STK",표.실시간4[[#This Row],[nxt_code]],"고가")</f>
        <v>44400</v>
      </c>
      <c r="Q223" s="4">
        <f>_xll.IMDP("STK",표.실시간4[[#This Row],[nxt_code]],"저가")</f>
        <v>44100</v>
      </c>
      <c r="R223">
        <f>_xll.IMDP("STK",표.실시간4[[#This Row],[nxt_code]],"세션명")</f>
        <v>0</v>
      </c>
      <c r="S223">
        <f>_xll.IMDP("STK",표.실시간4[[#This Row],[nxt_code]],"체결시간")</f>
        <v>0</v>
      </c>
      <c r="T223" s="4">
        <f>_xll.IMDP("STK","032350","현재가")</f>
        <v>23600</v>
      </c>
      <c r="U223">
        <f>_xll.IMDP("STK","032350","누적거래량")</f>
        <v>9280</v>
      </c>
    </row>
    <row r="224" spans="3:21" x14ac:dyDescent="0.3">
      <c r="C224">
        <v>219</v>
      </c>
      <c r="D224">
        <v>280360</v>
      </c>
      <c r="E224" t="s">
        <v>319</v>
      </c>
      <c r="F224" t="str">
        <f>ConvertStockCode(표.실시간4[[#This Row],[코드]])</f>
        <v>N280360</v>
      </c>
      <c r="G224" s="4">
        <f>_xll.IMDP("STK",표.실시간4[[#This Row],[nxt_code]],"현재가")</f>
        <v>112500</v>
      </c>
      <c r="H224" s="4">
        <f>_xll.IMDP("STK",표.실시간4[[#This Row],[nxt_code]],"시가총액")/10^12</f>
        <v>1.0467645750000001</v>
      </c>
      <c r="I224" s="4">
        <f>표.실시간4[[#This Row],[시가총액 (조원)]]/표.실시간4[[#This Row],[현재가]]*(표.실시간4[[#This Row],[현재가]]-표.실시간4[[#This Row],[대비]])</f>
        <v>1.0458341176000001</v>
      </c>
      <c r="J224" s="5">
        <f>_xll.IMDP("STK",표.실시간4[[#This Row],[nxt_code]],"전일대비")</f>
        <v>100</v>
      </c>
      <c r="K224">
        <f>_xll.IMDP("STK",표.실시간4[[#This Row],[nxt_code]],"등락률")</f>
        <v>0</v>
      </c>
      <c r="L224" s="4">
        <f>_xll.IMDP("STK",표.실시간4[[#This Row],[nxt_code]],"누적거래량")</f>
        <v>519</v>
      </c>
      <c r="M224" s="4">
        <f>_xll.IMDP("STK",표.실시간4[[#This Row],[nxt_code]],"누적거래대금")</f>
        <v>61460300</v>
      </c>
      <c r="N224" s="4">
        <f>_xll.IMDP("STK",표.실시간4[[#This Row],[nxt_code]],"가중평균가")</f>
        <v>112771.19266099999</v>
      </c>
      <c r="O224" s="4">
        <f>_xll.IMDP("STK",표.실시간4[[#This Row],[nxt_code]],"시가")</f>
        <v>112600</v>
      </c>
      <c r="P224" s="4">
        <f>_xll.IMDP("STK",표.실시간4[[#This Row],[nxt_code]],"고가")</f>
        <v>113400</v>
      </c>
      <c r="Q224" s="4">
        <f>_xll.IMDP("STK",표.실시간4[[#This Row],[nxt_code]],"저가")</f>
        <v>112200</v>
      </c>
      <c r="R224">
        <f>_xll.IMDP("STK",표.실시간4[[#This Row],[nxt_code]],"세션명")</f>
        <v>0</v>
      </c>
      <c r="S224">
        <f>_xll.IMDP("STK",표.실시간4[[#This Row],[nxt_code]],"체결시간")</f>
        <v>0</v>
      </c>
      <c r="T224" s="4">
        <f>_xll.IMDP("STK","073240","현재가")</f>
        <v>6260</v>
      </c>
      <c r="U224">
        <f>_xll.IMDP("STK","073240","누적거래량")</f>
        <v>6819</v>
      </c>
    </row>
    <row r="225" spans="3:21" x14ac:dyDescent="0.3">
      <c r="C225">
        <v>220</v>
      </c>
      <c r="D225">
        <v>6650</v>
      </c>
      <c r="E225" t="s">
        <v>318</v>
      </c>
      <c r="F225" t="str">
        <f>ConvertStockCode(표.실시간4[[#This Row],[코드]])</f>
        <v>N006650</v>
      </c>
      <c r="G225" s="4">
        <f>_xll.IMDP("STK",표.실시간4[[#This Row],[nxt_code]],"현재가")</f>
        <v>160200</v>
      </c>
      <c r="H225" s="4">
        <f>_xll.IMDP("STK",표.실시간4[[#This Row],[nxt_code]],"시가총액")/10^12</f>
        <v>1.0445500000000001</v>
      </c>
      <c r="I225" s="4">
        <f>표.실시간4[[#This Row],[시가총액 (조원)]]/표.실시간4[[#This Row],[현재가]]*(표.실시간4[[#This Row],[현재가]]-표.실시간4[[#This Row],[대비]])</f>
        <v>1.0289013108614233</v>
      </c>
      <c r="J225" s="5">
        <f>_xll.IMDP("STK",표.실시간4[[#This Row],[nxt_code]],"전일대비")</f>
        <v>2400</v>
      </c>
      <c r="K225">
        <f>_xll.IMDP("STK",표.실시간4[[#This Row],[nxt_code]],"등락률")</f>
        <v>2.36</v>
      </c>
      <c r="L225" s="4">
        <f>_xll.IMDP("STK",표.실시간4[[#This Row],[nxt_code]],"누적거래량")</f>
        <v>2383</v>
      </c>
      <c r="M225" s="4">
        <f>_xll.IMDP("STK",표.실시간4[[#This Row],[nxt_code]],"누적거래대금")</f>
        <v>378176500</v>
      </c>
      <c r="N225" s="4">
        <f>_xll.IMDP("STK",표.실시간4[[#This Row],[nxt_code]],"가중평균가")</f>
        <v>158697.65002100001</v>
      </c>
      <c r="O225" s="4">
        <f>_xll.IMDP("STK",표.실시간4[[#This Row],[nxt_code]],"시가")</f>
        <v>156300</v>
      </c>
      <c r="P225" s="4">
        <f>_xll.IMDP("STK",표.실시간4[[#This Row],[nxt_code]],"고가")</f>
        <v>161500</v>
      </c>
      <c r="Q225" s="4">
        <f>_xll.IMDP("STK",표.실시간4[[#This Row],[nxt_code]],"저가")</f>
        <v>156300</v>
      </c>
      <c r="R225">
        <f>_xll.IMDP("STK",표.실시간4[[#This Row],[nxt_code]],"세션명")</f>
        <v>0</v>
      </c>
      <c r="S225">
        <f>_xll.IMDP("STK",표.실시간4[[#This Row],[nxt_code]],"체결시간")</f>
        <v>0</v>
      </c>
      <c r="T225" s="4">
        <f>_xll.IMDP("STK","020150","현재가")</f>
        <v>41100</v>
      </c>
      <c r="U225">
        <f>_xll.IMDP("STK","020150","누적거래량")</f>
        <v>55545</v>
      </c>
    </row>
    <row r="226" spans="3:21" x14ac:dyDescent="0.3">
      <c r="C226">
        <v>221</v>
      </c>
      <c r="D226">
        <v>64960</v>
      </c>
      <c r="E226" t="s">
        <v>311</v>
      </c>
      <c r="F226" t="str">
        <f>ConvertStockCode(표.실시간4[[#This Row],[코드]])</f>
        <v>N064960</v>
      </c>
      <c r="G226" s="4">
        <f>_xll.IMDP("STK",표.실시간4[[#This Row],[nxt_code]],"현재가")</f>
        <v>39100</v>
      </c>
      <c r="H226" s="4">
        <f>_xll.IMDP("STK",표.실시간4[[#This Row],[nxt_code]],"시가총액")/10^12</f>
        <v>1.0377246352</v>
      </c>
      <c r="I226" s="4">
        <f>표.실시간4[[#This Row],[시가총액 (조원)]]/표.실시간4[[#This Row],[현재가]]*(표.실시간4[[#This Row],[현재가]]-표.실시간4[[#This Row],[대비]])</f>
        <v>1.008530336</v>
      </c>
      <c r="J226" s="5">
        <f>_xll.IMDP("STK",표.실시간4[[#This Row],[nxt_code]],"전일대비")</f>
        <v>1100</v>
      </c>
      <c r="K226">
        <f>_xll.IMDP("STK",표.실시간4[[#This Row],[nxt_code]],"등락률")</f>
        <v>2.76</v>
      </c>
      <c r="L226" s="4">
        <f>_xll.IMDP("STK",표.실시간4[[#This Row],[nxt_code]],"누적거래량")</f>
        <v>134266</v>
      </c>
      <c r="M226" s="4">
        <f>_xll.IMDP("STK",표.실시간4[[#This Row],[nxt_code]],"누적거래대금")</f>
        <v>5374506750</v>
      </c>
      <c r="N226" s="4">
        <f>_xll.IMDP("STK",표.실시간4[[#This Row],[nxt_code]],"가중평균가")</f>
        <v>40028.799175</v>
      </c>
      <c r="O226" s="4">
        <f>_xll.IMDP("STK",표.실시간4[[#This Row],[nxt_code]],"시가")</f>
        <v>40000</v>
      </c>
      <c r="P226" s="4">
        <f>_xll.IMDP("STK",표.실시간4[[#This Row],[nxt_code]],"고가")</f>
        <v>41100</v>
      </c>
      <c r="Q226" s="4">
        <f>_xll.IMDP("STK",표.실시간4[[#This Row],[nxt_code]],"저가")</f>
        <v>38600</v>
      </c>
      <c r="R226">
        <f>_xll.IMDP("STK",표.실시간4[[#This Row],[nxt_code]],"세션명")</f>
        <v>0</v>
      </c>
      <c r="S226">
        <f>_xll.IMDP("STK",표.실시간4[[#This Row],[nxt_code]],"체결시간")</f>
        <v>0</v>
      </c>
      <c r="T226" s="4">
        <f>_xll.IMDP("STK","008770","현재가")</f>
        <v>45350</v>
      </c>
      <c r="U226">
        <f>_xll.IMDP("STK","008770","누적거래량")</f>
        <v>2824</v>
      </c>
    </row>
    <row r="227" spans="3:21" x14ac:dyDescent="0.3">
      <c r="C227">
        <v>222</v>
      </c>
      <c r="D227">
        <v>137310</v>
      </c>
      <c r="E227" t="s">
        <v>324</v>
      </c>
      <c r="F227" t="str">
        <f>ConvertStockCode(표.실시간4[[#This Row],[코드]])</f>
        <v>N137310</v>
      </c>
      <c r="G227" s="4">
        <f>_xll.IMDP("STK",표.실시간4[[#This Row],[nxt_code]],"현재가")</f>
        <v>8240</v>
      </c>
      <c r="H227" s="4">
        <f>_xll.IMDP("STK",표.실시간4[[#This Row],[nxt_code]],"시가총액")/10^12</f>
        <v>1.0032126004799999</v>
      </c>
      <c r="I227" s="4">
        <f>표.실시간4[[#This Row],[시가총액 (조원)]]/표.실시간4[[#This Row],[현재가]]*(표.실시간4[[#This Row],[현재가]]-표.실시간4[[#This Row],[대비]])</f>
        <v>1.0007776184399999</v>
      </c>
      <c r="J227" s="5">
        <f>_xll.IMDP("STK",표.실시간4[[#This Row],[nxt_code]],"전일대비")</f>
        <v>20</v>
      </c>
      <c r="K227">
        <f>_xll.IMDP("STK",표.실시간4[[#This Row],[nxt_code]],"등락률")</f>
        <v>0.24</v>
      </c>
      <c r="L227" s="4">
        <f>_xll.IMDP("STK",표.실시간4[[#This Row],[nxt_code]],"누적거래량")</f>
        <v>876</v>
      </c>
      <c r="M227" s="4">
        <f>_xll.IMDP("STK",표.실시간4[[#This Row],[nxt_code]],"누적거래대금")</f>
        <v>7231660</v>
      </c>
      <c r="N227" s="4">
        <f>_xll.IMDP("STK",표.실시간4[[#This Row],[nxt_code]],"가중평균가")</f>
        <v>8255.3196349999998</v>
      </c>
      <c r="O227" s="4">
        <f>_xll.IMDP("STK",표.실시간4[[#This Row],[nxt_code]],"시가")</f>
        <v>8260</v>
      </c>
      <c r="P227" s="4">
        <f>_xll.IMDP("STK",표.실시간4[[#This Row],[nxt_code]],"고가")</f>
        <v>8280</v>
      </c>
      <c r="Q227" s="4">
        <f>_xll.IMDP("STK",표.실시간4[[#This Row],[nxt_code]],"저가")</f>
        <v>8240</v>
      </c>
      <c r="R227">
        <f>_xll.IMDP("STK",표.실시간4[[#This Row],[nxt_code]],"세션명")</f>
        <v>0</v>
      </c>
      <c r="S227">
        <f>_xll.IMDP("STK",표.실시간4[[#This Row],[nxt_code]],"체결시간")</f>
        <v>0</v>
      </c>
      <c r="T227" s="4">
        <f>_xll.IMDP("STK","006040","현재가")</f>
        <v>40900</v>
      </c>
      <c r="U227">
        <f>_xll.IMDP("STK","006040","누적거래량")</f>
        <v>1989</v>
      </c>
    </row>
    <row r="228" spans="3:21" x14ac:dyDescent="0.3">
      <c r="C228">
        <v>223</v>
      </c>
      <c r="D228">
        <v>12630</v>
      </c>
      <c r="E228" t="s">
        <v>321</v>
      </c>
      <c r="F228" t="str">
        <f>ConvertStockCode(표.실시간4[[#This Row],[코드]])</f>
        <v>N012630</v>
      </c>
      <c r="G228" s="4">
        <f>_xll.IMDP("STK",표.실시간4[[#This Row],[nxt_code]],"현재가")</f>
        <v>17000</v>
      </c>
      <c r="H228" s="4">
        <f>_xll.IMDP("STK",표.실시간4[[#This Row],[nxt_code]],"시가총액")/10^12</f>
        <v>1.0156092569999999</v>
      </c>
      <c r="I228" s="4">
        <f>표.실시간4[[#This Row],[시가총액 (조원)]]/표.실시간4[[#This Row],[현재가]]*(표.실시간4[[#This Row],[현재가]]-표.실시간4[[#This Row],[대비]])</f>
        <v>0.99768674069999996</v>
      </c>
      <c r="J228" s="5">
        <f>_xll.IMDP("STK",표.실시간4[[#This Row],[nxt_code]],"전일대비")</f>
        <v>300</v>
      </c>
      <c r="K228">
        <f>_xll.IMDP("STK",표.실시간4[[#This Row],[nxt_code]],"등락률")</f>
        <v>1.8</v>
      </c>
      <c r="L228" s="4">
        <f>_xll.IMDP("STK",표.실시간4[[#This Row],[nxt_code]],"누적거래량")</f>
        <v>7482</v>
      </c>
      <c r="M228" s="4">
        <f>_xll.IMDP("STK",표.실시간4[[#This Row],[nxt_code]],"누적거래대금")</f>
        <v>126896540</v>
      </c>
      <c r="N228" s="4">
        <f>_xll.IMDP("STK",표.실시간4[[#This Row],[nxt_code]],"가중평균가")</f>
        <v>16960.24325</v>
      </c>
      <c r="O228" s="4">
        <f>_xll.IMDP("STK",표.실시간4[[#This Row],[nxt_code]],"시가")</f>
        <v>16750</v>
      </c>
      <c r="P228" s="4">
        <f>_xll.IMDP("STK",표.실시간4[[#This Row],[nxt_code]],"고가")</f>
        <v>17010</v>
      </c>
      <c r="Q228" s="4">
        <f>_xll.IMDP("STK",표.실시간4[[#This Row],[nxt_code]],"저가")</f>
        <v>16740</v>
      </c>
      <c r="R228">
        <f>_xll.IMDP("STK",표.실시간4[[#This Row],[nxt_code]],"세션명")</f>
        <v>0</v>
      </c>
      <c r="S228">
        <f>_xll.IMDP("STK",표.실시간4[[#This Row],[nxt_code]],"체결시간")</f>
        <v>0</v>
      </c>
      <c r="T228" s="4">
        <f>_xll.IMDP("STK","178320","현재가")</f>
        <v>31400</v>
      </c>
      <c r="U228">
        <f>_xll.IMDP("STK","178320","누적거래량")</f>
        <v>46852</v>
      </c>
    </row>
    <row r="229" spans="3:21" x14ac:dyDescent="0.3">
      <c r="C229">
        <v>224</v>
      </c>
      <c r="D229">
        <v>30190</v>
      </c>
      <c r="E229" t="s">
        <v>326</v>
      </c>
      <c r="F229" t="str">
        <f>ConvertStockCode(표.실시간4[[#This Row],[코드]])</f>
        <v>N030190</v>
      </c>
      <c r="G229" s="4">
        <f>_xll.IMDP("STK",표.실시간4[[#This Row],[nxt_code]],"현재가")</f>
        <v>17010</v>
      </c>
      <c r="H229" s="4">
        <f>_xll.IMDP("STK",표.실시간4[[#This Row],[nxt_code]],"시가총액")/10^12</f>
        <v>1.00208507427</v>
      </c>
      <c r="I229" s="4">
        <f>표.실시간4[[#This Row],[시가총액 (조원)]]/표.실시간4[[#This Row],[현재가]]*(표.실시간4[[#This Row],[현재가]]-표.실시간4[[#This Row],[대비]])</f>
        <v>0.99265922995</v>
      </c>
      <c r="J229" s="5">
        <f>_xll.IMDP("STK",표.실시간4[[#This Row],[nxt_code]],"전일대비")</f>
        <v>160</v>
      </c>
      <c r="K229">
        <f>_xll.IMDP("STK",표.실시간4[[#This Row],[nxt_code]],"등락률")</f>
        <v>0.95</v>
      </c>
      <c r="L229" s="4">
        <f>_xll.IMDP("STK",표.실시간4[[#This Row],[nxt_code]],"누적거래량")</f>
        <v>616</v>
      </c>
      <c r="M229" s="4">
        <f>_xll.IMDP("STK",표.실시간4[[#This Row],[nxt_code]],"누적거래대금")</f>
        <v>10488400</v>
      </c>
      <c r="N229" s="4">
        <f>_xll.IMDP("STK",표.실시간4[[#This Row],[nxt_code]],"가중평균가")</f>
        <v>17026.623377</v>
      </c>
      <c r="O229" s="4">
        <f>_xll.IMDP("STK",표.실시간4[[#This Row],[nxt_code]],"시가")</f>
        <v>16900</v>
      </c>
      <c r="P229" s="4">
        <f>_xll.IMDP("STK",표.실시간4[[#This Row],[nxt_code]],"고가")</f>
        <v>17100</v>
      </c>
      <c r="Q229" s="4">
        <f>_xll.IMDP("STK",표.실시간4[[#This Row],[nxt_code]],"저가")</f>
        <v>16900</v>
      </c>
      <c r="R229">
        <f>_xll.IMDP("STK",표.실시간4[[#This Row],[nxt_code]],"세션명")</f>
        <v>0</v>
      </c>
      <c r="S229">
        <f>_xll.IMDP("STK",표.실시간4[[#This Row],[nxt_code]],"체결시간")</f>
        <v>0</v>
      </c>
      <c r="T229" s="4">
        <f>_xll.IMDP("STK","006280","현재가")</f>
        <v>153700</v>
      </c>
      <c r="U229">
        <f>_xll.IMDP("STK","006280","누적거래량")</f>
        <v>442</v>
      </c>
    </row>
    <row r="230" spans="3:21" x14ac:dyDescent="0.3">
      <c r="C230">
        <v>225</v>
      </c>
      <c r="D230">
        <v>181710</v>
      </c>
      <c r="E230" t="s">
        <v>328</v>
      </c>
      <c r="F230" t="str">
        <f>ConvertStockCode(표.실시간4[[#This Row],[코드]])</f>
        <v>N181710</v>
      </c>
      <c r="G230" s="4">
        <f>_xll.IMDP("STK",표.실시간4[[#This Row],[nxt_code]],"현재가")</f>
        <v>29950</v>
      </c>
      <c r="H230" s="4">
        <f>_xll.IMDP("STK",표.실시간4[[#This Row],[nxt_code]],"시가총액")/10^12</f>
        <v>0.98095651304999998</v>
      </c>
      <c r="I230" s="4">
        <f>표.실시간4[[#This Row],[시가총액 (조원)]]/표.실시간4[[#This Row],[현재가]]*(표.실시간4[[#This Row],[현재가]]-표.실시간4[[#This Row],[대비]])</f>
        <v>0.97604354219999989</v>
      </c>
      <c r="J230" s="5">
        <f>_xll.IMDP("STK",표.실시간4[[#This Row],[nxt_code]],"전일대비")</f>
        <v>150</v>
      </c>
      <c r="K230">
        <f>_xll.IMDP("STK",표.실시간4[[#This Row],[nxt_code]],"등락률")</f>
        <v>0.5</v>
      </c>
      <c r="L230" s="4">
        <f>_xll.IMDP("STK",표.실시간4[[#This Row],[nxt_code]],"누적거래량")</f>
        <v>403</v>
      </c>
      <c r="M230" s="4">
        <f>_xll.IMDP("STK",표.실시간4[[#This Row],[nxt_code]],"누적거래대금")</f>
        <v>12088450</v>
      </c>
      <c r="N230" s="4">
        <f>_xll.IMDP("STK",표.실시간4[[#This Row],[nxt_code]],"가중평균가")</f>
        <v>29996.153846000001</v>
      </c>
      <c r="O230" s="4">
        <f>_xll.IMDP("STK",표.실시간4[[#This Row],[nxt_code]],"시가")</f>
        <v>30100</v>
      </c>
      <c r="P230" s="4">
        <f>_xll.IMDP("STK",표.실시간4[[#This Row],[nxt_code]],"고가")</f>
        <v>30150</v>
      </c>
      <c r="Q230" s="4">
        <f>_xll.IMDP("STK",표.실시간4[[#This Row],[nxt_code]],"저가")</f>
        <v>29950</v>
      </c>
      <c r="R230">
        <f>_xll.IMDP("STK",표.실시간4[[#This Row],[nxt_code]],"세션명")</f>
        <v>0</v>
      </c>
      <c r="S230">
        <f>_xll.IMDP("STK",표.실시간4[[#This Row],[nxt_code]],"체결시간")</f>
        <v>0</v>
      </c>
      <c r="T230" s="4">
        <f>_xll.IMDP("STK","067310","현재가")</f>
        <v>25450</v>
      </c>
      <c r="U230">
        <f>_xll.IMDP("STK","067310","누적거래량")</f>
        <v>16744</v>
      </c>
    </row>
    <row r="231" spans="3:21" x14ac:dyDescent="0.3">
      <c r="C231">
        <v>226</v>
      </c>
      <c r="D231">
        <v>670</v>
      </c>
      <c r="E231" t="s">
        <v>333</v>
      </c>
      <c r="F231" t="str">
        <f>ConvertStockCode(표.실시간4[[#This Row],[코드]])</f>
        <v>N000670</v>
      </c>
      <c r="G231" s="4">
        <f>_xll.IMDP("STK",표.실시간4[[#This Row],[nxt_code]],"현재가")</f>
        <v>54700</v>
      </c>
      <c r="H231" s="4">
        <f>_xll.IMDP("STK",표.실시간4[[#This Row],[nxt_code]],"시가총액")/10^12</f>
        <v>0.98886386500000001</v>
      </c>
      <c r="I231" s="4">
        <f>표.실시간4[[#This Row],[시가총액 (조원)]]/표.실시간4[[#This Row],[현재가]]*(표.실시간4[[#This Row],[현재가]]-표.실시간4[[#This Row],[대비]])</f>
        <v>0.98163268499999989</v>
      </c>
      <c r="J231" s="5">
        <f>_xll.IMDP("STK",표.실시간4[[#This Row],[nxt_code]],"전일대비")</f>
        <v>400</v>
      </c>
      <c r="K231">
        <f>_xll.IMDP("STK",표.실시간4[[#This Row],[nxt_code]],"등락률")</f>
        <v>0.74</v>
      </c>
      <c r="L231" s="4">
        <f>_xll.IMDP("STK",표.실시간4[[#This Row],[nxt_code]],"누적거래량")</f>
        <v>4003</v>
      </c>
      <c r="M231" s="4">
        <f>_xll.IMDP("STK",표.실시간4[[#This Row],[nxt_code]],"누적거래대금")</f>
        <v>218047600</v>
      </c>
      <c r="N231" s="4">
        <f>_xll.IMDP("STK",표.실시간4[[#This Row],[nxt_code]],"가중평균가")</f>
        <v>54471.046714999997</v>
      </c>
      <c r="O231" s="4">
        <f>_xll.IMDP("STK",표.실시간4[[#This Row],[nxt_code]],"시가")</f>
        <v>54700</v>
      </c>
      <c r="P231" s="4">
        <f>_xll.IMDP("STK",표.실시간4[[#This Row],[nxt_code]],"고가")</f>
        <v>55500</v>
      </c>
      <c r="Q231" s="4">
        <f>_xll.IMDP("STK",표.실시간4[[#This Row],[nxt_code]],"저가")</f>
        <v>53900</v>
      </c>
      <c r="R231">
        <f>_xll.IMDP("STK",표.실시간4[[#This Row],[nxt_code]],"세션명")</f>
        <v>0</v>
      </c>
      <c r="S231">
        <f>_xll.IMDP("STK",표.실시간4[[#This Row],[nxt_code]],"체결시간")</f>
        <v>0</v>
      </c>
      <c r="T231" s="4">
        <f>_xll.IMDP("STK","298020","현재가")</f>
        <v>379500</v>
      </c>
      <c r="U231">
        <f>_xll.IMDP("STK","298020","누적거래량")</f>
        <v>4000</v>
      </c>
    </row>
    <row r="232" spans="3:21" x14ac:dyDescent="0.3">
      <c r="C232">
        <v>227</v>
      </c>
      <c r="D232">
        <v>192400</v>
      </c>
      <c r="E232" t="s">
        <v>332</v>
      </c>
      <c r="F232" t="str">
        <f>ConvertStockCode(표.실시간4[[#This Row],[코드]])</f>
        <v>N192400</v>
      </c>
      <c r="G232" s="4">
        <f>_xll.IMDP("STK",표.실시간4[[#This Row],[nxt_code]],"현재가")</f>
        <v>27300</v>
      </c>
      <c r="H232" s="4">
        <f>_xll.IMDP("STK",표.실시간4[[#This Row],[nxt_code]],"시가총액")/10^12</f>
        <v>0.97084765049999999</v>
      </c>
      <c r="I232" s="4">
        <f>표.실시간4[[#This Row],[시가총액 (조원)]]/표.실시간4[[#This Row],[현재가]]*(표.실시간4[[#This Row],[현재가]]-표.실시간4[[#This Row],[대비]])</f>
        <v>0.9708476505000001</v>
      </c>
      <c r="J232" s="5">
        <f>_xll.IMDP("STK",표.실시간4[[#This Row],[nxt_code]],"전일대비")</f>
        <v>0</v>
      </c>
      <c r="K232">
        <f>_xll.IMDP("STK",표.실시간4[[#This Row],[nxt_code]],"등락률")</f>
        <v>0</v>
      </c>
      <c r="L232" s="4">
        <f>_xll.IMDP("STK",표.실시간4[[#This Row],[nxt_code]],"누적거래량")</f>
        <v>217</v>
      </c>
      <c r="M232" s="4">
        <f>_xll.IMDP("STK",표.실시간4[[#This Row],[nxt_code]],"누적거래대금")</f>
        <v>5959300</v>
      </c>
      <c r="N232" s="4">
        <f>_xll.IMDP("STK",표.실시간4[[#This Row],[nxt_code]],"가중평균가")</f>
        <v>27462.211982000001</v>
      </c>
      <c r="O232" s="4">
        <f>_xll.IMDP("STK",표.실시간4[[#This Row],[nxt_code]],"시가")</f>
        <v>27400</v>
      </c>
      <c r="P232" s="4">
        <f>_xll.IMDP("STK",표.실시간4[[#This Row],[nxt_code]],"고가")</f>
        <v>27900</v>
      </c>
      <c r="Q232" s="4">
        <f>_xll.IMDP("STK",표.실시간4[[#This Row],[nxt_code]],"저가")</f>
        <v>27300</v>
      </c>
      <c r="R232">
        <f>_xll.IMDP("STK",표.실시간4[[#This Row],[nxt_code]],"세션명")</f>
        <v>0</v>
      </c>
      <c r="S232">
        <f>_xll.IMDP("STK",표.실시간4[[#This Row],[nxt_code]],"체결시간")</f>
        <v>0</v>
      </c>
      <c r="T232" s="4">
        <f>_xll.IMDP("STK","007070","현재가")</f>
        <v>21200</v>
      </c>
      <c r="U232">
        <f>_xll.IMDP("STK","007070","누적거래량")</f>
        <v>1757</v>
      </c>
    </row>
    <row r="233" spans="3:21" x14ac:dyDescent="0.3">
      <c r="C233">
        <v>228</v>
      </c>
      <c r="D233">
        <v>298050</v>
      </c>
      <c r="E233" t="s">
        <v>330</v>
      </c>
      <c r="F233" t="str">
        <f>ConvertStockCode(표.실시간4[[#This Row],[코드]])</f>
        <v>N298050</v>
      </c>
      <c r="G233" s="4">
        <f>_xll.IMDP("STK",표.실시간4[[#This Row],[nxt_code]],"현재가")</f>
        <v>216000</v>
      </c>
      <c r="H233" s="4">
        <f>_xll.IMDP("STK",표.실시간4[[#This Row],[nxt_code]],"시가총액")/10^12</f>
        <v>0.97662866400000004</v>
      </c>
      <c r="I233" s="4">
        <f>표.실시간4[[#This Row],[시가총액 (조원)]]/표.실시간4[[#This Row],[현재가]]*(표.실시간4[[#This Row],[현재가]]-표.실시간4[[#This Row],[대비]])</f>
        <v>0.97210723499999996</v>
      </c>
      <c r="J233" s="5">
        <f>_xll.IMDP("STK",표.실시간4[[#This Row],[nxt_code]],"전일대비")</f>
        <v>1000</v>
      </c>
      <c r="K233">
        <f>_xll.IMDP("STK",표.실시간4[[#This Row],[nxt_code]],"등락률")</f>
        <v>-0.46</v>
      </c>
      <c r="L233" s="4">
        <f>_xll.IMDP("STK",표.실시간4[[#This Row],[nxt_code]],"누적거래량")</f>
        <v>2042</v>
      </c>
      <c r="M233" s="4">
        <f>_xll.IMDP("STK",표.실시간4[[#This Row],[nxt_code]],"누적거래대금")</f>
        <v>445892500</v>
      </c>
      <c r="N233" s="4">
        <f>_xll.IMDP("STK",표.실시간4[[#This Row],[nxt_code]],"가중평균가")</f>
        <v>218360.675808</v>
      </c>
      <c r="O233" s="4">
        <f>_xll.IMDP("STK",표.실시간4[[#This Row],[nxt_code]],"시가")</f>
        <v>220000</v>
      </c>
      <c r="P233" s="4">
        <f>_xll.IMDP("STK",표.실시간4[[#This Row],[nxt_code]],"고가")</f>
        <v>220000</v>
      </c>
      <c r="Q233" s="4">
        <f>_xll.IMDP("STK",표.실시간4[[#This Row],[nxt_code]],"저가")</f>
        <v>215500</v>
      </c>
      <c r="R233">
        <f>_xll.IMDP("STK",표.실시간4[[#This Row],[nxt_code]],"세션명")</f>
        <v>0</v>
      </c>
      <c r="S233">
        <f>_xll.IMDP("STK",표.실시간4[[#This Row],[nxt_code]],"체결시간")</f>
        <v>0</v>
      </c>
      <c r="T233" s="4">
        <f>_xll.IMDP("STK","483650","현재가")</f>
        <v>148300</v>
      </c>
      <c r="U233">
        <f>_xll.IMDP("STK","483650","누적거래량")</f>
        <v>2817</v>
      </c>
    </row>
    <row r="234" spans="3:21" x14ac:dyDescent="0.3">
      <c r="C234">
        <v>229</v>
      </c>
      <c r="D234">
        <v>36530</v>
      </c>
      <c r="E234" t="s">
        <v>337</v>
      </c>
      <c r="F234" t="str">
        <f>ConvertStockCode(표.실시간4[[#This Row],[코드]])</f>
        <v>N036530</v>
      </c>
      <c r="G234" s="4">
        <f>_xll.IMDP("STK",표.실시간4[[#This Row],[nxt_code]],"현재가")</f>
        <v>56500</v>
      </c>
      <c r="H234" s="4">
        <f>_xll.IMDP("STK",표.실시간4[[#This Row],[nxt_code]],"시가총액")/10^12</f>
        <v>0.92116955899999997</v>
      </c>
      <c r="I234" s="4">
        <f>표.실시간4[[#This Row],[시가총액 (조원)]]/표.실시간4[[#This Row],[현재가]]*(표.실시간4[[#This Row],[현재가]]-표.실시간4[[#This Row],[대비]])</f>
        <v>0.90975683880000002</v>
      </c>
      <c r="J234" s="5">
        <f>_xll.IMDP("STK",표.실시간4[[#This Row],[nxt_code]],"전일대비")</f>
        <v>700</v>
      </c>
      <c r="K234">
        <f>_xll.IMDP("STK",표.실시간4[[#This Row],[nxt_code]],"등락률")</f>
        <v>1.25</v>
      </c>
      <c r="L234" s="4">
        <f>_xll.IMDP("STK",표.실시간4[[#This Row],[nxt_code]],"누적거래량")</f>
        <v>337</v>
      </c>
      <c r="M234" s="4">
        <f>_xll.IMDP("STK",표.실시간4[[#This Row],[nxt_code]],"누적거래대금")</f>
        <v>19123500</v>
      </c>
      <c r="N234" s="4">
        <f>_xll.IMDP("STK",표.실시간4[[#This Row],[nxt_code]],"가중평균가")</f>
        <v>56746.290801000003</v>
      </c>
      <c r="O234" s="4">
        <f>_xll.IMDP("STK",표.실시간4[[#This Row],[nxt_code]],"시가")</f>
        <v>57200</v>
      </c>
      <c r="P234" s="4">
        <f>_xll.IMDP("STK",표.실시간4[[#This Row],[nxt_code]],"고가")</f>
        <v>57200</v>
      </c>
      <c r="Q234" s="4">
        <f>_xll.IMDP("STK",표.실시간4[[#This Row],[nxt_code]],"저가")</f>
        <v>56500</v>
      </c>
      <c r="R234">
        <f>_xll.IMDP("STK",표.실시간4[[#This Row],[nxt_code]],"세션명")</f>
        <v>0</v>
      </c>
      <c r="S234">
        <f>_xll.IMDP("STK",표.실시간4[[#This Row],[nxt_code]],"체결시간")</f>
        <v>0</v>
      </c>
      <c r="T234" s="4">
        <f>_xll.IMDP("STK","003570","현재가")</f>
        <v>50000</v>
      </c>
      <c r="U234">
        <f>_xll.IMDP("STK","003570","누적거래량")</f>
        <v>870</v>
      </c>
    </row>
    <row r="235" spans="3:21" x14ac:dyDescent="0.3">
      <c r="C235">
        <v>230</v>
      </c>
      <c r="D235">
        <v>4490</v>
      </c>
      <c r="E235" t="s">
        <v>342</v>
      </c>
      <c r="F235" t="str">
        <f>ConvertStockCode(표.실시간4[[#This Row],[코드]])</f>
        <v>N004490</v>
      </c>
      <c r="G235" s="4">
        <f>_xll.IMDP("STK",표.실시간4[[#This Row],[nxt_code]],"현재가")</f>
        <v>64700</v>
      </c>
      <c r="H235" s="4">
        <f>_xll.IMDP("STK",표.실시간4[[#This Row],[nxt_code]],"시가총액")/10^12</f>
        <v>0.90580000000000005</v>
      </c>
      <c r="I235" s="4">
        <f>표.실시간4[[#This Row],[시가총액 (조원)]]/표.실시간4[[#This Row],[현재가]]*(표.실시간4[[#This Row],[현재가]]-표.실시간4[[#This Row],[대비]])</f>
        <v>0.90300000000000014</v>
      </c>
      <c r="J235" s="5">
        <f>_xll.IMDP("STK",표.실시간4[[#This Row],[nxt_code]],"전일대비")</f>
        <v>200</v>
      </c>
      <c r="K235">
        <f>_xll.IMDP("STK",표.실시간4[[#This Row],[nxt_code]],"등락률")</f>
        <v>0.31</v>
      </c>
      <c r="L235" s="4">
        <f>_xll.IMDP("STK",표.실시간4[[#This Row],[nxt_code]],"누적거래량")</f>
        <v>4461</v>
      </c>
      <c r="M235" s="4">
        <f>_xll.IMDP("STK",표.실시간4[[#This Row],[nxt_code]],"누적거래대금")</f>
        <v>289957200</v>
      </c>
      <c r="N235" s="4">
        <f>_xll.IMDP("STK",표.실시간4[[#This Row],[nxt_code]],"가중평균가")</f>
        <v>64998.251513000003</v>
      </c>
      <c r="O235" s="4">
        <f>_xll.IMDP("STK",표.실시간4[[#This Row],[nxt_code]],"시가")</f>
        <v>65200</v>
      </c>
      <c r="P235" s="4">
        <f>_xll.IMDP("STK",표.실시간4[[#This Row],[nxt_code]],"고가")</f>
        <v>65500</v>
      </c>
      <c r="Q235" s="4">
        <f>_xll.IMDP("STK",표.실시간4[[#This Row],[nxt_code]],"저가")</f>
        <v>64500</v>
      </c>
      <c r="R235">
        <f>_xll.IMDP("STK",표.실시간4[[#This Row],[nxt_code]],"세션명")</f>
        <v>0</v>
      </c>
      <c r="S235">
        <f>_xll.IMDP("STK",표.실시간4[[#This Row],[nxt_code]],"체결시간")</f>
        <v>0</v>
      </c>
      <c r="T235" s="4">
        <f>_xll.IMDP("STK","375500","현재가")</f>
        <v>44300</v>
      </c>
      <c r="U235">
        <f>_xll.IMDP("STK","375500","누적거래량")</f>
        <v>12901</v>
      </c>
    </row>
    <row r="236" spans="3:21" x14ac:dyDescent="0.3">
      <c r="C236">
        <v>231</v>
      </c>
      <c r="D236">
        <v>195870</v>
      </c>
      <c r="E236" t="s">
        <v>344</v>
      </c>
      <c r="F236" t="str">
        <f>ConvertStockCode(표.실시간4[[#This Row],[코드]])</f>
        <v>N195870</v>
      </c>
      <c r="G236" s="4">
        <f>_xll.IMDP("STK",표.실시간4[[#This Row],[nxt_code]],"현재가")</f>
        <v>52300</v>
      </c>
      <c r="H236" s="4">
        <f>_xll.IMDP("STK",표.실시간4[[#This Row],[nxt_code]],"시가총액")/10^12</f>
        <v>0.8891</v>
      </c>
      <c r="I236" s="4">
        <f>표.실시간4[[#This Row],[시가총액 (조원)]]/표.실시간4[[#This Row],[현재가]]*(표.실시간4[[#This Row],[현재가]]-표.실시간4[[#This Row],[대비]])</f>
        <v>0.90610000000000002</v>
      </c>
      <c r="J236" s="5">
        <f>_xll.IMDP("STK",표.실시간4[[#This Row],[nxt_code]],"전일대비")</f>
        <v>-1000</v>
      </c>
      <c r="K236">
        <f>_xll.IMDP("STK",표.실시간4[[#This Row],[nxt_code]],"등락률")</f>
        <v>-1.88</v>
      </c>
      <c r="L236" s="4">
        <f>_xll.IMDP("STK",표.실시간4[[#This Row],[nxt_code]],"누적거래량")</f>
        <v>16135</v>
      </c>
      <c r="M236" s="4">
        <f>_xll.IMDP("STK",표.실시간4[[#This Row],[nxt_code]],"누적거래대금")</f>
        <v>858307700</v>
      </c>
      <c r="N236" s="4">
        <f>_xll.IMDP("STK",표.실시간4[[#This Row],[nxt_code]],"가중평균가")</f>
        <v>53195.395104000003</v>
      </c>
      <c r="O236" s="4">
        <f>_xll.IMDP("STK",표.실시간4[[#This Row],[nxt_code]],"시가")</f>
        <v>53300</v>
      </c>
      <c r="P236" s="4">
        <f>_xll.IMDP("STK",표.실시간4[[#This Row],[nxt_code]],"고가")</f>
        <v>54100</v>
      </c>
      <c r="Q236" s="4">
        <f>_xll.IMDP("STK",표.실시간4[[#This Row],[nxt_code]],"저가")</f>
        <v>52300</v>
      </c>
      <c r="R236">
        <f>_xll.IMDP("STK",표.실시간4[[#This Row],[nxt_code]],"세션명")</f>
        <v>0</v>
      </c>
      <c r="S236">
        <f>_xll.IMDP("STK",표.실시간4[[#This Row],[nxt_code]],"체결시간")</f>
        <v>0</v>
      </c>
      <c r="T236" s="4">
        <f>_xll.IMDP("STK","039200","현재가")</f>
        <v>41400</v>
      </c>
      <c r="U236">
        <f>_xll.IMDP("STK","039200","누적거래량")</f>
        <v>3529</v>
      </c>
    </row>
    <row r="237" spans="3:21" x14ac:dyDescent="0.3">
      <c r="C237">
        <v>232</v>
      </c>
      <c r="D237">
        <v>499790</v>
      </c>
      <c r="E237" t="s">
        <v>371</v>
      </c>
      <c r="F237" t="str">
        <f>ConvertStockCode(표.실시간4[[#This Row],[코드]])</f>
        <v>N499790</v>
      </c>
      <c r="G237" s="4">
        <f>_xll.IMDP("STK",표.실시간4[[#This Row],[nxt_code]],"현재가")</f>
        <v>41900</v>
      </c>
      <c r="H237" s="4">
        <f>_xll.IMDP("STK",표.실시간4[[#This Row],[nxt_code]],"시가총액")/10^12</f>
        <v>0.83091223790000002</v>
      </c>
      <c r="I237" s="4">
        <f>표.실시간4[[#This Row],[시가총액 (조원)]]/표.실시간4[[#This Row],[현재가]]*(표.실시간4[[#This Row],[현재가]]-표.실시간4[[#This Row],[대비]])</f>
        <v>0.83289532199999994</v>
      </c>
      <c r="J237" s="5">
        <f>_xll.IMDP("STK",표.실시간4[[#This Row],[nxt_code]],"전일대비")</f>
        <v>-100</v>
      </c>
      <c r="K237">
        <f>_xll.IMDP("STK",표.실시간4[[#This Row],[nxt_code]],"등락률")</f>
        <v>-0.24</v>
      </c>
      <c r="L237" s="4">
        <f>_xll.IMDP("STK",표.실시간4[[#This Row],[nxt_code]],"누적거래량")</f>
        <v>2215</v>
      </c>
      <c r="M237" s="4">
        <f>_xll.IMDP("STK",표.실시간4[[#This Row],[nxt_code]],"누적거래대금")</f>
        <v>93337750</v>
      </c>
      <c r="N237" s="4">
        <f>_xll.IMDP("STK",표.실시간4[[#This Row],[nxt_code]],"가중평균가")</f>
        <v>42138.939052000002</v>
      </c>
      <c r="O237" s="4">
        <f>_xll.IMDP("STK",표.실시간4[[#This Row],[nxt_code]],"시가")</f>
        <v>43000</v>
      </c>
      <c r="P237" s="4">
        <f>_xll.IMDP("STK",표.실시간4[[#This Row],[nxt_code]],"고가")</f>
        <v>43050</v>
      </c>
      <c r="Q237" s="4">
        <f>_xll.IMDP("STK",표.실시간4[[#This Row],[nxt_code]],"저가")</f>
        <v>41800</v>
      </c>
      <c r="R237">
        <f>_xll.IMDP("STK",표.실시간4[[#This Row],[nxt_code]],"세션명")</f>
        <v>0</v>
      </c>
      <c r="S237">
        <f>_xll.IMDP("STK",표.실시간4[[#This Row],[nxt_code]],"체결시간")</f>
        <v>0</v>
      </c>
      <c r="T237" s="4">
        <f>_xll.IMDP("STK","112610","현재가")</f>
        <v>40800</v>
      </c>
      <c r="U237">
        <f>_xll.IMDP("STK","112610","누적거래량")</f>
        <v>14531</v>
      </c>
    </row>
    <row r="238" spans="3:21" x14ac:dyDescent="0.3">
      <c r="C238">
        <v>233</v>
      </c>
      <c r="D238">
        <v>317450</v>
      </c>
      <c r="E238" t="s">
        <v>351</v>
      </c>
      <c r="F238" t="str">
        <f>ConvertStockCode(표.실시간4[[#This Row],[코드]])</f>
        <v>N317450</v>
      </c>
      <c r="G238" s="4">
        <f>_xll.IMDP("STK",표.실시간4[[#This Row],[nxt_code]],"현재가")</f>
        <v>58600</v>
      </c>
      <c r="H238" s="4">
        <f>_xll.IMDP("STK",표.실시간4[[#This Row],[nxt_code]],"시가총액")/10^12</f>
        <v>0.85555999999999999</v>
      </c>
      <c r="I238" s="4">
        <f>표.실시간4[[#This Row],[시가총액 (조원)]]/표.실시간4[[#This Row],[현재가]]*(표.실시간4[[#This Row],[현재가]]-표.실시간4[[#This Row],[대비]])</f>
        <v>0.8482599999999999</v>
      </c>
      <c r="J238" s="5">
        <f>_xll.IMDP("STK",표.실시간4[[#This Row],[nxt_code]],"전일대비")</f>
        <v>500</v>
      </c>
      <c r="K238">
        <f>_xll.IMDP("STK",표.실시간4[[#This Row],[nxt_code]],"등락률")</f>
        <v>0.86</v>
      </c>
      <c r="L238" s="4">
        <f>_xll.IMDP("STK",표.실시간4[[#This Row],[nxt_code]],"누적거래량")</f>
        <v>4121</v>
      </c>
      <c r="M238" s="4">
        <f>_xll.IMDP("STK",표.실시간4[[#This Row],[nxt_code]],"누적거래대금")</f>
        <v>241174200</v>
      </c>
      <c r="N238" s="4">
        <f>_xll.IMDP("STK",표.실시간4[[#This Row],[nxt_code]],"가중평균가")</f>
        <v>58523.222519000003</v>
      </c>
      <c r="O238" s="4">
        <f>_xll.IMDP("STK",표.실시간4[[#This Row],[nxt_code]],"시가")</f>
        <v>58100</v>
      </c>
      <c r="P238" s="4">
        <f>_xll.IMDP("STK",표.실시간4[[#This Row],[nxt_code]],"고가")</f>
        <v>58800</v>
      </c>
      <c r="Q238" s="4">
        <f>_xll.IMDP("STK",표.실시간4[[#This Row],[nxt_code]],"저가")</f>
        <v>58100</v>
      </c>
      <c r="R238">
        <f>_xll.IMDP("STK",표.실시간4[[#This Row],[nxt_code]],"세션명")</f>
        <v>0</v>
      </c>
      <c r="S238">
        <f>_xll.IMDP("STK",표.실시간4[[#This Row],[nxt_code]],"체결시간")</f>
        <v>0</v>
      </c>
      <c r="T238" s="4">
        <f>_xll.IMDP("STK","140860","현재가")</f>
        <v>232000</v>
      </c>
      <c r="U238">
        <f>_xll.IMDP("STK","140860","누적거래량")</f>
        <v>409</v>
      </c>
    </row>
    <row r="239" spans="3:21" x14ac:dyDescent="0.3">
      <c r="C239">
        <v>234</v>
      </c>
      <c r="D239">
        <v>3240</v>
      </c>
      <c r="E239" t="s">
        <v>353</v>
      </c>
      <c r="F239" t="str">
        <f>ConvertStockCode(표.실시간4[[#This Row],[코드]])</f>
        <v>N003240</v>
      </c>
      <c r="G239" s="4">
        <f>_xll.IMDP("STK",표.실시간4[[#This Row],[nxt_code]],"현재가")</f>
        <v>785000</v>
      </c>
      <c r="H239" s="4">
        <f>_xll.IMDP("STK",표.실시간4[[#This Row],[nxt_code]],"시가총액")/10^12</f>
        <v>0.87401899999999999</v>
      </c>
      <c r="I239" s="4">
        <f>표.실시간4[[#This Row],[시가총액 (조원)]]/표.실시간4[[#This Row],[현재가]]*(표.실시간4[[#This Row],[현재가]]-표.실시간4[[#This Row],[대비]])</f>
        <v>0.84618400000000005</v>
      </c>
      <c r="J239" s="5">
        <f>_xll.IMDP("STK",표.실시간4[[#This Row],[nxt_code]],"전일대비")</f>
        <v>25000</v>
      </c>
      <c r="K239">
        <f>_xll.IMDP("STK",표.실시간4[[#This Row],[nxt_code]],"등락률")</f>
        <v>3.29</v>
      </c>
      <c r="L239" s="4">
        <f>_xll.IMDP("STK",표.실시간4[[#This Row],[nxt_code]],"누적거래량")</f>
        <v>471</v>
      </c>
      <c r="M239" s="4">
        <f>_xll.IMDP("STK",표.실시간4[[#This Row],[nxt_code]],"누적거래대금")</f>
        <v>367183000</v>
      </c>
      <c r="N239" s="4">
        <f>_xll.IMDP("STK",표.실시간4[[#This Row],[nxt_code]],"가중평균가")</f>
        <v>779581.74097699998</v>
      </c>
      <c r="O239" s="4">
        <f>_xll.IMDP("STK",표.실시간4[[#This Row],[nxt_code]],"시가")</f>
        <v>765000</v>
      </c>
      <c r="P239" s="4">
        <f>_xll.IMDP("STK",표.실시간4[[#This Row],[nxt_code]],"고가")</f>
        <v>786000</v>
      </c>
      <c r="Q239" s="4">
        <f>_xll.IMDP("STK",표.실시간4[[#This Row],[nxt_code]],"저가")</f>
        <v>765000</v>
      </c>
      <c r="R239">
        <f>_xll.IMDP("STK",표.실시간4[[#This Row],[nxt_code]],"세션명")</f>
        <v>0</v>
      </c>
      <c r="S239">
        <f>_xll.IMDP("STK",표.실시간4[[#This Row],[nxt_code]],"체결시간")</f>
        <v>0</v>
      </c>
      <c r="T239" s="4">
        <f>_xll.IMDP("STK","065350","현재가")</f>
        <v>59500</v>
      </c>
      <c r="U239">
        <f>_xll.IMDP("STK","065350","누적거래량")</f>
        <v>13708</v>
      </c>
    </row>
    <row r="240" spans="3:21" x14ac:dyDescent="0.3">
      <c r="C240">
        <v>235</v>
      </c>
      <c r="D240">
        <v>93370</v>
      </c>
      <c r="E240" t="s">
        <v>367</v>
      </c>
      <c r="F240" t="str">
        <f>ConvertStockCode(표.실시간4[[#This Row],[코드]])</f>
        <v>N093370</v>
      </c>
      <c r="G240" s="4">
        <f>_xll.IMDP("STK",표.실시간4[[#This Row],[nxt_code]],"현재가")</f>
        <v>8120</v>
      </c>
      <c r="H240" s="4">
        <f>_xll.IMDP("STK",표.실시간4[[#This Row],[nxt_code]],"시가총액")/10^12</f>
        <v>0.87091327959999998</v>
      </c>
      <c r="I240" s="4">
        <f>표.실시간4[[#This Row],[시가총액 (조원)]]/표.실시간4[[#This Row],[현재가]]*(표.실시간4[[#This Row],[현재가]]-표.실시간4[[#This Row],[대비]])</f>
        <v>0.84195434049999995</v>
      </c>
      <c r="J240" s="5">
        <f>_xll.IMDP("STK",표.실시간4[[#This Row],[nxt_code]],"전일대비")</f>
        <v>270</v>
      </c>
      <c r="K240">
        <f>_xll.IMDP("STK",표.실시간4[[#This Row],[nxt_code]],"등락률")</f>
        <v>3.44</v>
      </c>
      <c r="L240" s="4">
        <f>_xll.IMDP("STK",표.실시간4[[#This Row],[nxt_code]],"누적거래량")</f>
        <v>927521</v>
      </c>
      <c r="M240" s="4">
        <f>_xll.IMDP("STK",표.실시간4[[#This Row],[nxt_code]],"누적거래대금")</f>
        <v>7619427700</v>
      </c>
      <c r="N240" s="4">
        <f>_xll.IMDP("STK",표.실시간4[[#This Row],[nxt_code]],"가중평균가")</f>
        <v>8214.8303919999998</v>
      </c>
      <c r="O240" s="4">
        <f>_xll.IMDP("STK",표.실시간4[[#This Row],[nxt_code]],"시가")</f>
        <v>8010</v>
      </c>
      <c r="P240" s="4">
        <f>_xll.IMDP("STK",표.실시간4[[#This Row],[nxt_code]],"고가")</f>
        <v>8450</v>
      </c>
      <c r="Q240" s="4">
        <f>_xll.IMDP("STK",표.실시간4[[#This Row],[nxt_code]],"저가")</f>
        <v>7870</v>
      </c>
      <c r="R240">
        <f>_xll.IMDP("STK",표.실시간4[[#This Row],[nxt_code]],"세션명")</f>
        <v>0</v>
      </c>
      <c r="S240">
        <f>_xll.IMDP("STK",표.실시간4[[#This Row],[nxt_code]],"체결시간")</f>
        <v>0</v>
      </c>
      <c r="T240" s="4">
        <f>_xll.IMDP("STK","006360","현재가")</f>
        <v>18840</v>
      </c>
      <c r="U240">
        <f>_xll.IMDP("STK","006360","누적거래량")</f>
        <v>21912</v>
      </c>
    </row>
    <row r="241" spans="3:21" x14ac:dyDescent="0.3">
      <c r="C241">
        <v>236</v>
      </c>
      <c r="D241">
        <v>108320</v>
      </c>
      <c r="E241" t="s">
        <v>357</v>
      </c>
      <c r="F241" t="str">
        <f>ConvertStockCode(표.실시간4[[#This Row],[코드]])</f>
        <v>N108320</v>
      </c>
      <c r="G241" s="4">
        <f>_xll.IMDP("STK",표.실시간4[[#This Row],[nxt_code]],"현재가")</f>
        <v>51000</v>
      </c>
      <c r="H241" s="4">
        <f>_xll.IMDP("STK",표.실시간4[[#This Row],[nxt_code]],"시가총액")/10^12</f>
        <v>0.82947930000000003</v>
      </c>
      <c r="I241" s="4">
        <f>표.실시간4[[#This Row],[시가총액 (조원)]]/표.실시간4[[#This Row],[현재가]]*(표.실시간4[[#This Row],[현재가]]-표.실시간4[[#This Row],[대비]])</f>
        <v>0.82785286999999996</v>
      </c>
      <c r="J241" s="5">
        <f>_xll.IMDP("STK",표.실시간4[[#This Row],[nxt_code]],"전일대비")</f>
        <v>100</v>
      </c>
      <c r="K241">
        <f>_xll.IMDP("STK",표.실시간4[[#This Row],[nxt_code]],"등락률")</f>
        <v>0.2</v>
      </c>
      <c r="L241" s="4">
        <f>_xll.IMDP("STK",표.실시간4[[#This Row],[nxt_code]],"누적거래량")</f>
        <v>3379</v>
      </c>
      <c r="M241" s="4">
        <f>_xll.IMDP("STK",표.실시간4[[#This Row],[nxt_code]],"누적거래대금")</f>
        <v>172477700</v>
      </c>
      <c r="N241" s="4">
        <f>_xll.IMDP("STK",표.실시간4[[#This Row],[nxt_code]],"가중평균가")</f>
        <v>51044.007103000004</v>
      </c>
      <c r="O241" s="4">
        <f>_xll.IMDP("STK",표.실시간4[[#This Row],[nxt_code]],"시가")</f>
        <v>50900</v>
      </c>
      <c r="P241" s="4">
        <f>_xll.IMDP("STK",표.실시간4[[#This Row],[nxt_code]],"고가")</f>
        <v>51300</v>
      </c>
      <c r="Q241" s="4">
        <f>_xll.IMDP("STK",표.실시간4[[#This Row],[nxt_code]],"저가")</f>
        <v>50800</v>
      </c>
      <c r="R241">
        <f>_xll.IMDP("STK",표.실시간4[[#This Row],[nxt_code]],"세션명")</f>
        <v>0</v>
      </c>
      <c r="S241">
        <f>_xll.IMDP("STK",표.실시간4[[#This Row],[nxt_code]],"체결시간")</f>
        <v>0</v>
      </c>
      <c r="T241" s="4">
        <f>_xll.IMDP("STK","085620","현재가")</f>
        <v>8990</v>
      </c>
      <c r="U241">
        <f>_xll.IMDP("STK","085620","누적거래량")</f>
        <v>2503</v>
      </c>
    </row>
    <row r="242" spans="3:21" x14ac:dyDescent="0.3">
      <c r="C242">
        <v>237</v>
      </c>
      <c r="D242">
        <v>3160</v>
      </c>
      <c r="E242" t="s">
        <v>354</v>
      </c>
      <c r="F242" t="str">
        <f>ConvertStockCode(표.실시간4[[#This Row],[코드]])</f>
        <v>N003160</v>
      </c>
      <c r="G242" s="4">
        <f>_xll.IMDP("STK",표.실시간4[[#This Row],[nxt_code]],"현재가")</f>
        <v>28100</v>
      </c>
      <c r="H242" s="4">
        <f>_xll.IMDP("STK",표.실시간4[[#This Row],[nxt_code]],"시가총액")/10^12</f>
        <v>0.79522999999999999</v>
      </c>
      <c r="I242" s="4">
        <f>표.실시간4[[#This Row],[시가총액 (조원)]]/표.실시간4[[#This Row],[현재가]]*(표.실시간4[[#This Row],[현재가]]-표.실시간4[[#This Row],[대비]])</f>
        <v>0.81220999999999999</v>
      </c>
      <c r="J242" s="5">
        <f>_xll.IMDP("STK",표.실시간4[[#This Row],[nxt_code]],"전일대비")</f>
        <v>-600</v>
      </c>
      <c r="K242">
        <f>_xll.IMDP("STK",표.실시간4[[#This Row],[nxt_code]],"등락률")</f>
        <v>-2.09</v>
      </c>
      <c r="L242" s="4">
        <f>_xll.IMDP("STK",표.실시간4[[#This Row],[nxt_code]],"누적거래량")</f>
        <v>36757</v>
      </c>
      <c r="M242" s="4">
        <f>_xll.IMDP("STK",표.실시간4[[#This Row],[nxt_code]],"누적거래대금")</f>
        <v>1048189250</v>
      </c>
      <c r="N242" s="4">
        <f>_xll.IMDP("STK",표.실시간4[[#This Row],[nxt_code]],"가중평균가")</f>
        <v>28438.581855</v>
      </c>
      <c r="O242" s="4">
        <f>_xll.IMDP("STK",표.실시간4[[#This Row],[nxt_code]],"시가")</f>
        <v>28750</v>
      </c>
      <c r="P242" s="4">
        <f>_xll.IMDP("STK",표.실시간4[[#This Row],[nxt_code]],"고가")</f>
        <v>28750</v>
      </c>
      <c r="Q242" s="4">
        <f>_xll.IMDP("STK",표.실시간4[[#This Row],[nxt_code]],"저가")</f>
        <v>27950</v>
      </c>
      <c r="R242">
        <f>_xll.IMDP("STK",표.실시간4[[#This Row],[nxt_code]],"세션명")</f>
        <v>0</v>
      </c>
      <c r="S242">
        <f>_xll.IMDP("STK",표.실시간4[[#This Row],[nxt_code]],"체결시간")</f>
        <v>0</v>
      </c>
      <c r="T242" s="4">
        <f>_xll.IMDP("STK","034230","현재가")</f>
        <v>17290</v>
      </c>
      <c r="U242">
        <f>_xll.IMDP("STK","034230","누적거래량")</f>
        <v>37256</v>
      </c>
    </row>
    <row r="243" spans="3:21" x14ac:dyDescent="0.3">
      <c r="C243">
        <v>238</v>
      </c>
      <c r="D243">
        <v>9450</v>
      </c>
      <c r="E243" t="s">
        <v>360</v>
      </c>
      <c r="F243" t="str">
        <f>ConvertStockCode(표.실시간4[[#This Row],[코드]])</f>
        <v>N009450</v>
      </c>
      <c r="G243" s="4">
        <f>_xll.IMDP("STK",표.실시간4[[#This Row],[nxt_code]],"현재가")</f>
        <v>56500</v>
      </c>
      <c r="H243" s="4">
        <f>_xll.IMDP("STK",표.실시간4[[#This Row],[nxt_code]],"시가총액")/10^12</f>
        <v>0.82312544799999998</v>
      </c>
      <c r="I243" s="4">
        <f>표.실시간4[[#This Row],[시가총액 (조원)]]/표.실시간4[[#This Row],[현재가]]*(표.실시간4[[#This Row],[현재가]]-표.실시간4[[#This Row],[대비]])</f>
        <v>0.82021172959999999</v>
      </c>
      <c r="J243" s="5">
        <f>_xll.IMDP("STK",표.실시간4[[#This Row],[nxt_code]],"전일대비")</f>
        <v>200</v>
      </c>
      <c r="K243">
        <f>_xll.IMDP("STK",표.실시간4[[#This Row],[nxt_code]],"등락률")</f>
        <v>0.36</v>
      </c>
      <c r="L243" s="4">
        <f>_xll.IMDP("STK",표.실시간4[[#This Row],[nxt_code]],"누적거래량")</f>
        <v>1430</v>
      </c>
      <c r="M243" s="4">
        <f>_xll.IMDP("STK",표.실시간4[[#This Row],[nxt_code]],"누적거래대금")</f>
        <v>80597800</v>
      </c>
      <c r="N243" s="4">
        <f>_xll.IMDP("STK",표.실시간4[[#This Row],[nxt_code]],"가중평균가")</f>
        <v>56362.097902000001</v>
      </c>
      <c r="O243" s="4">
        <f>_xll.IMDP("STK",표.실시간4[[#This Row],[nxt_code]],"시가")</f>
        <v>56300</v>
      </c>
      <c r="P243" s="4">
        <f>_xll.IMDP("STK",표.실시간4[[#This Row],[nxt_code]],"고가")</f>
        <v>56800</v>
      </c>
      <c r="Q243" s="4">
        <f>_xll.IMDP("STK",표.실시간4[[#This Row],[nxt_code]],"저가")</f>
        <v>56100</v>
      </c>
      <c r="R243">
        <f>_xll.IMDP("STK",표.실시간4[[#This Row],[nxt_code]],"세션명")</f>
        <v>0</v>
      </c>
      <c r="S243">
        <f>_xll.IMDP("STK",표.실시간4[[#This Row],[nxt_code]],"체결시간")</f>
        <v>0</v>
      </c>
      <c r="T243" s="4">
        <f>_xll.IMDP("STK","020560","현재가")</f>
        <v>7710</v>
      </c>
      <c r="U243">
        <f>_xll.IMDP("STK","020560","누적거래량")</f>
        <v>322</v>
      </c>
    </row>
    <row r="244" spans="3:21" x14ac:dyDescent="0.3">
      <c r="C244">
        <v>239</v>
      </c>
      <c r="D244">
        <v>114090</v>
      </c>
      <c r="E244" t="s">
        <v>363</v>
      </c>
      <c r="F244" t="str">
        <f>ConvertStockCode(표.실시간4[[#This Row],[코드]])</f>
        <v>N114090</v>
      </c>
      <c r="G244" s="4">
        <f>_xll.IMDP("STK",표.실시간4[[#This Row],[nxt_code]],"현재가")</f>
        <v>13100</v>
      </c>
      <c r="H244" s="4">
        <f>_xll.IMDP("STK",표.실시간4[[#This Row],[nxt_code]],"시가총액")/10^12</f>
        <v>0.81030927699999999</v>
      </c>
      <c r="I244" s="4">
        <f>표.실시간4[[#This Row],[시가총액 (조원)]]/표.실시간4[[#This Row],[현재가]]*(표.실시간4[[#This Row],[현재가]]-표.실시간4[[#This Row],[대비]])</f>
        <v>0.80845360690000001</v>
      </c>
      <c r="J244" s="5">
        <f>_xll.IMDP("STK",표.실시간4[[#This Row],[nxt_code]],"전일대비")</f>
        <v>30</v>
      </c>
      <c r="K244">
        <f>_xll.IMDP("STK",표.실시간4[[#This Row],[nxt_code]],"등락률")</f>
        <v>0.23</v>
      </c>
      <c r="L244" s="4">
        <f>_xll.IMDP("STK",표.실시간4[[#This Row],[nxt_code]],"누적거래량")</f>
        <v>511</v>
      </c>
      <c r="M244" s="4">
        <f>_xll.IMDP("STK",표.실시간4[[#This Row],[nxt_code]],"누적거래대금")</f>
        <v>6694300</v>
      </c>
      <c r="N244" s="4">
        <f>_xll.IMDP("STK",표.실시간4[[#This Row],[nxt_code]],"가중평균가")</f>
        <v>13100.391389</v>
      </c>
      <c r="O244" s="4">
        <f>_xll.IMDP("STK",표.실시간4[[#This Row],[nxt_code]],"시가")</f>
        <v>13110</v>
      </c>
      <c r="P244" s="4">
        <f>_xll.IMDP("STK",표.실시간4[[#This Row],[nxt_code]],"고가")</f>
        <v>13110</v>
      </c>
      <c r="Q244" s="4">
        <f>_xll.IMDP("STK",표.실시간4[[#This Row],[nxt_code]],"저가")</f>
        <v>13080</v>
      </c>
      <c r="R244">
        <f>_xll.IMDP("STK",표.실시간4[[#This Row],[nxt_code]],"세션명")</f>
        <v>0</v>
      </c>
      <c r="S244">
        <f>_xll.IMDP("STK",표.실시간4[[#This Row],[nxt_code]],"체결시간")</f>
        <v>0</v>
      </c>
      <c r="T244" s="4">
        <f>_xll.IMDP("STK","007310","현재가")</f>
        <v>389000</v>
      </c>
      <c r="U244">
        <f>_xll.IMDP("STK","007310","누적거래량")</f>
        <v>118</v>
      </c>
    </row>
    <row r="245" spans="3:21" x14ac:dyDescent="0.3">
      <c r="C245">
        <v>240</v>
      </c>
      <c r="D245">
        <v>100840</v>
      </c>
      <c r="E245" t="s">
        <v>359</v>
      </c>
      <c r="F245" t="str">
        <f>ConvertStockCode(표.실시간4[[#This Row],[코드]])</f>
        <v>N100840</v>
      </c>
      <c r="G245" s="4">
        <f>_xll.IMDP("STK",표.실시간4[[#This Row],[nxt_code]],"현재가")</f>
        <v>38900</v>
      </c>
      <c r="H245" s="4">
        <f>_xll.IMDP("STK",표.실시간4[[#This Row],[nxt_code]],"시가총액")/10^12</f>
        <v>0.80448245870000001</v>
      </c>
      <c r="I245" s="4">
        <f>표.실시간4[[#This Row],[시가총액 (조원)]]/표.실시간4[[#This Row],[현재가]]*(표.실시간4[[#This Row],[현재가]]-표.실시간4[[#This Row],[대비]])</f>
        <v>0.80758457615000001</v>
      </c>
      <c r="J245" s="5">
        <f>_xll.IMDP("STK",표.실시간4[[#This Row],[nxt_code]],"전일대비")</f>
        <v>-150</v>
      </c>
      <c r="K245">
        <f>_xll.IMDP("STK",표.실시간4[[#This Row],[nxt_code]],"등락률")</f>
        <v>-0.38</v>
      </c>
      <c r="L245" s="4">
        <f>_xll.IMDP("STK",표.실시간4[[#This Row],[nxt_code]],"누적거래량")</f>
        <v>22082</v>
      </c>
      <c r="M245" s="4">
        <f>_xll.IMDP("STK",표.실시간4[[#This Row],[nxt_code]],"누적거래대금")</f>
        <v>864194600</v>
      </c>
      <c r="N245" s="4">
        <f>_xll.IMDP("STK",표.실시간4[[#This Row],[nxt_code]],"가중평균가")</f>
        <v>39135.703287999997</v>
      </c>
      <c r="O245" s="4">
        <f>_xll.IMDP("STK",표.실시간4[[#This Row],[nxt_code]],"시가")</f>
        <v>39050</v>
      </c>
      <c r="P245" s="4">
        <f>_xll.IMDP("STK",표.실시간4[[#This Row],[nxt_code]],"고가")</f>
        <v>39400</v>
      </c>
      <c r="Q245" s="4">
        <f>_xll.IMDP("STK",표.실시간4[[#This Row],[nxt_code]],"저가")</f>
        <v>38900</v>
      </c>
      <c r="R245">
        <f>_xll.IMDP("STK",표.실시간4[[#This Row],[nxt_code]],"세션명")</f>
        <v>0</v>
      </c>
      <c r="S245">
        <f>_xll.IMDP("STK",표.실시간4[[#This Row],[nxt_code]],"체결시간")</f>
        <v>0</v>
      </c>
      <c r="T245" s="4">
        <f>_xll.IMDP("STK","161890","현재가")</f>
        <v>66200</v>
      </c>
      <c r="U245">
        <f>_xll.IMDP("STK","161890","누적거래량")</f>
        <v>11454</v>
      </c>
    </row>
    <row r="246" spans="3:21" x14ac:dyDescent="0.3">
      <c r="C246">
        <v>241</v>
      </c>
      <c r="D246">
        <v>5690</v>
      </c>
      <c r="E246" t="s">
        <v>370</v>
      </c>
      <c r="F246" t="str">
        <f>ConvertStockCode(표.실시간4[[#This Row],[코드]])</f>
        <v>N005690</v>
      </c>
      <c r="G246" s="4">
        <f>_xll.IMDP("STK",표.실시간4[[#This Row],[nxt_code]],"현재가")</f>
        <v>13620</v>
      </c>
      <c r="H246" s="4">
        <f>_xll.IMDP("STK",표.실시간4[[#This Row],[nxt_code]],"시가총액")/10^12</f>
        <v>0.81743104968000002</v>
      </c>
      <c r="I246" s="4">
        <f>표.실시간4[[#This Row],[시가총액 (조원)]]/표.실시간4[[#This Row],[현재가]]*(표.실시간4[[#This Row],[현재가]]-표.실시간4[[#This Row],[대비]])</f>
        <v>0.79282409444000002</v>
      </c>
      <c r="J246" s="5">
        <f>_xll.IMDP("STK",표.실시간4[[#This Row],[nxt_code]],"전일대비")</f>
        <v>410</v>
      </c>
      <c r="K246">
        <f>_xll.IMDP("STK",표.실시간4[[#This Row],[nxt_code]],"등락률")</f>
        <v>3.1</v>
      </c>
      <c r="L246" s="4">
        <f>_xll.IMDP("STK",표.실시간4[[#This Row],[nxt_code]],"누적거래량")</f>
        <v>406295</v>
      </c>
      <c r="M246" s="4">
        <f>_xll.IMDP("STK",표.실시간4[[#This Row],[nxt_code]],"누적거래대금")</f>
        <v>5573508910</v>
      </c>
      <c r="N246" s="4">
        <f>_xll.IMDP("STK",표.실시간4[[#This Row],[nxt_code]],"가중평균가")</f>
        <v>13717.887027999999</v>
      </c>
      <c r="O246" s="4">
        <f>_xll.IMDP("STK",표.실시간4[[#This Row],[nxt_code]],"시가")</f>
        <v>13440</v>
      </c>
      <c r="P246" s="4">
        <f>_xll.IMDP("STK",표.실시간4[[#This Row],[nxt_code]],"고가")</f>
        <v>13850</v>
      </c>
      <c r="Q246" s="4">
        <f>_xll.IMDP("STK",표.실시간4[[#This Row],[nxt_code]],"저가")</f>
        <v>13430</v>
      </c>
      <c r="R246">
        <f>_xll.IMDP("STK",표.실시간4[[#This Row],[nxt_code]],"세션명")</f>
        <v>0</v>
      </c>
      <c r="S246">
        <f>_xll.IMDP("STK",표.실시간4[[#This Row],[nxt_code]],"체결시간")</f>
        <v>0</v>
      </c>
      <c r="T246" s="4">
        <f>_xll.IMDP("STK","077970","현재가")</f>
        <v>37250</v>
      </c>
      <c r="U246">
        <f>_xll.IMDP("STK","077970","누적거래량")</f>
        <v>10231</v>
      </c>
    </row>
    <row r="247" spans="3:21" x14ac:dyDescent="0.3">
      <c r="C247">
        <v>242</v>
      </c>
      <c r="D247">
        <v>281820</v>
      </c>
      <c r="E247" t="s">
        <v>362</v>
      </c>
      <c r="F247" t="str">
        <f>ConvertStockCode(표.실시간4[[#This Row],[코드]])</f>
        <v>N281820</v>
      </c>
      <c r="G247" s="4">
        <f>_xll.IMDP("STK",표.실시간4[[#This Row],[nxt_code]],"현재가")</f>
        <v>38300</v>
      </c>
      <c r="H247" s="4">
        <f>_xll.IMDP("STK",표.실시간4[[#This Row],[nxt_code]],"시가총액")/10^12</f>
        <v>0.79243937090000005</v>
      </c>
      <c r="I247" s="4">
        <f>표.실시간4[[#This Row],[시가총액 (조원)]]/표.실시간4[[#This Row],[현재가]]*(표.실시간4[[#This Row],[현재가]]-표.실시간4[[#This Row],[대비]])</f>
        <v>0.79243937090000005</v>
      </c>
      <c r="J247" s="5">
        <f>_xll.IMDP("STK",표.실시간4[[#This Row],[nxt_code]],"전일대비")</f>
        <v>0</v>
      </c>
      <c r="K247">
        <f>_xll.IMDP("STK",표.실시간4[[#This Row],[nxt_code]],"등락률")</f>
        <v>0</v>
      </c>
      <c r="L247" s="4">
        <f>_xll.IMDP("STK",표.실시간4[[#This Row],[nxt_code]],"누적거래량")</f>
        <v>9729</v>
      </c>
      <c r="M247" s="4">
        <f>_xll.IMDP("STK",표.실시간4[[#This Row],[nxt_code]],"누적거래대금")</f>
        <v>375467850</v>
      </c>
      <c r="N247" s="4">
        <f>_xll.IMDP("STK",표.실시간4[[#This Row],[nxt_code]],"가중평균가")</f>
        <v>38592.645698</v>
      </c>
      <c r="O247" s="4">
        <f>_xll.IMDP("STK",표.실시간4[[#This Row],[nxt_code]],"시가")</f>
        <v>38500</v>
      </c>
      <c r="P247" s="4">
        <f>_xll.IMDP("STK",표.실시간4[[#This Row],[nxt_code]],"고가")</f>
        <v>38750</v>
      </c>
      <c r="Q247" s="4">
        <f>_xll.IMDP("STK",표.실시간4[[#This Row],[nxt_code]],"저가")</f>
        <v>38300</v>
      </c>
      <c r="R247">
        <f>_xll.IMDP("STK",표.실시간4[[#This Row],[nxt_code]],"세션명")</f>
        <v>0</v>
      </c>
      <c r="S247">
        <f>_xll.IMDP("STK",표.실시간4[[#This Row],[nxt_code]],"체결시간")</f>
        <v>0</v>
      </c>
      <c r="T247" s="4">
        <f>_xll.IMDP("STK","089030","현재가")</f>
        <v>37350</v>
      </c>
      <c r="U247">
        <f>_xll.IMDP("STK","089030","누적거래량")</f>
        <v>27081</v>
      </c>
    </row>
    <row r="248" spans="3:21" x14ac:dyDescent="0.3">
      <c r="C248">
        <v>243</v>
      </c>
      <c r="D248">
        <v>25540</v>
      </c>
      <c r="E248" t="s">
        <v>364</v>
      </c>
      <c r="F248" t="str">
        <f>ConvertStockCode(표.실시간4[[#This Row],[코드]])</f>
        <v>N025540</v>
      </c>
      <c r="G248" s="4">
        <f>_xll.IMDP("STK",표.실시간4[[#This Row],[nxt_code]],"현재가")</f>
        <v>75300</v>
      </c>
      <c r="H248" s="4">
        <f>_xll.IMDP("STK",표.실시간4[[#This Row],[nxt_code]],"시가총액")/10^12</f>
        <v>0.76165950000000004</v>
      </c>
      <c r="I248" s="4">
        <f>표.실시간4[[#This Row],[시가총액 (조원)]]/표.실시간4[[#This Row],[현재가]]*(표.실시간4[[#This Row],[현재가]]-표.실시간4[[#This Row],[대비]])</f>
        <v>0.77177450000000003</v>
      </c>
      <c r="J248" s="5">
        <f>_xll.IMDP("STK",표.실시간4[[#This Row],[nxt_code]],"전일대비")</f>
        <v>-1000</v>
      </c>
      <c r="K248">
        <f>_xll.IMDP("STK",표.실시간4[[#This Row],[nxt_code]],"등락률")</f>
        <v>-1.44</v>
      </c>
      <c r="L248" s="4">
        <f>_xll.IMDP("STK",표.실시간4[[#This Row],[nxt_code]],"누적거래량")</f>
        <v>5671</v>
      </c>
      <c r="M248" s="4">
        <f>_xll.IMDP("STK",표.실시간4[[#This Row],[nxt_code]],"누적거래대금")</f>
        <v>432692400</v>
      </c>
      <c r="N248" s="4">
        <f>_xll.IMDP("STK",표.실시간4[[#This Row],[nxt_code]],"가중평균가")</f>
        <v>76498.307176999995</v>
      </c>
      <c r="O248" s="4">
        <f>_xll.IMDP("STK",표.실시간4[[#This Row],[nxt_code]],"시가")</f>
        <v>76500</v>
      </c>
      <c r="P248" s="4">
        <f>_xll.IMDP("STK",표.실시간4[[#This Row],[nxt_code]],"고가")</f>
        <v>77300</v>
      </c>
      <c r="Q248" s="4">
        <f>_xll.IMDP("STK",표.실시간4[[#This Row],[nxt_code]],"저가")</f>
        <v>75300</v>
      </c>
      <c r="R248">
        <f>_xll.IMDP("STK",표.실시간4[[#This Row],[nxt_code]],"세션명")</f>
        <v>0</v>
      </c>
      <c r="S248">
        <f>_xll.IMDP("STK",표.실시간4[[#This Row],[nxt_code]],"체결시간")</f>
        <v>0</v>
      </c>
      <c r="T248" s="4">
        <f>_xll.IMDP("STK","036930","현재가")</f>
        <v>31350</v>
      </c>
      <c r="U248">
        <f>_xll.IMDP("STK","036930","누적거래량")</f>
        <v>10889</v>
      </c>
    </row>
    <row r="249" spans="3:21" x14ac:dyDescent="0.3">
      <c r="C249">
        <v>244</v>
      </c>
      <c r="D249">
        <v>7700</v>
      </c>
      <c r="E249" t="s">
        <v>374</v>
      </c>
      <c r="F249" t="str">
        <f>ConvertStockCode(표.실시간4[[#This Row],[코드]])</f>
        <v>N007700</v>
      </c>
      <c r="G249" s="4">
        <f>_xll.IMDP("STK",표.실시간4[[#This Row],[nxt_code]],"현재가")</f>
        <v>19780</v>
      </c>
      <c r="H249" s="4">
        <f>_xll.IMDP("STK",표.실시간4[[#This Row],[nxt_code]],"시가총액")/10^12</f>
        <v>0.77368217926000005</v>
      </c>
      <c r="I249" s="4">
        <f>표.실시간4[[#This Row],[시가총액 (조원)]]/표.실시간4[[#This Row],[현재가]]*(표.실시간4[[#This Row],[현재가]]-표.실시간4[[#This Row],[대비]])</f>
        <v>0.75881871980000004</v>
      </c>
      <c r="J249" s="5">
        <f>_xll.IMDP("STK",표.실시간4[[#This Row],[nxt_code]],"전일대비")</f>
        <v>380</v>
      </c>
      <c r="K249">
        <f>_xll.IMDP("STK",표.실시간4[[#This Row],[nxt_code]],"등락률")</f>
        <v>1.96</v>
      </c>
      <c r="L249" s="4">
        <f>_xll.IMDP("STK",표.실시간4[[#This Row],[nxt_code]],"누적거래량")</f>
        <v>1032</v>
      </c>
      <c r="M249" s="4">
        <f>_xll.IMDP("STK",표.실시간4[[#This Row],[nxt_code]],"누적거래대금")</f>
        <v>20382100</v>
      </c>
      <c r="N249" s="4">
        <f>_xll.IMDP("STK",표.실시간4[[#This Row],[nxt_code]],"가중평균가")</f>
        <v>19750.096899</v>
      </c>
      <c r="O249" s="4">
        <f>_xll.IMDP("STK",표.실시간4[[#This Row],[nxt_code]],"시가")</f>
        <v>19770</v>
      </c>
      <c r="P249" s="4">
        <f>_xll.IMDP("STK",표.실시간4[[#This Row],[nxt_code]],"고가")</f>
        <v>19780</v>
      </c>
      <c r="Q249" s="4">
        <f>_xll.IMDP("STK",표.실시간4[[#This Row],[nxt_code]],"저가")</f>
        <v>19510</v>
      </c>
      <c r="R249">
        <f>_xll.IMDP("STK",표.실시간4[[#This Row],[nxt_code]],"세션명")</f>
        <v>0</v>
      </c>
      <c r="S249">
        <f>_xll.IMDP("STK",표.실시간4[[#This Row],[nxt_code]],"체결시간")</f>
        <v>0</v>
      </c>
      <c r="T249" s="4">
        <f>_xll.IMDP("STK","000500","현재가")</f>
        <v>88000</v>
      </c>
      <c r="U249">
        <f>_xll.IMDP("STK","000500","누적거래량")</f>
        <v>1233</v>
      </c>
    </row>
    <row r="250" spans="3:21" x14ac:dyDescent="0.3">
      <c r="C250">
        <v>245</v>
      </c>
      <c r="D250">
        <v>210</v>
      </c>
      <c r="E250" t="s">
        <v>377</v>
      </c>
      <c r="F250" t="str">
        <f>ConvertStockCode(표.실시간4[[#This Row],[코드]])</f>
        <v>N000210</v>
      </c>
      <c r="G250" s="4">
        <f>_xll.IMDP("STK",표.실시간4[[#This Row],[nxt_code]],"현재가")</f>
        <v>36900</v>
      </c>
      <c r="H250" s="4">
        <f>_xll.IMDP("STK",표.실시간4[[#This Row],[nxt_code]],"시가총액")/10^12</f>
        <v>0.77327211959999997</v>
      </c>
      <c r="I250" s="4">
        <f>표.실시간4[[#This Row],[시가총액 (조원)]]/표.실시간4[[#This Row],[현재가]]*(표.실시간4[[#This Row],[현재가]]-표.실시간4[[#This Row],[대비]])</f>
        <v>0.76279417760000001</v>
      </c>
      <c r="J250" s="5">
        <f>_xll.IMDP("STK",표.실시간4[[#This Row],[nxt_code]],"전일대비")</f>
        <v>500</v>
      </c>
      <c r="K250">
        <f>_xll.IMDP("STK",표.실시간4[[#This Row],[nxt_code]],"등락률")</f>
        <v>1.37</v>
      </c>
      <c r="L250" s="4">
        <f>_xll.IMDP("STK",표.실시간4[[#This Row],[nxt_code]],"누적거래량")</f>
        <v>4469</v>
      </c>
      <c r="M250" s="4">
        <f>_xll.IMDP("STK",표.실시간4[[#This Row],[nxt_code]],"누적거래대금")</f>
        <v>164874950</v>
      </c>
      <c r="N250" s="4">
        <f>_xll.IMDP("STK",표.실시간4[[#This Row],[nxt_code]],"가중평균가")</f>
        <v>36893.029760999998</v>
      </c>
      <c r="O250" s="4">
        <f>_xll.IMDP("STK",표.실시간4[[#This Row],[nxt_code]],"시가")</f>
        <v>36600</v>
      </c>
      <c r="P250" s="4">
        <f>_xll.IMDP("STK",표.실시간4[[#This Row],[nxt_code]],"고가")</f>
        <v>37000</v>
      </c>
      <c r="Q250" s="4">
        <f>_xll.IMDP("STK",표.실시간4[[#This Row],[nxt_code]],"저가")</f>
        <v>36600</v>
      </c>
      <c r="R250">
        <f>_xll.IMDP("STK",표.실시간4[[#This Row],[nxt_code]],"세션명")</f>
        <v>0</v>
      </c>
      <c r="S250">
        <f>_xll.IMDP("STK",표.실시간4[[#This Row],[nxt_code]],"체결시간")</f>
        <v>0</v>
      </c>
      <c r="T250" s="4">
        <f>_xll.IMDP("STK","007810","현재가")</f>
        <v>62100</v>
      </c>
      <c r="U250">
        <f>_xll.IMDP("STK","007810","누적거래량")</f>
        <v>10450</v>
      </c>
    </row>
    <row r="251" spans="3:21" x14ac:dyDescent="0.3">
      <c r="C251">
        <v>246</v>
      </c>
      <c r="D251">
        <v>69260</v>
      </c>
      <c r="E251" t="s">
        <v>381</v>
      </c>
      <c r="F251" t="str">
        <f>ConvertStockCode(표.실시간4[[#This Row],[코드]])</f>
        <v>N069260</v>
      </c>
      <c r="G251" s="4">
        <f>_xll.IMDP("STK",표.실시간4[[#This Row],[nxt_code]],"현재가")</f>
        <v>18660</v>
      </c>
      <c r="H251" s="4">
        <f>_xll.IMDP("STK",표.실시간4[[#This Row],[nxt_code]],"시가총액")/10^12</f>
        <v>0.76279445207999996</v>
      </c>
      <c r="I251" s="4">
        <f>표.실시간4[[#This Row],[시가총액 (조원)]]/표.실시간4[[#This Row],[현재가]]*(표.실시간4[[#This Row],[현재가]]-표.실시간4[[#This Row],[대비]])</f>
        <v>0.75788902151999993</v>
      </c>
      <c r="J251" s="5">
        <f>_xll.IMDP("STK",표.실시간4[[#This Row],[nxt_code]],"전일대비")</f>
        <v>120</v>
      </c>
      <c r="K251">
        <f>_xll.IMDP("STK",표.실시간4[[#This Row],[nxt_code]],"등락률")</f>
        <v>0.65</v>
      </c>
      <c r="L251" s="4">
        <f>_xll.IMDP("STK",표.실시간4[[#This Row],[nxt_code]],"누적거래량")</f>
        <v>973</v>
      </c>
      <c r="M251" s="4">
        <f>_xll.IMDP("STK",표.실시간4[[#This Row],[nxt_code]],"누적거래대금")</f>
        <v>18094930</v>
      </c>
      <c r="N251" s="4">
        <f>_xll.IMDP("STK",표.실시간4[[#This Row],[nxt_code]],"가중평균가")</f>
        <v>18597.050360000001</v>
      </c>
      <c r="O251" s="4">
        <f>_xll.IMDP("STK",표.실시간4[[#This Row],[nxt_code]],"시가")</f>
        <v>18480</v>
      </c>
      <c r="P251" s="4">
        <f>_xll.IMDP("STK",표.실시간4[[#This Row],[nxt_code]],"고가")</f>
        <v>18660</v>
      </c>
      <c r="Q251" s="4">
        <f>_xll.IMDP("STK",표.실시간4[[#This Row],[nxt_code]],"저가")</f>
        <v>18360</v>
      </c>
      <c r="R251">
        <f>_xll.IMDP("STK",표.실시간4[[#This Row],[nxt_code]],"세션명")</f>
        <v>0</v>
      </c>
      <c r="S251">
        <f>_xll.IMDP("STK",표.실시간4[[#This Row],[nxt_code]],"체결시간")</f>
        <v>0</v>
      </c>
      <c r="T251" s="4">
        <f>_xll.IMDP("STK","007340","현재가")</f>
        <v>25500</v>
      </c>
      <c r="U251">
        <f>_xll.IMDP("STK","007340","누적거래량")</f>
        <v>3307</v>
      </c>
    </row>
    <row r="252" spans="3:21" x14ac:dyDescent="0.3">
      <c r="C252">
        <v>247</v>
      </c>
      <c r="D252">
        <v>14820</v>
      </c>
      <c r="E252" t="s">
        <v>393</v>
      </c>
      <c r="F252" t="str">
        <f>ConvertStockCode(표.실시간4[[#This Row],[코드]])</f>
        <v>N014820</v>
      </c>
      <c r="G252" s="4">
        <f>_xll.IMDP("STK",표.실시간4[[#This Row],[nxt_code]],"현재가")</f>
        <v>27150</v>
      </c>
      <c r="H252" s="4">
        <f>_xll.IMDP("STK",표.실시간4[[#This Row],[nxt_code]],"시가총액")/10^12</f>
        <v>0.78711330629999998</v>
      </c>
      <c r="I252" s="4">
        <f>표.실시간4[[#This Row],[시가총액 (조원)]]/표.실시간4[[#This Row],[현재가]]*(표.실시간4[[#This Row],[현재가]]-표.실시간4[[#This Row],[대비]])</f>
        <v>0.7813150499</v>
      </c>
      <c r="J252" s="5">
        <f>_xll.IMDP("STK",표.실시간4[[#This Row],[nxt_code]],"전일대비")</f>
        <v>200</v>
      </c>
      <c r="K252">
        <f>_xll.IMDP("STK",표.실시간4[[#This Row],[nxt_code]],"등락률")</f>
        <v>0.74</v>
      </c>
      <c r="L252" s="4">
        <f>_xll.IMDP("STK",표.실시간4[[#This Row],[nxt_code]],"누적거래량")</f>
        <v>10847</v>
      </c>
      <c r="M252" s="4">
        <f>_xll.IMDP("STK",표.실시간4[[#This Row],[nxt_code]],"누적거래대금")</f>
        <v>297675850</v>
      </c>
      <c r="N252" s="4">
        <f>_xll.IMDP("STK",표.실시간4[[#This Row],[nxt_code]],"가중평균가")</f>
        <v>27443.150180000001</v>
      </c>
      <c r="O252" s="4">
        <f>_xll.IMDP("STK",표.실시간4[[#This Row],[nxt_code]],"시가")</f>
        <v>26900</v>
      </c>
      <c r="P252" s="4">
        <f>_xll.IMDP("STK",표.실시간4[[#This Row],[nxt_code]],"고가")</f>
        <v>27700</v>
      </c>
      <c r="Q252" s="4">
        <f>_xll.IMDP("STK",표.실시간4[[#This Row],[nxt_code]],"저가")</f>
        <v>26900</v>
      </c>
      <c r="R252">
        <f>_xll.IMDP("STK",표.실시간4[[#This Row],[nxt_code]],"세션명")</f>
        <v>0</v>
      </c>
      <c r="S252">
        <f>_xll.IMDP("STK",표.실시간4[[#This Row],[nxt_code]],"체결시간")</f>
        <v>0</v>
      </c>
      <c r="T252" s="4">
        <f>_xll.IMDP("STK","005070","현재가")</f>
        <v>50300</v>
      </c>
      <c r="U252">
        <f>_xll.IMDP("STK","005070","누적거래량")</f>
        <v>77785</v>
      </c>
    </row>
    <row r="253" spans="3:21" x14ac:dyDescent="0.3">
      <c r="C253">
        <v>248</v>
      </c>
      <c r="D253">
        <v>1680</v>
      </c>
      <c r="E253" t="s">
        <v>383</v>
      </c>
      <c r="F253" t="str">
        <f>ConvertStockCode(표.실시간4[[#This Row],[코드]])</f>
        <v>N001680</v>
      </c>
      <c r="G253" s="4">
        <f>_xll.IMDP("STK",표.실시간4[[#This Row],[nxt_code]],"현재가")</f>
        <v>21950</v>
      </c>
      <c r="H253" s="4">
        <f>_xll.IMDP("STK",표.실시간4[[#This Row],[nxt_code]],"시가총액")/10^12</f>
        <v>0.76052414874999996</v>
      </c>
      <c r="I253" s="4">
        <f>표.실시간4[[#This Row],[시가총액 (조원)]]/표.실시간4[[#This Row],[현재가]]*(표.실시간4[[#This Row],[현재가]]-표.실시간4[[#This Row],[대비]])</f>
        <v>0.75532694499999997</v>
      </c>
      <c r="J253" s="5">
        <f>_xll.IMDP("STK",표.실시간4[[#This Row],[nxt_code]],"전일대비")</f>
        <v>150</v>
      </c>
      <c r="K253">
        <f>_xll.IMDP("STK",표.실시간4[[#This Row],[nxt_code]],"등락률")</f>
        <v>0.69</v>
      </c>
      <c r="L253" s="4">
        <f>_xll.IMDP("STK",표.실시간4[[#This Row],[nxt_code]],"누적거래량")</f>
        <v>6778</v>
      </c>
      <c r="M253" s="4">
        <f>_xll.IMDP("STK",표.실시간4[[#This Row],[nxt_code]],"누적거래대금")</f>
        <v>148898450</v>
      </c>
      <c r="N253" s="4">
        <f>_xll.IMDP("STK",표.실시간4[[#This Row],[nxt_code]],"가중평균가")</f>
        <v>21967.903511</v>
      </c>
      <c r="O253" s="4">
        <f>_xll.IMDP("STK",표.실시간4[[#This Row],[nxt_code]],"시가")</f>
        <v>22000</v>
      </c>
      <c r="P253" s="4">
        <f>_xll.IMDP("STK",표.실시간4[[#This Row],[nxt_code]],"고가")</f>
        <v>22050</v>
      </c>
      <c r="Q253" s="4">
        <f>_xll.IMDP("STK",표.실시간4[[#This Row],[nxt_code]],"저가")</f>
        <v>21850</v>
      </c>
      <c r="R253">
        <f>_xll.IMDP("STK",표.실시간4[[#This Row],[nxt_code]],"세션명")</f>
        <v>0</v>
      </c>
      <c r="S253">
        <f>_xll.IMDP("STK",표.실시간4[[#This Row],[nxt_code]],"체결시간")</f>
        <v>0</v>
      </c>
      <c r="T253" s="4">
        <f>_xll.IMDP("STK","060370","현재가")</f>
        <v>27100</v>
      </c>
      <c r="U253">
        <f>_xll.IMDP("STK","060370","누적거래량")</f>
        <v>7444</v>
      </c>
    </row>
    <row r="254" spans="3:21" x14ac:dyDescent="0.3">
      <c r="C254">
        <v>249</v>
      </c>
      <c r="D254">
        <v>3850</v>
      </c>
      <c r="E254" t="s">
        <v>378</v>
      </c>
      <c r="F254" t="str">
        <f>ConvertStockCode(표.실시간4[[#This Row],[코드]])</f>
        <v>N003850</v>
      </c>
      <c r="G254" s="4">
        <f>_xll.IMDP("STK",표.실시간4[[#This Row],[nxt_code]],"현재가")</f>
        <v>8960</v>
      </c>
      <c r="H254" s="4">
        <f>_xll.IMDP("STK",표.실시간4[[#This Row],[nxt_code]],"시가총액")/10^12</f>
        <v>0.76865337471999995</v>
      </c>
      <c r="I254" s="4">
        <f>표.실시간4[[#This Row],[시가총액 (조원)]]/표.실시간4[[#This Row],[현재가]]*(표.실시간4[[#This Row],[현재가]]-표.실시간4[[#This Row],[대비]])</f>
        <v>0.76607975850999999</v>
      </c>
      <c r="J254" s="5">
        <f>_xll.IMDP("STK",표.실시간4[[#This Row],[nxt_code]],"전일대비")</f>
        <v>30</v>
      </c>
      <c r="K254">
        <f>_xll.IMDP("STK",표.실시간4[[#This Row],[nxt_code]],"등락률")</f>
        <v>0.34</v>
      </c>
      <c r="L254" s="4">
        <f>_xll.IMDP("STK",표.실시간4[[#This Row],[nxt_code]],"누적거래량")</f>
        <v>8705</v>
      </c>
      <c r="M254" s="4">
        <f>_xll.IMDP("STK",표.실시간4[[#This Row],[nxt_code]],"누적거래대금")</f>
        <v>77897330</v>
      </c>
      <c r="N254" s="4">
        <f>_xll.IMDP("STK",표.실시간4[[#This Row],[nxt_code]],"가중평균가")</f>
        <v>8948.5732339999995</v>
      </c>
      <c r="O254" s="4">
        <f>_xll.IMDP("STK",표.실시간4[[#This Row],[nxt_code]],"시가")</f>
        <v>8940</v>
      </c>
      <c r="P254" s="4">
        <f>_xll.IMDP("STK",표.실시간4[[#This Row],[nxt_code]],"고가")</f>
        <v>8980</v>
      </c>
      <c r="Q254" s="4">
        <f>_xll.IMDP("STK",표.실시간4[[#This Row],[nxt_code]],"저가")</f>
        <v>8920</v>
      </c>
      <c r="R254">
        <f>_xll.IMDP("STK",표.실시간4[[#This Row],[nxt_code]],"세션명")</f>
        <v>0</v>
      </c>
      <c r="S254">
        <f>_xll.IMDP("STK",표.실시간4[[#This Row],[nxt_code]],"체결시간")</f>
        <v>0</v>
      </c>
      <c r="T254" s="4">
        <f>_xll.IMDP("STK","101490","현재가")</f>
        <v>65000</v>
      </c>
      <c r="U254">
        <f>_xll.IMDP("STK","101490","누적거래량")</f>
        <v>6293</v>
      </c>
    </row>
    <row r="255" spans="3:21" x14ac:dyDescent="0.3">
      <c r="C255">
        <v>250</v>
      </c>
      <c r="D255">
        <v>381970</v>
      </c>
      <c r="E255" t="s">
        <v>388</v>
      </c>
      <c r="F255" t="str">
        <f>ConvertStockCode(표.실시간4[[#This Row],[코드]])</f>
        <v>N381970</v>
      </c>
      <c r="G255" s="4">
        <f>_xll.IMDP("STK",표.실시간4[[#This Row],[nxt_code]],"현재가")</f>
        <v>15310</v>
      </c>
      <c r="H255" s="4">
        <f>_xll.IMDP("STK",표.실시간4[[#This Row],[nxt_code]],"시가총액")/10^12</f>
        <v>0.74744718288000001</v>
      </c>
      <c r="I255" s="4">
        <f>표.실시간4[[#This Row],[시가총액 (조원)]]/표.실시간4[[#This Row],[현재가]]*(표.실시간4[[#This Row],[현재가]]-표.실시간4[[#This Row],[대비]])</f>
        <v>0.74744718288000001</v>
      </c>
      <c r="J255" s="5">
        <f>_xll.IMDP("STK",표.실시간4[[#This Row],[nxt_code]],"전일대비")</f>
        <v>0</v>
      </c>
      <c r="K255">
        <f>_xll.IMDP("STK",표.실시간4[[#This Row],[nxt_code]],"등락률")</f>
        <v>0</v>
      </c>
      <c r="L255" s="4">
        <f>_xll.IMDP("STK",표.실시간4[[#This Row],[nxt_code]],"누적거래량")</f>
        <v>895</v>
      </c>
      <c r="M255" s="4">
        <f>_xll.IMDP("STK",표.실시간4[[#This Row],[nxt_code]],"누적거래대금")</f>
        <v>13733740</v>
      </c>
      <c r="N255" s="4">
        <f>_xll.IMDP("STK",표.실시간4[[#This Row],[nxt_code]],"가중평균가")</f>
        <v>15344.960894</v>
      </c>
      <c r="O255" s="4">
        <f>_xll.IMDP("STK",표.실시간4[[#This Row],[nxt_code]],"시가")</f>
        <v>15360</v>
      </c>
      <c r="P255" s="4">
        <f>_xll.IMDP("STK",표.실시간4[[#This Row],[nxt_code]],"고가")</f>
        <v>15370</v>
      </c>
      <c r="Q255" s="4">
        <f>_xll.IMDP("STK",표.실시간4[[#This Row],[nxt_code]],"저가")</f>
        <v>15260</v>
      </c>
      <c r="R255">
        <f>_xll.IMDP("STK",표.실시간4[[#This Row],[nxt_code]],"세션명")</f>
        <v>0</v>
      </c>
      <c r="S255">
        <f>_xll.IMDP("STK",표.실시간4[[#This Row],[nxt_code]],"체결시간")</f>
        <v>0</v>
      </c>
      <c r="T255" s="4">
        <f>_xll.IMDP("STK","323280","현재가")</f>
        <v>48150</v>
      </c>
      <c r="U255">
        <f>_xll.IMDP("STK","323280","누적거래량")</f>
        <v>21367</v>
      </c>
    </row>
    <row r="256" spans="3:21" x14ac:dyDescent="0.3">
      <c r="C256">
        <v>251</v>
      </c>
      <c r="D256">
        <v>214320</v>
      </c>
      <c r="E256" t="s">
        <v>387</v>
      </c>
      <c r="F256" t="str">
        <f>ConvertStockCode(표.실시간4[[#This Row],[코드]])</f>
        <v>N214320</v>
      </c>
      <c r="G256" s="4">
        <f>_xll.IMDP("STK",표.실시간4[[#This Row],[nxt_code]],"현재가")</f>
        <v>18570</v>
      </c>
      <c r="H256" s="4">
        <f>_xll.IMDP("STK",표.실시간4[[#This Row],[nxt_code]],"시가총액")/10^12</f>
        <v>0.74280000000000002</v>
      </c>
      <c r="I256" s="4">
        <f>표.실시간4[[#This Row],[시가총액 (조원)]]/표.실시간4[[#This Row],[현재가]]*(표.실시간4[[#This Row],[현재가]]-표.실시간4[[#This Row],[대비]])</f>
        <v>0.74280000000000002</v>
      </c>
      <c r="J256" s="5">
        <f>_xll.IMDP("STK",표.실시간4[[#This Row],[nxt_code]],"전일대비")</f>
        <v>0</v>
      </c>
      <c r="K256">
        <f>_xll.IMDP("STK",표.실시간4[[#This Row],[nxt_code]],"등락률")</f>
        <v>0</v>
      </c>
      <c r="L256" s="4">
        <f>_xll.IMDP("STK",표.실시간4[[#This Row],[nxt_code]],"누적거래량")</f>
        <v>2713</v>
      </c>
      <c r="M256" s="4">
        <f>_xll.IMDP("STK",표.실시간4[[#This Row],[nxt_code]],"누적거래대금")</f>
        <v>50371960</v>
      </c>
      <c r="N256" s="4">
        <f>_xll.IMDP("STK",표.실시간4[[#This Row],[nxt_code]],"가중평균가")</f>
        <v>18566.885366999999</v>
      </c>
      <c r="O256" s="4">
        <f>_xll.IMDP("STK",표.실시간4[[#This Row],[nxt_code]],"시가")</f>
        <v>18600</v>
      </c>
      <c r="P256" s="4">
        <f>_xll.IMDP("STK",표.실시간4[[#This Row],[nxt_code]],"고가")</f>
        <v>18600</v>
      </c>
      <c r="Q256" s="4">
        <f>_xll.IMDP("STK",표.실시간4[[#This Row],[nxt_code]],"저가")</f>
        <v>18460</v>
      </c>
      <c r="R256">
        <f>_xll.IMDP("STK",표.실시간4[[#This Row],[nxt_code]],"세션명")</f>
        <v>0</v>
      </c>
      <c r="S256">
        <f>_xll.IMDP("STK",표.실시간4[[#This Row],[nxt_code]],"체결시간")</f>
        <v>0</v>
      </c>
      <c r="T256" s="4">
        <f>_xll.IMDP("STK","484870","현재가")</f>
        <v>146100</v>
      </c>
      <c r="U256">
        <f>_xll.IMDP("STK","484870","누적거래량")</f>
        <v>1225</v>
      </c>
    </row>
    <row r="257" spans="3:21" x14ac:dyDescent="0.3">
      <c r="C257">
        <v>252</v>
      </c>
      <c r="D257">
        <v>5180</v>
      </c>
      <c r="E257" t="s">
        <v>390</v>
      </c>
      <c r="F257" t="str">
        <f>ConvertStockCode(표.실시간4[[#This Row],[코드]])</f>
        <v>N005180</v>
      </c>
      <c r="G257" s="4">
        <f>_xll.IMDP("STK",표.실시간4[[#This Row],[nxt_code]],"현재가")</f>
        <v>76400</v>
      </c>
      <c r="H257" s="4">
        <f>_xll.IMDP("STK",표.실시간4[[#This Row],[nxt_code]],"시가총액")/10^12</f>
        <v>0.73005570919999996</v>
      </c>
      <c r="I257" s="4">
        <f>표.실시간4[[#This Row],[시가총액 (조원)]]/표.실시간4[[#This Row],[현재가]]*(표.실시간4[[#This Row],[현재가]]-표.실시간4[[#This Row],[대비]])</f>
        <v>0.72910013889999992</v>
      </c>
      <c r="J257" s="5">
        <f>_xll.IMDP("STK",표.실시간4[[#This Row],[nxt_code]],"전일대비")</f>
        <v>100</v>
      </c>
      <c r="K257">
        <f>_xll.IMDP("STK",표.실시간4[[#This Row],[nxt_code]],"등락률")</f>
        <v>0.13</v>
      </c>
      <c r="L257" s="4">
        <f>_xll.IMDP("STK",표.실시간4[[#This Row],[nxt_code]],"누적거래량")</f>
        <v>569</v>
      </c>
      <c r="M257" s="4">
        <f>_xll.IMDP("STK",표.실시간4[[#This Row],[nxt_code]],"누적거래대금")</f>
        <v>43435800</v>
      </c>
      <c r="N257" s="4">
        <f>_xll.IMDP("STK",표.실시간4[[#This Row],[nxt_code]],"가중평균가")</f>
        <v>76337.082601000002</v>
      </c>
      <c r="O257" s="4">
        <f>_xll.IMDP("STK",표.실시간4[[#This Row],[nxt_code]],"시가")</f>
        <v>76600</v>
      </c>
      <c r="P257" s="4">
        <f>_xll.IMDP("STK",표.실시간4[[#This Row],[nxt_code]],"고가")</f>
        <v>76700</v>
      </c>
      <c r="Q257" s="4">
        <f>_xll.IMDP("STK",표.실시간4[[#This Row],[nxt_code]],"저가")</f>
        <v>76000</v>
      </c>
      <c r="R257">
        <f>_xll.IMDP("STK",표.실시간4[[#This Row],[nxt_code]],"세션명")</f>
        <v>0</v>
      </c>
      <c r="S257">
        <f>_xll.IMDP("STK",표.실시간4[[#This Row],[nxt_code]],"체결시간")</f>
        <v>0</v>
      </c>
      <c r="T257" s="4">
        <f>_xll.IMDP("STK","001120","현재가")</f>
        <v>35750</v>
      </c>
      <c r="U257">
        <f>_xll.IMDP("STK","001120","누적거래량")</f>
        <v>1855</v>
      </c>
    </row>
    <row r="258" spans="3:21" x14ac:dyDescent="0.3">
      <c r="C258">
        <v>253</v>
      </c>
      <c r="D258">
        <v>248070</v>
      </c>
      <c r="E258" t="s">
        <v>389</v>
      </c>
      <c r="F258" t="str">
        <f>ConvertStockCode(표.실시간4[[#This Row],[코드]])</f>
        <v>N248070</v>
      </c>
      <c r="G258" s="4">
        <f>_xll.IMDP("STK",표.실시간4[[#This Row],[nxt_code]],"현재가")</f>
        <v>15600</v>
      </c>
      <c r="H258" s="4">
        <f>_xll.IMDP("STK",표.실시간4[[#This Row],[nxt_code]],"시가총액")/10^12</f>
        <v>0.74593328160000005</v>
      </c>
      <c r="I258" s="4">
        <f>표.실시간4[[#This Row],[시가총액 (조원)]]/표.실시간4[[#This Row],[현재가]]*(표.실시간4[[#This Row],[현재가]]-표.실시간4[[#This Row],[대비]])</f>
        <v>0.7449769568800001</v>
      </c>
      <c r="J258" s="5">
        <f>_xll.IMDP("STK",표.실시간4[[#This Row],[nxt_code]],"전일대비")</f>
        <v>20</v>
      </c>
      <c r="K258">
        <f>_xll.IMDP("STK",표.실시간4[[#This Row],[nxt_code]],"등락률")</f>
        <v>0.13</v>
      </c>
      <c r="L258" s="4">
        <f>_xll.IMDP("STK",표.실시간4[[#This Row],[nxt_code]],"누적거래량")</f>
        <v>7083</v>
      </c>
      <c r="M258" s="4">
        <f>_xll.IMDP("STK",표.실시간4[[#This Row],[nxt_code]],"누적거래대금")</f>
        <v>110898710</v>
      </c>
      <c r="N258" s="4">
        <f>_xll.IMDP("STK",표.실시간4[[#This Row],[nxt_code]],"가중평균가")</f>
        <v>15657.025272000001</v>
      </c>
      <c r="O258" s="4">
        <f>_xll.IMDP("STK",표.실시간4[[#This Row],[nxt_code]],"시가")</f>
        <v>15700</v>
      </c>
      <c r="P258" s="4">
        <f>_xll.IMDP("STK",표.실시간4[[#This Row],[nxt_code]],"고가")</f>
        <v>15750</v>
      </c>
      <c r="Q258" s="4">
        <f>_xll.IMDP("STK",표.실시간4[[#This Row],[nxt_code]],"저가")</f>
        <v>15600</v>
      </c>
      <c r="R258">
        <f>_xll.IMDP("STK",표.실시간4[[#This Row],[nxt_code]],"세션명")</f>
        <v>0</v>
      </c>
      <c r="S258">
        <f>_xll.IMDP("STK",표.실시간4[[#This Row],[nxt_code]],"체결시간")</f>
        <v>0</v>
      </c>
      <c r="T258" s="4">
        <f>_xll.IMDP("STK","031980","현재가")</f>
        <v>60800</v>
      </c>
      <c r="U258">
        <f>_xll.IMDP("STK","031980","누적거래량")</f>
        <v>10400</v>
      </c>
    </row>
    <row r="259" spans="3:21" x14ac:dyDescent="0.3">
      <c r="C259">
        <v>254</v>
      </c>
      <c r="D259">
        <v>79900</v>
      </c>
      <c r="E259" t="s">
        <v>394</v>
      </c>
      <c r="F259" t="str">
        <f>ConvertStockCode(표.실시간4[[#This Row],[코드]])</f>
        <v>N079900</v>
      </c>
      <c r="G259" s="4">
        <f>_xll.IMDP("STK",표.실시간4[[#This Row],[nxt_code]],"현재가")</f>
        <v>54600</v>
      </c>
      <c r="H259" s="4">
        <f>_xll.IMDP("STK",표.실시간4[[#This Row],[nxt_code]],"시가총액")/10^12</f>
        <v>0.79675295700000004</v>
      </c>
      <c r="I259" s="4">
        <f>표.실시간4[[#This Row],[시가총액 (조원)]]/표.실시간4[[#This Row],[현재가]]*(표.실시간4[[#This Row],[현재가]]-표.실시간4[[#This Row],[대비]])</f>
        <v>0.72379023200000003</v>
      </c>
      <c r="J259" s="5">
        <f>_xll.IMDP("STK",표.실시간4[[#This Row],[nxt_code]],"전일대비")</f>
        <v>5000</v>
      </c>
      <c r="K259">
        <f>_xll.IMDP("STK",표.실시간4[[#This Row],[nxt_code]],"등락률")</f>
        <v>10.08</v>
      </c>
      <c r="L259" s="4">
        <f>_xll.IMDP("STK",표.실시간4[[#This Row],[nxt_code]],"누적거래량")</f>
        <v>427259</v>
      </c>
      <c r="M259" s="4">
        <f>_xll.IMDP("STK",표.실시간4[[#This Row],[nxt_code]],"누적거래대금")</f>
        <v>22792532850</v>
      </c>
      <c r="N259" s="4">
        <f>_xll.IMDP("STK",표.실시간4[[#This Row],[nxt_code]],"가중평균가")</f>
        <v>53345.939699000002</v>
      </c>
      <c r="O259" s="4">
        <f>_xll.IMDP("STK",표.실시간4[[#This Row],[nxt_code]],"시가")</f>
        <v>50500</v>
      </c>
      <c r="P259" s="4">
        <f>_xll.IMDP("STK",표.실시간4[[#This Row],[nxt_code]],"고가")</f>
        <v>54900</v>
      </c>
      <c r="Q259" s="4">
        <f>_xll.IMDP("STK",표.실시간4[[#This Row],[nxt_code]],"저가")</f>
        <v>50400</v>
      </c>
      <c r="R259">
        <f>_xll.IMDP("STK",표.실시간4[[#This Row],[nxt_code]],"세션명")</f>
        <v>0</v>
      </c>
      <c r="S259">
        <f>_xll.IMDP("STK",표.실시간4[[#This Row],[nxt_code]],"체결시간")</f>
        <v>0</v>
      </c>
      <c r="T259" s="4">
        <f>_xll.IMDP("STK","003540","현재가")</f>
        <v>28200</v>
      </c>
      <c r="U259">
        <f>_xll.IMDP("STK","003540","누적거래량")</f>
        <v>6708</v>
      </c>
    </row>
    <row r="260" spans="3:21" x14ac:dyDescent="0.3">
      <c r="C260">
        <v>255</v>
      </c>
      <c r="D260">
        <v>39130</v>
      </c>
      <c r="E260" t="s">
        <v>397</v>
      </c>
      <c r="F260" t="str">
        <f>ConvertStockCode(표.실시간4[[#This Row],[코드]])</f>
        <v>N039130</v>
      </c>
      <c r="G260" s="4">
        <f>_xll.IMDP("STK",표.실시간4[[#This Row],[nxt_code]],"현재가")</f>
        <v>45000</v>
      </c>
      <c r="H260" s="4">
        <f>_xll.IMDP("STK",표.실시간4[[#This Row],[nxt_code]],"시가총액")/10^12</f>
        <v>0.69704694</v>
      </c>
      <c r="I260" s="4">
        <f>표.실시간4[[#This Row],[시가총액 (조원)]]/표.실시간4[[#This Row],[현재가]]*(표.실시간4[[#This Row],[현재가]]-표.실시간4[[#This Row],[대비]])</f>
        <v>0.7024684162</v>
      </c>
      <c r="J260" s="5">
        <f>_xll.IMDP("STK",표.실시간4[[#This Row],[nxt_code]],"전일대비")</f>
        <v>-350</v>
      </c>
      <c r="K260">
        <f>_xll.IMDP("STK",표.실시간4[[#This Row],[nxt_code]],"등락률")</f>
        <v>-0.77</v>
      </c>
      <c r="L260" s="4">
        <f>_xll.IMDP("STK",표.실시간4[[#This Row],[nxt_code]],"누적거래량")</f>
        <v>5330</v>
      </c>
      <c r="M260" s="4">
        <f>_xll.IMDP("STK",표.실시간4[[#This Row],[nxt_code]],"누적거래대금")</f>
        <v>240204450</v>
      </c>
      <c r="N260" s="4">
        <f>_xll.IMDP("STK",표.실시간4[[#This Row],[nxt_code]],"가중평균가")</f>
        <v>45066.500937999997</v>
      </c>
      <c r="O260" s="4">
        <f>_xll.IMDP("STK",표.실시간4[[#This Row],[nxt_code]],"시가")</f>
        <v>45300</v>
      </c>
      <c r="P260" s="4">
        <f>_xll.IMDP("STK",표.실시간4[[#This Row],[nxt_code]],"고가")</f>
        <v>45500</v>
      </c>
      <c r="Q260" s="4">
        <f>_xll.IMDP("STK",표.실시간4[[#This Row],[nxt_code]],"저가")</f>
        <v>44900</v>
      </c>
      <c r="R260">
        <f>_xll.IMDP("STK",표.실시간4[[#This Row],[nxt_code]],"세션명")</f>
        <v>0</v>
      </c>
      <c r="S260">
        <f>_xll.IMDP("STK",표.실시간4[[#This Row],[nxt_code]],"체결시간")</f>
        <v>0</v>
      </c>
      <c r="T260" s="4">
        <f>_xll.IMDP("STK","035760","현재가")</f>
        <v>64100</v>
      </c>
      <c r="U260">
        <f>_xll.IMDP("STK","035760","누적거래량")</f>
        <v>638</v>
      </c>
    </row>
    <row r="261" spans="3:21" x14ac:dyDescent="0.3">
      <c r="C261">
        <v>256</v>
      </c>
      <c r="D261">
        <v>2840</v>
      </c>
      <c r="E261" t="s">
        <v>404</v>
      </c>
      <c r="F261" t="str">
        <f>ConvertStockCode(표.실시간4[[#This Row],[코드]])</f>
        <v>N002840</v>
      </c>
      <c r="G261" s="4">
        <f>_xll.IMDP("STK",표.실시간4[[#This Row],[nxt_code]],"현재가")</f>
        <v>142200</v>
      </c>
      <c r="H261" s="4">
        <f>_xll.IMDP("STK",표.실시간4[[#This Row],[nxt_code]],"시가총액")/10^12</f>
        <v>0.67544999999999999</v>
      </c>
      <c r="I261" s="4">
        <f>표.실시간4[[#This Row],[시가총액 (조원)]]/표.실시간4[[#This Row],[현재가]]*(표.실시간4[[#This Row],[현재가]]-표.실시간4[[#This Row],[대비]])</f>
        <v>0.67497499999999999</v>
      </c>
      <c r="J261" s="5">
        <f>_xll.IMDP("STK",표.실시간4[[#This Row],[nxt_code]],"전일대비")</f>
        <v>100</v>
      </c>
      <c r="K261">
        <f>_xll.IMDP("STK",표.실시간4[[#This Row],[nxt_code]],"등락률")</f>
        <v>7.0000000000000007E-2</v>
      </c>
      <c r="L261" s="4">
        <f>_xll.IMDP("STK",표.실시간4[[#This Row],[nxt_code]],"누적거래량")</f>
        <v>9</v>
      </c>
      <c r="M261" s="4">
        <f>_xll.IMDP("STK",표.실시간4[[#This Row],[nxt_code]],"누적거래대금")</f>
        <v>1279100</v>
      </c>
      <c r="N261" s="4">
        <f>_xll.IMDP("STK",표.실시간4[[#This Row],[nxt_code]],"가중평균가")</f>
        <v>142122.22222200001</v>
      </c>
      <c r="O261" s="4">
        <f>_xll.IMDP("STK",표.실시간4[[#This Row],[nxt_code]],"시가")</f>
        <v>142100</v>
      </c>
      <c r="P261" s="4">
        <f>_xll.IMDP("STK",표.실시간4[[#This Row],[nxt_code]],"고가")</f>
        <v>142200</v>
      </c>
      <c r="Q261" s="4">
        <f>_xll.IMDP("STK",표.실시간4[[#This Row],[nxt_code]],"저가")</f>
        <v>142100</v>
      </c>
      <c r="R261">
        <f>_xll.IMDP("STK",표.실시간4[[#This Row],[nxt_code]],"세션명")</f>
        <v>0</v>
      </c>
      <c r="S261">
        <f>_xll.IMDP("STK",표.실시간4[[#This Row],[nxt_code]],"체결시간")</f>
        <v>0</v>
      </c>
      <c r="T261" s="4">
        <f>_xll.IMDP("STK","253450","현재가")</f>
        <v>45750</v>
      </c>
      <c r="U261">
        <f>_xll.IMDP("STK","253450","누적거래량")</f>
        <v>1115</v>
      </c>
    </row>
    <row r="262" spans="3:21" x14ac:dyDescent="0.3">
      <c r="C262">
        <v>257</v>
      </c>
      <c r="D262">
        <v>8730</v>
      </c>
      <c r="E262" t="s">
        <v>409</v>
      </c>
      <c r="F262" t="str">
        <f>ConvertStockCode(표.실시간4[[#This Row],[코드]])</f>
        <v>N008730</v>
      </c>
      <c r="G262" s="4">
        <f>_xll.IMDP("STK",표.실시간4[[#This Row],[nxt_code]],"현재가")</f>
        <v>27900</v>
      </c>
      <c r="H262" s="4">
        <f>_xll.IMDP("STK",표.실시간4[[#This Row],[nxt_code]],"시가총액")/10^12</f>
        <v>0.69191999999999998</v>
      </c>
      <c r="I262" s="4">
        <f>표.실시간4[[#This Row],[시가총액 (조원)]]/표.실시간4[[#This Row],[현재가]]*(표.실시간4[[#This Row],[현재가]]-표.실시간4[[#This Row],[대비]])</f>
        <v>0.67208000000000001</v>
      </c>
      <c r="J262" s="5">
        <f>_xll.IMDP("STK",표.실시간4[[#This Row],[nxt_code]],"전일대비")</f>
        <v>800</v>
      </c>
      <c r="K262">
        <f>_xll.IMDP("STK",표.실시간4[[#This Row],[nxt_code]],"등락률")</f>
        <v>1.45</v>
      </c>
      <c r="L262" s="4">
        <f>_xll.IMDP("STK",표.실시간4[[#This Row],[nxt_code]],"누적거래량")</f>
        <v>33581</v>
      </c>
      <c r="M262" s="4">
        <f>_xll.IMDP("STK",표.실시간4[[#This Row],[nxt_code]],"누적거래대금")</f>
        <v>851359850</v>
      </c>
      <c r="N262" s="4">
        <f>_xll.IMDP("STK",표.실시간4[[#This Row],[nxt_code]],"가중평균가")</f>
        <v>28196.067717000002</v>
      </c>
      <c r="O262" s="4">
        <f>_xll.IMDP("STK",표.실시간4[[#This Row],[nxt_code]],"시가")</f>
        <v>27950</v>
      </c>
      <c r="P262" s="4">
        <f>_xll.IMDP("STK",표.실시간4[[#This Row],[nxt_code]],"고가")</f>
        <v>28550</v>
      </c>
      <c r="Q262" s="4">
        <f>_xll.IMDP("STK",표.실시간4[[#This Row],[nxt_code]],"저가")</f>
        <v>27900</v>
      </c>
      <c r="R262">
        <f>_xll.IMDP("STK",표.실시간4[[#This Row],[nxt_code]],"세션명")</f>
        <v>0</v>
      </c>
      <c r="S262">
        <f>_xll.IMDP("STK",표.실시간4[[#This Row],[nxt_code]],"체결시간")</f>
        <v>0</v>
      </c>
      <c r="T262" s="4">
        <f>_xll.IMDP("STK","195940","현재가")</f>
        <v>47850</v>
      </c>
      <c r="U262">
        <f>_xll.IMDP("STK","195940","누적거래량")</f>
        <v>4604</v>
      </c>
    </row>
    <row r="263" spans="3:21" x14ac:dyDescent="0.3">
      <c r="C263">
        <v>258</v>
      </c>
      <c r="D263">
        <v>5250</v>
      </c>
      <c r="E263" t="s">
        <v>401</v>
      </c>
      <c r="F263" t="str">
        <f>ConvertStockCode(표.실시간4[[#This Row],[코드]])</f>
        <v>N005250</v>
      </c>
      <c r="G263" s="4">
        <f>_xll.IMDP("STK",표.실시간4[[#This Row],[nxt_code]],"현재가")</f>
        <v>14710</v>
      </c>
      <c r="H263" s="4">
        <f>_xll.IMDP("STK",표.실시간4[[#This Row],[nxt_code]],"시가총액")/10^12</f>
        <v>0.69178496909999998</v>
      </c>
      <c r="I263" s="4">
        <f>표.실시간4[[#This Row],[시가총액 (조원)]]/표.실시간4[[#This Row],[현재가]]*(표.실시간4[[#This Row],[현재가]]-표.실시간4[[#This Row],[대비]])</f>
        <v>0.68990384069999999</v>
      </c>
      <c r="J263" s="5">
        <f>_xll.IMDP("STK",표.실시간4[[#This Row],[nxt_code]],"전일대비")</f>
        <v>40</v>
      </c>
      <c r="K263">
        <f>_xll.IMDP("STK",표.실시간4[[#This Row],[nxt_code]],"등락률")</f>
        <v>0.27</v>
      </c>
      <c r="L263" s="4">
        <f>_xll.IMDP("STK",표.실시간4[[#This Row],[nxt_code]],"누적거래량")</f>
        <v>4405</v>
      </c>
      <c r="M263" s="4">
        <f>_xll.IMDP("STK",표.실시간4[[#This Row],[nxt_code]],"누적거래대금")</f>
        <v>64685820</v>
      </c>
      <c r="N263" s="4">
        <f>_xll.IMDP("STK",표.실시간4[[#This Row],[nxt_code]],"가중평균가")</f>
        <v>14684.635641000001</v>
      </c>
      <c r="O263" s="4">
        <f>_xll.IMDP("STK",표.실시간4[[#This Row],[nxt_code]],"시가")</f>
        <v>14670</v>
      </c>
      <c r="P263" s="4">
        <f>_xll.IMDP("STK",표.실시간4[[#This Row],[nxt_code]],"고가")</f>
        <v>14780</v>
      </c>
      <c r="Q263" s="4">
        <f>_xll.IMDP("STK",표.실시간4[[#This Row],[nxt_code]],"저가")</f>
        <v>14660</v>
      </c>
      <c r="R263">
        <f>_xll.IMDP("STK",표.실시간4[[#This Row],[nxt_code]],"세션명")</f>
        <v>0</v>
      </c>
      <c r="S263">
        <f>_xll.IMDP("STK",표.실시간4[[#This Row],[nxt_code]],"체결시간")</f>
        <v>0</v>
      </c>
      <c r="T263" s="4">
        <f>_xll.IMDP("STK","348370","현재가")</f>
        <v>66500</v>
      </c>
      <c r="U263">
        <f>_xll.IMDP("STK","348370","누적거래량")</f>
        <v>30951</v>
      </c>
    </row>
    <row r="264" spans="3:21" x14ac:dyDescent="0.3">
      <c r="C264">
        <v>259</v>
      </c>
      <c r="D264">
        <v>640</v>
      </c>
      <c r="E264" t="s">
        <v>406</v>
      </c>
      <c r="F264" t="str">
        <f>ConvertStockCode(표.실시간4[[#This Row],[코드]])</f>
        <v>N000640</v>
      </c>
      <c r="G264" s="4">
        <f>_xll.IMDP("STK",표.실시간4[[#This Row],[nxt_code]],"현재가")</f>
        <v>104300</v>
      </c>
      <c r="H264" s="4">
        <f>_xll.IMDP("STK",표.실시간4[[#This Row],[nxt_code]],"시가총액")/10^12</f>
        <v>0.6817500662</v>
      </c>
      <c r="I264" s="4">
        <f>표.실시간4[[#This Row],[시가총액 (조원)]]/표.실시간4[[#This Row],[현재가]]*(표.실시간4[[#This Row],[현재가]]-표.실시간4[[#This Row],[대비]])</f>
        <v>0.68501828320000002</v>
      </c>
      <c r="J264" s="5">
        <f>_xll.IMDP("STK",표.실시간4[[#This Row],[nxt_code]],"전일대비")</f>
        <v>-500</v>
      </c>
      <c r="K264">
        <f>_xll.IMDP("STK",표.실시간4[[#This Row],[nxt_code]],"등락률")</f>
        <v>-0.48</v>
      </c>
      <c r="L264" s="4">
        <f>_xll.IMDP("STK",표.실시간4[[#This Row],[nxt_code]],"누적거래량")</f>
        <v>418</v>
      </c>
      <c r="M264" s="4">
        <f>_xll.IMDP("STK",표.실시간4[[#This Row],[nxt_code]],"누적거래대금")</f>
        <v>43915500</v>
      </c>
      <c r="N264" s="4">
        <f>_xll.IMDP("STK",표.실시간4[[#This Row],[nxt_code]],"가중평균가")</f>
        <v>105061.004785</v>
      </c>
      <c r="O264" s="4">
        <f>_xll.IMDP("STK",표.실시간4[[#This Row],[nxt_code]],"시가")</f>
        <v>105500</v>
      </c>
      <c r="P264" s="4">
        <f>_xll.IMDP("STK",표.실시간4[[#This Row],[nxt_code]],"고가")</f>
        <v>105800</v>
      </c>
      <c r="Q264" s="4">
        <f>_xll.IMDP("STK",표.실시간4[[#This Row],[nxt_code]],"저가")</f>
        <v>104300</v>
      </c>
      <c r="R264">
        <f>_xll.IMDP("STK",표.실시간4[[#This Row],[nxt_code]],"세션명")</f>
        <v>0</v>
      </c>
      <c r="S264">
        <f>_xll.IMDP("STK",표.실시간4[[#This Row],[nxt_code]],"체결시간")</f>
        <v>0</v>
      </c>
      <c r="T264" s="4">
        <f>_xll.IMDP("STK","294870","현재가")</f>
        <v>20450</v>
      </c>
      <c r="U264">
        <f>_xll.IMDP("STK","294870","누적거래량")</f>
        <v>10910</v>
      </c>
    </row>
    <row r="265" spans="3:21" x14ac:dyDescent="0.3">
      <c r="C265">
        <v>260</v>
      </c>
      <c r="D265">
        <v>268280</v>
      </c>
      <c r="E265" t="s">
        <v>400</v>
      </c>
      <c r="F265" t="str">
        <f>ConvertStockCode(표.실시간4[[#This Row],[코드]])</f>
        <v>N268280</v>
      </c>
      <c r="G265" s="4">
        <f>_xll.IMDP("STK",표.실시간4[[#This Row],[nxt_code]],"현재가")</f>
        <v>137100</v>
      </c>
      <c r="H265" s="4">
        <f>_xll.IMDP("STK",표.실시간4[[#This Row],[nxt_code]],"시가총액")/10^12</f>
        <v>0.6855</v>
      </c>
      <c r="I265" s="4">
        <f>표.실시간4[[#This Row],[시가총액 (조원)]]/표.실시간4[[#This Row],[현재가]]*(표.실시간4[[#This Row],[현재가]]-표.실시간4[[#This Row],[대비]])</f>
        <v>0.68700000000000006</v>
      </c>
      <c r="J265" s="5">
        <f>_xll.IMDP("STK",표.실시간4[[#This Row],[nxt_code]],"전일대비")</f>
        <v>-300</v>
      </c>
      <c r="K265">
        <f>_xll.IMDP("STK",표.실시간4[[#This Row],[nxt_code]],"등락률")</f>
        <v>-0.22</v>
      </c>
      <c r="L265" s="4">
        <f>_xll.IMDP("STK",표.실시간4[[#This Row],[nxt_code]],"누적거래량")</f>
        <v>11</v>
      </c>
      <c r="M265" s="4">
        <f>_xll.IMDP("STK",표.실시간4[[#This Row],[nxt_code]],"누적거래대금")</f>
        <v>1501700</v>
      </c>
      <c r="N265" s="4">
        <f>_xll.IMDP("STK",표.실시간4[[#This Row],[nxt_code]],"가중평균가")</f>
        <v>136518.18181800001</v>
      </c>
      <c r="O265" s="4">
        <f>_xll.IMDP("STK",표.실시간4[[#This Row],[nxt_code]],"시가")</f>
        <v>136900</v>
      </c>
      <c r="P265" s="4">
        <f>_xll.IMDP("STK",표.실시간4[[#This Row],[nxt_code]],"고가")</f>
        <v>137100</v>
      </c>
      <c r="Q265" s="4">
        <f>_xll.IMDP("STK",표.실시간4[[#This Row],[nxt_code]],"저가")</f>
        <v>136400</v>
      </c>
      <c r="R265">
        <f>_xll.IMDP("STK",표.실시간4[[#This Row],[nxt_code]],"세션명")</f>
        <v>0</v>
      </c>
      <c r="S265">
        <f>_xll.IMDP("STK",표.실시간4[[#This Row],[nxt_code]],"체결시간")</f>
        <v>0</v>
      </c>
      <c r="T265" s="4">
        <f>_xll.IMDP("STK","005440","현재가")</f>
        <v>8560</v>
      </c>
      <c r="U265">
        <f>_xll.IMDP("STK","005440","누적거래량")</f>
        <v>4610</v>
      </c>
    </row>
    <row r="266" spans="3:21" x14ac:dyDescent="0.3">
      <c r="C266">
        <v>261</v>
      </c>
      <c r="D266">
        <v>10780</v>
      </c>
      <c r="E266" t="s">
        <v>407</v>
      </c>
      <c r="F266" t="str">
        <f>ConvertStockCode(표.실시간4[[#This Row],[코드]])</f>
        <v>N010780</v>
      </c>
      <c r="G266" s="4">
        <f>_xll.IMDP("STK",표.실시간4[[#This Row],[nxt_code]],"현재가")</f>
        <v>22750</v>
      </c>
      <c r="H266" s="4">
        <f>_xll.IMDP("STK",표.실시간4[[#This Row],[nxt_code]],"시가총액")/10^12</f>
        <v>0.68675370400000002</v>
      </c>
      <c r="I266" s="4">
        <f>표.실시간4[[#This Row],[시가총액 (조원)]]/표.실시간4[[#This Row],[현재가]]*(표.실시간4[[#This Row],[현재가]]-표.실시간4[[#This Row],[대비]])</f>
        <v>0.6807163088</v>
      </c>
      <c r="J266" s="5">
        <f>_xll.IMDP("STK",표.실시간4[[#This Row],[nxt_code]],"전일대비")</f>
        <v>200</v>
      </c>
      <c r="K266">
        <f>_xll.IMDP("STK",표.실시간4[[#This Row],[nxt_code]],"등락률")</f>
        <v>0.89</v>
      </c>
      <c r="L266" s="4">
        <f>_xll.IMDP("STK",표.실시간4[[#This Row],[nxt_code]],"누적거래량")</f>
        <v>3739</v>
      </c>
      <c r="M266" s="4">
        <f>_xll.IMDP("STK",표.실시간4[[#This Row],[nxt_code]],"누적거래대금")</f>
        <v>85295300</v>
      </c>
      <c r="N266" s="4">
        <f>_xll.IMDP("STK",표.실시간4[[#This Row],[nxt_code]],"가중평균가")</f>
        <v>22812.3295</v>
      </c>
      <c r="O266" s="4">
        <f>_xll.IMDP("STK",표.실시간4[[#This Row],[nxt_code]],"시가")</f>
        <v>22550</v>
      </c>
      <c r="P266" s="4">
        <f>_xll.IMDP("STK",표.실시간4[[#This Row],[nxt_code]],"고가")</f>
        <v>22950</v>
      </c>
      <c r="Q266" s="4">
        <f>_xll.IMDP("STK",표.실시간4[[#This Row],[nxt_code]],"저가")</f>
        <v>22550</v>
      </c>
      <c r="R266">
        <f>_xll.IMDP("STK",표.실시간4[[#This Row],[nxt_code]],"세션명")</f>
        <v>0</v>
      </c>
      <c r="S266">
        <f>_xll.IMDP("STK",표.실시간4[[#This Row],[nxt_code]],"체결시간")</f>
        <v>0</v>
      </c>
      <c r="T266" s="4">
        <f>_xll.IMDP("STK","290650","현재가")</f>
        <v>53300</v>
      </c>
      <c r="U266">
        <f>_xll.IMDP("STK","290650","누적거래량")</f>
        <v>5559</v>
      </c>
    </row>
    <row r="267" spans="3:21" x14ac:dyDescent="0.3">
      <c r="C267">
        <v>262</v>
      </c>
      <c r="D267">
        <v>475150</v>
      </c>
      <c r="E267" t="s">
        <v>411</v>
      </c>
      <c r="F267" t="str">
        <f>ConvertStockCode(표.실시간4[[#This Row],[코드]])</f>
        <v>N475150</v>
      </c>
      <c r="G267" s="4">
        <f>_xll.IMDP("STK",표.실시간4[[#This Row],[nxt_code]],"현재가")</f>
        <v>20050</v>
      </c>
      <c r="H267" s="4">
        <f>_xll.IMDP("STK",표.실시간4[[#This Row],[nxt_code]],"시가총액")/10^12</f>
        <v>0.67676854210000004</v>
      </c>
      <c r="I267" s="4">
        <f>표.실시간4[[#This Row],[시가총액 (조원)]]/표.실시간4[[#This Row],[현재가]]*(표.실시간4[[#This Row],[현재가]]-표.실시간4[[#This Row],[대비]])</f>
        <v>0.66292938488000008</v>
      </c>
      <c r="J267" s="5">
        <f>_xll.IMDP("STK",표.실시간4[[#This Row],[nxt_code]],"전일대비")</f>
        <v>410</v>
      </c>
      <c r="K267">
        <f>_xll.IMDP("STK",표.실시간4[[#This Row],[nxt_code]],"등락률")</f>
        <v>2.09</v>
      </c>
      <c r="L267" s="4">
        <f>_xll.IMDP("STK",표.실시간4[[#This Row],[nxt_code]],"누적거래량")</f>
        <v>39587</v>
      </c>
      <c r="M267" s="4">
        <f>_xll.IMDP("STK",표.실시간4[[#This Row],[nxt_code]],"누적거래대금")</f>
        <v>790923370</v>
      </c>
      <c r="N267" s="4">
        <f>_xll.IMDP("STK",표.실시간4[[#This Row],[nxt_code]],"가중평균가")</f>
        <v>19979.371257999999</v>
      </c>
      <c r="O267" s="4">
        <f>_xll.IMDP("STK",표.실시간4[[#This Row],[nxt_code]],"시가")</f>
        <v>19670</v>
      </c>
      <c r="P267" s="4">
        <f>_xll.IMDP("STK",표.실시간4[[#This Row],[nxt_code]],"고가")</f>
        <v>20300</v>
      </c>
      <c r="Q267" s="4">
        <f>_xll.IMDP("STK",표.실시간4[[#This Row],[nxt_code]],"저가")</f>
        <v>19670</v>
      </c>
      <c r="R267">
        <f>_xll.IMDP("STK",표.실시간4[[#This Row],[nxt_code]],"세션명")</f>
        <v>0</v>
      </c>
      <c r="S267">
        <f>_xll.IMDP("STK",표.실시간4[[#This Row],[nxt_code]],"체결시간")</f>
        <v>0</v>
      </c>
      <c r="T267" s="4">
        <f>_xll.IMDP("STK","001800","현재가")</f>
        <v>20650</v>
      </c>
      <c r="U267">
        <f>_xll.IMDP("STK","001800","누적거래량")</f>
        <v>428</v>
      </c>
    </row>
    <row r="268" spans="3:21" x14ac:dyDescent="0.3">
      <c r="C268">
        <v>263</v>
      </c>
      <c r="D268">
        <v>57050</v>
      </c>
      <c r="E268" t="s">
        <v>422</v>
      </c>
      <c r="F268" t="str">
        <f>ConvertStockCode(표.실시간4[[#This Row],[코드]])</f>
        <v>N057050</v>
      </c>
      <c r="G268" s="4">
        <f>_xll.IMDP("STK",표.실시간4[[#This Row],[nxt_code]],"현재가")</f>
        <v>53800</v>
      </c>
      <c r="H268" s="4">
        <f>_xll.IMDP("STK",표.실시간4[[#This Row],[nxt_code]],"시가총액")/10^12</f>
        <v>0.64559999999999995</v>
      </c>
      <c r="I268" s="4">
        <f>표.실시간4[[#This Row],[시가총액 (조원)]]/표.실시간4[[#This Row],[현재가]]*(표.실시간4[[#This Row],[현재가]]-표.실시간4[[#This Row],[대비]])</f>
        <v>0.64679999999999993</v>
      </c>
      <c r="J268" s="5">
        <f>_xll.IMDP("STK",표.실시간4[[#This Row],[nxt_code]],"전일대비")</f>
        <v>-100</v>
      </c>
      <c r="K268">
        <f>_xll.IMDP("STK",표.실시간4[[#This Row],[nxt_code]],"등락률")</f>
        <v>-0.19</v>
      </c>
      <c r="L268" s="4">
        <f>_xll.IMDP("STK",표.실시간4[[#This Row],[nxt_code]],"누적거래량")</f>
        <v>164</v>
      </c>
      <c r="M268" s="4">
        <f>_xll.IMDP("STK",표.실시간4[[#This Row],[nxt_code]],"누적거래대금")</f>
        <v>8828800</v>
      </c>
      <c r="N268" s="4">
        <f>_xll.IMDP("STK",표.실시간4[[#This Row],[nxt_code]],"가중평균가")</f>
        <v>53834.146341</v>
      </c>
      <c r="O268" s="4">
        <f>_xll.IMDP("STK",표.실시간4[[#This Row],[nxt_code]],"시가")</f>
        <v>53900</v>
      </c>
      <c r="P268" s="4">
        <f>_xll.IMDP("STK",표.실시간4[[#This Row],[nxt_code]],"고가")</f>
        <v>54000</v>
      </c>
      <c r="Q268" s="4">
        <f>_xll.IMDP("STK",표.실시간4[[#This Row],[nxt_code]],"저가")</f>
        <v>53800</v>
      </c>
      <c r="R268">
        <f>_xll.IMDP("STK",표.실시간4[[#This Row],[nxt_code]],"세션명")</f>
        <v>0</v>
      </c>
      <c r="S268">
        <f>_xll.IMDP("STK",표.실시간4[[#This Row],[nxt_code]],"체결시간")</f>
        <v>0</v>
      </c>
      <c r="T268" s="4">
        <f>_xll.IMDP("STK","085660","현재가")</f>
        <v>15630</v>
      </c>
      <c r="U268">
        <f>_xll.IMDP("STK","085660","누적거래량")</f>
        <v>20378</v>
      </c>
    </row>
    <row r="269" spans="3:21" x14ac:dyDescent="0.3">
      <c r="C269">
        <v>264</v>
      </c>
      <c r="D269">
        <v>19170</v>
      </c>
      <c r="E269" t="s">
        <v>420</v>
      </c>
      <c r="F269" t="str">
        <f>ConvertStockCode(표.실시간4[[#This Row],[코드]])</f>
        <v>N019170</v>
      </c>
      <c r="G269" s="4">
        <f>_xll.IMDP("STK",표.실시간4[[#This Row],[nxt_code]],"현재가")</f>
        <v>12330</v>
      </c>
      <c r="H269" s="4">
        <f>_xll.IMDP("STK",표.실시간4[[#This Row],[nxt_code]],"시가총액")/10^12</f>
        <v>0.65330492669999995</v>
      </c>
      <c r="I269" s="4">
        <f>표.실시간4[[#This Row],[시가총액 (조원)]]/표.실시간4[[#This Row],[현재가]]*(표.실시간4[[#This Row],[현재가]]-표.실시간4[[#This Row],[대비]])</f>
        <v>0.65330492669999995</v>
      </c>
      <c r="J269" s="5">
        <f>_xll.IMDP("STK",표.실시간4[[#This Row],[nxt_code]],"전일대비")</f>
        <v>0</v>
      </c>
      <c r="K269">
        <f>_xll.IMDP("STK",표.실시간4[[#This Row],[nxt_code]],"등락률")</f>
        <v>0</v>
      </c>
      <c r="L269" s="4">
        <f>_xll.IMDP("STK",표.실시간4[[#This Row],[nxt_code]],"누적거래량")</f>
        <v>8566</v>
      </c>
      <c r="M269" s="4">
        <f>_xll.IMDP("STK",표.실시간4[[#This Row],[nxt_code]],"누적거래대금")</f>
        <v>105356380</v>
      </c>
      <c r="N269" s="4">
        <f>_xll.IMDP("STK",표.실시간4[[#This Row],[nxt_code]],"가중평균가")</f>
        <v>12292.192276</v>
      </c>
      <c r="O269" s="4">
        <f>_xll.IMDP("STK",표.실시간4[[#This Row],[nxt_code]],"시가")</f>
        <v>12430</v>
      </c>
      <c r="P269" s="4">
        <f>_xll.IMDP("STK",표.실시간4[[#This Row],[nxt_code]],"고가")</f>
        <v>12430</v>
      </c>
      <c r="Q269" s="4">
        <f>_xll.IMDP("STK",표.실시간4[[#This Row],[nxt_code]],"저가")</f>
        <v>12250</v>
      </c>
      <c r="R269">
        <f>_xll.IMDP("STK",표.실시간4[[#This Row],[nxt_code]],"세션명")</f>
        <v>0</v>
      </c>
      <c r="S269">
        <f>_xll.IMDP("STK",표.실시간4[[#This Row],[nxt_code]],"체결시간")</f>
        <v>0</v>
      </c>
      <c r="T269" s="4">
        <f>_xll.IMDP("STK","003090","현재가")</f>
        <v>22450</v>
      </c>
      <c r="U269">
        <f>_xll.IMDP("STK","003090","누적거래량")</f>
        <v>3774</v>
      </c>
    </row>
    <row r="270" spans="3:21" x14ac:dyDescent="0.3">
      <c r="C270">
        <v>265</v>
      </c>
      <c r="D270">
        <v>456040</v>
      </c>
      <c r="E270" t="s">
        <v>421</v>
      </c>
      <c r="F270" t="str">
        <f>ConvertStockCode(표.실시간4[[#This Row],[코드]])</f>
        <v>N456040</v>
      </c>
      <c r="G270" s="4">
        <f>_xll.IMDP("STK",표.실시간4[[#This Row],[nxt_code]],"현재가")</f>
        <v>72100</v>
      </c>
      <c r="H270" s="4">
        <f>_xll.IMDP("STK",표.실시간4[[#This Row],[nxt_code]],"시가총액")/10^12</f>
        <v>0.64547488949999998</v>
      </c>
      <c r="I270" s="4">
        <f>표.실시간4[[#This Row],[시가총액 (조원)]]/표.실시간4[[#This Row],[현재가]]*(표.실시간4[[#This Row],[현재가]]-표.실시간4[[#This Row],[대비]])</f>
        <v>0.63473189549999998</v>
      </c>
      <c r="J270" s="5">
        <f>_xll.IMDP("STK",표.실시간4[[#This Row],[nxt_code]],"전일대비")</f>
        <v>1200</v>
      </c>
      <c r="K270">
        <f>_xll.IMDP("STK",표.실시간4[[#This Row],[nxt_code]],"등락률")</f>
        <v>1.69</v>
      </c>
      <c r="L270" s="4">
        <f>_xll.IMDP("STK",표.실시간4[[#This Row],[nxt_code]],"누적거래량")</f>
        <v>6927</v>
      </c>
      <c r="M270" s="4">
        <f>_xll.IMDP("STK",표.실시간4[[#This Row],[nxt_code]],"누적거래대금")</f>
        <v>495265100</v>
      </c>
      <c r="N270" s="4">
        <f>_xll.IMDP("STK",표.실시간4[[#This Row],[nxt_code]],"가중평균가")</f>
        <v>71497.776815000005</v>
      </c>
      <c r="O270" s="4">
        <f>_xll.IMDP("STK",표.실시간4[[#This Row],[nxt_code]],"시가")</f>
        <v>71300</v>
      </c>
      <c r="P270" s="4">
        <f>_xll.IMDP("STK",표.실시간4[[#This Row],[nxt_code]],"고가")</f>
        <v>72400</v>
      </c>
      <c r="Q270" s="4">
        <f>_xll.IMDP("STK",표.실시간4[[#This Row],[nxt_code]],"저가")</f>
        <v>71100</v>
      </c>
      <c r="R270">
        <f>_xll.IMDP("STK",표.실시간4[[#This Row],[nxt_code]],"세션명")</f>
        <v>0</v>
      </c>
      <c r="S270">
        <f>_xll.IMDP("STK",표.실시간4[[#This Row],[nxt_code]],"체결시간")</f>
        <v>0</v>
      </c>
      <c r="T270" s="4">
        <f>_xll.IMDP("STK","122870","현재가")</f>
        <v>71000</v>
      </c>
      <c r="U270">
        <f>_xll.IMDP("STK","122870","누적거래량")</f>
        <v>6992</v>
      </c>
    </row>
    <row r="271" spans="3:21" x14ac:dyDescent="0.3">
      <c r="C271">
        <v>266</v>
      </c>
      <c r="D271">
        <v>1060</v>
      </c>
      <c r="E271" t="s">
        <v>419</v>
      </c>
      <c r="F271" t="str">
        <f>ConvertStockCode(표.실시간4[[#This Row],[코드]])</f>
        <v>N001060</v>
      </c>
      <c r="G271" s="4">
        <f>_xll.IMDP("STK",표.실시간4[[#This Row],[nxt_code]],"현재가")</f>
        <v>27700</v>
      </c>
      <c r="H271" s="4">
        <f>_xll.IMDP("STK",표.실시간4[[#This Row],[nxt_code]],"시가총액")/10^12</f>
        <v>0.64502026099999998</v>
      </c>
      <c r="I271" s="4">
        <f>표.실시간4[[#This Row],[시가총액 (조원)]]/표.실시간4[[#This Row],[현재가]]*(표.실시간4[[#This Row],[현재가]]-표.실시간4[[#This Row],[대비]])</f>
        <v>0.63803448200000001</v>
      </c>
      <c r="J271" s="5">
        <f>_xll.IMDP("STK",표.실시간4[[#This Row],[nxt_code]],"전일대비")</f>
        <v>300</v>
      </c>
      <c r="K271">
        <f>_xll.IMDP("STK",표.실시간4[[#This Row],[nxt_code]],"등락률")</f>
        <v>1.0900000000000001</v>
      </c>
      <c r="L271" s="4">
        <f>_xll.IMDP("STK",표.실시간4[[#This Row],[nxt_code]],"누적거래량")</f>
        <v>16838</v>
      </c>
      <c r="M271" s="4">
        <f>_xll.IMDP("STK",표.실시간4[[#This Row],[nxt_code]],"누적거래대금")</f>
        <v>465066550</v>
      </c>
      <c r="N271" s="4">
        <f>_xll.IMDP("STK",표.실시간4[[#This Row],[nxt_code]],"가중평균가")</f>
        <v>27620.058796000001</v>
      </c>
      <c r="O271" s="4">
        <f>_xll.IMDP("STK",표.실시간4[[#This Row],[nxt_code]],"시가")</f>
        <v>27450</v>
      </c>
      <c r="P271" s="4">
        <f>_xll.IMDP("STK",표.실시간4[[#This Row],[nxt_code]],"고가")</f>
        <v>27850</v>
      </c>
      <c r="Q271" s="4">
        <f>_xll.IMDP("STK",표.실시간4[[#This Row],[nxt_code]],"저가")</f>
        <v>27350</v>
      </c>
      <c r="R271">
        <f>_xll.IMDP("STK",표.실시간4[[#This Row],[nxt_code]],"세션명")</f>
        <v>0</v>
      </c>
      <c r="S271">
        <f>_xll.IMDP("STK",표.실시간4[[#This Row],[nxt_code]],"체결시간")</f>
        <v>0</v>
      </c>
      <c r="T271" s="4">
        <f>_xll.IMDP("STK","071320","현재가")</f>
        <v>108400</v>
      </c>
      <c r="U271">
        <f>_xll.IMDP("STK","071320","누적거래량")</f>
        <v>48</v>
      </c>
    </row>
    <row r="272" spans="3:21" x14ac:dyDescent="0.3">
      <c r="C272">
        <v>267</v>
      </c>
      <c r="D272">
        <v>383800</v>
      </c>
      <c r="E272" t="s">
        <v>429</v>
      </c>
      <c r="F272" t="str">
        <f>ConvertStockCode(표.실시간4[[#This Row],[코드]])</f>
        <v>N383800</v>
      </c>
      <c r="G272" s="4">
        <f>_xll.IMDP("STK",표.실시간4[[#This Row],[nxt_code]],"현재가")</f>
        <v>8240</v>
      </c>
      <c r="H272" s="4">
        <f>_xll.IMDP("STK",표.실시간4[[#This Row],[nxt_code]],"시가총액")/10^12</f>
        <v>0.6285528856</v>
      </c>
      <c r="I272" s="4">
        <f>표.실시간4[[#This Row],[시가총액 (조원)]]/표.실시간4[[#This Row],[현재가]]*(표.실시간4[[#This Row],[현재가]]-표.실시간4[[#This Row],[대비]])</f>
        <v>0.61939920280000005</v>
      </c>
      <c r="J272" s="5">
        <f>_xll.IMDP("STK",표.실시간4[[#This Row],[nxt_code]],"전일대비")</f>
        <v>120</v>
      </c>
      <c r="K272">
        <f>_xll.IMDP("STK",표.실시간4[[#This Row],[nxt_code]],"등락률")</f>
        <v>1.48</v>
      </c>
      <c r="L272" s="4">
        <f>_xll.IMDP("STK",표.실시간4[[#This Row],[nxt_code]],"누적거래량")</f>
        <v>16869</v>
      </c>
      <c r="M272" s="4">
        <f>_xll.IMDP("STK",표.실시간4[[#This Row],[nxt_code]],"누적거래대금")</f>
        <v>138709030</v>
      </c>
      <c r="N272" s="4">
        <f>_xll.IMDP("STK",표.실시간4[[#This Row],[nxt_code]],"가중평균가")</f>
        <v>8222.718003</v>
      </c>
      <c r="O272" s="4">
        <f>_xll.IMDP("STK",표.실시간4[[#This Row],[nxt_code]],"시가")</f>
        <v>8180</v>
      </c>
      <c r="P272" s="4">
        <f>_xll.IMDP("STK",표.실시간4[[#This Row],[nxt_code]],"고가")</f>
        <v>8240</v>
      </c>
      <c r="Q272" s="4">
        <f>_xll.IMDP("STK",표.실시간4[[#This Row],[nxt_code]],"저가")</f>
        <v>8170</v>
      </c>
      <c r="R272">
        <f>_xll.IMDP("STK",표.실시간4[[#This Row],[nxt_code]],"세션명")</f>
        <v>0</v>
      </c>
      <c r="S272">
        <f>_xll.IMDP("STK",표.실시간4[[#This Row],[nxt_code]],"체결시간")</f>
        <v>0</v>
      </c>
      <c r="T272" s="4">
        <f>_xll.IMDP("STK","007390","현재가")</f>
        <v>20050</v>
      </c>
      <c r="U272">
        <f>_xll.IMDP("STK","007390","누적거래량")</f>
        <v>5752</v>
      </c>
    </row>
    <row r="273" spans="3:21" x14ac:dyDescent="0.3">
      <c r="C273">
        <v>268</v>
      </c>
      <c r="D273">
        <v>322000</v>
      </c>
      <c r="E273" t="s">
        <v>432</v>
      </c>
      <c r="F273" t="str">
        <f>ConvertStockCode(표.실시간4[[#This Row],[코드]])</f>
        <v>N322000</v>
      </c>
      <c r="G273" s="4">
        <f>_xll.IMDP("STK",표.실시간4[[#This Row],[nxt_code]],"현재가")</f>
        <v>59200</v>
      </c>
      <c r="H273" s="4">
        <f>_xll.IMDP("STK",표.실시간4[[#This Row],[nxt_code]],"시가총액")/10^12</f>
        <v>0.66303999999999996</v>
      </c>
      <c r="I273" s="4">
        <f>표.실시간4[[#This Row],[시가총액 (조원)]]/표.실시간4[[#This Row],[현재가]]*(표.실시간4[[#This Row],[현재가]]-표.실시간4[[#This Row],[대비]])</f>
        <v>0.61263999999999996</v>
      </c>
      <c r="J273" s="5">
        <f>_xll.IMDP("STK",표.실시간4[[#This Row],[nxt_code]],"전일대비")</f>
        <v>4500</v>
      </c>
      <c r="K273">
        <f>_xll.IMDP("STK",표.실시간4[[#This Row],[nxt_code]],"등락률")</f>
        <v>8.23</v>
      </c>
      <c r="L273" s="4">
        <f>_xll.IMDP("STK",표.실시간4[[#This Row],[nxt_code]],"누적거래량")</f>
        <v>58430</v>
      </c>
      <c r="M273" s="4">
        <f>_xll.IMDP("STK",표.실시간4[[#This Row],[nxt_code]],"누적거래대금")</f>
        <v>3335219550</v>
      </c>
      <c r="N273" s="4">
        <f>_xll.IMDP("STK",표.실시간4[[#This Row],[nxt_code]],"가중평균가")</f>
        <v>57080.601575000001</v>
      </c>
      <c r="O273" s="4">
        <f>_xll.IMDP("STK",표.실시간4[[#This Row],[nxt_code]],"시가")</f>
        <v>56000</v>
      </c>
      <c r="P273" s="4">
        <f>_xll.IMDP("STK",표.실시간4[[#This Row],[nxt_code]],"고가")</f>
        <v>59500</v>
      </c>
      <c r="Q273" s="4">
        <f>_xll.IMDP("STK",표.실시간4[[#This Row],[nxt_code]],"저가")</f>
        <v>55800</v>
      </c>
      <c r="R273">
        <f>_xll.IMDP("STK",표.실시간4[[#This Row],[nxt_code]],"세션명")</f>
        <v>0</v>
      </c>
      <c r="S273">
        <f>_xll.IMDP("STK",표.실시간4[[#This Row],[nxt_code]],"체결시간")</f>
        <v>0</v>
      </c>
      <c r="T273" s="4">
        <f>_xll.IMDP("STK","293490","현재가")</f>
        <v>14320</v>
      </c>
      <c r="U273">
        <f>_xll.IMDP("STK","293490","누적거래량")</f>
        <v>1761</v>
      </c>
    </row>
    <row r="274" spans="3:21" x14ac:dyDescent="0.3">
      <c r="C274">
        <v>269</v>
      </c>
      <c r="D274">
        <v>1270</v>
      </c>
      <c r="E274" t="s">
        <v>424</v>
      </c>
      <c r="F274" t="str">
        <f>ConvertStockCode(표.실시간4[[#This Row],[코드]])</f>
        <v>N001270</v>
      </c>
      <c r="G274" s="4">
        <f>_xll.IMDP("STK",표.실시간4[[#This Row],[nxt_code]],"현재가")</f>
        <v>66800</v>
      </c>
      <c r="H274" s="4">
        <f>_xll.IMDP("STK",표.실시간4[[#This Row],[nxt_code]],"시가총액")/10^12</f>
        <v>0.69270838479999997</v>
      </c>
      <c r="I274" s="4">
        <f>표.실시간4[[#This Row],[시가총액 (조원)]]/표.실시간4[[#This Row],[현재가]]*(표.실시간4[[#This Row],[현재가]]-표.실시간4[[#This Row],[대비]])</f>
        <v>0.6211561713999999</v>
      </c>
      <c r="J274" s="5">
        <f>_xll.IMDP("STK",표.실시간4[[#This Row],[nxt_code]],"전일대비")</f>
        <v>6900</v>
      </c>
      <c r="K274">
        <f>_xll.IMDP("STK",표.실시간4[[#This Row],[nxt_code]],"등락률")</f>
        <v>11.52</v>
      </c>
      <c r="L274" s="4">
        <f>_xll.IMDP("STK",표.실시간4[[#This Row],[nxt_code]],"누적거래량")</f>
        <v>13799</v>
      </c>
      <c r="M274" s="4">
        <f>_xll.IMDP("STK",표.실시간4[[#This Row],[nxt_code]],"누적거래대금")</f>
        <v>877750300</v>
      </c>
      <c r="N274" s="4">
        <f>_xll.IMDP("STK",표.실시간4[[#This Row],[nxt_code]],"가중평균가")</f>
        <v>63605.536608000002</v>
      </c>
      <c r="O274" s="4">
        <f>_xll.IMDP("STK",표.실시간4[[#This Row],[nxt_code]],"시가")</f>
        <v>60900</v>
      </c>
      <c r="P274" s="4">
        <f>_xll.IMDP("STK",표.실시간4[[#This Row],[nxt_code]],"고가")</f>
        <v>67000</v>
      </c>
      <c r="Q274" s="4">
        <f>_xll.IMDP("STK",표.실시간4[[#This Row],[nxt_code]],"저가")</f>
        <v>60900</v>
      </c>
      <c r="R274">
        <f>_xll.IMDP("STK",표.실시간4[[#This Row],[nxt_code]],"세션명")</f>
        <v>0</v>
      </c>
      <c r="S274">
        <f>_xll.IMDP("STK",표.실시간4[[#This Row],[nxt_code]],"체결시간")</f>
        <v>0</v>
      </c>
      <c r="T274" s="4">
        <f>_xll.IMDP("STK","000080","현재가")</f>
        <v>18020</v>
      </c>
      <c r="U274">
        <f>_xll.IMDP("STK","000080","누적거래량")</f>
        <v>803</v>
      </c>
    </row>
    <row r="275" spans="3:21" x14ac:dyDescent="0.3">
      <c r="C275">
        <v>270</v>
      </c>
      <c r="D275" t="s">
        <v>713</v>
      </c>
      <c r="E275" t="s">
        <v>445</v>
      </c>
      <c r="F275" t="str">
        <f>ConvertStockCode(표.실시간4[[#This Row],[코드]])</f>
        <v>N0120G0</v>
      </c>
      <c r="G275" s="4">
        <f>_xll.IMDP("STK",표.실시간4[[#This Row],[nxt_code]],"현재가")</f>
        <v>91400</v>
      </c>
      <c r="H275" s="4">
        <f>_xll.IMDP("STK",표.실시간4[[#This Row],[nxt_code]],"시가총액")/10^12</f>
        <v>0.67963851799999997</v>
      </c>
      <c r="I275" s="4">
        <f>표.실시간4[[#This Row],[시가총액 (조원)]]/표.실시간4[[#This Row],[현재가]]*(표.실시간4[[#This Row],[현재가]]-표.실시간4[[#This Row],[대비]])</f>
        <v>0.69079232299999993</v>
      </c>
      <c r="J275" s="5">
        <f>_xll.IMDP("STK",표.실시간4[[#This Row],[nxt_code]],"전일대비")</f>
        <v>-1500</v>
      </c>
      <c r="K275">
        <f>_xll.IMDP("STK",표.실시간4[[#This Row],[nxt_code]],"등락률")</f>
        <v>-1.61</v>
      </c>
      <c r="L275" s="4">
        <f>_xll.IMDP("STK",표.실시간4[[#This Row],[nxt_code]],"누적거래량")</f>
        <v>28604</v>
      </c>
      <c r="M275" s="4">
        <f>_xll.IMDP("STK",표.실시간4[[#This Row],[nxt_code]],"누적거래대금")</f>
        <v>2596301100</v>
      </c>
      <c r="N275" s="4">
        <f>_xll.IMDP("STK",표.실시간4[[#This Row],[nxt_code]],"가중평균가")</f>
        <v>90767.064047000007</v>
      </c>
      <c r="O275" s="4">
        <f>_xll.IMDP("STK",표.실시간4[[#This Row],[nxt_code]],"시가")</f>
        <v>90500</v>
      </c>
      <c r="P275" s="4">
        <f>_xll.IMDP("STK",표.실시간4[[#This Row],[nxt_code]],"고가")</f>
        <v>93600</v>
      </c>
      <c r="Q275" s="4">
        <f>_xll.IMDP("STK",표.실시간4[[#This Row],[nxt_code]],"저가")</f>
        <v>89100</v>
      </c>
      <c r="R275">
        <f>_xll.IMDP("STK",표.실시간4[[#This Row],[nxt_code]],"세션명")</f>
        <v>0</v>
      </c>
      <c r="S275">
        <f>_xll.IMDP("STK",표.실시간4[[#This Row],[nxt_code]],"체결시간")</f>
        <v>0</v>
      </c>
      <c r="T275" s="4">
        <f>_xll.IMDP("STK","096530","현재가")</f>
        <v>24150</v>
      </c>
      <c r="U275">
        <f>_xll.IMDP("STK","096530","누적거래량")</f>
        <v>1961</v>
      </c>
    </row>
    <row r="276" spans="3:21" x14ac:dyDescent="0.3">
      <c r="C276">
        <v>271</v>
      </c>
      <c r="D276">
        <v>5420</v>
      </c>
      <c r="E276" t="s">
        <v>455</v>
      </c>
      <c r="F276" t="str">
        <f>ConvertStockCode(표.실시간4[[#This Row],[코드]])</f>
        <v>N005420</v>
      </c>
      <c r="G276" s="4">
        <f>_xll.IMDP("STK",표.실시간4[[#This Row],[nxt_code]],"현재가")</f>
        <v>16200</v>
      </c>
      <c r="H276" s="4">
        <f>_xll.IMDP("STK",표.실시간4[[#This Row],[nxt_code]],"시가총액")/10^12</f>
        <v>0.62221329359999999</v>
      </c>
      <c r="I276" s="4">
        <f>표.실시간4[[#This Row],[시가총액 (조원)]]/표.실시간4[[#This Row],[현재가]]*(표.실시간4[[#This Row],[현재가]]-표.실시간4[[#This Row],[대비]])</f>
        <v>0.60531367327999996</v>
      </c>
      <c r="J276" s="5">
        <f>_xll.IMDP("STK",표.실시간4[[#This Row],[nxt_code]],"전일대비")</f>
        <v>440</v>
      </c>
      <c r="K276">
        <f>_xll.IMDP("STK",표.실시간4[[#This Row],[nxt_code]],"등락률")</f>
        <v>3.25</v>
      </c>
      <c r="L276" s="4">
        <f>_xll.IMDP("STK",표.실시간4[[#This Row],[nxt_code]],"누적거래량")</f>
        <v>311919</v>
      </c>
      <c r="M276" s="4">
        <f>_xll.IMDP("STK",표.실시간4[[#This Row],[nxt_code]],"누적거래대금")</f>
        <v>5172199670</v>
      </c>
      <c r="N276" s="4">
        <f>_xll.IMDP("STK",표.실시간4[[#This Row],[nxt_code]],"가중평균가")</f>
        <v>16581.867953000001</v>
      </c>
      <c r="O276" s="4">
        <f>_xll.IMDP("STK",표.실시간4[[#This Row],[nxt_code]],"시가")</f>
        <v>16110</v>
      </c>
      <c r="P276" s="4">
        <f>_xll.IMDP("STK",표.실시간4[[#This Row],[nxt_code]],"고가")</f>
        <v>16970</v>
      </c>
      <c r="Q276" s="4">
        <f>_xll.IMDP("STK",표.실시간4[[#This Row],[nxt_code]],"저가")</f>
        <v>15810</v>
      </c>
      <c r="R276">
        <f>_xll.IMDP("STK",표.실시간4[[#This Row],[nxt_code]],"세션명")</f>
        <v>0</v>
      </c>
      <c r="S276">
        <f>_xll.IMDP("STK",표.실시간4[[#This Row],[nxt_code]],"체결시간")</f>
        <v>0</v>
      </c>
      <c r="T276" s="4">
        <f>_xll.IMDP("STK","003380","현재가")</f>
        <v>11340</v>
      </c>
      <c r="U276">
        <f>_xll.IMDP("STK","003380","누적거래량")</f>
        <v>38133</v>
      </c>
    </row>
    <row r="277" spans="3:21" x14ac:dyDescent="0.3">
      <c r="C277">
        <v>272</v>
      </c>
      <c r="D277">
        <v>2240</v>
      </c>
      <c r="E277" t="s">
        <v>438</v>
      </c>
      <c r="F277" t="str">
        <f>ConvertStockCode(표.실시간4[[#This Row],[코드]])</f>
        <v>N002240</v>
      </c>
      <c r="G277" s="4">
        <f>_xll.IMDP("STK",표.실시간4[[#This Row],[nxt_code]],"현재가")</f>
        <v>21900</v>
      </c>
      <c r="H277" s="4">
        <f>_xll.IMDP("STK",표.실시간4[[#This Row],[nxt_code]],"시가총액")/10^12</f>
        <v>0.59130000000000005</v>
      </c>
      <c r="I277" s="4">
        <f>표.실시간4[[#This Row],[시가총액 (조원)]]/표.실시간4[[#This Row],[현재가]]*(표.실시간4[[#This Row],[현재가]]-표.실시간4[[#This Row],[대비]])</f>
        <v>0.58320000000000005</v>
      </c>
      <c r="J277" s="5">
        <f>_xll.IMDP("STK",표.실시간4[[#This Row],[nxt_code]],"전일대비")</f>
        <v>300</v>
      </c>
      <c r="K277">
        <f>_xll.IMDP("STK",표.실시간4[[#This Row],[nxt_code]],"등락률")</f>
        <v>1.39</v>
      </c>
      <c r="L277" s="4">
        <f>_xll.IMDP("STK",표.실시간4[[#This Row],[nxt_code]],"누적거래량")</f>
        <v>2202</v>
      </c>
      <c r="M277" s="4">
        <f>_xll.IMDP("STK",표.실시간4[[#This Row],[nxt_code]],"누적거래대금")</f>
        <v>48298800</v>
      </c>
      <c r="N277" s="4">
        <f>_xll.IMDP("STK",표.실시간4[[#This Row],[nxt_code]],"가중평균가")</f>
        <v>21934.059946000001</v>
      </c>
      <c r="O277" s="4">
        <f>_xll.IMDP("STK",표.실시간4[[#This Row],[nxt_code]],"시가")</f>
        <v>22200</v>
      </c>
      <c r="P277" s="4">
        <f>_xll.IMDP("STK",표.실시간4[[#This Row],[nxt_code]],"고가")</f>
        <v>22250</v>
      </c>
      <c r="Q277" s="4">
        <f>_xll.IMDP("STK",표.실시간4[[#This Row],[nxt_code]],"저가")</f>
        <v>21900</v>
      </c>
      <c r="R277">
        <f>_xll.IMDP("STK",표.실시간4[[#This Row],[nxt_code]],"세션명")</f>
        <v>0</v>
      </c>
      <c r="S277">
        <f>_xll.IMDP("STK",표.실시간4[[#This Row],[nxt_code]],"체결시간")</f>
        <v>0</v>
      </c>
      <c r="T277" s="4">
        <f>_xll.IMDP("STK","120110","현재가")</f>
        <v>47400</v>
      </c>
      <c r="U277">
        <f>_xll.IMDP("STK","120110","누적거래량")</f>
        <v>9094</v>
      </c>
    </row>
    <row r="278" spans="3:21" x14ac:dyDescent="0.3">
      <c r="C278">
        <v>273</v>
      </c>
      <c r="D278">
        <v>2030</v>
      </c>
      <c r="E278" t="s">
        <v>442</v>
      </c>
      <c r="F278" t="str">
        <f>ConvertStockCode(표.실시간4[[#This Row],[코드]])</f>
        <v>N002030</v>
      </c>
      <c r="G278" s="4">
        <f>_xll.IMDP("STK",표.실시간4[[#This Row],[nxt_code]],"현재가")</f>
        <v>288500</v>
      </c>
      <c r="H278" s="4">
        <f>_xll.IMDP("STK",표.실시간4[[#This Row],[nxt_code]],"시가총액")/10^12</f>
        <v>0.59795837100000004</v>
      </c>
      <c r="I278" s="4">
        <f>표.실시간4[[#This Row],[시가총액 (조원)]]/표.실시간4[[#This Row],[현재가]]*(표.실시간4[[#This Row],[현재가]]-표.실시간4[[#This Row],[대비]])</f>
        <v>0.59899469400000005</v>
      </c>
      <c r="J278" s="5">
        <f>_xll.IMDP("STK",표.실시간4[[#This Row],[nxt_code]],"전일대비")</f>
        <v>-500</v>
      </c>
      <c r="K278">
        <f>_xll.IMDP("STK",표.실시간4[[#This Row],[nxt_code]],"등락률")</f>
        <v>-0.17</v>
      </c>
      <c r="L278" s="4">
        <f>_xll.IMDP("STK",표.실시간4[[#This Row],[nxt_code]],"누적거래량")</f>
        <v>4</v>
      </c>
      <c r="M278" s="4">
        <f>_xll.IMDP("STK",표.실시간4[[#This Row],[nxt_code]],"누적거래대금")</f>
        <v>1155500</v>
      </c>
      <c r="N278" s="4">
        <f>_xll.IMDP("STK",표.실시간4[[#This Row],[nxt_code]],"가중평균가")</f>
        <v>288875</v>
      </c>
      <c r="O278" s="4">
        <f>_xll.IMDP("STK",표.실시간4[[#This Row],[nxt_code]],"시가")</f>
        <v>289000</v>
      </c>
      <c r="P278" s="4">
        <f>_xll.IMDP("STK",표.실시간4[[#This Row],[nxt_code]],"고가")</f>
        <v>289000</v>
      </c>
      <c r="Q278" s="4">
        <f>_xll.IMDP("STK",표.실시간4[[#This Row],[nxt_code]],"저가")</f>
        <v>288500</v>
      </c>
      <c r="R278">
        <f>_xll.IMDP("STK",표.실시간4[[#This Row],[nxt_code]],"세션명")</f>
        <v>0</v>
      </c>
      <c r="S278">
        <f>_xll.IMDP("STK",표.실시간4[[#This Row],[nxt_code]],"체결시간")</f>
        <v>0</v>
      </c>
      <c r="T278" s="4">
        <f>_xll.IMDP("STK","456160","현재가")</f>
        <v>76300</v>
      </c>
      <c r="U278">
        <f>_xll.IMDP("STK","456160","누적거래량")</f>
        <v>7635</v>
      </c>
    </row>
    <row r="279" spans="3:21" x14ac:dyDescent="0.3">
      <c r="C279">
        <v>274</v>
      </c>
      <c r="D279">
        <v>2020</v>
      </c>
      <c r="E279" t="s">
        <v>452</v>
      </c>
      <c r="F279" t="str">
        <f>ConvertStockCode(표.실시간4[[#This Row],[코드]])</f>
        <v>N002020</v>
      </c>
      <c r="G279" s="4">
        <f>_xll.IMDP("STK",표.실시간4[[#This Row],[nxt_code]],"현재가")</f>
        <v>45950</v>
      </c>
      <c r="H279" s="4">
        <f>_xll.IMDP("STK",표.실시간4[[#This Row],[nxt_code]],"시가총액")/10^12</f>
        <v>0.59310789600000002</v>
      </c>
      <c r="I279" s="4">
        <f>표.실시간4[[#This Row],[시가총액 (조원)]]/표.실시간4[[#This Row],[현재가]]*(표.실시간4[[#This Row],[현재가]]-표.실시간4[[#This Row],[대비]])</f>
        <v>0.57503714400000006</v>
      </c>
      <c r="J279" s="5">
        <f>_xll.IMDP("STK",표.실시간4[[#This Row],[nxt_code]],"전일대비")</f>
        <v>1400</v>
      </c>
      <c r="K279">
        <f>_xll.IMDP("STK",표.실시간4[[#This Row],[nxt_code]],"등락률")</f>
        <v>3.14</v>
      </c>
      <c r="L279" s="4">
        <f>_xll.IMDP("STK",표.실시간4[[#This Row],[nxt_code]],"누적거래량")</f>
        <v>9007</v>
      </c>
      <c r="M279" s="4">
        <f>_xll.IMDP("STK",표.실시간4[[#This Row],[nxt_code]],"누적거래대금")</f>
        <v>409902750</v>
      </c>
      <c r="N279" s="4">
        <f>_xll.IMDP("STK",표.실시간4[[#This Row],[nxt_code]],"가중평균가")</f>
        <v>45509.353836000002</v>
      </c>
      <c r="O279" s="4">
        <f>_xll.IMDP("STK",표.실시간4[[#This Row],[nxt_code]],"시가")</f>
        <v>45000</v>
      </c>
      <c r="P279" s="4">
        <f>_xll.IMDP("STK",표.실시간4[[#This Row],[nxt_code]],"고가")</f>
        <v>46400</v>
      </c>
      <c r="Q279" s="4">
        <f>_xll.IMDP("STK",표.실시간4[[#This Row],[nxt_code]],"저가")</f>
        <v>44950</v>
      </c>
      <c r="R279">
        <f>_xll.IMDP("STK",표.실시간4[[#This Row],[nxt_code]],"세션명")</f>
        <v>0</v>
      </c>
      <c r="S279">
        <f>_xll.IMDP("STK",표.실시간4[[#This Row],[nxt_code]],"체결시간")</f>
        <v>0</v>
      </c>
      <c r="T279" s="4">
        <f>_xll.IMDP("STK","300720","현재가")</f>
        <v>16540</v>
      </c>
      <c r="U279">
        <f>_xll.IMDP("STK","300720","누적거래량")</f>
        <v>1405</v>
      </c>
    </row>
    <row r="280" spans="3:21" x14ac:dyDescent="0.3">
      <c r="C280">
        <v>275</v>
      </c>
      <c r="D280">
        <v>105630</v>
      </c>
      <c r="E280" t="s">
        <v>453</v>
      </c>
      <c r="F280" t="str">
        <f>ConvertStockCode(표.실시간4[[#This Row],[코드]])</f>
        <v>N105630</v>
      </c>
      <c r="G280" s="4">
        <f>_xll.IMDP("STK",표.실시간4[[#This Row],[nxt_code]],"현재가")</f>
        <v>14190</v>
      </c>
      <c r="H280" s="4">
        <f>_xll.IMDP("STK",표.실시간4[[#This Row],[nxt_code]],"시가총액")/10^12</f>
        <v>0.56759999999999999</v>
      </c>
      <c r="I280" s="4">
        <f>표.실시간4[[#This Row],[시가총액 (조원)]]/표.실시간4[[#This Row],[현재가]]*(표.실시간4[[#This Row],[현재가]]-표.실시간4[[#This Row],[대비]])</f>
        <v>0.56759999999999999</v>
      </c>
      <c r="J280" s="5">
        <f>_xll.IMDP("STK",표.실시간4[[#This Row],[nxt_code]],"전일대비")</f>
        <v>0</v>
      </c>
      <c r="K280">
        <f>_xll.IMDP("STK",표.실시간4[[#This Row],[nxt_code]],"등락률")</f>
        <v>0</v>
      </c>
      <c r="L280" s="4">
        <f>_xll.IMDP("STK",표.실시간4[[#This Row],[nxt_code]],"누적거래량")</f>
        <v>1743</v>
      </c>
      <c r="M280" s="4">
        <f>_xll.IMDP("STK",표.실시간4[[#This Row],[nxt_code]],"누적거래대금")</f>
        <v>24726350</v>
      </c>
      <c r="N280" s="4">
        <f>_xll.IMDP("STK",표.실시간4[[#This Row],[nxt_code]],"가중평균가")</f>
        <v>14186.087206</v>
      </c>
      <c r="O280" s="4">
        <f>_xll.IMDP("STK",표.실시간4[[#This Row],[nxt_code]],"시가")</f>
        <v>14130</v>
      </c>
      <c r="P280" s="4">
        <f>_xll.IMDP("STK",표.실시간4[[#This Row],[nxt_code]],"고가")</f>
        <v>14200</v>
      </c>
      <c r="Q280" s="4">
        <f>_xll.IMDP("STK",표.실시간4[[#This Row],[nxt_code]],"저가")</f>
        <v>14130</v>
      </c>
      <c r="R280">
        <f>_xll.IMDP("STK",표.실시간4[[#This Row],[nxt_code]],"세션명")</f>
        <v>0</v>
      </c>
      <c r="S280">
        <f>_xll.IMDP("STK",표.실시간4[[#This Row],[nxt_code]],"체결시간")</f>
        <v>0</v>
      </c>
      <c r="T280" s="4">
        <f>_xll.IMDP("STK","232140","현재가")</f>
        <v>14440</v>
      </c>
      <c r="U280">
        <f>_xll.IMDP("STK","232140","누적거래량")</f>
        <v>16472</v>
      </c>
    </row>
    <row r="281" spans="3:21" x14ac:dyDescent="0.3">
      <c r="C281">
        <v>276</v>
      </c>
      <c r="D281">
        <v>2960</v>
      </c>
      <c r="E281" t="s">
        <v>454</v>
      </c>
      <c r="F281" t="str">
        <f>ConvertStockCode(표.실시간4[[#This Row],[코드]])</f>
        <v>N002960</v>
      </c>
      <c r="G281" s="4">
        <f>_xll.IMDP("STK",표.실시간4[[#This Row],[nxt_code]],"현재가")</f>
        <v>434000</v>
      </c>
      <c r="H281" s="4">
        <f>_xll.IMDP("STK",표.실시간4[[#This Row],[nxt_code]],"시가총액")/10^12</f>
        <v>0.56420000000000003</v>
      </c>
      <c r="I281" s="4">
        <f>표.실시간4[[#This Row],[시가총액 (조원)]]/표.실시간4[[#This Row],[현재가]]*(표.실시간4[[#This Row],[현재가]]-표.실시간4[[#This Row],[대비]])</f>
        <v>0.56420000000000003</v>
      </c>
      <c r="J281" s="5">
        <f>_xll.IMDP("STK",표.실시간4[[#This Row],[nxt_code]],"전일대비")</f>
        <v>0</v>
      </c>
      <c r="K281">
        <f>_xll.IMDP("STK",표.실시간4[[#This Row],[nxt_code]],"등락률")</f>
        <v>0</v>
      </c>
      <c r="L281" s="4">
        <f>_xll.IMDP("STK",표.실시간4[[#This Row],[nxt_code]],"누적거래량")</f>
        <v>13</v>
      </c>
      <c r="M281" s="4">
        <f>_xll.IMDP("STK",표.실시간4[[#This Row],[nxt_code]],"누적거래대금")</f>
        <v>5644000</v>
      </c>
      <c r="N281" s="4">
        <f>_xll.IMDP("STK",표.실시간4[[#This Row],[nxt_code]],"가중평균가")</f>
        <v>434153.84615400003</v>
      </c>
      <c r="O281" s="4">
        <f>_xll.IMDP("STK",표.실시간4[[#This Row],[nxt_code]],"시가")</f>
        <v>435000</v>
      </c>
      <c r="P281" s="4">
        <f>_xll.IMDP("STK",표.실시간4[[#This Row],[nxt_code]],"고가")</f>
        <v>435000</v>
      </c>
      <c r="Q281" s="4">
        <f>_xll.IMDP("STK",표.실시간4[[#This Row],[nxt_code]],"저가")</f>
        <v>434000</v>
      </c>
      <c r="R281">
        <f>_xll.IMDP("STK",표.실시간4[[#This Row],[nxt_code]],"세션명")</f>
        <v>0</v>
      </c>
      <c r="S281">
        <f>_xll.IMDP("STK",표.실시간4[[#This Row],[nxt_code]],"체결시간")</f>
        <v>0</v>
      </c>
      <c r="T281" s="4">
        <f>_xll.IMDP("STK","005300","현재가")</f>
        <v>131700</v>
      </c>
      <c r="U281">
        <f>_xll.IMDP("STK","005300","누적거래량")</f>
        <v>63</v>
      </c>
    </row>
    <row r="282" spans="3:21" x14ac:dyDescent="0.3">
      <c r="C282">
        <v>277</v>
      </c>
      <c r="D282">
        <v>17940</v>
      </c>
      <c r="E282" t="s">
        <v>456</v>
      </c>
      <c r="F282" t="str">
        <f>ConvertStockCode(표.실시간4[[#This Row],[코드]])</f>
        <v>N017940</v>
      </c>
      <c r="G282" s="4">
        <f>_xll.IMDP("STK",표.실시간4[[#This Row],[nxt_code]],"현재가")</f>
        <v>82500</v>
      </c>
      <c r="H282" s="4">
        <f>_xll.IMDP("STK",표.실시간4[[#This Row],[nxt_code]],"시가총액")/10^12</f>
        <v>0.56594999999999995</v>
      </c>
      <c r="I282" s="4">
        <f>표.실시간4[[#This Row],[시가총액 (조원)]]/표.실시간4[[#This Row],[현재가]]*(표.실시간4[[#This Row],[현재가]]-표.실시간4[[#This Row],[대비]])</f>
        <v>0.56183399999999994</v>
      </c>
      <c r="J282" s="5">
        <f>_xll.IMDP("STK",표.실시간4[[#This Row],[nxt_code]],"전일대비")</f>
        <v>600</v>
      </c>
      <c r="K282">
        <f>_xll.IMDP("STK",표.실시간4[[#This Row],[nxt_code]],"등락률")</f>
        <v>0.73</v>
      </c>
      <c r="L282" s="4">
        <f>_xll.IMDP("STK",표.실시간4[[#This Row],[nxt_code]],"누적거래량")</f>
        <v>483</v>
      </c>
      <c r="M282" s="4">
        <f>_xll.IMDP("STK",표.실시간4[[#This Row],[nxt_code]],"누적거래대금")</f>
        <v>39855400</v>
      </c>
      <c r="N282" s="4">
        <f>_xll.IMDP("STK",표.실시간4[[#This Row],[nxt_code]],"가중평균가")</f>
        <v>82516.356108000007</v>
      </c>
      <c r="O282" s="4">
        <f>_xll.IMDP("STK",표.실시간4[[#This Row],[nxt_code]],"시가")</f>
        <v>82600</v>
      </c>
      <c r="P282" s="4">
        <f>_xll.IMDP("STK",표.실시간4[[#This Row],[nxt_code]],"고가")</f>
        <v>83000</v>
      </c>
      <c r="Q282" s="4">
        <f>_xll.IMDP("STK",표.실시간4[[#This Row],[nxt_code]],"저가")</f>
        <v>82400</v>
      </c>
      <c r="R282">
        <f>_xll.IMDP("STK",표.실시간4[[#This Row],[nxt_code]],"세션명")</f>
        <v>0</v>
      </c>
      <c r="S282">
        <f>_xll.IMDP("STK",표.실시간4[[#This Row],[nxt_code]],"체결시간")</f>
        <v>0</v>
      </c>
      <c r="T282" s="4">
        <f>_xll.IMDP("STK","100090","현재가")</f>
        <v>19480</v>
      </c>
      <c r="U282">
        <f>_xll.IMDP("STK","100090","누적거래량")</f>
        <v>33327</v>
      </c>
    </row>
    <row r="283" spans="3:21" x14ac:dyDescent="0.3">
      <c r="C283">
        <v>278</v>
      </c>
      <c r="D283">
        <v>90460</v>
      </c>
      <c r="E283" t="s">
        <v>467</v>
      </c>
      <c r="F283" t="str">
        <f>ConvertStockCode(표.실시간4[[#This Row],[코드]])</f>
        <v>N090460</v>
      </c>
      <c r="G283" s="4">
        <f>_xll.IMDP("STK",표.실시간4[[#This Row],[nxt_code]],"현재가")</f>
        <v>16470</v>
      </c>
      <c r="H283" s="4">
        <f>_xll.IMDP("STK",표.실시간4[[#This Row],[nxt_code]],"시가총액")/10^12</f>
        <v>0.55522903085999997</v>
      </c>
      <c r="I283" s="4">
        <f>표.실시간4[[#This Row],[시가총액 (조원)]]/표.실시간4[[#This Row],[현재가]]*(표.실시간4[[#This Row],[현재가]]-표.실시간4[[#This Row],[대비]])</f>
        <v>0.55590326162000003</v>
      </c>
      <c r="J283" s="5">
        <f>_xll.IMDP("STK",표.실시간4[[#This Row],[nxt_code]],"전일대비")</f>
        <v>-20</v>
      </c>
      <c r="K283">
        <f>_xll.IMDP("STK",표.실시간4[[#This Row],[nxt_code]],"등락률")</f>
        <v>-0.36</v>
      </c>
      <c r="L283" s="4">
        <f>_xll.IMDP("STK",표.실시간4[[#This Row],[nxt_code]],"누적거래량")</f>
        <v>6169</v>
      </c>
      <c r="M283" s="4">
        <f>_xll.IMDP("STK",표.실시간4[[#This Row],[nxt_code]],"누적거래대금")</f>
        <v>101973590</v>
      </c>
      <c r="N283" s="4">
        <f>_xll.IMDP("STK",표.실시간4[[#This Row],[nxt_code]],"가중평균가")</f>
        <v>16530.003241999999</v>
      </c>
      <c r="O283" s="4">
        <f>_xll.IMDP("STK",표.실시간4[[#This Row],[nxt_code]],"시가")</f>
        <v>16720</v>
      </c>
      <c r="P283" s="4">
        <f>_xll.IMDP("STK",표.실시간4[[#This Row],[nxt_code]],"고가")</f>
        <v>16720</v>
      </c>
      <c r="Q283" s="4">
        <f>_xll.IMDP("STK",표.실시간4[[#This Row],[nxt_code]],"저가")</f>
        <v>16430</v>
      </c>
      <c r="R283">
        <f>_xll.IMDP("STK",표.실시간4[[#This Row],[nxt_code]],"세션명")</f>
        <v>0</v>
      </c>
      <c r="S283">
        <f>_xll.IMDP("STK",표.실시간4[[#This Row],[nxt_code]],"체결시간")</f>
        <v>0</v>
      </c>
      <c r="T283" s="4">
        <f>_xll.IMDP("STK","388720","현재가")</f>
        <v>93900</v>
      </c>
      <c r="U283">
        <f>_xll.IMDP("STK","388720","누적거래량")</f>
        <v>6309</v>
      </c>
    </row>
    <row r="284" spans="3:21" x14ac:dyDescent="0.3">
      <c r="C284">
        <v>279</v>
      </c>
      <c r="D284">
        <v>5810</v>
      </c>
      <c r="E284" t="s">
        <v>458</v>
      </c>
      <c r="F284" t="str">
        <f>ConvertStockCode(표.실시간4[[#This Row],[코드]])</f>
        <v>N005810</v>
      </c>
      <c r="G284" s="4">
        <f>_xll.IMDP("STK",표.실시간4[[#This Row],[nxt_code]],"현재가")</f>
        <v>38650</v>
      </c>
      <c r="H284" s="4">
        <f>_xll.IMDP("STK",표.실시간4[[#This Row],[nxt_code]],"시가총액")/10^12</f>
        <v>0.55722833579999997</v>
      </c>
      <c r="I284" s="4">
        <f>표.실시간4[[#This Row],[시가총액 (조원)]]/표.실시간4[[#This Row],[현재가]]*(표.실시간4[[#This Row],[현재가]]-표.실시간4[[#This Row],[대비]])</f>
        <v>0.55218228359999999</v>
      </c>
      <c r="J284" s="5">
        <f>_xll.IMDP("STK",표.실시간4[[#This Row],[nxt_code]],"전일대비")</f>
        <v>350</v>
      </c>
      <c r="K284">
        <f>_xll.IMDP("STK",표.실시간4[[#This Row],[nxt_code]],"등락률")</f>
        <v>0.91</v>
      </c>
      <c r="L284" s="4">
        <f>_xll.IMDP("STK",표.실시간4[[#This Row],[nxt_code]],"누적거래량")</f>
        <v>1156</v>
      </c>
      <c r="M284" s="4">
        <f>_xll.IMDP("STK",표.실시간4[[#This Row],[nxt_code]],"누적거래대금")</f>
        <v>44713850</v>
      </c>
      <c r="N284" s="4">
        <f>_xll.IMDP("STK",표.실시간4[[#This Row],[nxt_code]],"가중평균가")</f>
        <v>38679.801037999998</v>
      </c>
      <c r="O284" s="4">
        <f>_xll.IMDP("STK",표.실시간4[[#This Row],[nxt_code]],"시가")</f>
        <v>39900</v>
      </c>
      <c r="P284" s="4">
        <f>_xll.IMDP("STK",표.실시간4[[#This Row],[nxt_code]],"고가")</f>
        <v>39900</v>
      </c>
      <c r="Q284" s="4">
        <f>_xll.IMDP("STK",표.실시간4[[#This Row],[nxt_code]],"저가")</f>
        <v>38300</v>
      </c>
      <c r="R284">
        <f>_xll.IMDP("STK",표.실시간4[[#This Row],[nxt_code]],"세션명")</f>
        <v>0</v>
      </c>
      <c r="S284">
        <f>_xll.IMDP("STK",표.실시간4[[#This Row],[nxt_code]],"체결시간")</f>
        <v>0</v>
      </c>
      <c r="T284" s="4">
        <f>_xll.IMDP("STK","319660","현재가")</f>
        <v>38950</v>
      </c>
      <c r="U284">
        <f>_xll.IMDP("STK","319660","누적거래량")</f>
        <v>5071</v>
      </c>
    </row>
    <row r="285" spans="3:21" x14ac:dyDescent="0.3">
      <c r="C285">
        <v>280</v>
      </c>
      <c r="D285">
        <v>3030</v>
      </c>
      <c r="E285" t="s">
        <v>478</v>
      </c>
      <c r="F285" t="str">
        <f>ConvertStockCode(표.실시간4[[#This Row],[코드]])</f>
        <v>N003030</v>
      </c>
      <c r="G285" s="4">
        <f>_xll.IMDP("STK",표.실시간4[[#This Row],[nxt_code]],"현재가")</f>
        <v>131000</v>
      </c>
      <c r="H285" s="4">
        <f>_xll.IMDP("STK",표.실시간4[[#This Row],[nxt_code]],"시가총액")/10^12</f>
        <v>0.54255706699999995</v>
      </c>
      <c r="I285" s="4">
        <f>표.실시간4[[#This Row],[시가총액 (조원)]]/표.실시간4[[#This Row],[현재가]]*(표.실시간4[[#This Row],[현재가]]-표.실시간4[[#This Row],[대비]])</f>
        <v>0.54007207279999991</v>
      </c>
      <c r="J285" s="5">
        <f>_xll.IMDP("STK",표.실시간4[[#This Row],[nxt_code]],"전일대비")</f>
        <v>600</v>
      </c>
      <c r="K285">
        <f>_xll.IMDP("STK",표.실시간4[[#This Row],[nxt_code]],"등락률")</f>
        <v>0.46</v>
      </c>
      <c r="L285" s="4">
        <f>_xll.IMDP("STK",표.실시간4[[#This Row],[nxt_code]],"누적거래량")</f>
        <v>960</v>
      </c>
      <c r="M285" s="4">
        <f>_xll.IMDP("STK",표.실시간4[[#This Row],[nxt_code]],"누적거래대금")</f>
        <v>125646100</v>
      </c>
      <c r="N285" s="4">
        <f>_xll.IMDP("STK",표.실시간4[[#This Row],[nxt_code]],"가중평균가")</f>
        <v>130881.354167</v>
      </c>
      <c r="O285" s="4">
        <f>_xll.IMDP("STK",표.실시간4[[#This Row],[nxt_code]],"시가")</f>
        <v>129200</v>
      </c>
      <c r="P285" s="4">
        <f>_xll.IMDP("STK",표.실시간4[[#This Row],[nxt_code]],"고가")</f>
        <v>131300</v>
      </c>
      <c r="Q285" s="4">
        <f>_xll.IMDP("STK",표.실시간4[[#This Row],[nxt_code]],"저가")</f>
        <v>129000</v>
      </c>
      <c r="R285">
        <f>_xll.IMDP("STK",표.실시간4[[#This Row],[nxt_code]],"세션명")</f>
        <v>0</v>
      </c>
      <c r="S285">
        <f>_xll.IMDP("STK",표.실시간4[[#This Row],[nxt_code]],"체결시간")</f>
        <v>0</v>
      </c>
      <c r="T285" s="4">
        <f>_xll.IMDP("STK","249420","현재가")</f>
        <v>36400</v>
      </c>
      <c r="U285">
        <f>_xll.IMDP("STK","249420","누적거래량")</f>
        <v>14379</v>
      </c>
    </row>
    <row r="286" spans="3:21" x14ac:dyDescent="0.3">
      <c r="C286">
        <v>281</v>
      </c>
      <c r="D286">
        <v>336370</v>
      </c>
      <c r="E286" t="s">
        <v>469</v>
      </c>
      <c r="F286" t="str">
        <f>ConvertStockCode(표.실시간4[[#This Row],[코드]])</f>
        <v>N336370</v>
      </c>
      <c r="G286" s="4">
        <f>_xll.IMDP("STK",표.실시간4[[#This Row],[nxt_code]],"현재가")</f>
        <v>7940</v>
      </c>
      <c r="H286" s="4">
        <f>_xll.IMDP("STK",표.실시간4[[#This Row],[nxt_code]],"시가총액")/10^12</f>
        <v>0.55752571135999995</v>
      </c>
      <c r="I286" s="4">
        <f>표.실시간4[[#This Row],[시가총액 (조원)]]/표.실시간4[[#This Row],[현재가]]*(표.실시간4[[#This Row],[현재가]]-표.실시간4[[#This Row],[대비]])</f>
        <v>0.55261049727999989</v>
      </c>
      <c r="J286" s="5">
        <f>_xll.IMDP("STK",표.실시간4[[#This Row],[nxt_code]],"전일대비")</f>
        <v>70</v>
      </c>
      <c r="K286">
        <f>_xll.IMDP("STK",표.실시간4[[#This Row],[nxt_code]],"등락률")</f>
        <v>0.89</v>
      </c>
      <c r="L286" s="4">
        <f>_xll.IMDP("STK",표.실시간4[[#This Row],[nxt_code]],"누적거래량")</f>
        <v>121871</v>
      </c>
      <c r="M286" s="4">
        <f>_xll.IMDP("STK",표.실시간4[[#This Row],[nxt_code]],"누적거래대금")</f>
        <v>982264080</v>
      </c>
      <c r="N286" s="4">
        <f>_xll.IMDP("STK",표.실시간4[[#This Row],[nxt_code]],"가중평균가")</f>
        <v>8059.8672370000004</v>
      </c>
      <c r="O286" s="4">
        <f>_xll.IMDP("STK",표.실시간4[[#This Row],[nxt_code]],"시가")</f>
        <v>8050</v>
      </c>
      <c r="P286" s="4">
        <f>_xll.IMDP("STK",표.실시간4[[#This Row],[nxt_code]],"고가")</f>
        <v>8150</v>
      </c>
      <c r="Q286" s="4">
        <f>_xll.IMDP("STK",표.실시간4[[#This Row],[nxt_code]],"저가")</f>
        <v>7930</v>
      </c>
      <c r="R286">
        <f>_xll.IMDP("STK",표.실시간4[[#This Row],[nxt_code]],"세션명")</f>
        <v>0</v>
      </c>
      <c r="S286">
        <f>_xll.IMDP("STK",표.실시간4[[#This Row],[nxt_code]],"체결시간")</f>
        <v>0</v>
      </c>
      <c r="T286" s="4">
        <f>_xll.IMDP("STK","030610","현재가")</f>
        <v>10670</v>
      </c>
      <c r="U286">
        <f>_xll.IMDP("STK","030610","누적거래량")</f>
        <v>2815</v>
      </c>
    </row>
    <row r="287" spans="3:21" x14ac:dyDescent="0.3">
      <c r="C287">
        <v>282</v>
      </c>
      <c r="D287">
        <v>97520</v>
      </c>
      <c r="E287" t="s">
        <v>459</v>
      </c>
      <c r="F287" t="str">
        <f>ConvertStockCode(표.실시간4[[#This Row],[코드]])</f>
        <v>N097520</v>
      </c>
      <c r="G287" s="4">
        <f>_xll.IMDP("STK",표.실시간4[[#This Row],[nxt_code]],"현재가")</f>
        <v>30500</v>
      </c>
      <c r="H287" s="4">
        <f>_xll.IMDP("STK",표.실시간4[[#This Row],[nxt_code]],"시가총액")/10^12</f>
        <v>0.53074575000000002</v>
      </c>
      <c r="I287" s="4">
        <f>표.실시간4[[#This Row],[시가총액 (조원)]]/표.실시간4[[#This Row],[현재가]]*(표.실시간4[[#This Row],[현재가]]-표.실시간4[[#This Row],[대비]])</f>
        <v>0.53248589999999996</v>
      </c>
      <c r="J287" s="5">
        <f>_xll.IMDP("STK",표.실시간4[[#This Row],[nxt_code]],"전일대비")</f>
        <v>-100</v>
      </c>
      <c r="K287">
        <f>_xll.IMDP("STK",표.실시간4[[#This Row],[nxt_code]],"등락률")</f>
        <v>-0.33</v>
      </c>
      <c r="L287" s="4">
        <f>_xll.IMDP("STK",표.실시간4[[#This Row],[nxt_code]],"누적거래량")</f>
        <v>7844</v>
      </c>
      <c r="M287" s="4">
        <f>_xll.IMDP("STK",표.실시간4[[#This Row],[nxt_code]],"누적거래대금")</f>
        <v>239449250</v>
      </c>
      <c r="N287" s="4">
        <f>_xll.IMDP("STK",표.실시간4[[#This Row],[nxt_code]],"가중평균가")</f>
        <v>30526.421469000001</v>
      </c>
      <c r="O287" s="4">
        <f>_xll.IMDP("STK",표.실시간4[[#This Row],[nxt_code]],"시가")</f>
        <v>30600</v>
      </c>
      <c r="P287" s="4">
        <f>_xll.IMDP("STK",표.실시간4[[#This Row],[nxt_code]],"고가")</f>
        <v>30800</v>
      </c>
      <c r="Q287" s="4">
        <f>_xll.IMDP("STK",표.실시간4[[#This Row],[nxt_code]],"저가")</f>
        <v>30300</v>
      </c>
      <c r="R287">
        <f>_xll.IMDP("STK",표.실시간4[[#This Row],[nxt_code]],"세션명")</f>
        <v>0</v>
      </c>
      <c r="S287">
        <f>_xll.IMDP("STK",표.실시간4[[#This Row],[nxt_code]],"체결시간")</f>
        <v>0</v>
      </c>
      <c r="T287" s="4">
        <f>_xll.IMDP("STK","004000","현재가")</f>
        <v>45900</v>
      </c>
      <c r="U287">
        <f>_xll.IMDP("STK","004000","누적거래량")</f>
        <v>1059</v>
      </c>
    </row>
    <row r="288" spans="3:21" x14ac:dyDescent="0.3">
      <c r="C288">
        <v>283</v>
      </c>
      <c r="D288">
        <v>105840</v>
      </c>
      <c r="E288" t="s">
        <v>463</v>
      </c>
      <c r="F288" t="str">
        <f>ConvertStockCode(표.실시간4[[#This Row],[코드]])</f>
        <v>N105840</v>
      </c>
      <c r="G288" s="4">
        <f>_xll.IMDP("STK",표.실시간4[[#This Row],[nxt_code]],"현재가")</f>
        <v>24950</v>
      </c>
      <c r="H288" s="4">
        <f>_xll.IMDP("STK",표.실시간4[[#This Row],[nxt_code]],"시가총액")/10^12</f>
        <v>0.50393186649999999</v>
      </c>
      <c r="I288" s="4">
        <f>표.실시간4[[#This Row],[시가총액 (조원)]]/표.실시간4[[#This Row],[현재가]]*(표.실시간4[[#This Row],[현재가]]-표.실시간4[[#This Row],[대비]])</f>
        <v>0.49989233249999998</v>
      </c>
      <c r="J288" s="5">
        <f>_xll.IMDP("STK",표.실시간4[[#This Row],[nxt_code]],"전일대비")</f>
        <v>200</v>
      </c>
      <c r="K288">
        <f>_xll.IMDP("STK",표.실시간4[[#This Row],[nxt_code]],"등락률")</f>
        <v>0.81</v>
      </c>
      <c r="L288" s="4">
        <f>_xll.IMDP("STK",표.실시간4[[#This Row],[nxt_code]],"누적거래량")</f>
        <v>179920</v>
      </c>
      <c r="M288" s="4">
        <f>_xll.IMDP("STK",표.실시간4[[#This Row],[nxt_code]],"누적거래대금")</f>
        <v>4547096050</v>
      </c>
      <c r="N288" s="4">
        <f>_xll.IMDP("STK",표.실시간4[[#This Row],[nxt_code]],"가중평균가")</f>
        <v>25272.877111999998</v>
      </c>
      <c r="O288" s="4">
        <f>_xll.IMDP("STK",표.실시간4[[#This Row],[nxt_code]],"시가")</f>
        <v>25000</v>
      </c>
      <c r="P288" s="4">
        <f>_xll.IMDP("STK",표.실시간4[[#This Row],[nxt_code]],"고가")</f>
        <v>25750</v>
      </c>
      <c r="Q288" s="4">
        <f>_xll.IMDP("STK",표.실시간4[[#This Row],[nxt_code]],"저가")</f>
        <v>24800</v>
      </c>
      <c r="R288">
        <f>_xll.IMDP("STK",표.실시간4[[#This Row],[nxt_code]],"세션명")</f>
        <v>0</v>
      </c>
      <c r="S288">
        <f>_xll.IMDP("STK",표.실시간4[[#This Row],[nxt_code]],"체결시간")</f>
        <v>0</v>
      </c>
      <c r="T288" s="4">
        <f>_xll.IMDP("STK","281740","현재가")</f>
        <v>20600</v>
      </c>
      <c r="U288">
        <f>_xll.IMDP("STK","281740","누적거래량")</f>
        <v>586466</v>
      </c>
    </row>
    <row r="289" spans="3:21" x14ac:dyDescent="0.3">
      <c r="C289">
        <v>284</v>
      </c>
      <c r="D289">
        <v>1500</v>
      </c>
      <c r="E289" t="s">
        <v>471</v>
      </c>
      <c r="F289" t="str">
        <f>ConvertStockCode(표.실시간4[[#This Row],[코드]])</f>
        <v>N001500</v>
      </c>
      <c r="G289" s="4">
        <f>_xll.IMDP("STK",표.실시간4[[#This Row],[nxt_code]],"현재가")</f>
        <v>8660</v>
      </c>
      <c r="H289" s="4">
        <f>_xll.IMDP("STK",표.실시간4[[#This Row],[nxt_code]],"시가총액")/10^12</f>
        <v>0.53547416104000001</v>
      </c>
      <c r="I289" s="4">
        <f>표.실시간4[[#This Row],[시가총액 (조원)]]/표.실시간4[[#This Row],[현재가]]*(표.실시간4[[#This Row],[현재가]]-표.실시간4[[#This Row],[대비]])</f>
        <v>0.53114584795999997</v>
      </c>
      <c r="J289" s="5">
        <f>_xll.IMDP("STK",표.실시간4[[#This Row],[nxt_code]],"전일대비")</f>
        <v>70</v>
      </c>
      <c r="K289">
        <f>_xll.IMDP("STK",표.실시간4[[#This Row],[nxt_code]],"등락률")</f>
        <v>0.81</v>
      </c>
      <c r="L289" s="4">
        <f>_xll.IMDP("STK",표.실시간4[[#This Row],[nxt_code]],"누적거래량")</f>
        <v>28308</v>
      </c>
      <c r="M289" s="4">
        <f>_xll.IMDP("STK",표.실시간4[[#This Row],[nxt_code]],"누적거래대금")</f>
        <v>246052380</v>
      </c>
      <c r="N289" s="4">
        <f>_xll.IMDP("STK",표.실시간4[[#This Row],[nxt_code]],"가중평균가")</f>
        <v>8691.9732939999994</v>
      </c>
      <c r="O289" s="4">
        <f>_xll.IMDP("STK",표.실시간4[[#This Row],[nxt_code]],"시가")</f>
        <v>8680</v>
      </c>
      <c r="P289" s="4">
        <f>_xll.IMDP("STK",표.실시간4[[#This Row],[nxt_code]],"고가")</f>
        <v>8760</v>
      </c>
      <c r="Q289" s="4">
        <f>_xll.IMDP("STK",표.실시간4[[#This Row],[nxt_code]],"저가")</f>
        <v>8610</v>
      </c>
      <c r="R289">
        <f>_xll.IMDP("STK",표.실시간4[[#This Row],[nxt_code]],"세션명")</f>
        <v>0</v>
      </c>
      <c r="S289">
        <f>_xll.IMDP("STK",표.실시간4[[#This Row],[nxt_code]],"체결시간")</f>
        <v>0</v>
      </c>
      <c r="T289" s="4">
        <f>_xll.IMDP("STK","229640","현재가")</f>
        <v>39200</v>
      </c>
      <c r="U289">
        <f>_xll.IMDP("STK","229640","누적거래량")</f>
        <v>13581</v>
      </c>
    </row>
    <row r="290" spans="3:21" x14ac:dyDescent="0.3">
      <c r="C290">
        <v>285</v>
      </c>
      <c r="D290">
        <v>145720</v>
      </c>
      <c r="E290" t="s">
        <v>479</v>
      </c>
      <c r="F290" t="str">
        <f>ConvertStockCode(표.실시간4[[#This Row],[코드]])</f>
        <v>N145720</v>
      </c>
      <c r="G290" s="4">
        <f>_xll.IMDP("STK",표.실시간4[[#This Row],[nxt_code]],"현재가")</f>
        <v>46900</v>
      </c>
      <c r="H290" s="4">
        <f>_xll.IMDP("STK",표.실시간4[[#This Row],[nxt_code]],"시가총액")/10^12</f>
        <v>0.51912812699999999</v>
      </c>
      <c r="I290" s="4">
        <f>표.실시간4[[#This Row],[시가총액 (조원)]]/표.실시간4[[#This Row],[현재가]]*(표.실시간4[[#This Row],[현재가]]-표.실시간4[[#This Row],[대비]])</f>
        <v>0.521341893</v>
      </c>
      <c r="J290" s="5">
        <f>_xll.IMDP("STK",표.실시간4[[#This Row],[nxt_code]],"전일대비")</f>
        <v>-200</v>
      </c>
      <c r="K290">
        <f>_xll.IMDP("STK",표.실시간4[[#This Row],[nxt_code]],"등락률")</f>
        <v>-0.42</v>
      </c>
      <c r="L290" s="4">
        <f>_xll.IMDP("STK",표.실시간4[[#This Row],[nxt_code]],"누적거래량")</f>
        <v>593</v>
      </c>
      <c r="M290" s="4">
        <f>_xll.IMDP("STK",표.실시간4[[#This Row],[nxt_code]],"누적거래대금")</f>
        <v>27902050</v>
      </c>
      <c r="N290" s="4">
        <f>_xll.IMDP("STK",표.실시간4[[#This Row],[nxt_code]],"가중평균가")</f>
        <v>47052.360876999999</v>
      </c>
      <c r="O290" s="4">
        <f>_xll.IMDP("STK",표.실시간4[[#This Row],[nxt_code]],"시가")</f>
        <v>47400</v>
      </c>
      <c r="P290" s="4">
        <f>_xll.IMDP("STK",표.실시간4[[#This Row],[nxt_code]],"고가")</f>
        <v>47400</v>
      </c>
      <c r="Q290" s="4">
        <f>_xll.IMDP("STK",표.실시간4[[#This Row],[nxt_code]],"저가")</f>
        <v>46550</v>
      </c>
      <c r="R290">
        <f>_xll.IMDP("STK",표.실시간4[[#This Row],[nxt_code]],"세션명")</f>
        <v>0</v>
      </c>
      <c r="S290">
        <f>_xll.IMDP("STK",표.실시간4[[#This Row],[nxt_code]],"체결시간")</f>
        <v>0</v>
      </c>
      <c r="T290" s="4">
        <f>_xll.IMDP("STK","185750","현재가")</f>
        <v>84200</v>
      </c>
      <c r="U290">
        <f>_xll.IMDP("STK","185750","누적거래량")</f>
        <v>128</v>
      </c>
    </row>
    <row r="291" spans="3:21" x14ac:dyDescent="0.3">
      <c r="C291">
        <v>286</v>
      </c>
      <c r="D291">
        <v>4690</v>
      </c>
      <c r="E291" t="s">
        <v>477</v>
      </c>
      <c r="F291" t="str">
        <f>ConvertStockCode(표.실시간4[[#This Row],[코드]])</f>
        <v>N004690</v>
      </c>
      <c r="G291" s="4">
        <f>_xll.IMDP("STK",표.실시간4[[#This Row],[nxt_code]],"현재가")</f>
        <v>128500</v>
      </c>
      <c r="H291" s="4">
        <f>_xll.IMDP("STK",표.실시간4[[#This Row],[nxt_code]],"시가총액")/10^12</f>
        <v>0.52107071250000003</v>
      </c>
      <c r="I291" s="4">
        <f>표.실시간4[[#This Row],[시가총액 (조원)]]/표.실시간4[[#This Row],[현재가]]*(표.실시간4[[#This Row],[현재가]]-표.실시간4[[#This Row],[대비]])</f>
        <v>0.51417717000000007</v>
      </c>
      <c r="J291" s="5">
        <f>_xll.IMDP("STK",표.실시간4[[#This Row],[nxt_code]],"전일대비")</f>
        <v>1700</v>
      </c>
      <c r="K291">
        <f>_xll.IMDP("STK",표.실시간4[[#This Row],[nxt_code]],"등락률")</f>
        <v>1.34</v>
      </c>
      <c r="L291" s="4">
        <f>_xll.IMDP("STK",표.실시간4[[#This Row],[nxt_code]],"누적거래량")</f>
        <v>1055</v>
      </c>
      <c r="M291" s="4">
        <f>_xll.IMDP("STK",표.실시간4[[#This Row],[nxt_code]],"누적거래대금")</f>
        <v>134657900</v>
      </c>
      <c r="N291" s="4">
        <f>_xll.IMDP("STK",표.실시간4[[#This Row],[nxt_code]],"가중평균가")</f>
        <v>127637.819905</v>
      </c>
      <c r="O291" s="4">
        <f>_xll.IMDP("STK",표.실시간4[[#This Row],[nxt_code]],"시가")</f>
        <v>126900</v>
      </c>
      <c r="P291" s="4">
        <f>_xll.IMDP("STK",표.실시간4[[#This Row],[nxt_code]],"고가")</f>
        <v>128500</v>
      </c>
      <c r="Q291" s="4">
        <f>_xll.IMDP("STK",표.실시간4[[#This Row],[nxt_code]],"저가")</f>
        <v>125100</v>
      </c>
      <c r="R291">
        <f>_xll.IMDP("STK",표.실시간4[[#This Row],[nxt_code]],"세션명")</f>
        <v>0</v>
      </c>
      <c r="S291">
        <f>_xll.IMDP("STK",표.실시간4[[#This Row],[nxt_code]],"체결시간")</f>
        <v>0</v>
      </c>
      <c r="T291" s="4">
        <f>_xll.IMDP("STK","006120","현재가")</f>
        <v>63000</v>
      </c>
      <c r="U291">
        <f>_xll.IMDP("STK","006120","누적거래량")</f>
        <v>81</v>
      </c>
    </row>
    <row r="292" spans="3:21" x14ac:dyDescent="0.3">
      <c r="C292">
        <v>287</v>
      </c>
      <c r="D292">
        <v>284740</v>
      </c>
      <c r="E292" t="s">
        <v>482</v>
      </c>
      <c r="F292" t="str">
        <f>ConvertStockCode(표.실시간4[[#This Row],[코드]])</f>
        <v>N284740</v>
      </c>
      <c r="G292" s="4">
        <f>_xll.IMDP("STK",표.실시간4[[#This Row],[nxt_code]],"현재가")</f>
        <v>22850</v>
      </c>
      <c r="H292" s="4">
        <f>_xll.IMDP("STK",표.실시간4[[#This Row],[nxt_code]],"시가총액")/10^12</f>
        <v>0.51269299049999995</v>
      </c>
      <c r="I292" s="4">
        <f>표.실시간4[[#This Row],[시가총액 (조원)]]/표.실시간4[[#This Row],[현재가]]*(표.실시간4[[#This Row],[현재가]]-표.실시간4[[#This Row],[대비]])</f>
        <v>0.50820552450000001</v>
      </c>
      <c r="J292" s="5">
        <f>_xll.IMDP("STK",표.실시간4[[#This Row],[nxt_code]],"전일대비")</f>
        <v>200</v>
      </c>
      <c r="K292">
        <f>_xll.IMDP("STK",표.실시간4[[#This Row],[nxt_code]],"등락률")</f>
        <v>0.88</v>
      </c>
      <c r="L292" s="4">
        <f>_xll.IMDP("STK",표.실시간4[[#This Row],[nxt_code]],"누적거래량")</f>
        <v>615</v>
      </c>
      <c r="M292" s="4">
        <f>_xll.IMDP("STK",표.실시간4[[#This Row],[nxt_code]],"누적거래대금")</f>
        <v>13990400</v>
      </c>
      <c r="N292" s="4">
        <f>_xll.IMDP("STK",표.실시간4[[#This Row],[nxt_code]],"가중평균가")</f>
        <v>22748.617886</v>
      </c>
      <c r="O292" s="4">
        <f>_xll.IMDP("STK",표.실시간4[[#This Row],[nxt_code]],"시가")</f>
        <v>22700</v>
      </c>
      <c r="P292" s="4">
        <f>_xll.IMDP("STK",표.실시간4[[#This Row],[nxt_code]],"고가")</f>
        <v>22900</v>
      </c>
      <c r="Q292" s="4">
        <f>_xll.IMDP("STK",표.실시간4[[#This Row],[nxt_code]],"저가")</f>
        <v>22650</v>
      </c>
      <c r="R292">
        <f>_xll.IMDP("STK",표.실시간4[[#This Row],[nxt_code]],"세션명")</f>
        <v>0</v>
      </c>
      <c r="S292">
        <f>_xll.IMDP("STK",표.실시간4[[#This Row],[nxt_code]],"체결시간")</f>
        <v>0</v>
      </c>
      <c r="T292" s="4">
        <f>_xll.IMDP("STK","285130","현재가")</f>
        <v>67900</v>
      </c>
      <c r="U292">
        <f>_xll.IMDP("STK","285130","누적거래량")</f>
        <v>570</v>
      </c>
    </row>
    <row r="293" spans="3:21" x14ac:dyDescent="0.3">
      <c r="C293">
        <v>288</v>
      </c>
      <c r="D293">
        <v>93050</v>
      </c>
      <c r="E293" t="s">
        <v>480</v>
      </c>
      <c r="F293" t="str">
        <f>ConvertStockCode(표.실시간4[[#This Row],[코드]])</f>
        <v>N093050</v>
      </c>
      <c r="G293" s="4">
        <f>_xll.IMDP("STK",표.실시간4[[#This Row],[nxt_code]],"현재가")</f>
        <v>17450</v>
      </c>
      <c r="H293" s="4">
        <f>_xll.IMDP("STK",표.실시간4[[#This Row],[nxt_code]],"시가총액")/10^12</f>
        <v>0.51023799999999997</v>
      </c>
      <c r="I293" s="4">
        <f>표.실시간4[[#This Row],[시가총액 (조원)]]/표.실시간4[[#This Row],[현재가]]*(표.실시간4[[#This Row],[현재가]]-표.실시간4[[#This Row],[대비]])</f>
        <v>0.50819119999999995</v>
      </c>
      <c r="J293" s="5">
        <f>_xll.IMDP("STK",표.실시간4[[#This Row],[nxt_code]],"전일대비")</f>
        <v>70</v>
      </c>
      <c r="K293">
        <f>_xll.IMDP("STK",표.실시간4[[#This Row],[nxt_code]],"등락률")</f>
        <v>0.4</v>
      </c>
      <c r="L293" s="4">
        <f>_xll.IMDP("STK",표.실시간4[[#This Row],[nxt_code]],"누적거래량")</f>
        <v>157</v>
      </c>
      <c r="M293" s="4">
        <f>_xll.IMDP("STK",표.실시간4[[#This Row],[nxt_code]],"누적거래대금")</f>
        <v>2722690</v>
      </c>
      <c r="N293" s="4">
        <f>_xll.IMDP("STK",표.실시간4[[#This Row],[nxt_code]],"가중평균가")</f>
        <v>17341.974522</v>
      </c>
      <c r="O293" s="4">
        <f>_xll.IMDP("STK",표.실시간4[[#This Row],[nxt_code]],"시가")</f>
        <v>17270</v>
      </c>
      <c r="P293" s="4">
        <f>_xll.IMDP("STK",표.실시간4[[#This Row],[nxt_code]],"고가")</f>
        <v>17480</v>
      </c>
      <c r="Q293" s="4">
        <f>_xll.IMDP("STK",표.실시간4[[#This Row],[nxt_code]],"저가")</f>
        <v>17260</v>
      </c>
      <c r="R293">
        <f>_xll.IMDP("STK",표.실시간4[[#This Row],[nxt_code]],"세션명")</f>
        <v>0</v>
      </c>
      <c r="S293">
        <f>_xll.IMDP("STK",표.실시간4[[#This Row],[nxt_code]],"체결시간")</f>
        <v>0</v>
      </c>
      <c r="T293" s="4">
        <f>_xll.IMDP("STK","397030","현재가")</f>
        <v>47700</v>
      </c>
      <c r="U293">
        <f>_xll.IMDP("STK","397030","누적거래량")</f>
        <v>3087</v>
      </c>
    </row>
    <row r="294" spans="3:21" x14ac:dyDescent="0.3">
      <c r="C294">
        <v>289</v>
      </c>
      <c r="D294">
        <v>16590</v>
      </c>
      <c r="E294" t="s">
        <v>474</v>
      </c>
      <c r="F294" t="str">
        <f>ConvertStockCode(표.실시간4[[#This Row],[코드]])</f>
        <v>N016590</v>
      </c>
      <c r="G294" s="4">
        <f>_xll.IMDP("STK",표.실시간4[[#This Row],[nxt_code]],"현재가")</f>
        <v>12280</v>
      </c>
      <c r="H294" s="4">
        <f>_xll.IMDP("STK",표.실시간4[[#This Row],[nxt_code]],"시가총액")/10^12</f>
        <v>0.4948572296</v>
      </c>
      <c r="I294" s="4">
        <f>표.실시간4[[#This Row],[시가총액 (조원)]]/표.실시간4[[#This Row],[현재가]]*(표.실시간4[[#This Row],[현재가]]-표.실시간4[[#This Row],[대비]])</f>
        <v>0.49364829500000001</v>
      </c>
      <c r="J294" s="5">
        <f>_xll.IMDP("STK",표.실시간4[[#This Row],[nxt_code]],"전일대비")</f>
        <v>30</v>
      </c>
      <c r="K294">
        <f>_xll.IMDP("STK",표.실시간4[[#This Row],[nxt_code]],"등락률")</f>
        <v>0.24</v>
      </c>
      <c r="L294" s="4">
        <f>_xll.IMDP("STK",표.실시간4[[#This Row],[nxt_code]],"누적거래량")</f>
        <v>279</v>
      </c>
      <c r="M294" s="4">
        <f>_xll.IMDP("STK",표.실시간4[[#This Row],[nxt_code]],"누적거래대금")</f>
        <v>3424700</v>
      </c>
      <c r="N294" s="4">
        <f>_xll.IMDP("STK",표.실시간4[[#This Row],[nxt_code]],"가중평균가")</f>
        <v>12274.910394</v>
      </c>
      <c r="O294" s="4">
        <f>_xll.IMDP("STK",표.실시간4[[#This Row],[nxt_code]],"시가")</f>
        <v>12270</v>
      </c>
      <c r="P294" s="4">
        <f>_xll.IMDP("STK",표.실시간4[[#This Row],[nxt_code]],"고가")</f>
        <v>12280</v>
      </c>
      <c r="Q294" s="4">
        <f>_xll.IMDP("STK",표.실시간4[[#This Row],[nxt_code]],"저가")</f>
        <v>12270</v>
      </c>
      <c r="R294">
        <f>_xll.IMDP("STK",표.실시간4[[#This Row],[nxt_code]],"세션명")</f>
        <v>0</v>
      </c>
      <c r="S294">
        <f>_xll.IMDP("STK",표.실시간4[[#This Row],[nxt_code]],"체결시간")</f>
        <v>0</v>
      </c>
      <c r="T294" s="4">
        <f>_xll.IMDP("STK","204270","현재가")</f>
        <v>20500</v>
      </c>
      <c r="U294">
        <f>_xll.IMDP("STK","204270","누적거래량")</f>
        <v>14852</v>
      </c>
    </row>
    <row r="295" spans="3:21" x14ac:dyDescent="0.3">
      <c r="C295">
        <v>290</v>
      </c>
      <c r="D295">
        <v>9900</v>
      </c>
      <c r="E295" t="s">
        <v>476</v>
      </c>
      <c r="F295" t="str">
        <f>ConvertStockCode(표.실시간4[[#This Row],[코드]])</f>
        <v>N009900</v>
      </c>
      <c r="G295" s="4">
        <f>_xll.IMDP("STK",표.실시간4[[#This Row],[nxt_code]],"현재가")</f>
        <v>9490</v>
      </c>
      <c r="H295" s="4">
        <f>_xll.IMDP("STK",표.실시간4[[#This Row],[nxt_code]],"시가총액")/10^12</f>
        <v>0.49794156217000002</v>
      </c>
      <c r="I295" s="4">
        <f>표.실시간4[[#This Row],[시가총액 (조원)]]/표.실시간4[[#This Row],[현재가]]*(표.실시간4[[#This Row],[현재가]]-표.실시간4[[#This Row],[대비]])</f>
        <v>0.49689215950999999</v>
      </c>
      <c r="J295" s="5">
        <f>_xll.IMDP("STK",표.실시간4[[#This Row],[nxt_code]],"전일대비")</f>
        <v>20</v>
      </c>
      <c r="K295">
        <f>_xll.IMDP("STK",표.실시간4[[#This Row],[nxt_code]],"등락률")</f>
        <v>-0.52</v>
      </c>
      <c r="L295" s="4">
        <f>_xll.IMDP("STK",표.실시간4[[#This Row],[nxt_code]],"누적거래량")</f>
        <v>23261</v>
      </c>
      <c r="M295" s="4">
        <f>_xll.IMDP("STK",표.실시간4[[#This Row],[nxt_code]],"누적거래대금")</f>
        <v>222842810</v>
      </c>
      <c r="N295" s="4">
        <f>_xll.IMDP("STK",표.실시간4[[#This Row],[nxt_code]],"가중평균가")</f>
        <v>9580.1044669999992</v>
      </c>
      <c r="O295" s="4">
        <f>_xll.IMDP("STK",표.실시간4[[#This Row],[nxt_code]],"시가")</f>
        <v>9370</v>
      </c>
      <c r="P295" s="4">
        <f>_xll.IMDP("STK",표.실시간4[[#This Row],[nxt_code]],"고가")</f>
        <v>9660</v>
      </c>
      <c r="Q295" s="4">
        <f>_xll.IMDP("STK",표.실시간4[[#This Row],[nxt_code]],"저가")</f>
        <v>9370</v>
      </c>
      <c r="R295">
        <f>_xll.IMDP("STK",표.실시간4[[#This Row],[nxt_code]],"세션명")</f>
        <v>0</v>
      </c>
      <c r="S295">
        <f>_xll.IMDP("STK",표.실시간4[[#This Row],[nxt_code]],"체결시간")</f>
        <v>0</v>
      </c>
      <c r="T295" s="4">
        <f>_xll.IMDP("STK","328130","현재가")</f>
        <v>37850</v>
      </c>
      <c r="U295">
        <f>_xll.IMDP("STK","328130","누적거래량")</f>
        <v>3165</v>
      </c>
    </row>
    <row r="296" spans="3:21" x14ac:dyDescent="0.3">
      <c r="C296">
        <v>291</v>
      </c>
      <c r="D296">
        <v>16800</v>
      </c>
      <c r="E296" t="s">
        <v>487</v>
      </c>
      <c r="F296" t="str">
        <f>ConvertStockCode(표.실시간4[[#This Row],[코드]])</f>
        <v>N016800</v>
      </c>
      <c r="G296" s="4">
        <f>_xll.IMDP("STK",표.실시간4[[#This Row],[nxt_code]],"현재가")</f>
        <v>43350</v>
      </c>
      <c r="H296" s="4">
        <f>_xll.IMDP("STK",표.실시간4[[#This Row],[nxt_code]],"시가총액")/10^12</f>
        <v>0.498525</v>
      </c>
      <c r="I296" s="4">
        <f>표.실시간4[[#This Row],[시가총액 (조원)]]/표.실시간4[[#This Row],[현재가]]*(표.실시간4[[#This Row],[현재가]]-표.실시간4[[#This Row],[대비]])</f>
        <v>0.49335000000000001</v>
      </c>
      <c r="J296" s="5">
        <f>_xll.IMDP("STK",표.실시간4[[#This Row],[nxt_code]],"전일대비")</f>
        <v>450</v>
      </c>
      <c r="K296">
        <f>_xll.IMDP("STK",표.실시간4[[#This Row],[nxt_code]],"등락률")</f>
        <v>1.05</v>
      </c>
      <c r="L296" s="4">
        <f>_xll.IMDP("STK",표.실시간4[[#This Row],[nxt_code]],"누적거래량")</f>
        <v>23</v>
      </c>
      <c r="M296" s="4">
        <f>_xll.IMDP("STK",표.실시간4[[#This Row],[nxt_code]],"누적거래대금")</f>
        <v>996400</v>
      </c>
      <c r="N296" s="4">
        <f>_xll.IMDP("STK",표.실시간4[[#This Row],[nxt_code]],"가중평균가")</f>
        <v>43321.739130000002</v>
      </c>
      <c r="O296" s="4">
        <f>_xll.IMDP("STK",표.실시간4[[#This Row],[nxt_code]],"시가")</f>
        <v>42700</v>
      </c>
      <c r="P296" s="4">
        <f>_xll.IMDP("STK",표.실시간4[[#This Row],[nxt_code]],"고가")</f>
        <v>43350</v>
      </c>
      <c r="Q296" s="4">
        <f>_xll.IMDP("STK",표.실시간4[[#This Row],[nxt_code]],"저가")</f>
        <v>42700</v>
      </c>
      <c r="R296">
        <f>_xll.IMDP("STK",표.실시간4[[#This Row],[nxt_code]],"세션명")</f>
        <v>0</v>
      </c>
      <c r="S296">
        <f>_xll.IMDP("STK",표.실시간4[[#This Row],[nxt_code]],"체결시간")</f>
        <v>0</v>
      </c>
      <c r="T296" s="4">
        <f>_xll.IMDP("STK","075580","현재가")</f>
        <v>19230</v>
      </c>
      <c r="U296">
        <f>_xll.IMDP("STK","075580","누적거래량")</f>
        <v>15341</v>
      </c>
    </row>
    <row r="297" spans="3:21" x14ac:dyDescent="0.3">
      <c r="C297">
        <v>292</v>
      </c>
      <c r="D297">
        <v>33240</v>
      </c>
      <c r="E297" t="s">
        <v>473</v>
      </c>
      <c r="F297" t="str">
        <f>ConvertStockCode(표.실시간4[[#This Row],[코드]])</f>
        <v>N033240</v>
      </c>
      <c r="G297" s="4">
        <f>_xll.IMDP("STK",표.실시간4[[#This Row],[nxt_code]],"현재가")</f>
        <v>22600</v>
      </c>
      <c r="H297" s="4">
        <f>_xll.IMDP("STK",표.실시간4[[#This Row],[nxt_code]],"시가총액")/10^12</f>
        <v>0.49169997360000001</v>
      </c>
      <c r="I297" s="4">
        <f>표.실시간4[[#This Row],[시가총액 (조원)]]/표.실시간4[[#This Row],[현재가]]*(표.실시간4[[#This Row],[현재가]]-표.실시간4[[#This Row],[대비]])</f>
        <v>0.4938756372</v>
      </c>
      <c r="J297" s="5">
        <f>_xll.IMDP("STK",표.실시간4[[#This Row],[nxt_code]],"전일대비")</f>
        <v>-100</v>
      </c>
      <c r="K297">
        <f>_xll.IMDP("STK",표.실시간4[[#This Row],[nxt_code]],"등락률")</f>
        <v>-0.44</v>
      </c>
      <c r="L297" s="4">
        <f>_xll.IMDP("STK",표.실시간4[[#This Row],[nxt_code]],"누적거래량")</f>
        <v>29386</v>
      </c>
      <c r="M297" s="4">
        <f>_xll.IMDP("STK",표.실시간4[[#This Row],[nxt_code]],"누적거래대금")</f>
        <v>673922600</v>
      </c>
      <c r="N297" s="4">
        <f>_xll.IMDP("STK",표.실시간4[[#This Row],[nxt_code]],"가중평균가")</f>
        <v>22933.458108999999</v>
      </c>
      <c r="O297" s="4">
        <f>_xll.IMDP("STK",표.실시간4[[#This Row],[nxt_code]],"시가")</f>
        <v>23050</v>
      </c>
      <c r="P297" s="4">
        <f>_xll.IMDP("STK",표.실시간4[[#This Row],[nxt_code]],"고가")</f>
        <v>23100</v>
      </c>
      <c r="Q297" s="4">
        <f>_xll.IMDP("STK",표.실시간4[[#This Row],[nxt_code]],"저가")</f>
        <v>22600</v>
      </c>
      <c r="R297">
        <f>_xll.IMDP("STK",표.실시간4[[#This Row],[nxt_code]],"세션명")</f>
        <v>0</v>
      </c>
      <c r="S297">
        <f>_xll.IMDP("STK",표.실시간4[[#This Row],[nxt_code]],"체결시간")</f>
        <v>0</v>
      </c>
      <c r="T297" s="4">
        <f>_xll.IMDP("STK","089860","현재가")</f>
        <v>30350</v>
      </c>
      <c r="U297">
        <f>_xll.IMDP("STK","089860","누적거래량")</f>
        <v>156</v>
      </c>
    </row>
    <row r="298" spans="3:21" x14ac:dyDescent="0.3">
      <c r="C298">
        <v>293</v>
      </c>
      <c r="D298">
        <v>271940</v>
      </c>
      <c r="E298" t="s">
        <v>493</v>
      </c>
      <c r="F298" t="str">
        <f>ConvertStockCode(표.실시간4[[#This Row],[코드]])</f>
        <v>N271940</v>
      </c>
      <c r="G298" s="4">
        <f>_xll.IMDP("STK",표.실시간4[[#This Row],[nxt_code]],"현재가")</f>
        <v>14080</v>
      </c>
      <c r="H298" s="4">
        <f>_xll.IMDP("STK",표.실시간4[[#This Row],[nxt_code]],"시가총액")/10^12</f>
        <v>0.51128971519999999</v>
      </c>
      <c r="I298" s="4">
        <f>표.실시간4[[#This Row],[시가총액 (조원)]]/표.실시간4[[#This Row],[현재가]]*(표.실시간4[[#This Row],[현재가]]-표.실시간4[[#This Row],[대비]])</f>
        <v>0.50330081339999999</v>
      </c>
      <c r="J298" s="5">
        <f>_xll.IMDP("STK",표.실시간4[[#This Row],[nxt_code]],"전일대비")</f>
        <v>220</v>
      </c>
      <c r="K298">
        <f>_xll.IMDP("STK",표.실시간4[[#This Row],[nxt_code]],"등락률")</f>
        <v>1.59</v>
      </c>
      <c r="L298" s="4">
        <f>_xll.IMDP("STK",표.실시간4[[#This Row],[nxt_code]],"누적거래량")</f>
        <v>4565</v>
      </c>
      <c r="M298" s="4">
        <f>_xll.IMDP("STK",표.실시간4[[#This Row],[nxt_code]],"누적거래대금")</f>
        <v>63892440</v>
      </c>
      <c r="N298" s="4">
        <f>_xll.IMDP("STK",표.실시간4[[#This Row],[nxt_code]],"가중평균가")</f>
        <v>13996.153340999999</v>
      </c>
      <c r="O298" s="4">
        <f>_xll.IMDP("STK",표.실시간4[[#This Row],[nxt_code]],"시가")</f>
        <v>13860</v>
      </c>
      <c r="P298" s="4">
        <f>_xll.IMDP("STK",표.실시간4[[#This Row],[nxt_code]],"고가")</f>
        <v>14100</v>
      </c>
      <c r="Q298" s="4">
        <f>_xll.IMDP("STK",표.실시간4[[#This Row],[nxt_code]],"저가")</f>
        <v>13800</v>
      </c>
      <c r="R298">
        <f>_xll.IMDP("STK",표.실시간4[[#This Row],[nxt_code]],"세션명")</f>
        <v>0</v>
      </c>
      <c r="S298">
        <f>_xll.IMDP("STK",표.실시간4[[#This Row],[nxt_code]],"체결시간")</f>
        <v>0</v>
      </c>
      <c r="T298" s="4">
        <f>_xll.IMDP("STK","192080","현재가")</f>
        <v>51000</v>
      </c>
      <c r="U298">
        <f>_xll.IMDP("STK","192080","누적거래량")</f>
        <v>708</v>
      </c>
    </row>
    <row r="299" spans="3:21" x14ac:dyDescent="0.3">
      <c r="C299">
        <v>294</v>
      </c>
      <c r="D299">
        <v>14830</v>
      </c>
      <c r="E299" t="s">
        <v>496</v>
      </c>
      <c r="F299" t="str">
        <f>ConvertStockCode(표.실시간4[[#This Row],[코드]])</f>
        <v>N014830</v>
      </c>
      <c r="G299" s="4">
        <f>_xll.IMDP("STK",표.실시간4[[#This Row],[nxt_code]],"현재가")</f>
        <v>82500</v>
      </c>
      <c r="H299" s="4">
        <f>_xll.IMDP("STK",표.실시간4[[#This Row],[nxt_code]],"시가총액")/10^12</f>
        <v>0.55765023999999996</v>
      </c>
      <c r="I299" s="4">
        <f>표.실시간4[[#This Row],[시가총액 (조원)]]/표.실시간4[[#This Row],[현재가]]*(표.실시간4[[#This Row],[현재가]]-표.실시간4[[#This Row],[대비]])</f>
        <v>0.50289912552727267</v>
      </c>
      <c r="J299" s="5">
        <f>_xll.IMDP("STK",표.실시간4[[#This Row],[nxt_code]],"전일대비")</f>
        <v>8100</v>
      </c>
      <c r="K299">
        <f>_xll.IMDP("STK",표.실시간4[[#This Row],[nxt_code]],"등락률")</f>
        <v>11.19</v>
      </c>
      <c r="L299" s="4">
        <f>_xll.IMDP("STK",표.실시간4[[#This Row],[nxt_code]],"누적거래량")</f>
        <v>77321</v>
      </c>
      <c r="M299" s="4">
        <f>_xll.IMDP("STK",표.실시간4[[#This Row],[nxt_code]],"누적거래대금")</f>
        <v>6117162950</v>
      </c>
      <c r="N299" s="4">
        <f>_xll.IMDP("STK",표.실시간4[[#This Row],[nxt_code]],"가중평균가")</f>
        <v>79113.862340000007</v>
      </c>
      <c r="O299" s="4">
        <f>_xll.IMDP("STK",표.실시간4[[#This Row],[nxt_code]],"시가")</f>
        <v>75800</v>
      </c>
      <c r="P299" s="4">
        <f>_xll.IMDP("STK",표.실시간4[[#This Row],[nxt_code]],"고가")</f>
        <v>82500</v>
      </c>
      <c r="Q299" s="4">
        <f>_xll.IMDP("STK",표.실시간4[[#This Row],[nxt_code]],"저가")</f>
        <v>75700</v>
      </c>
      <c r="R299">
        <f>_xll.IMDP("STK",표.실시간4[[#This Row],[nxt_code]],"세션명")</f>
        <v>0</v>
      </c>
      <c r="S299">
        <f>_xll.IMDP("STK",표.실시간4[[#This Row],[nxt_code]],"체결시간")</f>
        <v>0</v>
      </c>
      <c r="T299" s="4">
        <f>_xll.IMDP("STK","064960","현재가")</f>
        <v>39050</v>
      </c>
      <c r="U299">
        <f>_xll.IMDP("STK","064960","누적거래량")</f>
        <v>10485</v>
      </c>
    </row>
    <row r="300" spans="3:21" x14ac:dyDescent="0.3">
      <c r="C300">
        <v>295</v>
      </c>
      <c r="D300">
        <v>453340</v>
      </c>
      <c r="E300" t="s">
        <v>492</v>
      </c>
      <c r="F300" t="str">
        <f>ConvertStockCode(표.실시간4[[#This Row],[코드]])</f>
        <v>N453340</v>
      </c>
      <c r="G300" s="4">
        <f>_xll.IMDP("STK",표.실시간4[[#This Row],[nxt_code]],"현재가")</f>
        <v>15060</v>
      </c>
      <c r="H300" s="4">
        <f>_xll.IMDP("STK",표.실시간4[[#This Row],[nxt_code]],"시가총액")/10^12</f>
        <v>0.49425935075999999</v>
      </c>
      <c r="I300" s="4">
        <f>표.실시간4[[#This Row],[시가총액 (조원)]]/표.실시간4[[#This Row],[현재가]]*(표.실시간4[[#This Row],[현재가]]-표.실시간4[[#This Row],[대비]])</f>
        <v>0.49425935075999999</v>
      </c>
      <c r="J300" s="5">
        <f>_xll.IMDP("STK",표.실시간4[[#This Row],[nxt_code]],"전일대비")</f>
        <v>0</v>
      </c>
      <c r="K300">
        <f>_xll.IMDP("STK",표.실시간4[[#This Row],[nxt_code]],"등락률")</f>
        <v>0</v>
      </c>
      <c r="L300" s="4">
        <f>_xll.IMDP("STK",표.실시간4[[#This Row],[nxt_code]],"누적거래량")</f>
        <v>1156</v>
      </c>
      <c r="M300" s="4">
        <f>_xll.IMDP("STK",표.실시간4[[#This Row],[nxt_code]],"누적거래대금")</f>
        <v>17311950</v>
      </c>
      <c r="N300" s="4">
        <f>_xll.IMDP("STK",표.실시간4[[#This Row],[nxt_code]],"가중평균가")</f>
        <v>14975.735294</v>
      </c>
      <c r="O300" s="4">
        <f>_xll.IMDP("STK",표.실시간4[[#This Row],[nxt_code]],"시가")</f>
        <v>15060</v>
      </c>
      <c r="P300" s="4">
        <f>_xll.IMDP("STK",표.실시간4[[#This Row],[nxt_code]],"고가")</f>
        <v>15120</v>
      </c>
      <c r="Q300" s="4">
        <f>_xll.IMDP("STK",표.실시간4[[#This Row],[nxt_code]],"저가")</f>
        <v>14950</v>
      </c>
      <c r="R300">
        <f>_xll.IMDP("STK",표.실시간4[[#This Row],[nxt_code]],"세션명")</f>
        <v>0</v>
      </c>
      <c r="S300">
        <f>_xll.IMDP("STK",표.실시간4[[#This Row],[nxt_code]],"체결시간")</f>
        <v>0</v>
      </c>
      <c r="T300" s="4">
        <f>_xll.IMDP("STK","166090","현재가")</f>
        <v>52900</v>
      </c>
      <c r="U300">
        <f>_xll.IMDP("STK","166090","누적거래량")</f>
        <v>3152</v>
      </c>
    </row>
    <row r="301" spans="3:21" x14ac:dyDescent="0.3">
      <c r="C301">
        <v>296</v>
      </c>
      <c r="D301">
        <v>17810</v>
      </c>
      <c r="E301" t="s">
        <v>491</v>
      </c>
      <c r="F301" t="str">
        <f>ConvertStockCode(표.실시간4[[#This Row],[코드]])</f>
        <v>N017810</v>
      </c>
      <c r="G301" s="4">
        <f>_xll.IMDP("STK",표.실시간4[[#This Row],[nxt_code]],"현재가")</f>
        <v>12960</v>
      </c>
      <c r="H301" s="4">
        <f>_xll.IMDP("STK",표.실시간4[[#This Row],[nxt_code]],"시가총액")/10^12</f>
        <v>0.49404222432</v>
      </c>
      <c r="I301" s="4">
        <f>표.실시간4[[#This Row],[시가총액 (조원)]]/표.실시간4[[#This Row],[현재가]]*(표.실시간4[[#This Row],[현재가]]-표.실시간4[[#This Row],[대비]])</f>
        <v>0.49175499179999999</v>
      </c>
      <c r="J301" s="5">
        <f>_xll.IMDP("STK",표.실시간4[[#This Row],[nxt_code]],"전일대비")</f>
        <v>60</v>
      </c>
      <c r="K301">
        <f>_xll.IMDP("STK",표.실시간4[[#This Row],[nxt_code]],"등락률")</f>
        <v>0.47</v>
      </c>
      <c r="L301" s="4">
        <f>_xll.IMDP("STK",표.실시간4[[#This Row],[nxt_code]],"누적거래량")</f>
        <v>2253</v>
      </c>
      <c r="M301" s="4">
        <f>_xll.IMDP("STK",표.실시간4[[#This Row],[nxt_code]],"누적거래대금")</f>
        <v>29157380</v>
      </c>
      <c r="N301" s="4">
        <f>_xll.IMDP("STK",표.실시간4[[#This Row],[nxt_code]],"가중평균가")</f>
        <v>12941.580115000001</v>
      </c>
      <c r="O301" s="4">
        <f>_xll.IMDP("STK",표.실시간4[[#This Row],[nxt_code]],"시가")</f>
        <v>12970</v>
      </c>
      <c r="P301" s="4">
        <f>_xll.IMDP("STK",표.실시간4[[#This Row],[nxt_code]],"고가")</f>
        <v>13200</v>
      </c>
      <c r="Q301" s="4">
        <f>_xll.IMDP("STK",표.실시간4[[#This Row],[nxt_code]],"저가")</f>
        <v>12890</v>
      </c>
      <c r="R301">
        <f>_xll.IMDP("STK",표.실시간4[[#This Row],[nxt_code]],"세션명")</f>
        <v>0</v>
      </c>
      <c r="S301">
        <f>_xll.IMDP("STK",표.실시간4[[#This Row],[nxt_code]],"체결시간")</f>
        <v>0</v>
      </c>
      <c r="T301" s="4">
        <f>_xll.IMDP("STK","009240","현재가")</f>
        <v>44300</v>
      </c>
      <c r="U301">
        <f>_xll.IMDP("STK","009240","누적거래량")</f>
        <v>1003</v>
      </c>
    </row>
    <row r="302" spans="3:21" x14ac:dyDescent="0.3">
      <c r="C302">
        <v>297</v>
      </c>
      <c r="D302">
        <v>16610</v>
      </c>
      <c r="E302" t="s">
        <v>495</v>
      </c>
      <c r="F302" t="str">
        <f>ConvertStockCode(표.실시간4[[#This Row],[코드]])</f>
        <v>N016610</v>
      </c>
      <c r="G302" s="4">
        <f>_xll.IMDP("STK",표.실시간4[[#This Row],[nxt_code]],"현재가")</f>
        <v>11900</v>
      </c>
      <c r="H302" s="4">
        <f>_xll.IMDP("STK",표.실시간4[[#This Row],[nxt_code]],"시가총액")/10^12</f>
        <v>0.50511202909999997</v>
      </c>
      <c r="I302" s="4">
        <f>표.실시간4[[#This Row],[시가총액 (조원)]]/표.실시간4[[#This Row],[현재가]]*(표.실시간4[[#This Row],[현재가]]-표.실시간4[[#This Row],[대비]])</f>
        <v>0.49068025684</v>
      </c>
      <c r="J302" s="5">
        <f>_xll.IMDP("STK",표.실시간4[[#This Row],[nxt_code]],"전일대비")</f>
        <v>340</v>
      </c>
      <c r="K302">
        <f>_xll.IMDP("STK",표.실시간4[[#This Row],[nxt_code]],"등락률")</f>
        <v>2.94</v>
      </c>
      <c r="L302" s="4">
        <f>_xll.IMDP("STK",표.실시간4[[#This Row],[nxt_code]],"누적거래량")</f>
        <v>13005</v>
      </c>
      <c r="M302" s="4">
        <f>_xll.IMDP("STK",표.실시간4[[#This Row],[nxt_code]],"누적거래대금")</f>
        <v>154932160</v>
      </c>
      <c r="N302" s="4">
        <f>_xll.IMDP("STK",표.실시간4[[#This Row],[nxt_code]],"가중평균가")</f>
        <v>11913.276432000001</v>
      </c>
      <c r="O302" s="4">
        <f>_xll.IMDP("STK",표.실시간4[[#This Row],[nxt_code]],"시가")</f>
        <v>11800</v>
      </c>
      <c r="P302" s="4">
        <f>_xll.IMDP("STK",표.실시간4[[#This Row],[nxt_code]],"고가")</f>
        <v>11980</v>
      </c>
      <c r="Q302" s="4">
        <f>_xll.IMDP("STK",표.실시간4[[#This Row],[nxt_code]],"저가")</f>
        <v>11690</v>
      </c>
      <c r="R302">
        <f>_xll.IMDP("STK",표.실시간4[[#This Row],[nxt_code]],"세션명")</f>
        <v>0</v>
      </c>
      <c r="S302">
        <f>_xll.IMDP("STK",표.실시간4[[#This Row],[nxt_code]],"체결시간")</f>
        <v>0</v>
      </c>
      <c r="T302" s="4">
        <f>_xll.IMDP("STK","388210","현재가")</f>
        <v>104400</v>
      </c>
      <c r="U302">
        <f>_xll.IMDP("STK","388210","누적거래량")</f>
        <v>3903</v>
      </c>
    </row>
    <row r="303" spans="3:21" x14ac:dyDescent="0.3">
      <c r="C303">
        <v>298</v>
      </c>
      <c r="D303">
        <v>3300</v>
      </c>
      <c r="E303" t="s">
        <v>501</v>
      </c>
      <c r="F303" t="str">
        <f>ConvertStockCode(표.실시간4[[#This Row],[코드]])</f>
        <v>N003300</v>
      </c>
      <c r="G303" s="4">
        <f>_xll.IMDP("STK",표.실시간4[[#This Row],[nxt_code]],"현재가")</f>
        <v>15600</v>
      </c>
      <c r="H303" s="4">
        <f>_xll.IMDP("STK",표.실시간4[[#This Row],[nxt_code]],"시가총액")/10^12</f>
        <v>0.48099299039999999</v>
      </c>
      <c r="I303" s="4">
        <f>표.실시간4[[#This Row],[시가총액 (조원)]]/표.실시간4[[#This Row],[현재가]]*(표.실시간4[[#This Row],[현재가]]-표.실시간4[[#This Row],[대비]])</f>
        <v>0.47636805779999997</v>
      </c>
      <c r="J303" s="5">
        <f>_xll.IMDP("STK",표.실시간4[[#This Row],[nxt_code]],"전일대비")</f>
        <v>150</v>
      </c>
      <c r="K303">
        <f>_xll.IMDP("STK",표.실시간4[[#This Row],[nxt_code]],"등락률")</f>
        <v>0.97</v>
      </c>
      <c r="L303" s="4">
        <f>_xll.IMDP("STK",표.실시간4[[#This Row],[nxt_code]],"누적거래량")</f>
        <v>20</v>
      </c>
      <c r="M303" s="4">
        <f>_xll.IMDP("STK",표.실시간4[[#This Row],[nxt_code]],"누적거래대금")</f>
        <v>312000</v>
      </c>
      <c r="N303" s="4">
        <f>_xll.IMDP("STK",표.실시간4[[#This Row],[nxt_code]],"가중평균가")</f>
        <v>15600</v>
      </c>
      <c r="O303" s="4">
        <f>_xll.IMDP("STK",표.실시간4[[#This Row],[nxt_code]],"시가")</f>
        <v>15600</v>
      </c>
      <c r="P303" s="4">
        <f>_xll.IMDP("STK",표.실시간4[[#This Row],[nxt_code]],"고가")</f>
        <v>15600</v>
      </c>
      <c r="Q303" s="4">
        <f>_xll.IMDP("STK",표.실시간4[[#This Row],[nxt_code]],"저가")</f>
        <v>15600</v>
      </c>
      <c r="R303">
        <f>_xll.IMDP("STK",표.실시간4[[#This Row],[nxt_code]],"세션명")</f>
        <v>0</v>
      </c>
      <c r="S303">
        <f>_xll.IMDP("STK",표.실시간4[[#This Row],[nxt_code]],"체결시간")</f>
        <v>0</v>
      </c>
      <c r="T303" s="4">
        <f>_xll.IMDP("STK","183300","현재가")</f>
        <v>97100</v>
      </c>
      <c r="U303">
        <f>_xll.IMDP("STK","183300","누적거래량")</f>
        <v>2295</v>
      </c>
    </row>
    <row r="304" spans="3:21" x14ac:dyDescent="0.3">
      <c r="C304">
        <v>299</v>
      </c>
      <c r="D304">
        <v>34310</v>
      </c>
      <c r="E304" t="s">
        <v>500</v>
      </c>
      <c r="F304" t="str">
        <f>ConvertStockCode(표.실시간4[[#This Row],[코드]])</f>
        <v>N034310</v>
      </c>
      <c r="G304" s="4">
        <f>_xll.IMDP("STK",표.실시간4[[#This Row],[nxt_code]],"현재가")</f>
        <v>13070</v>
      </c>
      <c r="H304" s="4">
        <f>_xll.IMDP("STK",표.실시간4[[#This Row],[nxt_code]],"시가총액")/10^12</f>
        <v>0.48041604198999999</v>
      </c>
      <c r="I304" s="4">
        <f>표.실시간4[[#This Row],[시가총액 (조원)]]/표.실시간4[[#This Row],[현재가]]*(표.실시간4[[#This Row],[현재가]]-표.실시간4[[#This Row],[대비]])</f>
        <v>0.48004847041999998</v>
      </c>
      <c r="J304" s="5">
        <f>_xll.IMDP("STK",표.실시간4[[#This Row],[nxt_code]],"전일대비")</f>
        <v>10</v>
      </c>
      <c r="K304">
        <f>_xll.IMDP("STK",표.실시간4[[#This Row],[nxt_code]],"등락률")</f>
        <v>0.08</v>
      </c>
      <c r="L304" s="4">
        <f>_xll.IMDP("STK",표.실시간4[[#This Row],[nxt_code]],"누적거래량")</f>
        <v>3092</v>
      </c>
      <c r="M304" s="4">
        <f>_xll.IMDP("STK",표.실시간4[[#This Row],[nxt_code]],"누적거래대금")</f>
        <v>40489280</v>
      </c>
      <c r="N304" s="4">
        <f>_xll.IMDP("STK",표.실시간4[[#This Row],[nxt_code]],"가중평균가")</f>
        <v>13094.851229</v>
      </c>
      <c r="O304" s="4">
        <f>_xll.IMDP("STK",표.실시간4[[#This Row],[nxt_code]],"시가")</f>
        <v>16970</v>
      </c>
      <c r="P304" s="4">
        <f>_xll.IMDP("STK",표.실시간4[[#This Row],[nxt_code]],"고가")</f>
        <v>16970</v>
      </c>
      <c r="Q304" s="4">
        <f>_xll.IMDP("STK",표.실시간4[[#This Row],[nxt_code]],"저가")</f>
        <v>13050</v>
      </c>
      <c r="R304">
        <f>_xll.IMDP("STK",표.실시간4[[#This Row],[nxt_code]],"세션명")</f>
        <v>0</v>
      </c>
      <c r="S304">
        <f>_xll.IMDP("STK",표.실시간4[[#This Row],[nxt_code]],"체결시간")</f>
        <v>0</v>
      </c>
      <c r="T304" s="4">
        <f>_xll.IMDP("STK","080220","현재가")</f>
        <v>29700</v>
      </c>
      <c r="U304">
        <f>_xll.IMDP("STK","080220","누적거래량")</f>
        <v>35023</v>
      </c>
    </row>
    <row r="305" spans="3:21" x14ac:dyDescent="0.3">
      <c r="C305">
        <v>300</v>
      </c>
      <c r="D305">
        <v>145990</v>
      </c>
      <c r="E305" t="s">
        <v>504</v>
      </c>
      <c r="F305" t="str">
        <f>ConvertStockCode(표.실시간4[[#This Row],[코드]])</f>
        <v>N145990</v>
      </c>
      <c r="G305" s="4">
        <f>_xll.IMDP("STK",표.실시간4[[#This Row],[nxt_code]],"현재가")</f>
        <v>46600</v>
      </c>
      <c r="H305" s="4">
        <f>_xll.IMDP("STK",표.실시간4[[#This Row],[nxt_code]],"시가총액")/10^12</f>
        <v>0.48060672339999999</v>
      </c>
      <c r="I305" s="4">
        <f>표.실시간4[[#This Row],[시가총액 (조원)]]/표.실시간4[[#This Row],[현재가]]*(표.실시간4[[#This Row],[현재가]]-표.실시간4[[#This Row],[대비]])</f>
        <v>0.47699701624999996</v>
      </c>
      <c r="J305" s="5">
        <f>_xll.IMDP("STK",표.실시간4[[#This Row],[nxt_code]],"전일대비")</f>
        <v>350</v>
      </c>
      <c r="K305">
        <f>_xll.IMDP("STK",표.실시간4[[#This Row],[nxt_code]],"등락률")</f>
        <v>0.76</v>
      </c>
      <c r="L305" s="4">
        <f>_xll.IMDP("STK",표.실시간4[[#This Row],[nxt_code]],"누적거래량")</f>
        <v>219</v>
      </c>
      <c r="M305" s="4">
        <f>_xll.IMDP("STK",표.실시간4[[#This Row],[nxt_code]],"누적거래대금")</f>
        <v>10230800</v>
      </c>
      <c r="N305" s="4">
        <f>_xll.IMDP("STK",표.실시간4[[#This Row],[nxt_code]],"가중평균가")</f>
        <v>46715.981735000001</v>
      </c>
      <c r="O305" s="4">
        <f>_xll.IMDP("STK",표.실시간4[[#This Row],[nxt_code]],"시가")</f>
        <v>46200</v>
      </c>
      <c r="P305" s="4">
        <f>_xll.IMDP("STK",표.실시간4[[#This Row],[nxt_code]],"고가")</f>
        <v>46800</v>
      </c>
      <c r="Q305" s="4">
        <f>_xll.IMDP("STK",표.실시간4[[#This Row],[nxt_code]],"저가")</f>
        <v>46200</v>
      </c>
      <c r="R305">
        <f>_xll.IMDP("STK",표.실시간4[[#This Row],[nxt_code]],"세션명")</f>
        <v>0</v>
      </c>
      <c r="S305">
        <f>_xll.IMDP("STK",표.실시간4[[#This Row],[nxt_code]],"체결시간")</f>
        <v>0</v>
      </c>
      <c r="T305" s="4">
        <f>_xll.IMDP("STK","295310","현재가")</f>
        <v>87400</v>
      </c>
      <c r="U305">
        <f>_xll.IMDP("STK","295310","누적거래량")</f>
        <v>14105</v>
      </c>
    </row>
    <row r="306" spans="3:21" x14ac:dyDescent="0.3">
      <c r="C306">
        <v>301</v>
      </c>
      <c r="D306">
        <v>4700</v>
      </c>
      <c r="E306" t="s">
        <v>509</v>
      </c>
      <c r="F306" t="str">
        <f>ConvertStockCode(표.실시간4[[#This Row],[코드]])</f>
        <v>N004700</v>
      </c>
      <c r="G306" s="4">
        <f>_xll.IMDP("STK",표.실시간4[[#This Row],[nxt_code]],"현재가")</f>
        <v>73800</v>
      </c>
      <c r="H306" s="4">
        <f>_xll.IMDP("STK",표.실시간4[[#This Row],[nxt_code]],"시가총액")/10^12</f>
        <v>0.49070638439999997</v>
      </c>
      <c r="I306" s="4">
        <f>표.실시간4[[#This Row],[시가총액 (조원)]]/표.실시간4[[#This Row],[현재가]]*(표.실시간4[[#This Row],[현재가]]-표.실시간4[[#This Row],[대비]])</f>
        <v>0.47408353939999998</v>
      </c>
      <c r="J306" s="5">
        <f>_xll.IMDP("STK",표.실시간4[[#This Row],[nxt_code]],"전일대비")</f>
        <v>2500</v>
      </c>
      <c r="K306">
        <f>_xll.IMDP("STK",표.실시간4[[#This Row],[nxt_code]],"등락률")</f>
        <v>6.03</v>
      </c>
      <c r="L306" s="4">
        <f>_xll.IMDP("STK",표.실시간4[[#This Row],[nxt_code]],"누적거래량")</f>
        <v>2615</v>
      </c>
      <c r="M306" s="4">
        <f>_xll.IMDP("STK",표.실시간4[[#This Row],[nxt_code]],"누적거래대금")</f>
        <v>189663100</v>
      </c>
      <c r="N306" s="4">
        <f>_xll.IMDP("STK",표.실시간4[[#This Row],[nxt_code]],"가중평균가")</f>
        <v>72528.910134000005</v>
      </c>
      <c r="O306" s="4">
        <f>_xll.IMDP("STK",표.실시간4[[#This Row],[nxt_code]],"시가")</f>
        <v>70000</v>
      </c>
      <c r="P306" s="4">
        <f>_xll.IMDP("STK",표.실시간4[[#This Row],[nxt_code]],"고가")</f>
        <v>73500</v>
      </c>
      <c r="Q306" s="4">
        <f>_xll.IMDP("STK",표.실시간4[[#This Row],[nxt_code]],"저가")</f>
        <v>70000</v>
      </c>
      <c r="R306">
        <f>_xll.IMDP("STK",표.실시간4[[#This Row],[nxt_code]],"세션명")</f>
        <v>0</v>
      </c>
      <c r="S306">
        <f>_xll.IMDP("STK",표.실시간4[[#This Row],[nxt_code]],"체결시간")</f>
        <v>0</v>
      </c>
      <c r="T306" s="4">
        <f>_xll.IMDP("STK","006650","현재가")</f>
        <v>160200</v>
      </c>
      <c r="U306">
        <f>_xll.IMDP("STK","006650","누적거래량")</f>
        <v>1746</v>
      </c>
    </row>
    <row r="307" spans="3:21" x14ac:dyDescent="0.3">
      <c r="C307">
        <v>302</v>
      </c>
      <c r="D307">
        <v>178920</v>
      </c>
      <c r="E307" t="s">
        <v>513</v>
      </c>
      <c r="F307" t="str">
        <f>ConvertStockCode(표.실시간4[[#This Row],[코드]])</f>
        <v>N178920</v>
      </c>
      <c r="G307" s="4">
        <f>_xll.IMDP("STK",표.실시간4[[#This Row],[nxt_code]],"현재가")</f>
        <v>16250</v>
      </c>
      <c r="H307" s="4">
        <f>_xll.IMDP("STK",표.실시간4[[#This Row],[nxt_code]],"시가총액")/10^12</f>
        <v>0.4772027325</v>
      </c>
      <c r="I307" s="4">
        <f>표.실시간4[[#This Row],[시가총액 (조원)]]/표.실시간4[[#This Row],[현재가]]*(표.실시간4[[#This Row],[현재가]]-표.실시간4[[#This Row],[대비]])</f>
        <v>0.47250412098</v>
      </c>
      <c r="J307" s="5">
        <f>_xll.IMDP("STK",표.실시간4[[#This Row],[nxt_code]],"전일대비")</f>
        <v>160</v>
      </c>
      <c r="K307">
        <f>_xll.IMDP("STK",표.실시간4[[#This Row],[nxt_code]],"등락률")</f>
        <v>0.99</v>
      </c>
      <c r="L307" s="4">
        <f>_xll.IMDP("STK",표.실시간4[[#This Row],[nxt_code]],"누적거래량")</f>
        <v>13863</v>
      </c>
      <c r="M307" s="4">
        <f>_xll.IMDP("STK",표.실시간4[[#This Row],[nxt_code]],"누적거래대금")</f>
        <v>225697270</v>
      </c>
      <c r="N307" s="4">
        <f>_xll.IMDP("STK",표.실시간4[[#This Row],[nxt_code]],"가중평균가")</f>
        <v>16280.550386000001</v>
      </c>
      <c r="O307" s="4">
        <f>_xll.IMDP("STK",표.실시간4[[#This Row],[nxt_code]],"시가")</f>
        <v>16200</v>
      </c>
      <c r="P307" s="4">
        <f>_xll.IMDP("STK",표.실시간4[[#This Row],[nxt_code]],"고가")</f>
        <v>16820</v>
      </c>
      <c r="Q307" s="4">
        <f>_xll.IMDP("STK",표.실시간4[[#This Row],[nxt_code]],"저가")</f>
        <v>16080</v>
      </c>
      <c r="R307">
        <f>_xll.IMDP("STK",표.실시간4[[#This Row],[nxt_code]],"세션명")</f>
        <v>0</v>
      </c>
      <c r="S307">
        <f>_xll.IMDP("STK",표.실시간4[[#This Row],[nxt_code]],"체결시간")</f>
        <v>0</v>
      </c>
      <c r="T307" s="4">
        <f>_xll.IMDP("STK","280360","현재가")</f>
        <v>112500</v>
      </c>
      <c r="U307">
        <f>_xll.IMDP("STK","280360","누적거래량")</f>
        <v>150</v>
      </c>
    </row>
    <row r="308" spans="3:21" x14ac:dyDescent="0.3">
      <c r="C308">
        <v>303</v>
      </c>
      <c r="D308">
        <v>161000</v>
      </c>
      <c r="E308" t="s">
        <v>533</v>
      </c>
      <c r="F308" t="str">
        <f>ConvertStockCode(표.실시간4[[#This Row],[코드]])</f>
        <v>N161000</v>
      </c>
      <c r="G308" s="4">
        <f>_xll.IMDP("STK",표.실시간4[[#This Row],[nxt_code]],"현재가")</f>
        <v>9470</v>
      </c>
      <c r="H308" s="4">
        <f>_xll.IMDP("STK",표.실시간4[[#This Row],[nxt_code]],"시가총액")/10^12</f>
        <v>0.46070327423000001</v>
      </c>
      <c r="I308" s="4">
        <f>표.실시간4[[#This Row],[시가총액 (조원)]]/표.실시간4[[#This Row],[현재가]]*(표.실시간4[[#This Row],[현재가]]-표.실시간4[[#This Row],[대비]])</f>
        <v>0.46848706766999998</v>
      </c>
      <c r="J308" s="5">
        <f>_xll.IMDP("STK",표.실시간4[[#This Row],[nxt_code]],"전일대비")</f>
        <v>-160</v>
      </c>
      <c r="K308">
        <f>_xll.IMDP("STK",표.실시간4[[#This Row],[nxt_code]],"등락률")</f>
        <v>-1.66</v>
      </c>
      <c r="L308" s="4">
        <f>_xll.IMDP("STK",표.실시간4[[#This Row],[nxt_code]],"누적거래량")</f>
        <v>189744</v>
      </c>
      <c r="M308" s="4">
        <f>_xll.IMDP("STK",표.실시간4[[#This Row],[nxt_code]],"누적거래대금")</f>
        <v>1830158190</v>
      </c>
      <c r="N308" s="4">
        <f>_xll.IMDP("STK",표.실시간4[[#This Row],[nxt_code]],"가중평균가")</f>
        <v>9645.4074440000004</v>
      </c>
      <c r="O308" s="4">
        <f>_xll.IMDP("STK",표.실시간4[[#This Row],[nxt_code]],"시가")</f>
        <v>9660</v>
      </c>
      <c r="P308" s="4">
        <f>_xll.IMDP("STK",표.실시간4[[#This Row],[nxt_code]],"고가")</f>
        <v>9860</v>
      </c>
      <c r="Q308" s="4">
        <f>_xll.IMDP("STK",표.실시간4[[#This Row],[nxt_code]],"저가")</f>
        <v>9470</v>
      </c>
      <c r="R308">
        <f>_xll.IMDP("STK",표.실시간4[[#This Row],[nxt_code]],"세션명")</f>
        <v>0</v>
      </c>
      <c r="S308">
        <f>_xll.IMDP("STK",표.실시간4[[#This Row],[nxt_code]],"체결시간")</f>
        <v>0</v>
      </c>
      <c r="T308" s="4">
        <f>_xll.IMDP("STK","131970","현재가")</f>
        <v>53000</v>
      </c>
      <c r="U308">
        <f>_xll.IMDP("STK","131970","누적거래량")</f>
        <v>16701</v>
      </c>
    </row>
    <row r="309" spans="3:21" x14ac:dyDescent="0.3">
      <c r="C309">
        <v>304</v>
      </c>
      <c r="D309">
        <v>29530</v>
      </c>
      <c r="E309" t="s">
        <v>511</v>
      </c>
      <c r="F309" t="str">
        <f>ConvertStockCode(표.실시간4[[#This Row],[코드]])</f>
        <v>N029530</v>
      </c>
      <c r="G309" s="4">
        <f>_xll.IMDP("STK",표.실시간4[[#This Row],[nxt_code]],"현재가")</f>
        <v>46250</v>
      </c>
      <c r="H309" s="4">
        <f>_xll.IMDP("STK",표.실시간4[[#This Row],[nxt_code]],"시가총액")/10^12</f>
        <v>0.46620134125000001</v>
      </c>
      <c r="I309" s="4">
        <f>표.실시간4[[#This Row],[시가총액 (조원)]]/표.실시간4[[#This Row],[현재가]]*(표.실시간4[[#This Row],[현재가]]-표.실시간4[[#This Row],[대비]])</f>
        <v>0.46368133400000006</v>
      </c>
      <c r="J309" s="5">
        <f>_xll.IMDP("STK",표.실시간4[[#This Row],[nxt_code]],"전일대비")</f>
        <v>250</v>
      </c>
      <c r="K309">
        <f>_xll.IMDP("STK",표.실시간4[[#This Row],[nxt_code]],"등락률")</f>
        <v>0.54</v>
      </c>
      <c r="L309" s="4">
        <f>_xll.IMDP("STK",표.실시간4[[#This Row],[nxt_code]],"누적거래량")</f>
        <v>130</v>
      </c>
      <c r="M309" s="4">
        <f>_xll.IMDP("STK",표.실시간4[[#This Row],[nxt_code]],"누적거래대금")</f>
        <v>6014500</v>
      </c>
      <c r="N309" s="4">
        <f>_xll.IMDP("STK",표.실시간4[[#This Row],[nxt_code]],"가중평균가")</f>
        <v>46265.384615000003</v>
      </c>
      <c r="O309" s="4">
        <f>_xll.IMDP("STK",표.실시간4[[#This Row],[nxt_code]],"시가")</f>
        <v>46300</v>
      </c>
      <c r="P309" s="4">
        <f>_xll.IMDP("STK",표.실시간4[[#This Row],[nxt_code]],"고가")</f>
        <v>46300</v>
      </c>
      <c r="Q309" s="4">
        <f>_xll.IMDP("STK",표.실시간4[[#This Row],[nxt_code]],"저가")</f>
        <v>46250</v>
      </c>
      <c r="R309">
        <f>_xll.IMDP("STK",표.실시간4[[#This Row],[nxt_code]],"세션명")</f>
        <v>0</v>
      </c>
      <c r="S309">
        <f>_xll.IMDP("STK",표.실시간4[[#This Row],[nxt_code]],"체결시간")</f>
        <v>0</v>
      </c>
      <c r="T309" s="4">
        <f>_xll.IMDP("STK","012630","현재가")</f>
        <v>17190</v>
      </c>
      <c r="U309">
        <f>_xll.IMDP("STK","012630","누적거래량")</f>
        <v>7650</v>
      </c>
    </row>
    <row r="310" spans="3:21" x14ac:dyDescent="0.3">
      <c r="C310">
        <v>305</v>
      </c>
      <c r="D310">
        <v>170900</v>
      </c>
      <c r="E310" t="s">
        <v>508</v>
      </c>
      <c r="F310" t="str">
        <f>ConvertStockCode(표.실시간4[[#This Row],[코드]])</f>
        <v>N170900</v>
      </c>
      <c r="G310" s="4">
        <f>_xll.IMDP("STK",표.실시간4[[#This Row],[nxt_code]],"현재가")</f>
        <v>50200</v>
      </c>
      <c r="H310" s="4">
        <f>_xll.IMDP("STK",표.실시간4[[#This Row],[nxt_code]],"시가총액")/10^12</f>
        <v>0.46950308019999998</v>
      </c>
      <c r="I310" s="4">
        <f>표.실시간4[[#This Row],[시가총액 (조원)]]/표.실시간4[[#This Row],[현재가]]*(표.실시간4[[#This Row],[현재가]]-표.실시간4[[#This Row],[대비]])</f>
        <v>0.46950308020000003</v>
      </c>
      <c r="J310" s="5">
        <f>_xll.IMDP("STK",표.실시간4[[#This Row],[nxt_code]],"전일대비")</f>
        <v>0</v>
      </c>
      <c r="K310">
        <f>_xll.IMDP("STK",표.실시간4[[#This Row],[nxt_code]],"등락률")</f>
        <v>0</v>
      </c>
      <c r="L310" s="4">
        <f>_xll.IMDP("STK",표.실시간4[[#This Row],[nxt_code]],"누적거래량")</f>
        <v>983</v>
      </c>
      <c r="M310" s="4">
        <f>_xll.IMDP("STK",표.실시간4[[#This Row],[nxt_code]],"누적거래대금")</f>
        <v>49435000</v>
      </c>
      <c r="N310" s="4">
        <f>_xll.IMDP("STK",표.실시간4[[#This Row],[nxt_code]],"가중평균가")</f>
        <v>50289.928788999998</v>
      </c>
      <c r="O310" s="4">
        <f>_xll.IMDP("STK",표.실시간4[[#This Row],[nxt_code]],"시가")</f>
        <v>50200</v>
      </c>
      <c r="P310" s="4">
        <f>_xll.IMDP("STK",표.실시간4[[#This Row],[nxt_code]],"고가")</f>
        <v>50400</v>
      </c>
      <c r="Q310" s="4">
        <f>_xll.IMDP("STK",표.실시간4[[#This Row],[nxt_code]],"저가")</f>
        <v>50200</v>
      </c>
      <c r="R310">
        <f>_xll.IMDP("STK",표.실시간4[[#This Row],[nxt_code]],"세션명")</f>
        <v>0</v>
      </c>
      <c r="S310">
        <f>_xll.IMDP("STK",표.실시간4[[#This Row],[nxt_code]],"체결시간")</f>
        <v>0</v>
      </c>
      <c r="T310" s="4">
        <f>_xll.IMDP("STK","376900","현재가")</f>
        <v>63100</v>
      </c>
      <c r="U310">
        <f>_xll.IMDP("STK","376900","누적거래량")</f>
        <v>9341</v>
      </c>
    </row>
    <row r="311" spans="3:21" x14ac:dyDescent="0.3">
      <c r="C311">
        <v>306</v>
      </c>
      <c r="D311">
        <v>70</v>
      </c>
      <c r="E311" t="s">
        <v>514</v>
      </c>
      <c r="F311" t="str">
        <f>ConvertStockCode(표.실시간4[[#This Row],[코드]])</f>
        <v>N000070</v>
      </c>
      <c r="G311" s="4">
        <f>_xll.IMDP("STK",표.실시간4[[#This Row],[nxt_code]],"현재가")</f>
        <v>59000</v>
      </c>
      <c r="H311" s="4">
        <f>_xll.IMDP("STK",표.실시간4[[#This Row],[nxt_code]],"시가총액")/10^12</f>
        <v>0.45802826899999999</v>
      </c>
      <c r="I311" s="4">
        <f>표.실시간4[[#This Row],[시가총액 (조원)]]/표.실시간4[[#This Row],[현재가]]*(표.실시간4[[#This Row],[현재가]]-표.실시간4[[#This Row],[대비]])</f>
        <v>0.45492299259999996</v>
      </c>
      <c r="J311" s="5">
        <f>_xll.IMDP("STK",표.실시간4[[#This Row],[nxt_code]],"전일대비")</f>
        <v>400</v>
      </c>
      <c r="K311">
        <f>_xll.IMDP("STK",표.실시간4[[#This Row],[nxt_code]],"등락률")</f>
        <v>0.68</v>
      </c>
      <c r="L311" s="4">
        <f>_xll.IMDP("STK",표.실시간4[[#This Row],[nxt_code]],"누적거래량")</f>
        <v>2630</v>
      </c>
      <c r="M311" s="4">
        <f>_xll.IMDP("STK",표.실시간4[[#This Row],[nxt_code]],"누적거래대금")</f>
        <v>155647700</v>
      </c>
      <c r="N311" s="4">
        <f>_xll.IMDP("STK",표.실시간4[[#This Row],[nxt_code]],"가중평균가")</f>
        <v>59181.634981000003</v>
      </c>
      <c r="O311" s="4">
        <f>_xll.IMDP("STK",표.실시간4[[#This Row],[nxt_code]],"시가")</f>
        <v>60000</v>
      </c>
      <c r="P311" s="4">
        <f>_xll.IMDP("STK",표.실시간4[[#This Row],[nxt_code]],"고가")</f>
        <v>60000</v>
      </c>
      <c r="Q311" s="4">
        <f>_xll.IMDP("STK",표.실시간4[[#This Row],[nxt_code]],"저가")</f>
        <v>58800</v>
      </c>
      <c r="R311">
        <f>_xll.IMDP("STK",표.실시간4[[#This Row],[nxt_code]],"세션명")</f>
        <v>0</v>
      </c>
      <c r="S311">
        <f>_xll.IMDP("STK",표.실시간4[[#This Row],[nxt_code]],"체결시간")</f>
        <v>0</v>
      </c>
      <c r="T311" s="4">
        <f>_xll.IMDP("STK","161580","현재가")</f>
        <v>44800</v>
      </c>
      <c r="U311">
        <f>_xll.IMDP("STK","161580","누적거래량")</f>
        <v>45294</v>
      </c>
    </row>
    <row r="312" spans="3:21" x14ac:dyDescent="0.3">
      <c r="C312">
        <v>307</v>
      </c>
      <c r="D312">
        <v>60980</v>
      </c>
      <c r="E312" t="s">
        <v>517</v>
      </c>
      <c r="F312" t="str">
        <f>ConvertStockCode(표.실시간4[[#This Row],[코드]])</f>
        <v>N060980</v>
      </c>
      <c r="G312" s="4">
        <f>_xll.IMDP("STK",표.실시간4[[#This Row],[nxt_code]],"현재가")</f>
        <v>46150</v>
      </c>
      <c r="H312" s="4">
        <f>_xll.IMDP("STK",표.실시간4[[#This Row],[nxt_code]],"시가총액")/10^12</f>
        <v>0.42520196355000001</v>
      </c>
      <c r="I312" s="4">
        <f>표.실시간4[[#This Row],[시가총액 (조원)]]/표.실시간4[[#This Row],[현재가]]*(표.실시간4[[#This Row],[현재가]]-표.실시간4[[#This Row],[대비]])</f>
        <v>0.42658398509999995</v>
      </c>
      <c r="J312" s="5">
        <f>_xll.IMDP("STK",표.실시간4[[#This Row],[nxt_code]],"전일대비")</f>
        <v>-150</v>
      </c>
      <c r="K312">
        <f>_xll.IMDP("STK",표.실시간4[[#This Row],[nxt_code]],"등락률")</f>
        <v>-0.32</v>
      </c>
      <c r="L312" s="4">
        <f>_xll.IMDP("STK",표.실시간4[[#This Row],[nxt_code]],"누적거래량")</f>
        <v>3028</v>
      </c>
      <c r="M312" s="4">
        <f>_xll.IMDP("STK",표.실시간4[[#This Row],[nxt_code]],"누적거래대금")</f>
        <v>140345450</v>
      </c>
      <c r="N312" s="4">
        <f>_xll.IMDP("STK",표.실시간4[[#This Row],[nxt_code]],"가중평균가")</f>
        <v>46349.223910000001</v>
      </c>
      <c r="O312" s="4">
        <f>_xll.IMDP("STK",표.실시간4[[#This Row],[nxt_code]],"시가")</f>
        <v>46450</v>
      </c>
      <c r="P312" s="4">
        <f>_xll.IMDP("STK",표.실시간4[[#This Row],[nxt_code]],"고가")</f>
        <v>47350</v>
      </c>
      <c r="Q312" s="4">
        <f>_xll.IMDP("STK",표.실시간4[[#This Row],[nxt_code]],"저가")</f>
        <v>46000</v>
      </c>
      <c r="R312">
        <f>_xll.IMDP("STK",표.실시간4[[#This Row],[nxt_code]],"세션명")</f>
        <v>0</v>
      </c>
      <c r="S312">
        <f>_xll.IMDP("STK",표.실시간4[[#This Row],[nxt_code]],"체결시간")</f>
        <v>0</v>
      </c>
      <c r="T312" s="4">
        <f>_xll.IMDP("STK","137310","현재가")</f>
        <v>8250</v>
      </c>
      <c r="U312">
        <f>_xll.IMDP("STK","137310","누적거래량")</f>
        <v>4130</v>
      </c>
    </row>
    <row r="313" spans="3:21" x14ac:dyDescent="0.3">
      <c r="C313">
        <v>308</v>
      </c>
      <c r="D313">
        <v>5610</v>
      </c>
      <c r="E313" t="s">
        <v>523</v>
      </c>
      <c r="F313" t="str">
        <f>ConvertStockCode(표.실시간4[[#This Row],[코드]])</f>
        <v>N005610</v>
      </c>
      <c r="G313" s="4">
        <f>_xll.IMDP("STK",표.실시간4[[#This Row],[nxt_code]],"현재가")</f>
        <v>50300</v>
      </c>
      <c r="H313" s="4">
        <f>_xll.IMDP("STK",표.실시간4[[#This Row],[nxt_code]],"시가총액")/10^12</f>
        <v>0.43403915269999999</v>
      </c>
      <c r="I313" s="4">
        <f>표.실시간4[[#This Row],[시가총액 (조원)]]/표.실시간4[[#This Row],[현재가]]*(표.실시간4[[#This Row],[현재가]]-표.실시간4[[#This Row],[대비]])</f>
        <v>0.43490205359999995</v>
      </c>
      <c r="J313" s="5">
        <f>_xll.IMDP("STK",표.실시간4[[#This Row],[nxt_code]],"전일대비")</f>
        <v>-100</v>
      </c>
      <c r="K313">
        <f>_xll.IMDP("STK",표.실시간4[[#This Row],[nxt_code]],"등락률")</f>
        <v>-0.2</v>
      </c>
      <c r="L313" s="4">
        <f>_xll.IMDP("STK",표.실시간4[[#This Row],[nxt_code]],"누적거래량")</f>
        <v>88</v>
      </c>
      <c r="M313" s="4">
        <f>_xll.IMDP("STK",표.실시간4[[#This Row],[nxt_code]],"누적거래대금")</f>
        <v>4429000</v>
      </c>
      <c r="N313" s="4">
        <f>_xll.IMDP("STK",표.실시간4[[#This Row],[nxt_code]],"가중평균가")</f>
        <v>50329.545454999999</v>
      </c>
      <c r="O313" s="4">
        <f>_xll.IMDP("STK",표.실시간4[[#This Row],[nxt_code]],"시가")</f>
        <v>50400</v>
      </c>
      <c r="P313" s="4">
        <f>_xll.IMDP("STK",표.실시간4[[#This Row],[nxt_code]],"고가")</f>
        <v>50500</v>
      </c>
      <c r="Q313" s="4">
        <f>_xll.IMDP("STK",표.실시간4[[#This Row],[nxt_code]],"저가")</f>
        <v>50300</v>
      </c>
      <c r="R313">
        <f>_xll.IMDP("STK",표.실시간4[[#This Row],[nxt_code]],"세션명")</f>
        <v>0</v>
      </c>
      <c r="S313">
        <f>_xll.IMDP("STK",표.실시간4[[#This Row],[nxt_code]],"체결시간")</f>
        <v>0</v>
      </c>
      <c r="T313" s="4">
        <f>_xll.IMDP("STK","082270","현재가")</f>
        <v>23050</v>
      </c>
      <c r="U313">
        <f>_xll.IMDP("STK","082270","누적거래량")</f>
        <v>4461</v>
      </c>
    </row>
    <row r="314" spans="3:21" x14ac:dyDescent="0.3">
      <c r="C314">
        <v>309</v>
      </c>
      <c r="D314">
        <v>183190</v>
      </c>
      <c r="E314" t="s">
        <v>525</v>
      </c>
      <c r="F314" t="str">
        <f>ConvertStockCode(표.실시간4[[#This Row],[코드]])</f>
        <v>N183190</v>
      </c>
      <c r="G314" s="4">
        <f>_xll.IMDP("STK",표.실시간4[[#This Row],[nxt_code]],"현재가")</f>
        <v>11810</v>
      </c>
      <c r="H314" s="4">
        <f>_xll.IMDP("STK",표.실시간4[[#This Row],[nxt_code]],"시가총액")/10^12</f>
        <v>0.43611564098</v>
      </c>
      <c r="I314" s="4">
        <f>표.실시간4[[#This Row],[시가총액 (조원)]]/표.실시간4[[#This Row],[현재가]]*(표.실시간4[[#This Row],[현재가]]-표.실시간4[[#This Row],[대비]])</f>
        <v>0.43279215176000002</v>
      </c>
      <c r="J314" s="5">
        <f>_xll.IMDP("STK",표.실시간4[[#This Row],[nxt_code]],"전일대비")</f>
        <v>90</v>
      </c>
      <c r="K314">
        <f>_xll.IMDP("STK",표.실시간4[[#This Row],[nxt_code]],"등락률")</f>
        <v>0.77</v>
      </c>
      <c r="L314" s="4">
        <f>_xll.IMDP("STK",표.실시간4[[#This Row],[nxt_code]],"누적거래량")</f>
        <v>304</v>
      </c>
      <c r="M314" s="4">
        <f>_xll.IMDP("STK",표.실시간4[[#This Row],[nxt_code]],"누적거래대금")</f>
        <v>3571110</v>
      </c>
      <c r="N314" s="4">
        <f>_xll.IMDP("STK",표.실시간4[[#This Row],[nxt_code]],"가중평균가")</f>
        <v>11747.072367999999</v>
      </c>
      <c r="O314" s="4">
        <f>_xll.IMDP("STK",표.실시간4[[#This Row],[nxt_code]],"시가")</f>
        <v>11760</v>
      </c>
      <c r="P314" s="4">
        <f>_xll.IMDP("STK",표.실시간4[[#This Row],[nxt_code]],"고가")</f>
        <v>11810</v>
      </c>
      <c r="Q314" s="4">
        <f>_xll.IMDP("STK",표.실시간4[[#This Row],[nxt_code]],"저가")</f>
        <v>11720</v>
      </c>
      <c r="R314">
        <f>_xll.IMDP("STK",표.실시간4[[#This Row],[nxt_code]],"세션명")</f>
        <v>0</v>
      </c>
      <c r="S314">
        <f>_xll.IMDP("STK",표.실시간4[[#This Row],[nxt_code]],"체결시간")</f>
        <v>0</v>
      </c>
      <c r="T314" s="4">
        <f>_xll.IMDP("STK","030190","현재가")</f>
        <v>17030</v>
      </c>
      <c r="U314">
        <f>_xll.IMDP("STK","030190","누적거래량")</f>
        <v>276</v>
      </c>
    </row>
    <row r="315" spans="3:21" x14ac:dyDescent="0.3">
      <c r="C315">
        <v>310</v>
      </c>
      <c r="D315">
        <v>6220</v>
      </c>
      <c r="E315" t="s">
        <v>524</v>
      </c>
      <c r="F315" t="str">
        <f>ConvertStockCode(표.실시간4[[#This Row],[코드]])</f>
        <v>N006220</v>
      </c>
      <c r="G315" s="4">
        <f>_xll.IMDP("STK",표.실시간4[[#This Row],[nxt_code]],"현재가")</f>
        <v>11520</v>
      </c>
      <c r="H315" s="4">
        <f>_xll.IMDP("STK",표.실시간4[[#This Row],[nxt_code]],"시가총액")/10^12</f>
        <v>0.43543937663999999</v>
      </c>
      <c r="I315" s="4">
        <f>표.실시간4[[#This Row],[시가총액 (조원)]]/표.실시간4[[#This Row],[현재가]]*(표.실시간4[[#This Row],[현재가]]-표.실시간4[[#This Row],[대비]])</f>
        <v>0.43506139106999997</v>
      </c>
      <c r="J315" s="5">
        <f>_xll.IMDP("STK",표.실시간4[[#This Row],[nxt_code]],"전일대비")</f>
        <v>10</v>
      </c>
      <c r="K315">
        <f>_xll.IMDP("STK",표.실시간4[[#This Row],[nxt_code]],"등락률")</f>
        <v>0.35</v>
      </c>
      <c r="L315" s="4">
        <f>_xll.IMDP("STK",표.실시간4[[#This Row],[nxt_code]],"누적거래량")</f>
        <v>9536</v>
      </c>
      <c r="M315" s="4">
        <f>_xll.IMDP("STK",표.실시간4[[#This Row],[nxt_code]],"누적거래대금")</f>
        <v>122762040</v>
      </c>
      <c r="N315" s="4">
        <f>_xll.IMDP("STK",표.실시간4[[#This Row],[nxt_code]],"가중평균가")</f>
        <v>11487.044072000001</v>
      </c>
      <c r="O315" s="4">
        <f>_xll.IMDP("STK",표.실시간4[[#This Row],[nxt_code]],"시가")</f>
        <v>11480</v>
      </c>
      <c r="P315" s="4">
        <f>_xll.IMDP("STK",표.실시간4[[#This Row],[nxt_code]],"고가")</f>
        <v>11590</v>
      </c>
      <c r="Q315" s="4">
        <f>_xll.IMDP("STK",표.실시간4[[#This Row],[nxt_code]],"저가")</f>
        <v>11450</v>
      </c>
      <c r="R315">
        <f>_xll.IMDP("STK",표.실시간4[[#This Row],[nxt_code]],"세션명")</f>
        <v>0</v>
      </c>
      <c r="S315">
        <f>_xll.IMDP("STK",표.실시간4[[#This Row],[nxt_code]],"체결시간")</f>
        <v>0</v>
      </c>
      <c r="T315" s="4">
        <f>_xll.IMDP("STK","486990","현재가")</f>
        <v>43800</v>
      </c>
      <c r="U315">
        <f>_xll.IMDP("STK","486990","누적거래량")</f>
        <v>12169</v>
      </c>
    </row>
    <row r="316" spans="3:21" x14ac:dyDescent="0.3">
      <c r="C316">
        <v>311</v>
      </c>
      <c r="D316">
        <v>344820</v>
      </c>
      <c r="E316" t="s">
        <v>528</v>
      </c>
      <c r="F316" t="str">
        <f>ConvertStockCode(표.실시간4[[#This Row],[코드]])</f>
        <v>N344820</v>
      </c>
      <c r="G316" s="4">
        <f>_xll.IMDP("STK",표.실시간4[[#This Row],[nxt_code]],"현재가")</f>
        <v>27100</v>
      </c>
      <c r="H316" s="4">
        <f>_xll.IMDP("STK",표.실시간4[[#This Row],[nxt_code]],"시가총액")/10^12</f>
        <v>0.43280087519999999</v>
      </c>
      <c r="I316" s="4">
        <f>표.실시간4[[#This Row],[시가총액 (조원)]]/표.실시간4[[#This Row],[현재가]]*(표.실시간4[[#This Row],[현재가]]-표.실시간4[[#This Row],[대비]])</f>
        <v>0.42800972159999995</v>
      </c>
      <c r="J316" s="5">
        <f>_xll.IMDP("STK",표.실시간4[[#This Row],[nxt_code]],"전일대비")</f>
        <v>300</v>
      </c>
      <c r="K316">
        <f>_xll.IMDP("STK",표.실시간4[[#This Row],[nxt_code]],"등락률")</f>
        <v>1.1200000000000001</v>
      </c>
      <c r="L316" s="4">
        <f>_xll.IMDP("STK",표.실시간4[[#This Row],[nxt_code]],"누적거래량")</f>
        <v>605</v>
      </c>
      <c r="M316" s="4">
        <f>_xll.IMDP("STK",표.실시간4[[#This Row],[nxt_code]],"누적거래대금")</f>
        <v>16398650</v>
      </c>
      <c r="N316" s="4">
        <f>_xll.IMDP("STK",표.실시간4[[#This Row],[nxt_code]],"가중평균가")</f>
        <v>27105.206612000002</v>
      </c>
      <c r="O316" s="4">
        <f>_xll.IMDP("STK",표.실시간4[[#This Row],[nxt_code]],"시가")</f>
        <v>26850</v>
      </c>
      <c r="P316" s="4">
        <f>_xll.IMDP("STK",표.실시간4[[#This Row],[nxt_code]],"고가")</f>
        <v>27150</v>
      </c>
      <c r="Q316" s="4">
        <f>_xll.IMDP("STK",표.실시간4[[#This Row],[nxt_code]],"저가")</f>
        <v>26850</v>
      </c>
      <c r="R316">
        <f>_xll.IMDP("STK",표.실시간4[[#This Row],[nxt_code]],"세션명")</f>
        <v>0</v>
      </c>
      <c r="S316">
        <f>_xll.IMDP("STK",표.실시간4[[#This Row],[nxt_code]],"체결시간")</f>
        <v>0</v>
      </c>
      <c r="T316" s="4">
        <f>_xll.IMDP("STK","181710","현재가")</f>
        <v>29950</v>
      </c>
      <c r="U316">
        <f>_xll.IMDP("STK","181710","누적거래량")</f>
        <v>802</v>
      </c>
    </row>
    <row r="317" spans="3:21" x14ac:dyDescent="0.3">
      <c r="C317">
        <v>312</v>
      </c>
      <c r="D317">
        <v>200880</v>
      </c>
      <c r="E317" t="s">
        <v>515</v>
      </c>
      <c r="F317" t="str">
        <f>ConvertStockCode(표.실시간4[[#This Row],[코드]])</f>
        <v>N200880</v>
      </c>
      <c r="G317" s="4">
        <f>_xll.IMDP("STK",표.실시간4[[#This Row],[nxt_code]],"현재가")</f>
        <v>15350</v>
      </c>
      <c r="H317" s="4">
        <f>_xll.IMDP("STK",표.실시간4[[#This Row],[nxt_code]],"시가총액")/10^12</f>
        <v>0.41488650794999998</v>
      </c>
      <c r="I317" s="4">
        <f>표.실시간4[[#This Row],[시가총액 (조원)]]/표.실시간4[[#This Row],[현재가]]*(표.실시간4[[#This Row],[현재가]]-표.실시간4[[#This Row],[대비]])</f>
        <v>0.42083276408999998</v>
      </c>
      <c r="J317" s="5">
        <f>_xll.IMDP("STK",표.실시간4[[#This Row],[nxt_code]],"전일대비")</f>
        <v>-220</v>
      </c>
      <c r="K317">
        <f>_xll.IMDP("STK",표.실시간4[[#This Row],[nxt_code]],"등락률")</f>
        <v>-1.41</v>
      </c>
      <c r="L317" s="4">
        <f>_xll.IMDP("STK",표.실시간4[[#This Row],[nxt_code]],"누적거래량")</f>
        <v>71400</v>
      </c>
      <c r="M317" s="4">
        <f>_xll.IMDP("STK",표.실시간4[[#This Row],[nxt_code]],"누적거래대금")</f>
        <v>1107945350</v>
      </c>
      <c r="N317" s="4">
        <f>_xll.IMDP("STK",표.실시간4[[#This Row],[nxt_code]],"가중평균가")</f>
        <v>15499.641168</v>
      </c>
      <c r="O317" s="4">
        <f>_xll.IMDP("STK",표.실시간4[[#This Row],[nxt_code]],"시가")</f>
        <v>15570</v>
      </c>
      <c r="P317" s="4">
        <f>_xll.IMDP("STK",표.실시간4[[#This Row],[nxt_code]],"고가")</f>
        <v>15720</v>
      </c>
      <c r="Q317" s="4">
        <f>_xll.IMDP("STK",표.실시간4[[#This Row],[nxt_code]],"저가")</f>
        <v>15300</v>
      </c>
      <c r="R317">
        <f>_xll.IMDP("STK",표.실시간4[[#This Row],[nxt_code]],"세션명")</f>
        <v>0</v>
      </c>
      <c r="S317">
        <f>_xll.IMDP("STK",표.실시간4[[#This Row],[nxt_code]],"체결시간")</f>
        <v>0</v>
      </c>
      <c r="T317" s="4">
        <f>_xll.IMDP("STK","078600","현재가")</f>
        <v>75000</v>
      </c>
      <c r="U317">
        <f>_xll.IMDP("STK","078600","누적거래량")</f>
        <v>18257</v>
      </c>
    </row>
    <row r="318" spans="3:21" x14ac:dyDescent="0.3">
      <c r="C318">
        <v>313</v>
      </c>
      <c r="D318">
        <v>26890</v>
      </c>
      <c r="E318" t="s">
        <v>542</v>
      </c>
      <c r="F318" t="str">
        <f>ConvertStockCode(표.실시간4[[#This Row],[코드]])</f>
        <v>N026890</v>
      </c>
      <c r="G318" s="4">
        <f>_xll.IMDP("STK",표.실시간4[[#This Row],[nxt_code]],"현재가")</f>
        <v>10280</v>
      </c>
      <c r="H318" s="4">
        <f>_xll.IMDP("STK",표.실시간4[[#This Row],[nxt_code]],"시가총액")/10^12</f>
        <v>0.428451639</v>
      </c>
      <c r="I318" s="4">
        <f>표.실시간4[[#This Row],[시가총액 (조원)]]/표.실시간4[[#This Row],[현재가]]*(표.실시간4[[#This Row],[현재가]]-표.실시간4[[#This Row],[대비]])</f>
        <v>0.42553416675</v>
      </c>
      <c r="J318" s="5">
        <f>_xll.IMDP("STK",표.실시간4[[#This Row],[nxt_code]],"전일대비")</f>
        <v>70</v>
      </c>
      <c r="K318">
        <f>_xll.IMDP("STK",표.실시간4[[#This Row],[nxt_code]],"등락률")</f>
        <v>0.88</v>
      </c>
      <c r="L318" s="4">
        <f>_xll.IMDP("STK",표.실시간4[[#This Row],[nxt_code]],"누적거래량")</f>
        <v>6275</v>
      </c>
      <c r="M318" s="4">
        <f>_xll.IMDP("STK",표.실시간4[[#This Row],[nxt_code]],"누적거래대금")</f>
        <v>64355950</v>
      </c>
      <c r="N318" s="4">
        <f>_xll.IMDP("STK",표.실시간4[[#This Row],[nxt_code]],"가중평균가")</f>
        <v>10255.928287000001</v>
      </c>
      <c r="O318" s="4">
        <f>_xll.IMDP("STK",표.실시간4[[#This Row],[nxt_code]],"시가")</f>
        <v>10300</v>
      </c>
      <c r="P318" s="4">
        <f>_xll.IMDP("STK",표.실시간4[[#This Row],[nxt_code]],"고가")</f>
        <v>10310</v>
      </c>
      <c r="Q318" s="4">
        <f>_xll.IMDP("STK",표.실시간4[[#This Row],[nxt_code]],"저가")</f>
        <v>10120</v>
      </c>
      <c r="R318">
        <f>_xll.IMDP("STK",표.실시간4[[#This Row],[nxt_code]],"세션명")</f>
        <v>0</v>
      </c>
      <c r="S318">
        <f>_xll.IMDP("STK",표.실시간4[[#This Row],[nxt_code]],"체결시간")</f>
        <v>0</v>
      </c>
      <c r="T318" s="4">
        <f>_xll.IMDP("STK","298050","현재가")</f>
        <v>216000</v>
      </c>
      <c r="U318">
        <f>_xll.IMDP("STK","298050","누적거래량")</f>
        <v>499</v>
      </c>
    </row>
    <row r="319" spans="3:21" x14ac:dyDescent="0.3">
      <c r="C319">
        <v>314</v>
      </c>
      <c r="D319">
        <v>460860</v>
      </c>
      <c r="E319" t="s">
        <v>545</v>
      </c>
      <c r="F319" t="str">
        <f>ConvertStockCode(표.실시간4[[#This Row],[코드]])</f>
        <v>N460860</v>
      </c>
      <c r="G319" s="4">
        <f>_xll.IMDP("STK",표.실시간4[[#This Row],[nxt_code]],"현재가")</f>
        <v>8300</v>
      </c>
      <c r="H319" s="4">
        <f>_xll.IMDP("STK",표.실시간4[[#This Row],[nxt_code]],"시가총액")/10^12</f>
        <v>0.41174654109999997</v>
      </c>
      <c r="I319" s="4">
        <f>표.실시간4[[#This Row],[시가총액 (조원)]]/표.실시간4[[#This Row],[현재가]]*(표.실시간4[[#This Row],[현재가]]-표.실시간4[[#This Row],[대비]])</f>
        <v>0.40579357905999996</v>
      </c>
      <c r="J319" s="5">
        <f>_xll.IMDP("STK",표.실시간4[[#This Row],[nxt_code]],"전일대비")</f>
        <v>120</v>
      </c>
      <c r="K319">
        <f>_xll.IMDP("STK",표.실시간4[[#This Row],[nxt_code]],"등락률")</f>
        <v>1.47</v>
      </c>
      <c r="L319" s="4">
        <f>_xll.IMDP("STK",표.실시간4[[#This Row],[nxt_code]],"누적거래량")</f>
        <v>36620</v>
      </c>
      <c r="M319" s="4">
        <f>_xll.IMDP("STK",표.실시간4[[#This Row],[nxt_code]],"누적거래대금")</f>
        <v>302831530</v>
      </c>
      <c r="N319" s="4">
        <f>_xll.IMDP("STK",표.실시간4[[#This Row],[nxt_code]],"가중평균가")</f>
        <v>8269.5666299999993</v>
      </c>
      <c r="O319" s="4">
        <f>_xll.IMDP("STK",표.실시간4[[#This Row],[nxt_code]],"시가")</f>
        <v>8190</v>
      </c>
      <c r="P319" s="4">
        <f>_xll.IMDP("STK",표.실시간4[[#This Row],[nxt_code]],"고가")</f>
        <v>8300</v>
      </c>
      <c r="Q319" s="4">
        <f>_xll.IMDP("STK",표.실시간4[[#This Row],[nxt_code]],"저가")</f>
        <v>8190</v>
      </c>
      <c r="R319">
        <f>_xll.IMDP("STK",표.실시간4[[#This Row],[nxt_code]],"세션명")</f>
        <v>0</v>
      </c>
      <c r="S319">
        <f>_xll.IMDP("STK",표.실시간4[[#This Row],[nxt_code]],"체결시간")</f>
        <v>0</v>
      </c>
      <c r="T319" s="4">
        <f>_xll.IMDP("STK","095610","현재가")</f>
        <v>47950</v>
      </c>
      <c r="U319">
        <f>_xll.IMDP("STK","095610","누적거래량")</f>
        <v>18962</v>
      </c>
    </row>
    <row r="320" spans="3:21" x14ac:dyDescent="0.3">
      <c r="C320">
        <v>315</v>
      </c>
      <c r="D320">
        <v>72710</v>
      </c>
      <c r="E320" t="s">
        <v>548</v>
      </c>
      <c r="F320" t="str">
        <f>ConvertStockCode(표.실시간4[[#This Row],[코드]])</f>
        <v>N072710</v>
      </c>
      <c r="G320" s="4">
        <f>_xll.IMDP("STK",표.실시간4[[#This Row],[nxt_code]],"현재가")</f>
        <v>88000</v>
      </c>
      <c r="H320" s="4">
        <f>_xll.IMDP("STK",표.실시간4[[#This Row],[nxt_code]],"시가총액")/10^12</f>
        <v>0.40812552000000002</v>
      </c>
      <c r="I320" s="4">
        <f>표.실시간4[[#This Row],[시가총액 (조원)]]/표.실시간4[[#This Row],[현재가]]*(표.실시간4[[#This Row],[현재가]]-표.실시간4[[#This Row],[대비]])</f>
        <v>0.40487906699999998</v>
      </c>
      <c r="J320" s="5">
        <f>_xll.IMDP("STK",표.실시간4[[#This Row],[nxt_code]],"전일대비")</f>
        <v>700</v>
      </c>
      <c r="K320">
        <f>_xll.IMDP("STK",표.실시간4[[#This Row],[nxt_code]],"등락률")</f>
        <v>0.8</v>
      </c>
      <c r="L320" s="4">
        <f>_xll.IMDP("STK",표.실시간4[[#This Row],[nxt_code]],"누적거래량")</f>
        <v>220</v>
      </c>
      <c r="M320" s="4">
        <f>_xll.IMDP("STK",표.실시간4[[#This Row],[nxt_code]],"누적거래대금")</f>
        <v>19317900</v>
      </c>
      <c r="N320" s="4">
        <f>_xll.IMDP("STK",표.실시간4[[#This Row],[nxt_code]],"가중평균가")</f>
        <v>87808.636364000005</v>
      </c>
      <c r="O320" s="4">
        <f>_xll.IMDP("STK",표.실시간4[[#This Row],[nxt_code]],"시가")</f>
        <v>87400</v>
      </c>
      <c r="P320" s="4">
        <f>_xll.IMDP("STK",표.실시간4[[#This Row],[nxt_code]],"고가")</f>
        <v>88100</v>
      </c>
      <c r="Q320" s="4">
        <f>_xll.IMDP("STK",표.실시간4[[#This Row],[nxt_code]],"저가")</f>
        <v>87400</v>
      </c>
      <c r="R320">
        <f>_xll.IMDP("STK",표.실시간4[[#This Row],[nxt_code]],"세션명")</f>
        <v>0</v>
      </c>
      <c r="S320">
        <f>_xll.IMDP("STK",표.실시간4[[#This Row],[nxt_code]],"체결시간")</f>
        <v>0</v>
      </c>
      <c r="T320" s="4">
        <f>_xll.IMDP("STK","192400","현재가")</f>
        <v>27250</v>
      </c>
      <c r="U320">
        <f>_xll.IMDP("STK","192400","누적거래량")</f>
        <v>44</v>
      </c>
    </row>
    <row r="321" spans="3:21" x14ac:dyDescent="0.3">
      <c r="C321">
        <v>316</v>
      </c>
      <c r="D321">
        <v>130660</v>
      </c>
      <c r="E321" t="s">
        <v>530</v>
      </c>
      <c r="F321" t="str">
        <f>ConvertStockCode(표.실시간4[[#This Row],[코드]])</f>
        <v>N130660</v>
      </c>
      <c r="G321" s="4">
        <f>_xll.IMDP("STK",표.실시간4[[#This Row],[nxt_code]],"현재가")</f>
        <v>12110</v>
      </c>
      <c r="H321" s="4">
        <f>_xll.IMDP("STK",표.실시간4[[#This Row],[nxt_code]],"시가총액")/10^12</f>
        <v>0.39478600000000003</v>
      </c>
      <c r="I321" s="4">
        <f>표.실시간4[[#This Row],[시가총액 (조원)]]/표.실시간4[[#This Row],[현재가]]*(표.실시간4[[#This Row],[현재가]]-표.실시간4[[#This Row],[대비]])</f>
        <v>0.40065400000000001</v>
      </c>
      <c r="J321" s="5">
        <f>_xll.IMDP("STK",표.실시간4[[#This Row],[nxt_code]],"전일대비")</f>
        <v>-180</v>
      </c>
      <c r="K321">
        <f>_xll.IMDP("STK",표.실시간4[[#This Row],[nxt_code]],"등락률")</f>
        <v>-1.46</v>
      </c>
      <c r="L321" s="4">
        <f>_xll.IMDP("STK",표.실시간4[[#This Row],[nxt_code]],"누적거래량")</f>
        <v>37135</v>
      </c>
      <c r="M321" s="4">
        <f>_xll.IMDP("STK",표.실시간4[[#This Row],[nxt_code]],"누적거래대금")</f>
        <v>456655410</v>
      </c>
      <c r="N321" s="4">
        <f>_xll.IMDP("STK",표.실시간4[[#This Row],[nxt_code]],"가중평균가")</f>
        <v>12297.170055000001</v>
      </c>
      <c r="O321" s="4">
        <f>_xll.IMDP("STK",표.실시간4[[#This Row],[nxt_code]],"시가")</f>
        <v>12260</v>
      </c>
      <c r="P321" s="4">
        <f>_xll.IMDP("STK",표.실시간4[[#This Row],[nxt_code]],"고가")</f>
        <v>12370</v>
      </c>
      <c r="Q321" s="4">
        <f>_xll.IMDP("STK",표.실시간4[[#This Row],[nxt_code]],"저가")</f>
        <v>12100</v>
      </c>
      <c r="R321">
        <f>_xll.IMDP("STK",표.실시간4[[#This Row],[nxt_code]],"세션명")</f>
        <v>0</v>
      </c>
      <c r="S321">
        <f>_xll.IMDP("STK",표.실시간4[[#This Row],[nxt_code]],"체결시간")</f>
        <v>0</v>
      </c>
      <c r="T321" s="4">
        <f>_xll.IMDP("STK","000670","현재가")</f>
        <v>54600</v>
      </c>
      <c r="U321">
        <f>_xll.IMDP("STK","000670","누적거래량")</f>
        <v>516</v>
      </c>
    </row>
    <row r="322" spans="3:21" x14ac:dyDescent="0.3">
      <c r="C322">
        <v>317</v>
      </c>
      <c r="D322">
        <v>403550</v>
      </c>
      <c r="E322" t="s">
        <v>549</v>
      </c>
      <c r="F322" t="str">
        <f>ConvertStockCode(표.실시간4[[#This Row],[코드]])</f>
        <v>N403550</v>
      </c>
      <c r="G322" s="4">
        <f>_xll.IMDP("STK",표.실시간4[[#This Row],[nxt_code]],"현재가")</f>
        <v>12050</v>
      </c>
      <c r="H322" s="4">
        <f>_xll.IMDP("STK",표.실시간4[[#This Row],[nxt_code]],"시가총액")/10^12</f>
        <v>0.39574491909999998</v>
      </c>
      <c r="I322" s="4">
        <f>표.실시간4[[#This Row],[시가총액 (조원)]]/표.실시간4[[#This Row],[현재가]]*(표.실시간4[[#This Row],[현재가]]-표.실시간4[[#This Row],[대비]])</f>
        <v>0.39574491909999998</v>
      </c>
      <c r="J322" s="5">
        <f>_xll.IMDP("STK",표.실시간4[[#This Row],[nxt_code]],"전일대비")</f>
        <v>0</v>
      </c>
      <c r="K322">
        <f>_xll.IMDP("STK",표.실시간4[[#This Row],[nxt_code]],"등락률")</f>
        <v>0</v>
      </c>
      <c r="L322" s="4">
        <f>_xll.IMDP("STK",표.실시간4[[#This Row],[nxt_code]],"누적거래량")</f>
        <v>99</v>
      </c>
      <c r="M322" s="4">
        <f>_xll.IMDP("STK",표.실시간4[[#This Row],[nxt_code]],"누적거래대금")</f>
        <v>1193790</v>
      </c>
      <c r="N322" s="4">
        <f>_xll.IMDP("STK",표.실시간4[[#This Row],[nxt_code]],"가중평균가")</f>
        <v>12058.484848</v>
      </c>
      <c r="O322" s="4">
        <f>_xll.IMDP("STK",표.실시간4[[#This Row],[nxt_code]],"시가")</f>
        <v>12060</v>
      </c>
      <c r="P322" s="4">
        <f>_xll.IMDP("STK",표.실시간4[[#This Row],[nxt_code]],"고가")</f>
        <v>12060</v>
      </c>
      <c r="Q322" s="4">
        <f>_xll.IMDP("STK",표.실시간4[[#This Row],[nxt_code]],"저가")</f>
        <v>12050</v>
      </c>
      <c r="R322">
        <f>_xll.IMDP("STK",표.실시간4[[#This Row],[nxt_code]],"세션명")</f>
        <v>0</v>
      </c>
      <c r="S322">
        <f>_xll.IMDP("STK",표.실시간4[[#This Row],[nxt_code]],"체결시간")</f>
        <v>0</v>
      </c>
      <c r="T322" s="4">
        <f>_xll.IMDP("STK","137400","현재가")</f>
        <v>45350</v>
      </c>
      <c r="U322">
        <f>_xll.IMDP("STK","137400","누적거래량")</f>
        <v>65283</v>
      </c>
    </row>
    <row r="323" spans="3:21" x14ac:dyDescent="0.3">
      <c r="C323">
        <v>318</v>
      </c>
      <c r="D323">
        <v>31430</v>
      </c>
      <c r="E323" t="s">
        <v>559</v>
      </c>
      <c r="F323" t="str">
        <f>ConvertStockCode(표.실시간4[[#This Row],[코드]])</f>
        <v>N031430</v>
      </c>
      <c r="G323" s="4">
        <f>_xll.IMDP("STK",표.실시간4[[#This Row],[nxt_code]],"현재가")</f>
        <v>11170</v>
      </c>
      <c r="H323" s="4">
        <f>_xll.IMDP("STK",표.실시간4[[#This Row],[nxt_code]],"시가총액")/10^12</f>
        <v>0.39478131</v>
      </c>
      <c r="I323" s="4">
        <f>표.실시간4[[#This Row],[시가총액 (조원)]]/표.실시간4[[#This Row],[현재가]]*(표.실시간4[[#This Row],[현재가]]-표.실시간4[[#This Row],[대비]])</f>
        <v>0.39584159999999996</v>
      </c>
      <c r="J323" s="5">
        <f>_xll.IMDP("STK",표.실시간4[[#This Row],[nxt_code]],"전일대비")</f>
        <v>-30</v>
      </c>
      <c r="K323">
        <f>_xll.IMDP("STK",표.실시간4[[#This Row],[nxt_code]],"등락률")</f>
        <v>-0.36</v>
      </c>
      <c r="L323" s="4">
        <f>_xll.IMDP("STK",표.실시간4[[#This Row],[nxt_code]],"누적거래량")</f>
        <v>3950</v>
      </c>
      <c r="M323" s="4">
        <f>_xll.IMDP("STK",표.실시간4[[#This Row],[nxt_code]],"누적거래대금")</f>
        <v>44310530</v>
      </c>
      <c r="N323" s="4">
        <f>_xll.IMDP("STK",표.실시간4[[#This Row],[nxt_code]],"가중평균가")</f>
        <v>11217.855696000001</v>
      </c>
      <c r="O323" s="4">
        <f>_xll.IMDP("STK",표.실시간4[[#This Row],[nxt_code]],"시가")</f>
        <v>11200</v>
      </c>
      <c r="P323" s="4">
        <f>_xll.IMDP("STK",표.실시간4[[#This Row],[nxt_code]],"고가")</f>
        <v>11290</v>
      </c>
      <c r="Q323" s="4">
        <f>_xll.IMDP("STK",표.실시간4[[#This Row],[nxt_code]],"저가")</f>
        <v>11100</v>
      </c>
      <c r="R323">
        <f>_xll.IMDP("STK",표.실시간4[[#This Row],[nxt_code]],"세션명")</f>
        <v>0</v>
      </c>
      <c r="S323">
        <f>_xll.IMDP("STK",표.실시간4[[#This Row],[nxt_code]],"체결시간")</f>
        <v>0</v>
      </c>
      <c r="T323" s="4">
        <f>_xll.IMDP("STK","006730","현재가")</f>
        <v>15310</v>
      </c>
      <c r="U323">
        <f>_xll.IMDP("STK","006730","누적거래량")</f>
        <v>77013</v>
      </c>
    </row>
    <row r="324" spans="3:21" x14ac:dyDescent="0.3">
      <c r="C324">
        <v>319</v>
      </c>
      <c r="D324">
        <v>2710</v>
      </c>
      <c r="E324" t="s">
        <v>579</v>
      </c>
      <c r="F324" t="str">
        <f>ConvertStockCode(표.실시간4[[#This Row],[코드]])</f>
        <v>N002710</v>
      </c>
      <c r="G324" s="4">
        <f>_xll.IMDP("STK",표.실시간4[[#This Row],[nxt_code]],"현재가")</f>
        <v>15660</v>
      </c>
      <c r="H324" s="4">
        <f>_xll.IMDP("STK",표.실시간4[[#This Row],[nxt_code]],"시가총액")/10^12</f>
        <v>0.41050649501999997</v>
      </c>
      <c r="I324" s="4">
        <f>표.실시간4[[#This Row],[시가총액 (조원)]]/표.실시간4[[#This Row],[현재가]]*(표.실시간4[[#This Row],[현재가]]-표.실시간4[[#This Row],[대비]])</f>
        <v>0.39635109863999995</v>
      </c>
      <c r="J324" s="5">
        <f>_xll.IMDP("STK",표.실시간4[[#This Row],[nxt_code]],"전일대비")</f>
        <v>540</v>
      </c>
      <c r="K324">
        <f>_xll.IMDP("STK",표.실시간4[[#This Row],[nxt_code]],"등락률")</f>
        <v>3.57</v>
      </c>
      <c r="L324" s="4">
        <f>_xll.IMDP("STK",표.실시간4[[#This Row],[nxt_code]],"누적거래량")</f>
        <v>310375</v>
      </c>
      <c r="M324" s="4">
        <f>_xll.IMDP("STK",표.실시간4[[#This Row],[nxt_code]],"누적거래대금")</f>
        <v>4980239075</v>
      </c>
      <c r="N324" s="4">
        <f>_xll.IMDP("STK",표.실시간4[[#This Row],[nxt_code]],"가중평균가")</f>
        <v>16045.773608</v>
      </c>
      <c r="O324" s="4">
        <f>_xll.IMDP("STK",표.실시간4[[#This Row],[nxt_code]],"시가")</f>
        <v>15080</v>
      </c>
      <c r="P324" s="4">
        <f>_xll.IMDP("STK",표.실시간4[[#This Row],[nxt_code]],"고가")</f>
        <v>16490</v>
      </c>
      <c r="Q324" s="4">
        <f>_xll.IMDP("STK",표.실시간4[[#This Row],[nxt_code]],"저가")</f>
        <v>15080</v>
      </c>
      <c r="R324">
        <f>_xll.IMDP("STK",표.실시간4[[#This Row],[nxt_code]],"세션명")</f>
        <v>0</v>
      </c>
      <c r="S324">
        <f>_xll.IMDP("STK",표.실시간4[[#This Row],[nxt_code]],"체결시간")</f>
        <v>0</v>
      </c>
      <c r="T324" s="4">
        <f>_xll.IMDP("STK","218410","현재가")</f>
        <v>34150</v>
      </c>
      <c r="U324">
        <f>_xll.IMDP("STK","218410","누적거래량")</f>
        <v>1841</v>
      </c>
    </row>
    <row r="325" spans="3:21" x14ac:dyDescent="0.3">
      <c r="C325">
        <v>320</v>
      </c>
      <c r="D325">
        <v>1530</v>
      </c>
      <c r="E325" t="s">
        <v>558</v>
      </c>
      <c r="F325" t="str">
        <f>ConvertStockCode(표.실시간4[[#This Row],[코드]])</f>
        <v>N001530</v>
      </c>
      <c r="G325" s="4">
        <f>_xll.IMDP("STK",표.실시간4[[#This Row],[nxt_code]],"현재가")</f>
        <v>19920</v>
      </c>
      <c r="H325" s="4">
        <f>_xll.IMDP("STK",표.실시간4[[#This Row],[nxt_code]],"시가총액")/10^12</f>
        <v>0.39300725759999999</v>
      </c>
      <c r="I325" s="4">
        <f>표.실시간4[[#This Row],[시가총액 (조원)]]/표.실시간4[[#This Row],[현재가]]*(표.실시간4[[#This Row],[현재가]]-표.실시간4[[#This Row],[대비]])</f>
        <v>0.39419101439999998</v>
      </c>
      <c r="J325" s="5">
        <f>_xll.IMDP("STK",표.실시간4[[#This Row],[nxt_code]],"전일대비")</f>
        <v>-60</v>
      </c>
      <c r="K325">
        <f>_xll.IMDP("STK",표.실시간4[[#This Row],[nxt_code]],"등락률")</f>
        <v>-0.3</v>
      </c>
      <c r="L325" s="4">
        <f>_xll.IMDP("STK",표.실시간4[[#This Row],[nxt_code]],"누적거래량")</f>
        <v>2719</v>
      </c>
      <c r="M325" s="4">
        <f>_xll.IMDP("STK",표.실시간4[[#This Row],[nxt_code]],"누적거래대금")</f>
        <v>54501670</v>
      </c>
      <c r="N325" s="4">
        <f>_xll.IMDP("STK",표.실시간4[[#This Row],[nxt_code]],"가중평균가")</f>
        <v>20044.748069000001</v>
      </c>
      <c r="O325" s="4">
        <f>_xll.IMDP("STK",표.실시간4[[#This Row],[nxt_code]],"시가")</f>
        <v>20450</v>
      </c>
      <c r="P325" s="4">
        <f>_xll.IMDP("STK",표.실시간4[[#This Row],[nxt_code]],"고가")</f>
        <v>20450</v>
      </c>
      <c r="Q325" s="4">
        <f>_xll.IMDP("STK",표.실시간4[[#This Row],[nxt_code]],"저가")</f>
        <v>19900</v>
      </c>
      <c r="R325">
        <f>_xll.IMDP("STK",표.실시간4[[#This Row],[nxt_code]],"세션명")</f>
        <v>0</v>
      </c>
      <c r="S325">
        <f>_xll.IMDP("STK",표.실시간4[[#This Row],[nxt_code]],"체결시간")</f>
        <v>0</v>
      </c>
      <c r="T325" s="4">
        <f>_xll.IMDP("STK","036530","현재가")</f>
        <v>56800</v>
      </c>
      <c r="U325">
        <f>_xll.IMDP("STK","036530","누적거래량")</f>
        <v>49</v>
      </c>
    </row>
    <row r="326" spans="3:21" x14ac:dyDescent="0.3">
      <c r="C326">
        <v>321</v>
      </c>
      <c r="D326">
        <v>217590</v>
      </c>
      <c r="E326" t="s">
        <v>554</v>
      </c>
      <c r="F326" t="str">
        <f>ConvertStockCode(표.실시간4[[#This Row],[코드]])</f>
        <v>N217590</v>
      </c>
      <c r="G326" s="4">
        <f>_xll.IMDP("STK",표.실시간4[[#This Row],[nxt_code]],"현재가")</f>
        <v>15410</v>
      </c>
      <c r="H326" s="4">
        <f>_xll.IMDP("STK",표.실시간4[[#This Row],[nxt_code]],"시가총액")/10^12</f>
        <v>0.37514708325000001</v>
      </c>
      <c r="I326" s="4">
        <f>표.실시간4[[#This Row],[시가총액 (조원)]]/표.실시간4[[#This Row],[현재가]]*(표.실시간4[[#This Row],[현재가]]-표.실시간4[[#This Row],[대비]])</f>
        <v>0.37003476089552245</v>
      </c>
      <c r="J326" s="5">
        <f>_xll.IMDP("STK",표.실시간4[[#This Row],[nxt_code]],"전일대비")</f>
        <v>210</v>
      </c>
      <c r="K326">
        <f>_xll.IMDP("STK",표.실시간4[[#This Row],[nxt_code]],"등락률")</f>
        <v>0.33</v>
      </c>
      <c r="L326" s="4">
        <f>_xll.IMDP("STK",표.실시간4[[#This Row],[nxt_code]],"누적거래량")</f>
        <v>94317</v>
      </c>
      <c r="M326" s="4">
        <f>_xll.IMDP("STK",표.실시간4[[#This Row],[nxt_code]],"누적거래대금")</f>
        <v>1465981200</v>
      </c>
      <c r="N326" s="4">
        <f>_xll.IMDP("STK",표.실시간4[[#This Row],[nxt_code]],"가중평균가")</f>
        <v>15543.127962</v>
      </c>
      <c r="O326" s="4">
        <f>_xll.IMDP("STK",표.실시간4[[#This Row],[nxt_code]],"시가")</f>
        <v>15510</v>
      </c>
      <c r="P326" s="4">
        <f>_xll.IMDP("STK",표.실시간4[[#This Row],[nxt_code]],"고가")</f>
        <v>15670</v>
      </c>
      <c r="Q326" s="4">
        <f>_xll.IMDP("STK",표.실시간4[[#This Row],[nxt_code]],"저가")</f>
        <v>15230</v>
      </c>
      <c r="R326">
        <f>_xll.IMDP("STK",표.실시간4[[#This Row],[nxt_code]],"세션명")</f>
        <v>0</v>
      </c>
      <c r="S326">
        <f>_xll.IMDP("STK",표.실시간4[[#This Row],[nxt_code]],"체결시간")</f>
        <v>0</v>
      </c>
      <c r="T326" s="4">
        <f>_xll.IMDP("STK","389470","현재가")</f>
        <v>76100</v>
      </c>
      <c r="U326">
        <f>_xll.IMDP("STK","389470","누적거래량")</f>
        <v>2194</v>
      </c>
    </row>
    <row r="327" spans="3:21" x14ac:dyDescent="0.3">
      <c r="C327">
        <v>322</v>
      </c>
      <c r="D327">
        <v>126720</v>
      </c>
      <c r="E327" t="s">
        <v>556</v>
      </c>
      <c r="F327" t="str">
        <f>ConvertStockCode(표.실시간4[[#This Row],[코드]])</f>
        <v>N126720</v>
      </c>
      <c r="G327" s="4">
        <f>_xll.IMDP("STK",표.실시간4[[#This Row],[nxt_code]],"현재가")</f>
        <v>26100</v>
      </c>
      <c r="H327" s="4">
        <f>_xll.IMDP("STK",표.실시간4[[#This Row],[nxt_code]],"시가총액")/10^12</f>
        <v>0.37286459999999999</v>
      </c>
      <c r="I327" s="4">
        <f>표.실시간4[[#This Row],[시가총액 (조원)]]/표.실시간4[[#This Row],[현재가]]*(표.실시간4[[#This Row],[현재가]]-표.실시간4[[#This Row],[대비]])</f>
        <v>0.37357889999999999</v>
      </c>
      <c r="J327" s="5">
        <f>_xll.IMDP("STK",표.실시간4[[#This Row],[nxt_code]],"전일대비")</f>
        <v>-50</v>
      </c>
      <c r="K327">
        <f>_xll.IMDP("STK",표.실시간4[[#This Row],[nxt_code]],"등락률")</f>
        <v>-0.19</v>
      </c>
      <c r="L327" s="4">
        <f>_xll.IMDP("STK",표.실시간4[[#This Row],[nxt_code]],"누적거래량")</f>
        <v>2948</v>
      </c>
      <c r="M327" s="4">
        <f>_xll.IMDP("STK",표.실시간4[[#This Row],[nxt_code]],"누적거래대금")</f>
        <v>77304150</v>
      </c>
      <c r="N327" s="4">
        <f>_xll.IMDP("STK",표.실시간4[[#This Row],[nxt_code]],"가중평균가")</f>
        <v>26222.574627000002</v>
      </c>
      <c r="O327" s="4">
        <f>_xll.IMDP("STK",표.실시간4[[#This Row],[nxt_code]],"시가")</f>
        <v>26450</v>
      </c>
      <c r="P327" s="4">
        <f>_xll.IMDP("STK",표.실시간4[[#This Row],[nxt_code]],"고가")</f>
        <v>26450</v>
      </c>
      <c r="Q327" s="4">
        <f>_xll.IMDP("STK",표.실시간4[[#This Row],[nxt_code]],"저가")</f>
        <v>26000</v>
      </c>
      <c r="R327">
        <f>_xll.IMDP("STK",표.실시간4[[#This Row],[nxt_code]],"세션명")</f>
        <v>0</v>
      </c>
      <c r="S327">
        <f>_xll.IMDP("STK",표.실시간4[[#This Row],[nxt_code]],"체결시간")</f>
        <v>0</v>
      </c>
      <c r="T327" s="4">
        <f>_xll.IMDP("STK","056190","현재가")</f>
        <v>26000</v>
      </c>
      <c r="U327">
        <f>_xll.IMDP("STK","056190","누적거래량")</f>
        <v>5364</v>
      </c>
    </row>
    <row r="328" spans="3:21" x14ac:dyDescent="0.3">
      <c r="C328">
        <v>323</v>
      </c>
      <c r="D328">
        <v>1940</v>
      </c>
      <c r="E328" t="s">
        <v>563</v>
      </c>
      <c r="F328" t="str">
        <f>ConvertStockCode(표.실시간4[[#This Row],[코드]])</f>
        <v>N001940</v>
      </c>
      <c r="G328" s="4">
        <f>_xll.IMDP("STK",표.실시간4[[#This Row],[nxt_code]],"현재가")</f>
        <v>26500</v>
      </c>
      <c r="H328" s="4">
        <f>_xll.IMDP("STK",표.실시간4[[#This Row],[nxt_code]],"시가총액")/10^12</f>
        <v>0.37567407000000003</v>
      </c>
      <c r="I328" s="4">
        <f>표.실시간4[[#This Row],[시가총액 (조원)]]/표.실시간4[[#This Row],[현재가]]*(표.실시간4[[#This Row],[현재가]]-표.실시간4[[#This Row],[대비]])</f>
        <v>0.374965251</v>
      </c>
      <c r="J328" s="5">
        <f>_xll.IMDP("STK",표.실시간4[[#This Row],[nxt_code]],"전일대비")</f>
        <v>50</v>
      </c>
      <c r="K328">
        <f>_xll.IMDP("STK",표.실시간4[[#This Row],[nxt_code]],"등락률")</f>
        <v>0.19</v>
      </c>
      <c r="L328" s="4">
        <f>_xll.IMDP("STK",표.실시간4[[#This Row],[nxt_code]],"누적거래량")</f>
        <v>11</v>
      </c>
      <c r="M328" s="4">
        <f>_xll.IMDP("STK",표.실시간4[[#This Row],[nxt_code]],"누적거래대금")</f>
        <v>291500</v>
      </c>
      <c r="N328" s="4">
        <f>_xll.IMDP("STK",표.실시간4[[#This Row],[nxt_code]],"가중평균가")</f>
        <v>26500</v>
      </c>
      <c r="O328" s="4">
        <f>_xll.IMDP("STK",표.실시간4[[#This Row],[nxt_code]],"시가")</f>
        <v>26500</v>
      </c>
      <c r="P328" s="4">
        <f>_xll.IMDP("STK",표.실시간4[[#This Row],[nxt_code]],"고가")</f>
        <v>26500</v>
      </c>
      <c r="Q328" s="4">
        <f>_xll.IMDP("STK",표.실시간4[[#This Row],[nxt_code]],"저가")</f>
        <v>26500</v>
      </c>
      <c r="R328">
        <f>_xll.IMDP("STK",표.실시간4[[#This Row],[nxt_code]],"세션명")</f>
        <v>0</v>
      </c>
      <c r="S328">
        <f>_xll.IMDP("STK",표.실시간4[[#This Row],[nxt_code]],"체결시간")</f>
        <v>0</v>
      </c>
      <c r="T328" s="4">
        <f>_xll.IMDP("STK","082920","현재가")</f>
        <v>21100</v>
      </c>
      <c r="U328">
        <f>_xll.IMDP("STK","082920","누적거래량")</f>
        <v>26788</v>
      </c>
    </row>
    <row r="329" spans="3:21" x14ac:dyDescent="0.3">
      <c r="C329">
        <v>324</v>
      </c>
      <c r="D329">
        <v>29460</v>
      </c>
      <c r="E329" t="s">
        <v>566</v>
      </c>
      <c r="F329" t="str">
        <f>ConvertStockCode(표.실시간4[[#This Row],[코드]])</f>
        <v>N029460</v>
      </c>
      <c r="G329" s="4">
        <f>_xll.IMDP("STK",표.실시간4[[#This Row],[nxt_code]],"현재가")</f>
        <v>28550</v>
      </c>
      <c r="H329" s="4">
        <f>_xll.IMDP("STK",표.실시간4[[#This Row],[nxt_code]],"시가총액")/10^12</f>
        <v>0.37775255865000001</v>
      </c>
      <c r="I329" s="4">
        <f>표.실시간4[[#This Row],[시가총액 (조원)]]/표.실시간4[[#This Row],[현재가]]*(표.실시간4[[#This Row],[현재가]]-표.실시간4[[#This Row],[대비]])</f>
        <v>0.3784141218</v>
      </c>
      <c r="J329" s="5">
        <f>_xll.IMDP("STK",표.실시간4[[#This Row],[nxt_code]],"전일대비")</f>
        <v>-50</v>
      </c>
      <c r="K329">
        <f>_xll.IMDP("STK",표.실시간4[[#This Row],[nxt_code]],"등락률")</f>
        <v>-0.17</v>
      </c>
      <c r="L329" s="4">
        <f>_xll.IMDP("STK",표.실시간4[[#This Row],[nxt_code]],"누적거래량")</f>
        <v>762</v>
      </c>
      <c r="M329" s="4">
        <f>_xll.IMDP("STK",표.실시간4[[#This Row],[nxt_code]],"누적거래대금")</f>
        <v>21841850</v>
      </c>
      <c r="N329" s="4">
        <f>_xll.IMDP("STK",표.실시간4[[#This Row],[nxt_code]],"가중평균가")</f>
        <v>28663.845143999999</v>
      </c>
      <c r="O329" s="4">
        <f>_xll.IMDP("STK",표.실시간4[[#This Row],[nxt_code]],"시가")</f>
        <v>28600</v>
      </c>
      <c r="P329" s="4">
        <f>_xll.IMDP("STK",표.실시간4[[#This Row],[nxt_code]],"고가")</f>
        <v>29000</v>
      </c>
      <c r="Q329" s="4">
        <f>_xll.IMDP("STK",표.실시간4[[#This Row],[nxt_code]],"저가")</f>
        <v>28550</v>
      </c>
      <c r="R329">
        <f>_xll.IMDP("STK",표.실시간4[[#This Row],[nxt_code]],"세션명")</f>
        <v>0</v>
      </c>
      <c r="S329">
        <f>_xll.IMDP("STK",표.실시간4[[#This Row],[nxt_code]],"체결시간")</f>
        <v>0</v>
      </c>
      <c r="T329" s="4">
        <f>_xll.IMDP("STK","090360","현재가")</f>
        <v>83900</v>
      </c>
      <c r="U329">
        <f>_xll.IMDP("STK","090360","누적거래량")</f>
        <v>9507</v>
      </c>
    </row>
    <row r="330" spans="3:21" x14ac:dyDescent="0.3">
      <c r="C330">
        <v>325</v>
      </c>
      <c r="D330">
        <v>15360</v>
      </c>
      <c r="E330" t="s">
        <v>561</v>
      </c>
      <c r="F330" t="str">
        <f>ConvertStockCode(표.실시간4[[#This Row],[코드]])</f>
        <v>N015360</v>
      </c>
      <c r="G330" s="4">
        <f>_xll.IMDP("STK",표.실시간4[[#This Row],[nxt_code]],"현재가")</f>
        <v>66300</v>
      </c>
      <c r="H330" s="4">
        <f>_xll.IMDP("STK",표.실시간4[[#This Row],[nxt_code]],"시가총액")/10^12</f>
        <v>0.37791000000000002</v>
      </c>
      <c r="I330" s="4">
        <f>표.실시간4[[#This Row],[시가총액 (조원)]]/표.실시간4[[#This Row],[현재가]]*(표.실시간4[[#This Row],[현재가]]-표.실시간4[[#This Row],[대비]])</f>
        <v>0.37278000000000006</v>
      </c>
      <c r="J330" s="5">
        <f>_xll.IMDP("STK",표.실시간4[[#This Row],[nxt_code]],"전일대비")</f>
        <v>900</v>
      </c>
      <c r="K330">
        <f>_xll.IMDP("STK",표.실시간4[[#This Row],[nxt_code]],"등락률")</f>
        <v>1.38</v>
      </c>
      <c r="L330" s="4">
        <f>_xll.IMDP("STK",표.실시간4[[#This Row],[nxt_code]],"누적거래량")</f>
        <v>143</v>
      </c>
      <c r="M330" s="4">
        <f>_xll.IMDP("STK",표.실시간4[[#This Row],[nxt_code]],"누적거래대금")</f>
        <v>9509900</v>
      </c>
      <c r="N330" s="4">
        <f>_xll.IMDP("STK",표.실시간4[[#This Row],[nxt_code]],"가중평균가")</f>
        <v>66502.797202999995</v>
      </c>
      <c r="O330" s="4">
        <f>_xll.IMDP("STK",표.실시간4[[#This Row],[nxt_code]],"시가")</f>
        <v>67400</v>
      </c>
      <c r="P330" s="4">
        <f>_xll.IMDP("STK",표.실시간4[[#This Row],[nxt_code]],"고가")</f>
        <v>67400</v>
      </c>
      <c r="Q330" s="4">
        <f>_xll.IMDP("STK",표.실시간4[[#This Row],[nxt_code]],"저가")</f>
        <v>65800</v>
      </c>
      <c r="R330">
        <f>_xll.IMDP("STK",표.실시간4[[#This Row],[nxt_code]],"세션명")</f>
        <v>0</v>
      </c>
      <c r="S330">
        <f>_xll.IMDP("STK",표.실시간4[[#This Row],[nxt_code]],"체결시간")</f>
        <v>0</v>
      </c>
      <c r="T330" s="4">
        <f>_xll.IMDP("STK","004490","현재가")</f>
        <v>64800</v>
      </c>
      <c r="U330">
        <f>_xll.IMDP("STK","004490","누적거래량")</f>
        <v>2966</v>
      </c>
    </row>
    <row r="331" spans="3:21" x14ac:dyDescent="0.3">
      <c r="C331">
        <v>326</v>
      </c>
      <c r="D331">
        <v>6110</v>
      </c>
      <c r="E331" t="s">
        <v>580</v>
      </c>
      <c r="F331" t="str">
        <f>ConvertStockCode(표.실시간4[[#This Row],[코드]])</f>
        <v>N006110</v>
      </c>
      <c r="G331" s="4">
        <f>_xll.IMDP("STK",표.실시간4[[#This Row],[nxt_code]],"현재가")</f>
        <v>25650</v>
      </c>
      <c r="H331" s="4">
        <f>_xll.IMDP("STK",표.실시간4[[#This Row],[nxt_code]],"시가총액")/10^12</f>
        <v>0.37736064540000003</v>
      </c>
      <c r="I331" s="4">
        <f>표.실시간4[[#This Row],[시가총액 (조원)]]/표.실시간4[[#This Row],[현재가]]*(표.실시간4[[#This Row],[현재가]]-표.실시간4[[#This Row],[대비]])</f>
        <v>0.38103862440000003</v>
      </c>
      <c r="J331" s="5">
        <f>_xll.IMDP("STK",표.실시간4[[#This Row],[nxt_code]],"전일대비")</f>
        <v>-250</v>
      </c>
      <c r="K331">
        <f>_xll.IMDP("STK",표.실시간4[[#This Row],[nxt_code]],"등락률")</f>
        <v>-0.97</v>
      </c>
      <c r="L331" s="4">
        <f>_xll.IMDP("STK",표.실시간4[[#This Row],[nxt_code]],"누적거래량")</f>
        <v>48826</v>
      </c>
      <c r="M331" s="4">
        <f>_xll.IMDP("STK",표.실시간4[[#This Row],[nxt_code]],"누적거래대금")</f>
        <v>1287450200</v>
      </c>
      <c r="N331" s="4">
        <f>_xll.IMDP("STK",표.실시간4[[#This Row],[nxt_code]],"가중평균가")</f>
        <v>26322.303776000001</v>
      </c>
      <c r="O331" s="4">
        <f>_xll.IMDP("STK",표.실시간4[[#This Row],[nxt_code]],"시가")</f>
        <v>26700</v>
      </c>
      <c r="P331" s="4">
        <f>_xll.IMDP("STK",표.실시간4[[#This Row],[nxt_code]],"고가")</f>
        <v>26900</v>
      </c>
      <c r="Q331" s="4">
        <f>_xll.IMDP("STK",표.실시간4[[#This Row],[nxt_code]],"저가")</f>
        <v>25650</v>
      </c>
      <c r="R331">
        <f>_xll.IMDP("STK",표.실시간4[[#This Row],[nxt_code]],"세션명")</f>
        <v>0</v>
      </c>
      <c r="S331">
        <f>_xll.IMDP("STK",표.실시간4[[#This Row],[nxt_code]],"체결시간")</f>
        <v>0</v>
      </c>
      <c r="T331" s="4">
        <f>_xll.IMDP("STK","036540","현재가")</f>
        <v>5250</v>
      </c>
      <c r="U331">
        <f>_xll.IMDP("STK","036540","누적거래량")</f>
        <v>41544</v>
      </c>
    </row>
    <row r="332" spans="3:21" x14ac:dyDescent="0.3">
      <c r="C332">
        <v>327</v>
      </c>
      <c r="D332">
        <v>104700</v>
      </c>
      <c r="E332" t="s">
        <v>577</v>
      </c>
      <c r="F332" t="str">
        <f>ConvertStockCode(표.실시간4[[#This Row],[코드]])</f>
        <v>N104700</v>
      </c>
      <c r="G332" s="4">
        <f>_xll.IMDP("STK",표.실시간4[[#This Row],[nxt_code]],"현재가")</f>
        <v>10000</v>
      </c>
      <c r="H332" s="4">
        <f>_xll.IMDP("STK",표.실시간4[[#This Row],[nxt_code]],"시가총액")/10^12</f>
        <v>0.36449999999999999</v>
      </c>
      <c r="I332" s="4">
        <f>표.실시간4[[#This Row],[시가총액 (조원)]]/표.실시간4[[#This Row],[현재가]]*(표.실시간4[[#This Row],[현재가]]-표.실시간4[[#This Row],[대비]])</f>
        <v>0.3641355</v>
      </c>
      <c r="J332" s="5">
        <f>_xll.IMDP("STK",표.실시간4[[#This Row],[nxt_code]],"전일대비")</f>
        <v>10</v>
      </c>
      <c r="K332">
        <f>_xll.IMDP("STK",표.실시간4[[#This Row],[nxt_code]],"등락률")</f>
        <v>0.1</v>
      </c>
      <c r="L332" s="4">
        <f>_xll.IMDP("STK",표.실시간4[[#This Row],[nxt_code]],"누적거래량")</f>
        <v>1</v>
      </c>
      <c r="M332" s="4">
        <f>_xll.IMDP("STK",표.실시간4[[#This Row],[nxt_code]],"누적거래대금")</f>
        <v>10000</v>
      </c>
      <c r="N332" s="4">
        <f>_xll.IMDP("STK",표.실시간4[[#This Row],[nxt_code]],"가중평균가")</f>
        <v>10000</v>
      </c>
      <c r="O332" s="4">
        <f>_xll.IMDP("STK",표.실시간4[[#This Row],[nxt_code]],"시가")</f>
        <v>10000</v>
      </c>
      <c r="P332" s="4">
        <f>_xll.IMDP("STK",표.실시간4[[#This Row],[nxt_code]],"고가")</f>
        <v>10000</v>
      </c>
      <c r="Q332" s="4">
        <f>_xll.IMDP("STK",표.실시간4[[#This Row],[nxt_code]],"저가")</f>
        <v>10000</v>
      </c>
      <c r="R332">
        <f>_xll.IMDP("STK",표.실시간4[[#This Row],[nxt_code]],"세션명")</f>
        <v>0</v>
      </c>
      <c r="S332">
        <f>_xll.IMDP("STK",표.실시간4[[#This Row],[nxt_code]],"체결시간")</f>
        <v>0</v>
      </c>
      <c r="T332" s="4">
        <f>_xll.IMDP("STK","195870","현재가")</f>
        <v>52200</v>
      </c>
      <c r="U332">
        <f>_xll.IMDP("STK","195870","누적거래량")</f>
        <v>5885</v>
      </c>
    </row>
    <row r="333" spans="3:21" x14ac:dyDescent="0.3">
      <c r="C333">
        <v>328</v>
      </c>
      <c r="D333">
        <v>11500</v>
      </c>
      <c r="E333" t="s">
        <v>643</v>
      </c>
      <c r="F333" t="str">
        <f>ConvertStockCode(표.실시간4[[#This Row],[코드]])</f>
        <v>N011500</v>
      </c>
      <c r="G333" s="4">
        <f>_xll.IMDP("STK",표.실시간4[[#This Row],[nxt_code]],"현재가")</f>
        <v>25400</v>
      </c>
      <c r="H333" s="4">
        <f>_xll.IMDP("STK",표.실시간4[[#This Row],[nxt_code]],"시가총액")/10^12</f>
        <v>0.39718086679999998</v>
      </c>
      <c r="I333" s="4">
        <f>표.실시간4[[#This Row],[시가총액 (조원)]]/표.실시간4[[#This Row],[현재가]]*(표.실시간4[[#This Row],[현재가]]-표.실시간4[[#This Row],[대비]])</f>
        <v>0.35730640969999994</v>
      </c>
      <c r="J333" s="5">
        <f>_xll.IMDP("STK",표.실시간4[[#This Row],[nxt_code]],"전일대비")</f>
        <v>2550</v>
      </c>
      <c r="K333">
        <f>_xll.IMDP("STK",표.실시간4[[#This Row],[nxt_code]],"등락률")</f>
        <v>11.16</v>
      </c>
      <c r="L333" s="4">
        <f>_xll.IMDP("STK",표.실시간4[[#This Row],[nxt_code]],"누적거래량")</f>
        <v>4562808</v>
      </c>
      <c r="M333" s="4">
        <f>_xll.IMDP("STK",표.실시간4[[#This Row],[nxt_code]],"누적거래대금")</f>
        <v>118027289025</v>
      </c>
      <c r="N333" s="4">
        <f>_xll.IMDP("STK",표.실시간4[[#This Row],[nxt_code]],"가중평균가")</f>
        <v>25867.248638000001</v>
      </c>
      <c r="O333" s="4">
        <f>_xll.IMDP("STK",표.실시간4[[#This Row],[nxt_code]],"시가")</f>
        <v>25000</v>
      </c>
      <c r="P333" s="4">
        <f>_xll.IMDP("STK",표.실시간4[[#This Row],[nxt_code]],"고가")</f>
        <v>27050</v>
      </c>
      <c r="Q333" s="4">
        <f>_xll.IMDP("STK",표.실시간4[[#This Row],[nxt_code]],"저가")</f>
        <v>25000</v>
      </c>
      <c r="R333">
        <f>_xll.IMDP("STK",표.실시간4[[#This Row],[nxt_code]],"세션명")</f>
        <v>0</v>
      </c>
      <c r="S333">
        <f>_xll.IMDP("STK",표.실시간4[[#This Row],[nxt_code]],"체결시간")</f>
        <v>0</v>
      </c>
      <c r="T333" s="4">
        <f>_xll.IMDP("STK","417200","현재가")</f>
        <v>13350</v>
      </c>
      <c r="U333">
        <f>_xll.IMDP("STK","417200","누적거래량")</f>
        <v>54428</v>
      </c>
    </row>
    <row r="334" spans="3:21" x14ac:dyDescent="0.3">
      <c r="C334">
        <v>329</v>
      </c>
      <c r="D334">
        <v>475560</v>
      </c>
      <c r="E334" t="s">
        <v>583</v>
      </c>
      <c r="F334" t="str">
        <f>ConvertStockCode(표.실시간4[[#This Row],[코드]])</f>
        <v>N475560</v>
      </c>
      <c r="G334" s="4">
        <f>_xll.IMDP("STK",표.실시간4[[#This Row],[nxt_code]],"현재가")</f>
        <v>23950</v>
      </c>
      <c r="H334" s="4">
        <f>_xll.IMDP("STK",표.실시간4[[#This Row],[nxt_code]],"시가총액")/10^12</f>
        <v>0.35390052799999999</v>
      </c>
      <c r="I334" s="4">
        <f>표.실시간4[[#This Row],[시가총액 (조원)]]/표.실시간4[[#This Row],[현재가]]*(표.실시간4[[#This Row],[현재가]]-표.실시간4[[#This Row],[대비]])</f>
        <v>0.35316169599999997</v>
      </c>
      <c r="J334" s="5">
        <f>_xll.IMDP("STK",표.실시간4[[#This Row],[nxt_code]],"전일대비")</f>
        <v>50</v>
      </c>
      <c r="K334">
        <f>_xll.IMDP("STK",표.실시간4[[#This Row],[nxt_code]],"등락률")</f>
        <v>0.21</v>
      </c>
      <c r="L334" s="4">
        <f>_xll.IMDP("STK",표.실시간4[[#This Row],[nxt_code]],"누적거래량")</f>
        <v>282</v>
      </c>
      <c r="M334" s="4">
        <f>_xll.IMDP("STK",표.실시간4[[#This Row],[nxt_code]],"누적거래대금")</f>
        <v>6761450</v>
      </c>
      <c r="N334" s="4">
        <f>_xll.IMDP("STK",표.실시간4[[#This Row],[nxt_code]],"가중평균가")</f>
        <v>23976.77305</v>
      </c>
      <c r="O334" s="4">
        <f>_xll.IMDP("STK",표.실시간4[[#This Row],[nxt_code]],"시가")</f>
        <v>23900</v>
      </c>
      <c r="P334" s="4">
        <f>_xll.IMDP("STK",표.실시간4[[#This Row],[nxt_code]],"고가")</f>
        <v>24050</v>
      </c>
      <c r="Q334" s="4">
        <f>_xll.IMDP("STK",표.실시간4[[#This Row],[nxt_code]],"저가")</f>
        <v>23900</v>
      </c>
      <c r="R334">
        <f>_xll.IMDP("STK",표.실시간4[[#This Row],[nxt_code]],"세션명")</f>
        <v>0</v>
      </c>
      <c r="S334">
        <f>_xll.IMDP("STK",표.실시간4[[#This Row],[nxt_code]],"체결시간")</f>
        <v>0</v>
      </c>
      <c r="T334" s="4">
        <f>_xll.IMDP("STK","112040","현재가")</f>
        <v>25900</v>
      </c>
      <c r="U334">
        <f>_xll.IMDP("STK","112040","누적거래량")</f>
        <v>1166</v>
      </c>
    </row>
    <row r="335" spans="3:21" x14ac:dyDescent="0.3">
      <c r="C335">
        <v>330</v>
      </c>
      <c r="D335">
        <v>10690</v>
      </c>
      <c r="E335" t="s">
        <v>572</v>
      </c>
      <c r="F335" t="str">
        <f>ConvertStockCode(표.실시간4[[#This Row],[코드]])</f>
        <v>N010690</v>
      </c>
      <c r="G335" s="4">
        <f>_xll.IMDP("STK",표.실시간4[[#This Row],[nxt_code]],"현재가")</f>
        <v>9640</v>
      </c>
      <c r="H335" s="4">
        <f>_xll.IMDP("STK",표.실시간4[[#This Row],[nxt_code]],"시가총액")/10^12</f>
        <v>0.33663275240000001</v>
      </c>
      <c r="I335" s="4">
        <f>표.실시간4[[#This Row],[시가총액 (조원)]]/표.실시간4[[#This Row],[현재가]]*(표.실시간4[[#This Row],[현재가]]-표.실시간4[[#This Row],[대비]])</f>
        <v>0.33977558930000001</v>
      </c>
      <c r="J335" s="5">
        <f>_xll.IMDP("STK",표.실시간4[[#This Row],[nxt_code]],"전일대비")</f>
        <v>-90</v>
      </c>
      <c r="K335">
        <f>_xll.IMDP("STK",표.실시간4[[#This Row],[nxt_code]],"등락률")</f>
        <v>-0.92</v>
      </c>
      <c r="L335" s="4">
        <f>_xll.IMDP("STK",표.실시간4[[#This Row],[nxt_code]],"누적거래량")</f>
        <v>167733</v>
      </c>
      <c r="M335" s="4">
        <f>_xll.IMDP("STK",표.실시간4[[#This Row],[nxt_code]],"누적거래대금")</f>
        <v>1652318910</v>
      </c>
      <c r="N335" s="4">
        <f>_xll.IMDP("STK",표.실시간4[[#This Row],[nxt_code]],"가중평균가")</f>
        <v>9850.8874820000001</v>
      </c>
      <c r="O335" s="4">
        <f>_xll.IMDP("STK",표.실시간4[[#This Row],[nxt_code]],"시가")</f>
        <v>9740</v>
      </c>
      <c r="P335" s="4">
        <f>_xll.IMDP("STK",표.실시간4[[#This Row],[nxt_code]],"고가")</f>
        <v>10040</v>
      </c>
      <c r="Q335" s="4">
        <f>_xll.IMDP("STK",표.실시간4[[#This Row],[nxt_code]],"저가")</f>
        <v>9630</v>
      </c>
      <c r="R335">
        <f>_xll.IMDP("STK",표.실시간4[[#This Row],[nxt_code]],"세션명")</f>
        <v>0</v>
      </c>
      <c r="S335">
        <f>_xll.IMDP("STK",표.실시간4[[#This Row],[nxt_code]],"체결시간")</f>
        <v>0</v>
      </c>
      <c r="T335" s="4">
        <f>_xll.IMDP("STK","213420","현재가")</f>
        <v>36200</v>
      </c>
      <c r="U335">
        <f>_xll.IMDP("STK","213420","누적거래량")</f>
        <v>10934</v>
      </c>
    </row>
    <row r="336" spans="3:21" x14ac:dyDescent="0.3">
      <c r="C336">
        <v>331</v>
      </c>
      <c r="D336">
        <v>34120</v>
      </c>
      <c r="E336" t="s">
        <v>593</v>
      </c>
      <c r="F336" t="str">
        <f>ConvertStockCode(표.실시간4[[#This Row],[코드]])</f>
        <v>N034120</v>
      </c>
      <c r="G336" s="4">
        <f>_xll.IMDP("STK",표.실시간4[[#This Row],[nxt_code]],"현재가")</f>
        <v>18590</v>
      </c>
      <c r="H336" s="4">
        <f>_xll.IMDP("STK",표.실시간4[[#This Row],[nxt_code]],"시가총액")/10^12</f>
        <v>0.34486751442000002</v>
      </c>
      <c r="I336" s="4">
        <f>표.실시간4[[#This Row],[시가총액 (조원)]]/표.실시간4[[#This Row],[현재가]]*(표.실시간4[[#This Row],[현재가]]-표.실시간4[[#This Row],[대비]])</f>
        <v>0.34449648966000002</v>
      </c>
      <c r="J336" s="5">
        <f>_xll.IMDP("STK",표.실시간4[[#This Row],[nxt_code]],"전일대비")</f>
        <v>20</v>
      </c>
      <c r="K336">
        <f>_xll.IMDP("STK",표.실시간4[[#This Row],[nxt_code]],"등락률")</f>
        <v>0.11</v>
      </c>
      <c r="L336" s="4">
        <f>_xll.IMDP("STK",표.실시간4[[#This Row],[nxt_code]],"누적거래량")</f>
        <v>558</v>
      </c>
      <c r="M336" s="4">
        <f>_xll.IMDP("STK",표.실시간4[[#This Row],[nxt_code]],"누적거래대금")</f>
        <v>10366480</v>
      </c>
      <c r="N336" s="4">
        <f>_xll.IMDP("STK",표.실시간4[[#This Row],[nxt_code]],"가중평균가")</f>
        <v>18577.921147000001</v>
      </c>
      <c r="O336" s="4">
        <f>_xll.IMDP("STK",표.실시간4[[#This Row],[nxt_code]],"시가")</f>
        <v>18570</v>
      </c>
      <c r="P336" s="4">
        <f>_xll.IMDP("STK",표.실시간4[[#This Row],[nxt_code]],"고가")</f>
        <v>18620</v>
      </c>
      <c r="Q336" s="4">
        <f>_xll.IMDP("STK",표.실시간4[[#This Row],[nxt_code]],"저가")</f>
        <v>18570</v>
      </c>
      <c r="R336">
        <f>_xll.IMDP("STK",표.실시간4[[#This Row],[nxt_code]],"세션명")</f>
        <v>0</v>
      </c>
      <c r="S336">
        <f>_xll.IMDP("STK",표.실시간4[[#This Row],[nxt_code]],"체결시간")</f>
        <v>0</v>
      </c>
      <c r="T336" s="4">
        <f>_xll.IMDP("STK","358570","현재가")</f>
        <v>13260</v>
      </c>
      <c r="U336">
        <f>_xll.IMDP("STK","358570","누적거래량")</f>
        <v>7725</v>
      </c>
    </row>
    <row r="337" spans="3:21" x14ac:dyDescent="0.3">
      <c r="C337">
        <v>332</v>
      </c>
      <c r="D337">
        <v>20000</v>
      </c>
      <c r="E337" t="s">
        <v>596</v>
      </c>
      <c r="F337" t="str">
        <f>ConvertStockCode(표.실시간4[[#This Row],[코드]])</f>
        <v>N020000</v>
      </c>
      <c r="G337" s="4">
        <f>_xll.IMDP("STK",표.실시간4[[#This Row],[nxt_code]],"현재가")</f>
        <v>15200</v>
      </c>
      <c r="H337" s="4">
        <f>_xll.IMDP("STK",표.실시간4[[#This Row],[nxt_code]],"시가총액")/10^12</f>
        <v>0.34105375440000002</v>
      </c>
      <c r="I337" s="4">
        <f>표.실시간4[[#This Row],[시가총액 (조원)]]/표.실시간4[[#This Row],[현재가]]*(표.실시간4[[#This Row],[현재가]]-표.실시간4[[#This Row],[대비]])</f>
        <v>0.34038062199000002</v>
      </c>
      <c r="J337" s="5">
        <f>_xll.IMDP("STK",표.실시간4[[#This Row],[nxt_code]],"전일대비")</f>
        <v>30</v>
      </c>
      <c r="K337">
        <f>_xll.IMDP("STK",표.실시간4[[#This Row],[nxt_code]],"등락률")</f>
        <v>0.2</v>
      </c>
      <c r="L337" s="4">
        <f>_xll.IMDP("STK",표.실시간4[[#This Row],[nxt_code]],"누적거래량")</f>
        <v>232</v>
      </c>
      <c r="M337" s="4">
        <f>_xll.IMDP("STK",표.실시간4[[#This Row],[nxt_code]],"누적거래대금")</f>
        <v>3534060</v>
      </c>
      <c r="N337" s="4">
        <f>_xll.IMDP("STK",표.실시간4[[#This Row],[nxt_code]],"가중평균가")</f>
        <v>15233.017241</v>
      </c>
      <c r="O337" s="4">
        <f>_xll.IMDP("STK",표.실시간4[[#This Row],[nxt_code]],"시가")</f>
        <v>15270</v>
      </c>
      <c r="P337" s="4">
        <f>_xll.IMDP("STK",표.실시간4[[#This Row],[nxt_code]],"고가")</f>
        <v>15270</v>
      </c>
      <c r="Q337" s="4">
        <f>_xll.IMDP("STK",표.실시간4[[#This Row],[nxt_code]],"저가")</f>
        <v>15200</v>
      </c>
      <c r="R337">
        <f>_xll.IMDP("STK",표.실시간4[[#This Row],[nxt_code]],"세션명")</f>
        <v>0</v>
      </c>
      <c r="S337">
        <f>_xll.IMDP("STK",표.실시간4[[#This Row],[nxt_code]],"체결시간")</f>
        <v>0</v>
      </c>
      <c r="T337" s="4">
        <f>_xll.IMDP("STK","468530","현재가")</f>
        <v>79500</v>
      </c>
      <c r="U337">
        <f>_xll.IMDP("STK","468530","누적거래량")</f>
        <v>2760</v>
      </c>
    </row>
    <row r="338" spans="3:21" x14ac:dyDescent="0.3">
      <c r="C338">
        <v>333</v>
      </c>
      <c r="D338">
        <v>17860</v>
      </c>
      <c r="E338" t="s">
        <v>606</v>
      </c>
      <c r="F338" t="str">
        <f>ConvertStockCode(표.실시간4[[#This Row],[코드]])</f>
        <v>N017860</v>
      </c>
      <c r="G338" s="4">
        <f>_xll.IMDP("STK",표.실시간4[[#This Row],[nxt_code]],"현재가")</f>
        <v>19210</v>
      </c>
      <c r="H338" s="4">
        <f>_xll.IMDP("STK",표.실시간4[[#This Row],[nxt_code]],"시가총액")/10^12</f>
        <v>0.33779271251999998</v>
      </c>
      <c r="I338" s="4">
        <f>표.실시간4[[#This Row],[시가총액 (조원)]]/표.실시간4[[#This Row],[현재가]]*(표.실시간4[[#This Row],[현재가]]-표.실시간4[[#This Row],[대비]])</f>
        <v>0.33691350191999997</v>
      </c>
      <c r="J338" s="5">
        <f>_xll.IMDP("STK",표.실시간4[[#This Row],[nxt_code]],"전일대비")</f>
        <v>50</v>
      </c>
      <c r="K338">
        <f>_xll.IMDP("STK",표.실시간4[[#This Row],[nxt_code]],"등락률")</f>
        <v>0.26</v>
      </c>
      <c r="L338" s="4">
        <f>_xll.IMDP("STK",표.실시간4[[#This Row],[nxt_code]],"누적거래량")</f>
        <v>15368</v>
      </c>
      <c r="M338" s="4">
        <f>_xll.IMDP("STK",표.실시간4[[#This Row],[nxt_code]],"누적거래대금")</f>
        <v>297902160</v>
      </c>
      <c r="N338" s="4">
        <f>_xll.IMDP("STK",표.실시간4[[#This Row],[nxt_code]],"가중평균가")</f>
        <v>19384.575742000001</v>
      </c>
      <c r="O338" s="4">
        <f>_xll.IMDP("STK",표.실시간4[[#This Row],[nxt_code]],"시가")</f>
        <v>19450</v>
      </c>
      <c r="P338" s="4">
        <f>_xll.IMDP("STK",표.실시간4[[#This Row],[nxt_code]],"고가")</f>
        <v>19460</v>
      </c>
      <c r="Q338" s="4">
        <f>_xll.IMDP("STK",표.실시간4[[#This Row],[nxt_code]],"저가")</f>
        <v>19210</v>
      </c>
      <c r="R338">
        <f>_xll.IMDP("STK",표.실시간4[[#This Row],[nxt_code]],"세션명")</f>
        <v>0</v>
      </c>
      <c r="S338">
        <f>_xll.IMDP("STK",표.실시간4[[#This Row],[nxt_code]],"체결시간")</f>
        <v>0</v>
      </c>
      <c r="T338" s="4">
        <f>_xll.IMDP("STK","086900","현재가")</f>
        <v>120200</v>
      </c>
      <c r="U338">
        <f>_xll.IMDP("STK","086900","누적거래량")</f>
        <v>510</v>
      </c>
    </row>
    <row r="339" spans="3:21" x14ac:dyDescent="0.3">
      <c r="C339">
        <v>334</v>
      </c>
      <c r="D339">
        <v>7690</v>
      </c>
      <c r="E339" t="s">
        <v>598</v>
      </c>
      <c r="F339" t="str">
        <f>ConvertStockCode(표.실시간4[[#This Row],[코드]])</f>
        <v>N007690</v>
      </c>
      <c r="G339" s="4">
        <f>_xll.IMDP("STK",표.실시간4[[#This Row],[nxt_code]],"현재가")</f>
        <v>36800</v>
      </c>
      <c r="H339" s="4">
        <f>_xll.IMDP("STK",표.실시간4[[#This Row],[nxt_code]],"시가총액")/10^12</f>
        <v>0.34079861760000002</v>
      </c>
      <c r="I339" s="4">
        <f>표.실시간4[[#This Row],[시가총액 (조원)]]/표.실시간4[[#This Row],[현재가]]*(표.실시간4[[#This Row],[현재가]]-표.실시간4[[#This Row],[대비]])</f>
        <v>0.33663124320000004</v>
      </c>
      <c r="J339" s="5">
        <f>_xll.IMDP("STK",표.실시간4[[#This Row],[nxt_code]],"전일대비")</f>
        <v>450</v>
      </c>
      <c r="K339">
        <f>_xll.IMDP("STK",표.실시간4[[#This Row],[nxt_code]],"등락률")</f>
        <v>1.24</v>
      </c>
      <c r="L339" s="4">
        <f>_xll.IMDP("STK",표.실시간4[[#This Row],[nxt_code]],"누적거래량")</f>
        <v>768</v>
      </c>
      <c r="M339" s="4">
        <f>_xll.IMDP("STK",표.실시간4[[#This Row],[nxt_code]],"누적거래대금")</f>
        <v>28357150</v>
      </c>
      <c r="N339" s="4">
        <f>_xll.IMDP("STK",표.실시간4[[#This Row],[nxt_code]],"가중평균가")</f>
        <v>36923.372395999999</v>
      </c>
      <c r="O339" s="4">
        <f>_xll.IMDP("STK",표.실시간4[[#This Row],[nxt_code]],"시가")</f>
        <v>36800</v>
      </c>
      <c r="P339" s="4">
        <f>_xll.IMDP("STK",표.실시간4[[#This Row],[nxt_code]],"고가")</f>
        <v>37100</v>
      </c>
      <c r="Q339" s="4">
        <f>_xll.IMDP("STK",표.실시간4[[#This Row],[nxt_code]],"저가")</f>
        <v>36800</v>
      </c>
      <c r="R339">
        <f>_xll.IMDP("STK",표.실시간4[[#This Row],[nxt_code]],"세션명")</f>
        <v>0</v>
      </c>
      <c r="S339">
        <f>_xll.IMDP("STK",표.실시간4[[#This Row],[nxt_code]],"체결시간")</f>
        <v>0</v>
      </c>
      <c r="T339" s="4">
        <f>_xll.IMDP("STK","317450","현재가")</f>
        <v>58600</v>
      </c>
      <c r="U339">
        <f>_xll.IMDP("STK","317450","누적거래량")</f>
        <v>263</v>
      </c>
    </row>
    <row r="340" spans="3:21" x14ac:dyDescent="0.3">
      <c r="C340">
        <v>335</v>
      </c>
      <c r="D340">
        <v>8060</v>
      </c>
      <c r="E340" t="s">
        <v>597</v>
      </c>
      <c r="F340" t="str">
        <f>ConvertStockCode(표.실시간4[[#This Row],[코드]])</f>
        <v>N008060</v>
      </c>
      <c r="G340" s="4">
        <f>_xll.IMDP("STK",표.실시간4[[#This Row],[nxt_code]],"현재가")</f>
        <v>9950</v>
      </c>
      <c r="H340" s="4">
        <f>_xll.IMDP("STK",표.실시간4[[#This Row],[nxt_code]],"시가총액")/10^12</f>
        <v>0.33720699250000002</v>
      </c>
      <c r="I340" s="4">
        <f>표.실시간4[[#This Row],[시가총액 (조원)]]/표.실시간4[[#This Row],[현재가]]*(표.실시간4[[#This Row],[현재가]]-표.실시간4[[#This Row],[대비]])</f>
        <v>0.336190288</v>
      </c>
      <c r="J340" s="5">
        <f>_xll.IMDP("STK",표.실시간4[[#This Row],[nxt_code]],"전일대비")</f>
        <v>30</v>
      </c>
      <c r="K340">
        <f>_xll.IMDP("STK",표.실시간4[[#This Row],[nxt_code]],"등락률")</f>
        <v>0.3</v>
      </c>
      <c r="L340" s="4">
        <f>_xll.IMDP("STK",표.실시간4[[#This Row],[nxt_code]],"누적거래량")</f>
        <v>3657</v>
      </c>
      <c r="M340" s="4">
        <f>_xll.IMDP("STK",표.실시간4[[#This Row],[nxt_code]],"누적거래대금")</f>
        <v>36437140</v>
      </c>
      <c r="N340" s="4">
        <f>_xll.IMDP("STK",표.실시간4[[#This Row],[nxt_code]],"가중평균가")</f>
        <v>9963.6696749999992</v>
      </c>
      <c r="O340" s="4">
        <f>_xll.IMDP("STK",표.실시간4[[#This Row],[nxt_code]],"시가")</f>
        <v>9950</v>
      </c>
      <c r="P340" s="4">
        <f>_xll.IMDP("STK",표.실시간4[[#This Row],[nxt_code]],"고가")</f>
        <v>10000</v>
      </c>
      <c r="Q340" s="4">
        <f>_xll.IMDP("STK",표.실시간4[[#This Row],[nxt_code]],"저가")</f>
        <v>9940</v>
      </c>
      <c r="R340">
        <f>_xll.IMDP("STK",표.실시간4[[#This Row],[nxt_code]],"세션명")</f>
        <v>0</v>
      </c>
      <c r="S340">
        <f>_xll.IMDP("STK",표.실시간4[[#This Row],[nxt_code]],"체결시간")</f>
        <v>0</v>
      </c>
      <c r="T340" s="4">
        <f>_xll.IMDP("STK","476060","현재가")</f>
        <v>17820</v>
      </c>
      <c r="U340">
        <f>_xll.IMDP("STK","476060","누적거래량")</f>
        <v>18545</v>
      </c>
    </row>
    <row r="341" spans="3:21" x14ac:dyDescent="0.3">
      <c r="C341">
        <v>336</v>
      </c>
      <c r="D341">
        <v>306200</v>
      </c>
      <c r="E341" t="s">
        <v>601</v>
      </c>
      <c r="F341" t="str">
        <f>ConvertStockCode(표.실시간4[[#This Row],[코드]])</f>
        <v>N306200</v>
      </c>
      <c r="G341" s="4">
        <f>_xll.IMDP("STK",표.실시간4[[#This Row],[nxt_code]],"현재가")</f>
        <v>118900</v>
      </c>
      <c r="H341" s="4">
        <f>_xll.IMDP("STK",표.실시간4[[#This Row],[nxt_code]],"시가총액")/10^12</f>
        <v>0.33723607</v>
      </c>
      <c r="I341" s="4">
        <f>표.실시간4[[#This Row],[시가총액 (조원)]]/표.실시간4[[#This Row],[현재가]]*(표.실시간4[[#This Row],[현재가]]-표.실시간4[[#This Row],[대비]])</f>
        <v>0.34007236999999996</v>
      </c>
      <c r="J341" s="5">
        <f>_xll.IMDP("STK",표.실시간4[[#This Row],[nxt_code]],"전일대비")</f>
        <v>-1000</v>
      </c>
      <c r="K341">
        <f>_xll.IMDP("STK",표.실시간4[[#This Row],[nxt_code]],"등락률")</f>
        <v>-0.83</v>
      </c>
      <c r="L341" s="4">
        <f>_xll.IMDP("STK",표.실시간4[[#This Row],[nxt_code]],"누적거래량")</f>
        <v>1983</v>
      </c>
      <c r="M341" s="4">
        <f>_xll.IMDP("STK",표.실시간4[[#This Row],[nxt_code]],"누적거래대금")</f>
        <v>236581300</v>
      </c>
      <c r="N341" s="4">
        <f>_xll.IMDP("STK",표.실시간4[[#This Row],[nxt_code]],"가중평균가")</f>
        <v>119304.740292</v>
      </c>
      <c r="O341" s="4">
        <f>_xll.IMDP("STK",표.실시간4[[#This Row],[nxt_code]],"시가")</f>
        <v>119900</v>
      </c>
      <c r="P341" s="4">
        <f>_xll.IMDP("STK",표.실시간4[[#This Row],[nxt_code]],"고가")</f>
        <v>119900</v>
      </c>
      <c r="Q341" s="4">
        <f>_xll.IMDP("STK",표.실시간4[[#This Row],[nxt_code]],"저가")</f>
        <v>118900</v>
      </c>
      <c r="R341">
        <f>_xll.IMDP("STK",표.실시간4[[#This Row],[nxt_code]],"세션명")</f>
        <v>0</v>
      </c>
      <c r="S341">
        <f>_xll.IMDP("STK",표.실시간4[[#This Row],[nxt_code]],"체결시간")</f>
        <v>0</v>
      </c>
      <c r="T341" s="4">
        <f>_xll.IMDP("STK","003240","현재가")</f>
        <v>795000</v>
      </c>
      <c r="U341">
        <f>_xll.IMDP("STK","003240","누적거래량")</f>
        <v>127</v>
      </c>
    </row>
    <row r="342" spans="3:21" x14ac:dyDescent="0.3">
      <c r="C342">
        <v>337</v>
      </c>
      <c r="D342">
        <v>84690</v>
      </c>
      <c r="E342" t="s">
        <v>599</v>
      </c>
      <c r="F342" t="str">
        <f>ConvertStockCode(표.실시간4[[#This Row],[코드]])</f>
        <v>N084690</v>
      </c>
      <c r="G342" s="4">
        <f>_xll.IMDP("STK",표.실시간4[[#This Row],[nxt_code]],"현재가")</f>
        <v>9740</v>
      </c>
      <c r="H342" s="4">
        <f>_xll.IMDP("STK",표.실시간4[[#This Row],[nxt_code]],"시가총액")/10^12</f>
        <v>0.35271012012000003</v>
      </c>
      <c r="I342" s="4">
        <f>표.실시간4[[#This Row],[시가총액 (조원)]]/표.실시간4[[#This Row],[현재가]]*(표.실시간4[[#This Row],[현재가]]-표.실시간4[[#This Row],[대비]])</f>
        <v>0.34257060948000001</v>
      </c>
      <c r="J342" s="5">
        <f>_xll.IMDP("STK",표.실시간4[[#This Row],[nxt_code]],"전일대비")</f>
        <v>280</v>
      </c>
      <c r="K342">
        <f>_xll.IMDP("STK",표.실시간4[[#This Row],[nxt_code]],"등락률")</f>
        <v>2.96</v>
      </c>
      <c r="L342" s="4">
        <f>_xll.IMDP("STK",표.실시간4[[#This Row],[nxt_code]],"누적거래량")</f>
        <v>145344</v>
      </c>
      <c r="M342" s="4">
        <f>_xll.IMDP("STK",표.실시간4[[#This Row],[nxt_code]],"누적거래대금")</f>
        <v>1418502880</v>
      </c>
      <c r="N342" s="4">
        <f>_xll.IMDP("STK",표.실시간4[[#This Row],[nxt_code]],"가중평균가")</f>
        <v>9766.344083</v>
      </c>
      <c r="O342" s="4">
        <f>_xll.IMDP("STK",표.실시간4[[#This Row],[nxt_code]],"시가")</f>
        <v>9510</v>
      </c>
      <c r="P342" s="4">
        <f>_xll.IMDP("STK",표.실시간4[[#This Row],[nxt_code]],"고가")</f>
        <v>9930</v>
      </c>
      <c r="Q342" s="4">
        <f>_xll.IMDP("STK",표.실시간4[[#This Row],[nxt_code]],"저가")</f>
        <v>9470</v>
      </c>
      <c r="R342">
        <f>_xll.IMDP("STK",표.실시간4[[#This Row],[nxt_code]],"세션명")</f>
        <v>0</v>
      </c>
      <c r="S342">
        <f>_xll.IMDP("STK",표.실시간4[[#This Row],[nxt_code]],"체결시간")</f>
        <v>0</v>
      </c>
      <c r="T342" s="4">
        <f>_xll.IMDP("STK","003160","현재가")</f>
        <v>28100</v>
      </c>
      <c r="U342">
        <f>_xll.IMDP("STK","003160","누적거래량")</f>
        <v>11212</v>
      </c>
    </row>
    <row r="343" spans="3:21" x14ac:dyDescent="0.3">
      <c r="C343">
        <v>338</v>
      </c>
      <c r="D343">
        <v>18250</v>
      </c>
      <c r="E343" t="s">
        <v>602</v>
      </c>
      <c r="F343" t="str">
        <f>ConvertStockCode(표.실시간4[[#This Row],[코드]])</f>
        <v>N018250</v>
      </c>
      <c r="G343" s="4">
        <f>_xll.IMDP("STK",표.실시간4[[#This Row],[nxt_code]],"현재가")</f>
        <v>12840</v>
      </c>
      <c r="H343" s="4">
        <f>_xll.IMDP("STK",표.실시간4[[#This Row],[nxt_code]],"시가총액")/10^12</f>
        <v>0.33910356539999997</v>
      </c>
      <c r="I343" s="4">
        <f>표.실시간4[[#This Row],[시가총액 (조원)]]/표.실시간4[[#This Row],[현재가]]*(표.실시간4[[#This Row],[현재가]]-표.실시간4[[#This Row],[대비]])</f>
        <v>0.33910356539999997</v>
      </c>
      <c r="J343" s="5">
        <f>_xll.IMDP("STK",표.실시간4[[#This Row],[nxt_code]],"전일대비")</f>
        <v>0</v>
      </c>
      <c r="K343">
        <f>_xll.IMDP("STK",표.실시간4[[#This Row],[nxt_code]],"등락률")</f>
        <v>0</v>
      </c>
      <c r="L343" s="4">
        <f>_xll.IMDP("STK",표.실시간4[[#This Row],[nxt_code]],"누적거래량")</f>
        <v>718</v>
      </c>
      <c r="M343" s="4">
        <f>_xll.IMDP("STK",표.실시간4[[#This Row],[nxt_code]],"누적거래대금")</f>
        <v>9227900</v>
      </c>
      <c r="N343" s="4">
        <f>_xll.IMDP("STK",표.실시간4[[#This Row],[nxt_code]],"가중평균가")</f>
        <v>12852.228412</v>
      </c>
      <c r="O343" s="4">
        <f>_xll.IMDP("STK",표.실시간4[[#This Row],[nxt_code]],"시가")</f>
        <v>12890</v>
      </c>
      <c r="P343" s="4">
        <f>_xll.IMDP("STK",표.실시간4[[#This Row],[nxt_code]],"고가")</f>
        <v>12990</v>
      </c>
      <c r="Q343" s="4">
        <f>_xll.IMDP("STK",표.실시간4[[#This Row],[nxt_code]],"저가")</f>
        <v>12750</v>
      </c>
      <c r="R343">
        <f>_xll.IMDP("STK",표.실시간4[[#This Row],[nxt_code]],"세션명")</f>
        <v>0</v>
      </c>
      <c r="S343">
        <f>_xll.IMDP("STK",표.실시간4[[#This Row],[nxt_code]],"체결시간")</f>
        <v>0</v>
      </c>
      <c r="T343" s="4">
        <f>_xll.IMDP("STK","131290","현재가")</f>
        <v>73700</v>
      </c>
      <c r="U343">
        <f>_xll.IMDP("STK","131290","누적거래량")</f>
        <v>1452</v>
      </c>
    </row>
    <row r="344" spans="3:21" x14ac:dyDescent="0.3">
      <c r="C344">
        <v>339</v>
      </c>
      <c r="D344">
        <v>1820</v>
      </c>
      <c r="E344" t="s">
        <v>607</v>
      </c>
      <c r="F344" t="str">
        <f>ConvertStockCode(표.실시간4[[#This Row],[코드]])</f>
        <v>N001820</v>
      </c>
      <c r="G344" s="4">
        <f>_xll.IMDP("STK",표.실시간4[[#This Row],[nxt_code]],"현재가")</f>
        <v>31300</v>
      </c>
      <c r="H344" s="4">
        <f>_xll.IMDP("STK",표.실시간4[[#This Row],[nxt_code]],"시가총액")/10^12</f>
        <v>0.32536350000000003</v>
      </c>
      <c r="I344" s="4">
        <f>표.실시간4[[#This Row],[시가총액 (조원)]]/표.실시간4[[#This Row],[현재가]]*(표.실시간4[[#This Row],[현재가]]-표.실시간4[[#This Row],[대비]])</f>
        <v>0.32536350000000003</v>
      </c>
      <c r="J344" s="5">
        <f>_xll.IMDP("STK",표.실시간4[[#This Row],[nxt_code]],"전일대비")</f>
        <v>0</v>
      </c>
      <c r="K344">
        <f>_xll.IMDP("STK",표.실시간4[[#This Row],[nxt_code]],"등락률")</f>
        <v>0</v>
      </c>
      <c r="L344" s="4">
        <f>_xll.IMDP("STK",표.실시간4[[#This Row],[nxt_code]],"누적거래량")</f>
        <v>21509</v>
      </c>
      <c r="M344" s="4">
        <f>_xll.IMDP("STK",표.실시간4[[#This Row],[nxt_code]],"누적거래대금")</f>
        <v>682464300</v>
      </c>
      <c r="N344" s="4">
        <f>_xll.IMDP("STK",표.실시간4[[#This Row],[nxt_code]],"가중평균가")</f>
        <v>31729.243571999999</v>
      </c>
      <c r="O344" s="4">
        <f>_xll.IMDP("STK",표.실시간4[[#This Row],[nxt_code]],"시가")</f>
        <v>31900</v>
      </c>
      <c r="P344" s="4">
        <f>_xll.IMDP("STK",표.실시간4[[#This Row],[nxt_code]],"고가")</f>
        <v>31900</v>
      </c>
      <c r="Q344" s="4">
        <f>_xll.IMDP("STK",표.실시간4[[#This Row],[nxt_code]],"저가")</f>
        <v>31300</v>
      </c>
      <c r="R344">
        <f>_xll.IMDP("STK",표.실시간4[[#This Row],[nxt_code]],"세션명")</f>
        <v>0</v>
      </c>
      <c r="S344">
        <f>_xll.IMDP("STK",표.실시간4[[#This Row],[nxt_code]],"체결시간")</f>
        <v>0</v>
      </c>
      <c r="T344" s="4">
        <f>_xll.IMDP("STK","033500","현재가")</f>
        <v>26650</v>
      </c>
      <c r="U344">
        <f>_xll.IMDP("STK","033500","누적거래량")</f>
        <v>1993</v>
      </c>
    </row>
    <row r="345" spans="3:21" x14ac:dyDescent="0.3">
      <c r="C345">
        <v>340</v>
      </c>
      <c r="D345">
        <v>138490</v>
      </c>
      <c r="E345" t="s">
        <v>620</v>
      </c>
      <c r="F345" t="str">
        <f>ConvertStockCode(표.실시간4[[#This Row],[코드]])</f>
        <v>N138490</v>
      </c>
      <c r="G345" s="4">
        <f>_xll.IMDP("STK",표.실시간4[[#This Row],[nxt_code]],"현재가")</f>
        <v>8750</v>
      </c>
      <c r="H345" s="4">
        <f>_xll.IMDP("STK",표.실시간4[[#This Row],[nxt_code]],"시가총액")/10^12</f>
        <v>0.33250000000000002</v>
      </c>
      <c r="I345" s="4">
        <f>표.실시간4[[#This Row],[시가총액 (조원)]]/표.실시간4[[#This Row],[현재가]]*(표.실시간4[[#This Row],[현재가]]-표.실시간4[[#This Row],[대비]])</f>
        <v>0.33212000000000003</v>
      </c>
      <c r="J345" s="5">
        <f>_xll.IMDP("STK",표.실시간4[[#This Row],[nxt_code]],"전일대비")</f>
        <v>10</v>
      </c>
      <c r="K345">
        <f>_xll.IMDP("STK",표.실시간4[[#This Row],[nxt_code]],"등락률")</f>
        <v>0.11</v>
      </c>
      <c r="L345" s="4">
        <f>_xll.IMDP("STK",표.실시간4[[#This Row],[nxt_code]],"누적거래량")</f>
        <v>4217</v>
      </c>
      <c r="M345" s="4">
        <f>_xll.IMDP("STK",표.실시간4[[#This Row],[nxt_code]],"누적거래대금")</f>
        <v>37352740</v>
      </c>
      <c r="N345" s="4">
        <f>_xll.IMDP("STK",표.실시간4[[#This Row],[nxt_code]],"가중평균가")</f>
        <v>8692.7484289999993</v>
      </c>
      <c r="O345" s="4">
        <f>_xll.IMDP("STK",표.실시간4[[#This Row],[nxt_code]],"시가")</f>
        <v>8740</v>
      </c>
      <c r="P345" s="4">
        <f>_xll.IMDP("STK",표.실시간4[[#This Row],[nxt_code]],"고가")</f>
        <v>8750</v>
      </c>
      <c r="Q345" s="4">
        <f>_xll.IMDP("STK",표.실시간4[[#This Row],[nxt_code]],"저가")</f>
        <v>8640</v>
      </c>
      <c r="R345">
        <f>_xll.IMDP("STK",표.실시간4[[#This Row],[nxt_code]],"세션명")</f>
        <v>0</v>
      </c>
      <c r="S345">
        <f>_xll.IMDP("STK",표.실시간4[[#This Row],[nxt_code]],"체결시간")</f>
        <v>0</v>
      </c>
      <c r="T345" s="4">
        <f>_xll.IMDP("STK","108320","현재가")</f>
        <v>51000</v>
      </c>
      <c r="U345">
        <f>_xll.IMDP("STK","108320","누적거래량")</f>
        <v>1114</v>
      </c>
    </row>
    <row r="346" spans="3:21" x14ac:dyDescent="0.3">
      <c r="C346">
        <v>341</v>
      </c>
      <c r="D346">
        <v>3960</v>
      </c>
      <c r="E346" t="s">
        <v>610</v>
      </c>
      <c r="F346" t="str">
        <f>ConvertStockCode(표.실시간4[[#This Row],[코드]])</f>
        <v>N003960</v>
      </c>
      <c r="G346" s="4">
        <f>_xll.IMDP("STK",표.실시간4[[#This Row],[nxt_code]],"현재가")</f>
        <v>35500</v>
      </c>
      <c r="H346" s="4">
        <f>_xll.IMDP("STK",표.실시간4[[#This Row],[nxt_code]],"시가총액")/10^12</f>
        <v>0.32533857849999998</v>
      </c>
      <c r="I346" s="4">
        <f>표.실시간4[[#This Row],[시가총액 (조원)]]/표.실시간4[[#This Row],[현재가]]*(표.실시간4[[#This Row],[현재가]]-표.실시간4[[#This Row],[대비]])</f>
        <v>0.32396390845</v>
      </c>
      <c r="J346" s="5">
        <f>_xll.IMDP("STK",표.실시간4[[#This Row],[nxt_code]],"전일대비")</f>
        <v>150</v>
      </c>
      <c r="K346">
        <f>_xll.IMDP("STK",표.실시간4[[#This Row],[nxt_code]],"등락률")</f>
        <v>0.42</v>
      </c>
      <c r="L346" s="4">
        <f>_xll.IMDP("STK",표.실시간4[[#This Row],[nxt_code]],"누적거래량")</f>
        <v>364</v>
      </c>
      <c r="M346" s="4">
        <f>_xll.IMDP("STK",표.실시간4[[#This Row],[nxt_code]],"누적거래대금")</f>
        <v>12882350</v>
      </c>
      <c r="N346" s="4">
        <f>_xll.IMDP("STK",표.실시간4[[#This Row],[nxt_code]],"가중평균가")</f>
        <v>35391.071429000003</v>
      </c>
      <c r="O346" s="4">
        <f>_xll.IMDP("STK",표.실시간4[[#This Row],[nxt_code]],"시가")</f>
        <v>35400</v>
      </c>
      <c r="P346" s="4">
        <f>_xll.IMDP("STK",표.실시간4[[#This Row],[nxt_code]],"고가")</f>
        <v>35550</v>
      </c>
      <c r="Q346" s="4">
        <f>_xll.IMDP("STK",표.실시간4[[#This Row],[nxt_code]],"저가")</f>
        <v>35250</v>
      </c>
      <c r="R346">
        <f>_xll.IMDP("STK",표.실시간4[[#This Row],[nxt_code]],"세션명")</f>
        <v>0</v>
      </c>
      <c r="S346">
        <f>_xll.IMDP("STK",표.실시간4[[#This Row],[nxt_code]],"체결시간")</f>
        <v>0</v>
      </c>
      <c r="T346" s="4">
        <f>_xll.IMDP("STK","060280","현재가")</f>
        <v>18690</v>
      </c>
      <c r="U346">
        <f>_xll.IMDP("STK","060280","누적거래량")</f>
        <v>91305</v>
      </c>
    </row>
    <row r="347" spans="3:21" x14ac:dyDescent="0.3">
      <c r="C347">
        <v>342</v>
      </c>
      <c r="D347">
        <v>194370</v>
      </c>
      <c r="E347" t="s">
        <v>611</v>
      </c>
      <c r="F347" t="str">
        <f>ConvertStockCode(표.실시간4[[#This Row],[코드]])</f>
        <v>N194370</v>
      </c>
      <c r="G347" s="4">
        <f>_xll.IMDP("STK",표.실시간4[[#This Row],[nxt_code]],"현재가")</f>
        <v>11390</v>
      </c>
      <c r="H347" s="4">
        <f>_xll.IMDP("STK",표.실시간4[[#This Row],[nxt_code]],"시가총액")/10^12</f>
        <v>0.33050087362000002</v>
      </c>
      <c r="I347" s="4">
        <f>표.실시간4[[#This Row],[시가총액 (조원)]]/표.실시간4[[#This Row],[현재가]]*(표.실시간4[[#This Row],[현재가]]-표.실시간4[[#This Row],[대비]])</f>
        <v>0.32934020330000002</v>
      </c>
      <c r="J347" s="5">
        <f>_xll.IMDP("STK",표.실시간4[[#This Row],[nxt_code]],"전일대비")</f>
        <v>40</v>
      </c>
      <c r="K347">
        <f>_xll.IMDP("STK",표.실시간4[[#This Row],[nxt_code]],"등락률")</f>
        <v>0.35</v>
      </c>
      <c r="L347" s="4">
        <f>_xll.IMDP("STK",표.실시간4[[#This Row],[nxt_code]],"누적거래량")</f>
        <v>2843</v>
      </c>
      <c r="M347" s="4">
        <f>_xll.IMDP("STK",표.실시간4[[#This Row],[nxt_code]],"누적거래대금")</f>
        <v>32460660</v>
      </c>
      <c r="N347" s="4">
        <f>_xll.IMDP("STK",표.실시간4[[#This Row],[nxt_code]],"가중평균가")</f>
        <v>11417.748857</v>
      </c>
      <c r="O347" s="4">
        <f>_xll.IMDP("STK",표.실시간4[[#This Row],[nxt_code]],"시가")</f>
        <v>11350</v>
      </c>
      <c r="P347" s="4">
        <f>_xll.IMDP("STK",표.실시간4[[#This Row],[nxt_code]],"고가")</f>
        <v>11500</v>
      </c>
      <c r="Q347" s="4">
        <f>_xll.IMDP("STK",표.실시간4[[#This Row],[nxt_code]],"저가")</f>
        <v>11340</v>
      </c>
      <c r="R347">
        <f>_xll.IMDP("STK",표.실시간4[[#This Row],[nxt_code]],"세션명")</f>
        <v>0</v>
      </c>
      <c r="S347">
        <f>_xll.IMDP("STK",표.실시간4[[#This Row],[nxt_code]],"체결시간")</f>
        <v>0</v>
      </c>
      <c r="T347" s="4">
        <f>_xll.IMDP("STK","100840","현재가")</f>
        <v>38850</v>
      </c>
      <c r="U347">
        <f>_xll.IMDP("STK","100840","누적거래량")</f>
        <v>4950</v>
      </c>
    </row>
    <row r="348" spans="3:21" x14ac:dyDescent="0.3">
      <c r="C348">
        <v>343</v>
      </c>
      <c r="D348">
        <v>24720</v>
      </c>
      <c r="E348" t="s">
        <v>614</v>
      </c>
      <c r="F348" t="str">
        <f>ConvertStockCode(표.실시간4[[#This Row],[코드]])</f>
        <v>N024720</v>
      </c>
      <c r="G348" s="4">
        <f>_xll.IMDP("STK",표.실시간4[[#This Row],[nxt_code]],"현재가")</f>
        <v>9440</v>
      </c>
      <c r="H348" s="4">
        <f>_xll.IMDP("STK",표.실시간4[[#This Row],[nxt_code]],"시가총액")/10^12</f>
        <v>0.32375668495999999</v>
      </c>
      <c r="I348" s="4">
        <f>표.실시간4[[#This Row],[시가총액 (조원)]]/표.실시간4[[#This Row],[현재가]]*(표.실시간4[[#This Row],[현재가]]-표.실시간4[[#This Row],[대비]])</f>
        <v>0.32307075977999999</v>
      </c>
      <c r="J348" s="5">
        <f>_xll.IMDP("STK",표.실시간4[[#This Row],[nxt_code]],"전일대비")</f>
        <v>20</v>
      </c>
      <c r="K348">
        <f>_xll.IMDP("STK",표.실시간4[[#This Row],[nxt_code]],"등락률")</f>
        <v>0.21</v>
      </c>
      <c r="L348" s="4">
        <f>_xll.IMDP("STK",표.실시간4[[#This Row],[nxt_code]],"누적거래량")</f>
        <v>5590</v>
      </c>
      <c r="M348" s="4">
        <f>_xll.IMDP("STK",표.실시간4[[#This Row],[nxt_code]],"누적거래대금")</f>
        <v>53209630</v>
      </c>
      <c r="N348" s="4">
        <f>_xll.IMDP("STK",표.실시간4[[#This Row],[nxt_code]],"가중평균가")</f>
        <v>9518.7173519999997</v>
      </c>
      <c r="O348" s="4">
        <f>_xll.IMDP("STK",표.실시간4[[#This Row],[nxt_code]],"시가")</f>
        <v>9820</v>
      </c>
      <c r="P348" s="4">
        <f>_xll.IMDP("STK",표.실시간4[[#This Row],[nxt_code]],"고가")</f>
        <v>9820</v>
      </c>
      <c r="Q348" s="4">
        <f>_xll.IMDP("STK",표.실시간4[[#This Row],[nxt_code]],"저가")</f>
        <v>9400</v>
      </c>
      <c r="R348">
        <f>_xll.IMDP("STK",표.실시간4[[#This Row],[nxt_code]],"세션명")</f>
        <v>0</v>
      </c>
      <c r="S348">
        <f>_xll.IMDP("STK",표.실시간4[[#This Row],[nxt_code]],"체결시간")</f>
        <v>0</v>
      </c>
      <c r="T348" s="4">
        <f>_xll.IMDP("STK","009450","현재가")</f>
        <v>56300</v>
      </c>
      <c r="U348">
        <f>_xll.IMDP("STK","009450","누적거래량")</f>
        <v>215</v>
      </c>
    </row>
    <row r="349" spans="3:21" x14ac:dyDescent="0.3">
      <c r="C349">
        <v>344</v>
      </c>
      <c r="D349">
        <v>286940</v>
      </c>
      <c r="E349" t="s">
        <v>605</v>
      </c>
      <c r="F349" t="str">
        <f>ConvertStockCode(표.실시간4[[#This Row],[코드]])</f>
        <v>N286940</v>
      </c>
      <c r="G349" s="4">
        <f>_xll.IMDP("STK",표.실시간4[[#This Row],[nxt_code]],"현재가")</f>
        <v>21300</v>
      </c>
      <c r="H349" s="4">
        <f>_xll.IMDP("STK",표.실시간4[[#This Row],[nxt_code]],"시가총액")/10^12</f>
        <v>0.3222555171</v>
      </c>
      <c r="I349" s="4">
        <f>표.실시간4[[#This Row],[시가총액 (조원)]]/표.실시간4[[#This Row],[현재가]]*(표.실시간4[[#This Row],[현재가]]-표.실시간4[[#This Row],[대비]])</f>
        <v>0.31998611204999999</v>
      </c>
      <c r="J349" s="5">
        <f>_xll.IMDP("STK",표.실시간4[[#This Row],[nxt_code]],"전일대비")</f>
        <v>150</v>
      </c>
      <c r="K349">
        <f>_xll.IMDP("STK",표.실시간4[[#This Row],[nxt_code]],"등락률")</f>
        <v>0.71</v>
      </c>
      <c r="L349" s="4">
        <f>_xll.IMDP("STK",표.실시간4[[#This Row],[nxt_code]],"누적거래량")</f>
        <v>800</v>
      </c>
      <c r="M349" s="4">
        <f>_xll.IMDP("STK",표.실시간4[[#This Row],[nxt_code]],"누적거래대금")</f>
        <v>17010350</v>
      </c>
      <c r="N349" s="4">
        <f>_xll.IMDP("STK",표.실시간4[[#This Row],[nxt_code]],"가중평균가")</f>
        <v>21262.9375</v>
      </c>
      <c r="O349" s="4">
        <f>_xll.IMDP("STK",표.실시간4[[#This Row],[nxt_code]],"시가")</f>
        <v>21250</v>
      </c>
      <c r="P349" s="4">
        <f>_xll.IMDP("STK",표.실시간4[[#This Row],[nxt_code]],"고가")</f>
        <v>21450</v>
      </c>
      <c r="Q349" s="4">
        <f>_xll.IMDP("STK",표.실시간4[[#This Row],[nxt_code]],"저가")</f>
        <v>21000</v>
      </c>
      <c r="R349">
        <f>_xll.IMDP("STK",표.실시간4[[#This Row],[nxt_code]],"세션명")</f>
        <v>0</v>
      </c>
      <c r="S349">
        <f>_xll.IMDP("STK",표.실시간4[[#This Row],[nxt_code]],"체결시간")</f>
        <v>0</v>
      </c>
      <c r="T349" s="4">
        <f>_xll.IMDP("STK","036830","현재가")</f>
        <v>39750</v>
      </c>
      <c r="U349">
        <f>_xll.IMDP("STK","036830","누적거래량")</f>
        <v>2469</v>
      </c>
    </row>
    <row r="350" spans="3:21" x14ac:dyDescent="0.3">
      <c r="C350">
        <v>345</v>
      </c>
      <c r="D350">
        <v>17390</v>
      </c>
      <c r="E350" t="s">
        <v>613</v>
      </c>
      <c r="F350" t="str">
        <f>ConvertStockCode(표.실시간4[[#This Row],[코드]])</f>
        <v>N017390</v>
      </c>
      <c r="G350" s="4">
        <f>_xll.IMDP("STK",표.실시간4[[#This Row],[nxt_code]],"현재가")</f>
        <v>64000</v>
      </c>
      <c r="H350" s="4">
        <f>_xll.IMDP("STK",표.실시간4[[#This Row],[nxt_code]],"시가총액")/10^12</f>
        <v>0.32</v>
      </c>
      <c r="I350" s="4">
        <f>표.실시간4[[#This Row],[시가총액 (조원)]]/표.실시간4[[#This Row],[현재가]]*(표.실시간4[[#This Row],[현재가]]-표.실시간4[[#This Row],[대비]])</f>
        <v>0.32</v>
      </c>
      <c r="J350" s="5">
        <f>_xll.IMDP("STK",표.실시간4[[#This Row],[nxt_code]],"전일대비")</f>
        <v>0</v>
      </c>
      <c r="K350">
        <f>_xll.IMDP("STK",표.실시간4[[#This Row],[nxt_code]],"등락률")</f>
        <v>0</v>
      </c>
      <c r="L350" s="4">
        <f>_xll.IMDP("STK",표.실시간4[[#This Row],[nxt_code]],"누적거래량")</f>
        <v>1916</v>
      </c>
      <c r="M350" s="4">
        <f>_xll.IMDP("STK",표.실시간4[[#This Row],[nxt_code]],"누적거래대금")</f>
        <v>123226800</v>
      </c>
      <c r="N350" s="4">
        <f>_xll.IMDP("STK",표.실시간4[[#This Row],[nxt_code]],"가중평균가")</f>
        <v>64314.613778999999</v>
      </c>
      <c r="O350" s="4">
        <f>_xll.IMDP("STK",표.실시간4[[#This Row],[nxt_code]],"시가")</f>
        <v>65000</v>
      </c>
      <c r="P350" s="4">
        <f>_xll.IMDP("STK",표.실시간4[[#This Row],[nxt_code]],"고가")</f>
        <v>65000</v>
      </c>
      <c r="Q350" s="4">
        <f>_xll.IMDP("STK",표.실시간4[[#This Row],[nxt_code]],"저가")</f>
        <v>64000</v>
      </c>
      <c r="R350">
        <f>_xll.IMDP("STK",표.실시간4[[#This Row],[nxt_code]],"세션명")</f>
        <v>0</v>
      </c>
      <c r="S350">
        <f>_xll.IMDP("STK",표.실시간4[[#This Row],[nxt_code]],"체결시간")</f>
        <v>0</v>
      </c>
      <c r="T350" s="4">
        <f>_xll.IMDP("STK","281820","현재가")</f>
        <v>38300</v>
      </c>
      <c r="U350">
        <f>_xll.IMDP("STK","281820","누적거래량")</f>
        <v>2357</v>
      </c>
    </row>
    <row r="351" spans="3:21" x14ac:dyDescent="0.3">
      <c r="C351">
        <v>346</v>
      </c>
      <c r="D351">
        <v>92790</v>
      </c>
      <c r="E351" t="s">
        <v>619</v>
      </c>
      <c r="F351" t="str">
        <f>ConvertStockCode(표.실시간4[[#This Row],[코드]])</f>
        <v>N092790</v>
      </c>
      <c r="G351" s="4">
        <f>_xll.IMDP("STK",표.실시간4[[#This Row],[nxt_code]],"현재가")</f>
        <v>11320</v>
      </c>
      <c r="H351" s="4">
        <f>_xll.IMDP("STK",표.실시간4[[#This Row],[nxt_code]],"시가총액")/10^12</f>
        <v>0.29434263999999999</v>
      </c>
      <c r="I351" s="4">
        <f>표.실시간4[[#This Row],[시가총액 (조원)]]/표.실시간4[[#This Row],[현재가]]*(표.실시간4[[#This Row],[현재가]]-표.실시간4[[#This Row],[대비]])</f>
        <v>0.30396338000000001</v>
      </c>
      <c r="J351" s="5">
        <f>_xll.IMDP("STK",표.실시간4[[#This Row],[nxt_code]],"전일대비")</f>
        <v>-370</v>
      </c>
      <c r="K351">
        <f>_xll.IMDP("STK",표.실시간4[[#This Row],[nxt_code]],"등락률")</f>
        <v>-3.25</v>
      </c>
      <c r="L351" s="4">
        <f>_xll.IMDP("STK",표.실시간4[[#This Row],[nxt_code]],"누적거래량")</f>
        <v>190598</v>
      </c>
      <c r="M351" s="4">
        <f>_xll.IMDP("STK",표.실시간4[[#This Row],[nxt_code]],"누적거래대금")</f>
        <v>2199708630</v>
      </c>
      <c r="N351" s="4">
        <f>_xll.IMDP("STK",표.실시간4[[#This Row],[nxt_code]],"가중평균가")</f>
        <v>11541.089781000001</v>
      </c>
      <c r="O351" s="4">
        <f>_xll.IMDP("STK",표.실시간4[[#This Row],[nxt_code]],"시가")</f>
        <v>11700</v>
      </c>
      <c r="P351" s="4">
        <f>_xll.IMDP("STK",표.실시간4[[#This Row],[nxt_code]],"고가")</f>
        <v>11770</v>
      </c>
      <c r="Q351" s="4">
        <f>_xll.IMDP("STK",표.실시간4[[#This Row],[nxt_code]],"저가")</f>
        <v>11300</v>
      </c>
      <c r="R351">
        <f>_xll.IMDP("STK",표.실시간4[[#This Row],[nxt_code]],"세션명")</f>
        <v>0</v>
      </c>
      <c r="S351">
        <f>_xll.IMDP("STK",표.실시간4[[#This Row],[nxt_code]],"체결시간")</f>
        <v>0</v>
      </c>
      <c r="T351" s="4">
        <f>_xll.IMDP("STK","114090","현재가")</f>
        <v>13040</v>
      </c>
      <c r="U351">
        <f>_xll.IMDP("STK","114090","누적거래량")</f>
        <v>4237</v>
      </c>
    </row>
    <row r="352" spans="3:21" x14ac:dyDescent="0.3">
      <c r="C352">
        <v>347</v>
      </c>
      <c r="D352">
        <v>92230</v>
      </c>
      <c r="E352" t="s">
        <v>627</v>
      </c>
      <c r="F352" t="str">
        <f>ConvertStockCode(표.실시간4[[#This Row],[코드]])</f>
        <v>N092230</v>
      </c>
      <c r="G352" s="4">
        <f>_xll.IMDP("STK",표.실시간4[[#This Row],[nxt_code]],"현재가")</f>
        <v>72000</v>
      </c>
      <c r="H352" s="4">
        <f>_xll.IMDP("STK",표.실시간4[[#This Row],[nxt_code]],"시가총액")/10^12</f>
        <v>0.30417451200000001</v>
      </c>
      <c r="I352" s="4">
        <f>표.실시간4[[#This Row],[시가총액 (조원)]]/표.실시간4[[#This Row],[현재가]]*(표.실시간4[[#This Row],[현재가]]-표.실시간4[[#This Row],[대비]])</f>
        <v>0.30417451200000001</v>
      </c>
      <c r="J352" s="5">
        <f>_xll.IMDP("STK",표.실시간4[[#This Row],[nxt_code]],"전일대비")</f>
        <v>0</v>
      </c>
      <c r="K352">
        <f>_xll.IMDP("STK",표.실시간4[[#This Row],[nxt_code]],"등락률")</f>
        <v>0</v>
      </c>
      <c r="L352" s="4">
        <f>_xll.IMDP("STK",표.실시간4[[#This Row],[nxt_code]],"누적거래량")</f>
        <v>0</v>
      </c>
      <c r="M352" s="4">
        <f>_xll.IMDP("STK",표.실시간4[[#This Row],[nxt_code]],"누적거래대금")</f>
        <v>0</v>
      </c>
      <c r="N352" s="4">
        <f>_xll.IMDP("STK",표.실시간4[[#This Row],[nxt_code]],"가중평균가")</f>
        <v>0</v>
      </c>
      <c r="O352" s="4">
        <f>_xll.IMDP("STK",표.실시간4[[#This Row],[nxt_code]],"시가")</f>
        <v>0</v>
      </c>
      <c r="P352" s="4">
        <f>_xll.IMDP("STK",표.실시간4[[#This Row],[nxt_code]],"고가")</f>
        <v>0</v>
      </c>
      <c r="Q352" s="4">
        <f>_xll.IMDP("STK",표.실시간4[[#This Row],[nxt_code]],"저가")</f>
        <v>0</v>
      </c>
      <c r="R352">
        <f>_xll.IMDP("STK",표.실시간4[[#This Row],[nxt_code]],"세션명")</f>
        <v>0</v>
      </c>
      <c r="S352">
        <f>_xll.IMDP("STK",표.실시간4[[#This Row],[nxt_code]],"체결시간")</f>
        <v>0</v>
      </c>
      <c r="T352" s="4">
        <f>_xll.IMDP("STK","025540","현재가")</f>
        <v>75400</v>
      </c>
      <c r="U352">
        <f>_xll.IMDP("STK","025540","누적거래량")</f>
        <v>1181</v>
      </c>
    </row>
    <row r="353" spans="3:21" x14ac:dyDescent="0.3">
      <c r="C353">
        <v>348</v>
      </c>
      <c r="D353">
        <v>5090</v>
      </c>
      <c r="E353" t="s">
        <v>635</v>
      </c>
      <c r="F353" t="str">
        <f>ConvertStockCode(표.실시간4[[#This Row],[코드]])</f>
        <v>N005090</v>
      </c>
      <c r="G353" s="4">
        <f>_xll.IMDP("STK",표.실시간4[[#This Row],[nxt_code]],"현재가")</f>
        <v>21050</v>
      </c>
      <c r="H353" s="4">
        <f>_xll.IMDP("STK",표.실시간4[[#This Row],[nxt_code]],"시가총액")/10^12</f>
        <v>0.30331645964999998</v>
      </c>
      <c r="I353" s="4">
        <f>표.실시간4[[#This Row],[시가총액 (조원)]]/표.실시간4[[#This Row],[현재가]]*(표.실시간4[[#This Row],[현재가]]-표.실시간4[[#This Row],[대비]])</f>
        <v>0.30331645964999998</v>
      </c>
      <c r="J353" s="5">
        <f>_xll.IMDP("STK",표.실시간4[[#This Row],[nxt_code]],"전일대비")</f>
        <v>0</v>
      </c>
      <c r="K353">
        <f>_xll.IMDP("STK",표.실시간4[[#This Row],[nxt_code]],"등락률")</f>
        <v>0</v>
      </c>
      <c r="L353" s="4">
        <f>_xll.IMDP("STK",표.실시간4[[#This Row],[nxt_code]],"누적거래량")</f>
        <v>322</v>
      </c>
      <c r="M353" s="4">
        <f>_xll.IMDP("STK",표.실시간4[[#This Row],[nxt_code]],"누적거래대금")</f>
        <v>6793100</v>
      </c>
      <c r="N353" s="4">
        <f>_xll.IMDP("STK",표.실시간4[[#This Row],[nxt_code]],"가중평균가")</f>
        <v>21096.583850999999</v>
      </c>
      <c r="O353" s="4">
        <f>_xll.IMDP("STK",표.실시간4[[#This Row],[nxt_code]],"시가")</f>
        <v>21200</v>
      </c>
      <c r="P353" s="4">
        <f>_xll.IMDP("STK",표.실시간4[[#This Row],[nxt_code]],"고가")</f>
        <v>21200</v>
      </c>
      <c r="Q353" s="4">
        <f>_xll.IMDP("STK",표.실시간4[[#This Row],[nxt_code]],"저가")</f>
        <v>21050</v>
      </c>
      <c r="R353">
        <f>_xll.IMDP("STK",표.실시간4[[#This Row],[nxt_code]],"세션명")</f>
        <v>0</v>
      </c>
      <c r="S353">
        <f>_xll.IMDP("STK",표.실시간4[[#This Row],[nxt_code]],"체결시간")</f>
        <v>0</v>
      </c>
      <c r="T353" s="4">
        <f>_xll.IMDP("STK","424870","현재가")</f>
        <v>10410</v>
      </c>
      <c r="U353">
        <f>_xll.IMDP("STK","424870","누적거래량")</f>
        <v>9288</v>
      </c>
    </row>
    <row r="354" spans="3:21" x14ac:dyDescent="0.3">
      <c r="C354">
        <v>349</v>
      </c>
      <c r="D354">
        <v>2810</v>
      </c>
      <c r="E354" t="s">
        <v>628</v>
      </c>
      <c r="F354" t="str">
        <f>ConvertStockCode(표.실시간4[[#This Row],[코드]])</f>
        <v>N002810</v>
      </c>
      <c r="G354" s="4">
        <f>_xll.IMDP("STK",표.실시간4[[#This Row],[nxt_code]],"현재가")</f>
        <v>16490</v>
      </c>
      <c r="H354" s="4">
        <f>_xll.IMDP("STK",표.실시간4[[#This Row],[nxt_code]],"시가총액")/10^12</f>
        <v>0.30470464200000003</v>
      </c>
      <c r="I354" s="4">
        <f>표.실시간4[[#This Row],[시가총액 (조원)]]/표.실시간4[[#This Row],[현재가]]*(표.실시간4[[#This Row],[현재가]]-표.실시간4[[#This Row],[대비]])</f>
        <v>0.30451986053123103</v>
      </c>
      <c r="J354" s="5">
        <f>_xll.IMDP("STK",표.실시간4[[#This Row],[nxt_code]],"전일대비")</f>
        <v>10</v>
      </c>
      <c r="K354">
        <f>_xll.IMDP("STK",표.실시간4[[#This Row],[nxt_code]],"등락률")</f>
        <v>0.98</v>
      </c>
      <c r="L354" s="4">
        <f>_xll.IMDP("STK",표.실시간4[[#This Row],[nxt_code]],"누적거래량")</f>
        <v>4860</v>
      </c>
      <c r="M354" s="4">
        <f>_xll.IMDP("STK",표.실시간4[[#This Row],[nxt_code]],"누적거래대금")</f>
        <v>79793680</v>
      </c>
      <c r="N354" s="4">
        <f>_xll.IMDP("STK",표.실시간4[[#This Row],[nxt_code]],"가중평균가")</f>
        <v>16418.452675</v>
      </c>
      <c r="O354" s="4">
        <f>_xll.IMDP("STK",표.실시간4[[#This Row],[nxt_code]],"시가")</f>
        <v>16340</v>
      </c>
      <c r="P354" s="4">
        <f>_xll.IMDP("STK",표.실시간4[[#This Row],[nxt_code]],"고가")</f>
        <v>16530</v>
      </c>
      <c r="Q354" s="4">
        <f>_xll.IMDP("STK",표.실시간4[[#This Row],[nxt_code]],"저가")</f>
        <v>16340</v>
      </c>
      <c r="R354">
        <f>_xll.IMDP("STK",표.실시간4[[#This Row],[nxt_code]],"세션명")</f>
        <v>0</v>
      </c>
      <c r="S354">
        <f>_xll.IMDP("STK",표.실시간4[[#This Row],[nxt_code]],"체결시간")</f>
        <v>0</v>
      </c>
      <c r="T354" s="4">
        <f>_xll.IMDP("STK","225570","현재가")</f>
        <v>12170</v>
      </c>
      <c r="U354">
        <f>_xll.IMDP("STK","225570","누적거래량")</f>
        <v>346</v>
      </c>
    </row>
    <row r="355" spans="3:21" x14ac:dyDescent="0.3">
      <c r="C355">
        <v>350</v>
      </c>
      <c r="D355">
        <v>3920</v>
      </c>
      <c r="E355" t="s">
        <v>629</v>
      </c>
      <c r="F355" t="str">
        <f>ConvertStockCode(표.실시간4[[#This Row],[코드]])</f>
        <v>N003920</v>
      </c>
      <c r="G355" s="4">
        <f>_xll.IMDP("STK",표.실시간4[[#This Row],[nxt_code]],"현재가")</f>
        <v>50200</v>
      </c>
      <c r="H355" s="4">
        <f>_xll.IMDP("STK",표.실시간4[[#This Row],[nxt_code]],"시가총액")/10^12</f>
        <v>0.30120000000000002</v>
      </c>
      <c r="I355" s="4">
        <f>표.실시간4[[#This Row],[시가총액 (조원)]]/표.실시간4[[#This Row],[현재가]]*(표.실시간4[[#This Row],[현재가]]-표.실시간4[[#This Row],[대비]])</f>
        <v>0.29910000000000003</v>
      </c>
      <c r="J355" s="5">
        <f>_xll.IMDP("STK",표.실시간4[[#This Row],[nxt_code]],"전일대비")</f>
        <v>350</v>
      </c>
      <c r="K355">
        <f>_xll.IMDP("STK",표.실시간4[[#This Row],[nxt_code]],"등락률")</f>
        <v>0.7</v>
      </c>
      <c r="L355" s="4">
        <f>_xll.IMDP("STK",표.실시간4[[#This Row],[nxt_code]],"누적거래량")</f>
        <v>31</v>
      </c>
      <c r="M355" s="4">
        <f>_xll.IMDP("STK",표.실시간4[[#This Row],[nxt_code]],"누적거래대금")</f>
        <v>1547200</v>
      </c>
      <c r="N355" s="4">
        <f>_xll.IMDP("STK",표.실시간4[[#This Row],[nxt_code]],"가중평균가")</f>
        <v>49909.677419</v>
      </c>
      <c r="O355" s="4">
        <f>_xll.IMDP("STK",표.실시간4[[#This Row],[nxt_code]],"시가")</f>
        <v>49900</v>
      </c>
      <c r="P355" s="4">
        <f>_xll.IMDP("STK",표.실시간4[[#This Row],[nxt_code]],"고가")</f>
        <v>50200</v>
      </c>
      <c r="Q355" s="4">
        <f>_xll.IMDP("STK",표.실시간4[[#This Row],[nxt_code]],"저가")</f>
        <v>49900</v>
      </c>
      <c r="R355">
        <f>_xll.IMDP("STK",표.실시간4[[#This Row],[nxt_code]],"세션명")</f>
        <v>0</v>
      </c>
      <c r="S355">
        <f>_xll.IMDP("STK",표.실시간4[[#This Row],[nxt_code]],"체결시간")</f>
        <v>0</v>
      </c>
      <c r="T355" s="4">
        <f>_xll.IMDP("STK","093370","현재가")</f>
        <v>8110</v>
      </c>
      <c r="U355">
        <f>_xll.IMDP("STK","093370","누적거래량")</f>
        <v>144152</v>
      </c>
    </row>
    <row r="356" spans="3:21" x14ac:dyDescent="0.3">
      <c r="C356">
        <v>351</v>
      </c>
      <c r="D356">
        <v>33270</v>
      </c>
      <c r="E356" t="s">
        <v>637</v>
      </c>
      <c r="F356" t="str">
        <f>ConvertStockCode(표.실시간4[[#This Row],[코드]])</f>
        <v>N033270</v>
      </c>
      <c r="G356" s="4">
        <f>_xll.IMDP("STK",표.실시간4[[#This Row],[nxt_code]],"현재가")</f>
        <v>18450</v>
      </c>
      <c r="H356" s="4">
        <f>_xll.IMDP("STK",표.실시간4[[#This Row],[nxt_code]],"시가총액")/10^12</f>
        <v>0.30135901590000003</v>
      </c>
      <c r="I356" s="4">
        <f>표.실시간4[[#This Row],[시가총액 (조원)]]/표.실시간4[[#This Row],[현재가]]*(표.실시간4[[#This Row],[현재가]]-표.실시간4[[#This Row],[대비]])</f>
        <v>0.30037898658000006</v>
      </c>
      <c r="J356" s="5">
        <f>_xll.IMDP("STK",표.실시간4[[#This Row],[nxt_code]],"전일대비")</f>
        <v>60</v>
      </c>
      <c r="K356">
        <f>_xll.IMDP("STK",표.실시간4[[#This Row],[nxt_code]],"등락률")</f>
        <v>0.33</v>
      </c>
      <c r="L356" s="4">
        <f>_xll.IMDP("STK",표.실시간4[[#This Row],[nxt_code]],"누적거래량")</f>
        <v>831</v>
      </c>
      <c r="M356" s="4">
        <f>_xll.IMDP("STK",표.실시간4[[#This Row],[nxt_code]],"누적거래대금")</f>
        <v>15300370</v>
      </c>
      <c r="N356" s="4">
        <f>_xll.IMDP("STK",표.실시간4[[#This Row],[nxt_code]],"가중평균가")</f>
        <v>18411.997593</v>
      </c>
      <c r="O356" s="4">
        <f>_xll.IMDP("STK",표.실시간4[[#This Row],[nxt_code]],"시가")</f>
        <v>18370</v>
      </c>
      <c r="P356" s="4">
        <f>_xll.IMDP("STK",표.실시간4[[#This Row],[nxt_code]],"고가")</f>
        <v>18610</v>
      </c>
      <c r="Q356" s="4">
        <f>_xll.IMDP("STK",표.실시간4[[#This Row],[nxt_code]],"저가")</f>
        <v>18350</v>
      </c>
      <c r="R356">
        <f>_xll.IMDP("STK",표.실시간4[[#This Row],[nxt_code]],"세션명")</f>
        <v>0</v>
      </c>
      <c r="S356">
        <f>_xll.IMDP("STK",표.실시간4[[#This Row],[nxt_code]],"체결시간")</f>
        <v>0</v>
      </c>
      <c r="T356" s="4">
        <f>_xll.IMDP("STK","189300","현재가")</f>
        <v>76000</v>
      </c>
      <c r="U356">
        <f>_xll.IMDP("STK","189300","누적거래량")</f>
        <v>12456</v>
      </c>
    </row>
    <row r="357" spans="3:21" x14ac:dyDescent="0.3">
      <c r="C357">
        <v>352</v>
      </c>
      <c r="D357">
        <v>2320</v>
      </c>
      <c r="E357" t="s">
        <v>631</v>
      </c>
      <c r="F357" t="str">
        <f>ConvertStockCode(표.실시간4[[#This Row],[코드]])</f>
        <v>N002320</v>
      </c>
      <c r="G357" s="4">
        <f>_xll.IMDP("STK",표.실시간4[[#This Row],[nxt_code]],"현재가")</f>
        <v>19510</v>
      </c>
      <c r="H357" s="4">
        <f>_xll.IMDP("STK",표.실시간4[[#This Row],[nxt_code]],"시가총액")/10^12</f>
        <v>0.29723504509999998</v>
      </c>
      <c r="I357" s="4">
        <f>표.실시간4[[#This Row],[시가총액 (조원)]]/표.실시간4[[#This Row],[현재가]]*(표.실시간4[[#This Row],[현재가]]-표.실시간4[[#This Row],[대비]])</f>
        <v>0.29708269500000001</v>
      </c>
      <c r="J357" s="5">
        <f>_xll.IMDP("STK",표.실시간4[[#This Row],[nxt_code]],"전일대비")</f>
        <v>10</v>
      </c>
      <c r="K357">
        <f>_xll.IMDP("STK",표.실시간4[[#This Row],[nxt_code]],"등락률")</f>
        <v>0.05</v>
      </c>
      <c r="L357" s="4">
        <f>_xll.IMDP("STK",표.실시간4[[#This Row],[nxt_code]],"누적거래량")</f>
        <v>75</v>
      </c>
      <c r="M357" s="4">
        <f>_xll.IMDP("STK",표.실시간4[[#This Row],[nxt_code]],"누적거래대금")</f>
        <v>1465740</v>
      </c>
      <c r="N357" s="4">
        <f>_xll.IMDP("STK",표.실시간4[[#This Row],[nxt_code]],"가중평균가")</f>
        <v>19543.2</v>
      </c>
      <c r="O357" s="4">
        <f>_xll.IMDP("STK",표.실시간4[[#This Row],[nxt_code]],"시가")</f>
        <v>19680</v>
      </c>
      <c r="P357" s="4">
        <f>_xll.IMDP("STK",표.실시간4[[#This Row],[nxt_code]],"고가")</f>
        <v>19680</v>
      </c>
      <c r="Q357" s="4">
        <f>_xll.IMDP("STK",표.실시간4[[#This Row],[nxt_code]],"저가")</f>
        <v>19510</v>
      </c>
      <c r="R357">
        <f>_xll.IMDP("STK",표.실시간4[[#This Row],[nxt_code]],"세션명")</f>
        <v>0</v>
      </c>
      <c r="S357">
        <f>_xll.IMDP("STK",표.실시간4[[#This Row],[nxt_code]],"체결시간")</f>
        <v>0</v>
      </c>
      <c r="T357" s="4">
        <f>_xll.IMDP("STK","241710","현재가")</f>
        <v>81700</v>
      </c>
      <c r="U357">
        <f>_xll.IMDP("STK","241710","누적거래량")</f>
        <v>3555</v>
      </c>
    </row>
    <row r="358" spans="3:21" x14ac:dyDescent="0.3">
      <c r="C358">
        <v>353</v>
      </c>
      <c r="D358">
        <v>3200</v>
      </c>
      <c r="E358" t="s">
        <v>630</v>
      </c>
      <c r="F358" t="str">
        <f>ConvertStockCode(표.실시간4[[#This Row],[코드]])</f>
        <v>N003200</v>
      </c>
      <c r="G358" s="4">
        <f>_xll.IMDP("STK",표.실시간4[[#This Row],[nxt_code]],"현재가")</f>
        <v>12540</v>
      </c>
      <c r="H358" s="4">
        <f>_xll.IMDP("STK",표.실시간4[[#This Row],[nxt_code]],"시가총액")/10^12</f>
        <v>0.28791840000000002</v>
      </c>
      <c r="I358" s="4">
        <f>표.실시간4[[#This Row],[시가총액 (조원)]]/표.실시간4[[#This Row],[현재가]]*(표.실시간4[[#This Row],[현재가]]-표.실시간4[[#This Row],[대비]])</f>
        <v>0.28791840000000002</v>
      </c>
      <c r="J358" s="5">
        <f>_xll.IMDP("STK",표.실시간4[[#This Row],[nxt_code]],"전일대비")</f>
        <v>0</v>
      </c>
      <c r="K358">
        <f>_xll.IMDP("STK",표.실시간4[[#This Row],[nxt_code]],"등락률")</f>
        <v>0</v>
      </c>
      <c r="L358" s="4">
        <f>_xll.IMDP("STK",표.실시간4[[#This Row],[nxt_code]],"누적거래량")</f>
        <v>1974</v>
      </c>
      <c r="M358" s="4">
        <f>_xll.IMDP("STK",표.실시간4[[#This Row],[nxt_code]],"누적거래대금")</f>
        <v>24832510</v>
      </c>
      <c r="N358" s="4">
        <f>_xll.IMDP("STK",표.실시간4[[#This Row],[nxt_code]],"가중평균가")</f>
        <v>12579.792299999999</v>
      </c>
      <c r="O358" s="4">
        <f>_xll.IMDP("STK",표.실시간4[[#This Row],[nxt_code]],"시가")</f>
        <v>12520</v>
      </c>
      <c r="P358" s="4">
        <f>_xll.IMDP("STK",표.실시간4[[#This Row],[nxt_code]],"고가")</f>
        <v>12630</v>
      </c>
      <c r="Q358" s="4">
        <f>_xll.IMDP("STK",표.실시간4[[#This Row],[nxt_code]],"저가")</f>
        <v>12520</v>
      </c>
      <c r="R358">
        <f>_xll.IMDP("STK",표.실시간4[[#This Row],[nxt_code]],"세션명")</f>
        <v>0</v>
      </c>
      <c r="S358">
        <f>_xll.IMDP("STK",표.실시간4[[#This Row],[nxt_code]],"체결시간")</f>
        <v>0</v>
      </c>
      <c r="T358" s="4">
        <f>_xll.IMDP("STK","005690","현재가")</f>
        <v>13570</v>
      </c>
      <c r="U358">
        <f>_xll.IMDP("STK","005690","누적거래량")</f>
        <v>50980</v>
      </c>
    </row>
    <row r="359" spans="3:21" x14ac:dyDescent="0.3">
      <c r="C359">
        <v>354</v>
      </c>
      <c r="D359">
        <v>9680</v>
      </c>
      <c r="E359" t="s">
        <v>644</v>
      </c>
      <c r="F359" t="str">
        <f>ConvertStockCode(표.실시간4[[#This Row],[코드]])</f>
        <v>N009680</v>
      </c>
      <c r="G359" s="4">
        <f>_xll.IMDP("STK",표.실시간4[[#This Row],[nxt_code]],"현재가")</f>
        <v>10230</v>
      </c>
      <c r="H359" s="4">
        <f>_xll.IMDP("STK",표.실시간4[[#This Row],[nxt_code]],"시가총액")/10^12</f>
        <v>0.28695150000000003</v>
      </c>
      <c r="I359" s="4">
        <f>표.실시간4[[#This Row],[시가총액 (조원)]]/표.실시간4[[#This Row],[현재가]]*(표.실시간4[[#This Row],[현재가]]-표.실시간4[[#This Row],[대비]])</f>
        <v>0.28582950000000007</v>
      </c>
      <c r="J359" s="5">
        <f>_xll.IMDP("STK",표.실시간4[[#This Row],[nxt_code]],"전일대비")</f>
        <v>40</v>
      </c>
      <c r="K359">
        <f>_xll.IMDP("STK",표.실시간4[[#This Row],[nxt_code]],"등락률")</f>
        <v>0.39</v>
      </c>
      <c r="L359" s="4">
        <f>_xll.IMDP("STK",표.실시간4[[#This Row],[nxt_code]],"누적거래량")</f>
        <v>309</v>
      </c>
      <c r="M359" s="4">
        <f>_xll.IMDP("STK",표.실시간4[[#This Row],[nxt_code]],"누적거래대금")</f>
        <v>3154980</v>
      </c>
      <c r="N359" s="4">
        <f>_xll.IMDP("STK",표.실시간4[[#This Row],[nxt_code]],"가중평균가")</f>
        <v>10210.291262000001</v>
      </c>
      <c r="O359" s="4">
        <f>_xll.IMDP("STK",표.실시간4[[#This Row],[nxt_code]],"시가")</f>
        <v>10110</v>
      </c>
      <c r="P359" s="4">
        <f>_xll.IMDP("STK",표.실시간4[[#This Row],[nxt_code]],"고가")</f>
        <v>10230</v>
      </c>
      <c r="Q359" s="4">
        <f>_xll.IMDP("STK",표.실시간4[[#This Row],[nxt_code]],"저가")</f>
        <v>10110</v>
      </c>
      <c r="R359">
        <f>_xll.IMDP("STK",표.실시간4[[#This Row],[nxt_code]],"세션명")</f>
        <v>0</v>
      </c>
      <c r="S359">
        <f>_xll.IMDP("STK",표.실시간4[[#This Row],[nxt_code]],"체결시간")</f>
        <v>0</v>
      </c>
      <c r="T359" s="4">
        <f>_xll.IMDP("STK","499790","현재가")</f>
        <v>41850</v>
      </c>
      <c r="U359">
        <f>_xll.IMDP("STK","499790","누적거래량")</f>
        <v>2283</v>
      </c>
    </row>
    <row r="360" spans="3:21" x14ac:dyDescent="0.3">
      <c r="C360">
        <v>355</v>
      </c>
      <c r="D360">
        <v>490</v>
      </c>
      <c r="E360" t="s">
        <v>640</v>
      </c>
      <c r="F360" t="str">
        <f>ConvertStockCode(표.실시간4[[#This Row],[코드]])</f>
        <v>N000490</v>
      </c>
      <c r="G360" s="4">
        <f>_xll.IMDP("STK",표.실시간4[[#This Row],[nxt_code]],"현재가")</f>
        <v>10210</v>
      </c>
      <c r="H360" s="4">
        <f>_xll.IMDP("STK",표.실시간4[[#This Row],[nxt_code]],"시가총액")/10^12</f>
        <v>0.29461056029999999</v>
      </c>
      <c r="I360" s="4">
        <f>표.실시간4[[#This Row],[시가총액 (조원)]]/표.실시간4[[#This Row],[현재가]]*(표.실시간4[[#This Row],[현재가]]-표.실시간4[[#This Row],[대비]])</f>
        <v>0.28595403061439761</v>
      </c>
      <c r="J360" s="5">
        <f>_xll.IMDP("STK",표.실시간4[[#This Row],[nxt_code]],"전일대비")</f>
        <v>300</v>
      </c>
      <c r="K360">
        <f>_xll.IMDP("STK",표.실시간4[[#This Row],[nxt_code]],"등락률")</f>
        <v>2.92</v>
      </c>
      <c r="L360" s="4">
        <f>_xll.IMDP("STK",표.실시간4[[#This Row],[nxt_code]],"누적거래량")</f>
        <v>118930</v>
      </c>
      <c r="M360" s="4">
        <f>_xll.IMDP("STK",표.실시간4[[#This Row],[nxt_code]],"누적거래대금")</f>
        <v>1215487070</v>
      </c>
      <c r="N360" s="4">
        <f>_xll.IMDP("STK",표.실시간4[[#This Row],[nxt_code]],"가중평균가")</f>
        <v>10220.188935</v>
      </c>
      <c r="O360" s="4">
        <f>_xll.IMDP("STK",표.실시간4[[#This Row],[nxt_code]],"시가")</f>
        <v>10160</v>
      </c>
      <c r="P360" s="4">
        <f>_xll.IMDP("STK",표.실시간4[[#This Row],[nxt_code]],"고가")</f>
        <v>10320</v>
      </c>
      <c r="Q360" s="4">
        <f>_xll.IMDP("STK",표.실시간4[[#This Row],[nxt_code]],"저가")</f>
        <v>10050</v>
      </c>
      <c r="R360">
        <f>_xll.IMDP("STK",표.실시간4[[#This Row],[nxt_code]],"세션명")</f>
        <v>0</v>
      </c>
      <c r="S360">
        <f>_xll.IMDP("STK",표.실시간4[[#This Row],[nxt_code]],"체결시간")</f>
        <v>0</v>
      </c>
      <c r="T360" s="4">
        <f>_xll.IMDP("STK","348210","현재가")</f>
        <v>72000</v>
      </c>
      <c r="U360">
        <f>_xll.IMDP("STK","348210","누적거래량")</f>
        <v>2247</v>
      </c>
    </row>
    <row r="361" spans="3:21" x14ac:dyDescent="0.3">
      <c r="C361">
        <v>356</v>
      </c>
      <c r="D361">
        <v>11760</v>
      </c>
      <c r="E361" t="s">
        <v>648</v>
      </c>
      <c r="F361" t="str">
        <f>ConvertStockCode(표.실시간4[[#This Row],[코드]])</f>
        <v>N011760</v>
      </c>
      <c r="G361" s="4">
        <f>_xll.IMDP("STK",표.실시간4[[#This Row],[nxt_code]],"현재가")</f>
        <v>22200</v>
      </c>
      <c r="H361" s="4">
        <f>_xll.IMDP("STK",표.실시간4[[#This Row],[nxt_code]],"시가총액")/10^12</f>
        <v>0.29368304519999999</v>
      </c>
      <c r="I361" s="4">
        <f>표.실시간4[[#This Row],[시가총액 (조원)]]/표.실시간4[[#This Row],[현재가]]*(표.실시간4[[#This Row],[현재가]]-표.실시간4[[#This Row],[대비]])</f>
        <v>0.28971435540000001</v>
      </c>
      <c r="J361" s="5">
        <f>_xll.IMDP("STK",표.실시간4[[#This Row],[nxt_code]],"전일대비")</f>
        <v>300</v>
      </c>
      <c r="K361">
        <f>_xll.IMDP("STK",표.실시간4[[#This Row],[nxt_code]],"등락률")</f>
        <v>1.37</v>
      </c>
      <c r="L361" s="4">
        <f>_xll.IMDP("STK",표.실시간4[[#This Row],[nxt_code]],"누적거래량")</f>
        <v>6253</v>
      </c>
      <c r="M361" s="4">
        <f>_xll.IMDP("STK",표.실시간4[[#This Row],[nxt_code]],"누적거래대금")</f>
        <v>139048150</v>
      </c>
      <c r="N361" s="4">
        <f>_xll.IMDP("STK",표.실시간4[[#This Row],[nxt_code]],"가중평균가")</f>
        <v>22237.030224999999</v>
      </c>
      <c r="O361" s="4">
        <f>_xll.IMDP("STK",표.실시간4[[#This Row],[nxt_code]],"시가")</f>
        <v>22100</v>
      </c>
      <c r="P361" s="4">
        <f>_xll.IMDP("STK",표.실시간4[[#This Row],[nxt_code]],"고가")</f>
        <v>22750</v>
      </c>
      <c r="Q361" s="4">
        <f>_xll.IMDP("STK",표.실시간4[[#This Row],[nxt_code]],"저가")</f>
        <v>22100</v>
      </c>
      <c r="R361">
        <f>_xll.IMDP("STK",표.실시간4[[#This Row],[nxt_code]],"세션명")</f>
        <v>0</v>
      </c>
      <c r="S361">
        <f>_xll.IMDP("STK",표.실시간4[[#This Row],[nxt_code]],"체결시간")</f>
        <v>0</v>
      </c>
      <c r="T361" s="4">
        <f>_xll.IMDP("STK","014620","현재가")</f>
        <v>29000</v>
      </c>
      <c r="U361">
        <f>_xll.IMDP("STK","014620","누적거래량")</f>
        <v>2189</v>
      </c>
    </row>
    <row r="362" spans="3:21" x14ac:dyDescent="0.3">
      <c r="C362">
        <v>357</v>
      </c>
      <c r="D362">
        <v>7160</v>
      </c>
      <c r="E362" t="s">
        <v>661</v>
      </c>
      <c r="F362" t="str">
        <f>ConvertStockCode(표.실시간4[[#This Row],[코드]])</f>
        <v>N007160</v>
      </c>
      <c r="G362" s="4">
        <f>_xll.IMDP("STK",표.실시간4[[#This Row],[nxt_code]],"현재가")</f>
        <v>56800</v>
      </c>
      <c r="H362" s="4">
        <f>_xll.IMDP("STK",표.실시간4[[#This Row],[nxt_code]],"시가총액")/10^12</f>
        <v>0.28399999999999997</v>
      </c>
      <c r="I362" s="4">
        <f>표.실시간4[[#This Row],[시가총액 (조원)]]/표.실시간4[[#This Row],[현재가]]*(표.실시간4[[#This Row],[현재가]]-표.실시간4[[#This Row],[대비]])</f>
        <v>0.27949999999999997</v>
      </c>
      <c r="J362" s="5">
        <f>_xll.IMDP("STK",표.실시간4[[#This Row],[nxt_code]],"전일대비")</f>
        <v>900</v>
      </c>
      <c r="K362">
        <f>_xll.IMDP("STK",표.실시간4[[#This Row],[nxt_code]],"등락률")</f>
        <v>1.61</v>
      </c>
      <c r="L362" s="4">
        <f>_xll.IMDP("STK",표.실시간4[[#This Row],[nxt_code]],"누적거래량")</f>
        <v>1581</v>
      </c>
      <c r="M362" s="4">
        <f>_xll.IMDP("STK",표.실시간4[[#This Row],[nxt_code]],"누적거래대금")</f>
        <v>89902900</v>
      </c>
      <c r="N362" s="4">
        <f>_xll.IMDP("STK",표.실시간4[[#This Row],[nxt_code]],"가중평균가")</f>
        <v>56864.579380000003</v>
      </c>
      <c r="O362" s="4">
        <f>_xll.IMDP("STK",표.실시간4[[#This Row],[nxt_code]],"시가")</f>
        <v>56500</v>
      </c>
      <c r="P362" s="4">
        <f>_xll.IMDP("STK",표.실시간4[[#This Row],[nxt_code]],"고가")</f>
        <v>57000</v>
      </c>
      <c r="Q362" s="4">
        <f>_xll.IMDP("STK",표.실시간4[[#This Row],[nxt_code]],"저가")</f>
        <v>56500</v>
      </c>
      <c r="R362">
        <f>_xll.IMDP("STK",표.실시간4[[#This Row],[nxt_code]],"세션명")</f>
        <v>0</v>
      </c>
      <c r="S362">
        <f>_xll.IMDP("STK",표.실시간4[[#This Row],[nxt_code]],"체결시간")</f>
        <v>0</v>
      </c>
      <c r="T362" s="4">
        <f>_xll.IMDP("STK","007700","현재가")</f>
        <v>19700</v>
      </c>
      <c r="U362">
        <f>_xll.IMDP("STK","007700","누적거래량")</f>
        <v>89</v>
      </c>
    </row>
    <row r="363" spans="3:21" x14ac:dyDescent="0.3">
      <c r="C363">
        <v>358</v>
      </c>
      <c r="D363">
        <v>3120</v>
      </c>
      <c r="E363" t="s">
        <v>642</v>
      </c>
      <c r="F363" t="str">
        <f>ConvertStockCode(표.실시간4[[#This Row],[코드]])</f>
        <v>N003120</v>
      </c>
      <c r="G363" s="4">
        <f>_xll.IMDP("STK",표.실시간4[[#This Row],[nxt_code]],"현재가")</f>
        <v>21050</v>
      </c>
      <c r="H363" s="4">
        <f>_xll.IMDP("STK",표.실시간4[[#This Row],[nxt_code]],"시가총액")/10^12</f>
        <v>0.27996500000000002</v>
      </c>
      <c r="I363" s="4">
        <f>표.실시간4[[#This Row],[시가총액 (조원)]]/표.실시간4[[#This Row],[현재가]]*(표.실시간4[[#This Row],[현재가]]-표.실시간4[[#This Row],[대비]])</f>
        <v>0.27331500000000003</v>
      </c>
      <c r="J363" s="5">
        <f>_xll.IMDP("STK",표.실시간4[[#This Row],[nxt_code]],"전일대비")</f>
        <v>500</v>
      </c>
      <c r="K363">
        <f>_xll.IMDP("STK",표.실시간4[[#This Row],[nxt_code]],"등락률")</f>
        <v>2.4300000000000002</v>
      </c>
      <c r="L363" s="4">
        <f>_xll.IMDP("STK",표.실시간4[[#This Row],[nxt_code]],"누적거래량")</f>
        <v>691</v>
      </c>
      <c r="M363" s="4">
        <f>_xll.IMDP("STK",표.실시간4[[#This Row],[nxt_code]],"누적거래대금")</f>
        <v>14487300</v>
      </c>
      <c r="N363" s="4">
        <f>_xll.IMDP("STK",표.실시간4[[#This Row],[nxt_code]],"가중평균가")</f>
        <v>20965.701881000001</v>
      </c>
      <c r="O363" s="4">
        <f>_xll.IMDP("STK",표.실시간4[[#This Row],[nxt_code]],"시가")</f>
        <v>20650</v>
      </c>
      <c r="P363" s="4">
        <f>_xll.IMDP("STK",표.실시간4[[#This Row],[nxt_code]],"고가")</f>
        <v>21100</v>
      </c>
      <c r="Q363" s="4">
        <f>_xll.IMDP("STK",표.실시간4[[#This Row],[nxt_code]],"저가")</f>
        <v>20600</v>
      </c>
      <c r="R363">
        <f>_xll.IMDP("STK",표.실시간4[[#This Row],[nxt_code]],"세션명")</f>
        <v>0</v>
      </c>
      <c r="S363">
        <f>_xll.IMDP("STK",표.실시간4[[#This Row],[nxt_code]],"체결시간")</f>
        <v>0</v>
      </c>
      <c r="T363" s="4">
        <f>_xll.IMDP("STK","009520","현재가")</f>
        <v>18820</v>
      </c>
      <c r="U363">
        <f>_xll.IMDP("STK","009520","누적거래량")</f>
        <v>68805</v>
      </c>
    </row>
    <row r="364" spans="3:21" x14ac:dyDescent="0.3">
      <c r="C364">
        <v>359</v>
      </c>
      <c r="D364">
        <v>13890</v>
      </c>
      <c r="E364" t="s">
        <v>665</v>
      </c>
      <c r="F364" t="str">
        <f>ConvertStockCode(표.실시간4[[#This Row],[코드]])</f>
        <v>N013890</v>
      </c>
      <c r="G364" s="4">
        <f>_xll.IMDP("STK",표.실시간4[[#This Row],[nxt_code]],"현재가")</f>
        <v>12360</v>
      </c>
      <c r="H364" s="4">
        <f>_xll.IMDP("STK",표.실시간4[[#This Row],[nxt_code]],"시가총액")/10^12</f>
        <v>0.27506655936000002</v>
      </c>
      <c r="I364" s="4">
        <f>표.실시간4[[#This Row],[시가총액 (조원)]]/표.실시간4[[#This Row],[현재가]]*(표.실시간4[[#This Row],[현재가]]-표.실시간4[[#This Row],[대비]])</f>
        <v>0.27261855600000001</v>
      </c>
      <c r="J364" s="5">
        <f>_xll.IMDP("STK",표.실시간4[[#This Row],[nxt_code]],"전일대비")</f>
        <v>110</v>
      </c>
      <c r="K364">
        <f>_xll.IMDP("STK",표.실시간4[[#This Row],[nxt_code]],"등락률")</f>
        <v>0.9</v>
      </c>
      <c r="L364" s="4">
        <f>_xll.IMDP("STK",표.실시간4[[#This Row],[nxt_code]],"누적거래량")</f>
        <v>627</v>
      </c>
      <c r="M364" s="4">
        <f>_xll.IMDP("STK",표.실시간4[[#This Row],[nxt_code]],"누적거래대금")</f>
        <v>7776000</v>
      </c>
      <c r="N364" s="4">
        <f>_xll.IMDP("STK",표.실시간4[[#This Row],[nxt_code]],"가중평균가")</f>
        <v>12401.913876000001</v>
      </c>
      <c r="O364" s="4">
        <f>_xll.IMDP("STK",표.실시간4[[#This Row],[nxt_code]],"시가")</f>
        <v>12490</v>
      </c>
      <c r="P364" s="4">
        <f>_xll.IMDP("STK",표.실시간4[[#This Row],[nxt_code]],"고가")</f>
        <v>12490</v>
      </c>
      <c r="Q364" s="4">
        <f>_xll.IMDP("STK",표.실시간4[[#This Row],[nxt_code]],"저가")</f>
        <v>12360</v>
      </c>
      <c r="R364">
        <f>_xll.IMDP("STK",표.실시간4[[#This Row],[nxt_code]],"세션명")</f>
        <v>0</v>
      </c>
      <c r="S364">
        <f>_xll.IMDP("STK",표.실시간4[[#This Row],[nxt_code]],"체결시간")</f>
        <v>0</v>
      </c>
      <c r="T364" s="4">
        <f>_xll.IMDP("STK","376300","현재가")</f>
        <v>33200</v>
      </c>
      <c r="U364">
        <f>_xll.IMDP("STK","376300","누적거래량")</f>
        <v>2924</v>
      </c>
    </row>
    <row r="365" spans="3:21" x14ac:dyDescent="0.3">
      <c r="C365">
        <v>360</v>
      </c>
      <c r="D365">
        <v>320</v>
      </c>
      <c r="E365" t="s">
        <v>666</v>
      </c>
      <c r="F365" t="str">
        <f>ConvertStockCode(표.실시간4[[#This Row],[코드]])</f>
        <v>N000320</v>
      </c>
      <c r="G365" s="4">
        <f>_xll.IMDP("STK",표.실시간4[[#This Row],[nxt_code]],"현재가")</f>
        <v>21150</v>
      </c>
      <c r="H365" s="4">
        <f>_xll.IMDP("STK",표.실시간4[[#This Row],[nxt_code]],"시가총액")/10^12</f>
        <v>0.28110784365000002</v>
      </c>
      <c r="I365" s="4">
        <f>표.실시간4[[#This Row],[시가총액 (조원)]]/표.실시간4[[#This Row],[현재가]]*(표.실시간4[[#This Row],[현재가]]-표.실시간4[[#This Row],[대비]])</f>
        <v>0.26981036530000002</v>
      </c>
      <c r="J365" s="5">
        <f>_xll.IMDP("STK",표.실시간4[[#This Row],[nxt_code]],"전일대비")</f>
        <v>850</v>
      </c>
      <c r="K365">
        <f>_xll.IMDP("STK",표.실시간4[[#This Row],[nxt_code]],"등락률")</f>
        <v>4.1900000000000004</v>
      </c>
      <c r="L365" s="4">
        <f>_xll.IMDP("STK",표.실시간4[[#This Row],[nxt_code]],"누적거래량")</f>
        <v>6775</v>
      </c>
      <c r="M365" s="4">
        <f>_xll.IMDP("STK",표.실시간4[[#This Row],[nxt_code]],"누적거래대금")</f>
        <v>133275350</v>
      </c>
      <c r="N365" s="4">
        <f>_xll.IMDP("STK",표.실시간4[[#This Row],[nxt_code]],"가중평균가")</f>
        <v>20870.398524</v>
      </c>
      <c r="O365" s="4">
        <f>_xll.IMDP("STK",표.실시간4[[#This Row],[nxt_code]],"시가")</f>
        <v>20700</v>
      </c>
      <c r="P365" s="4">
        <f>_xll.IMDP("STK",표.실시간4[[#This Row],[nxt_code]],"고가")</f>
        <v>21150</v>
      </c>
      <c r="Q365" s="4">
        <f>_xll.IMDP("STK",표.실시간4[[#This Row],[nxt_code]],"저가")</f>
        <v>20450</v>
      </c>
      <c r="R365">
        <f>_xll.IMDP("STK",표.실시간4[[#This Row],[nxt_code]],"세션명")</f>
        <v>0</v>
      </c>
      <c r="S365">
        <f>_xll.IMDP("STK",표.실시간4[[#This Row],[nxt_code]],"체결시간")</f>
        <v>0</v>
      </c>
      <c r="T365" s="4">
        <f>_xll.IMDP("STK","000210","현재가")</f>
        <v>37450</v>
      </c>
      <c r="U365">
        <f>_xll.IMDP("STK","000210","누적거래량")</f>
        <v>9284</v>
      </c>
    </row>
    <row r="366" spans="3:21" x14ac:dyDescent="0.3">
      <c r="C366">
        <v>361</v>
      </c>
      <c r="D366">
        <v>1460</v>
      </c>
      <c r="E366" t="s">
        <v>669</v>
      </c>
      <c r="F366" t="str">
        <f>ConvertStockCode(표.실시간4[[#This Row],[코드]])</f>
        <v>N001460</v>
      </c>
      <c r="G366" s="4">
        <f>_xll.IMDP("STK",표.실시간4[[#This Row],[nxt_code]],"현재가")</f>
        <v>41300</v>
      </c>
      <c r="H366" s="4">
        <f>_xll.IMDP("STK",표.실시간4[[#This Row],[nxt_code]],"시가총액")/10^12</f>
        <v>0.257965995</v>
      </c>
      <c r="I366" s="4">
        <f>표.실시간4[[#This Row],[시가총액 (조원)]]/표.실시간4[[#This Row],[현재가]]*(표.실시간4[[#This Row],[현재가]]-표.실시간4[[#This Row],[대비]])</f>
        <v>0.25734138000000001</v>
      </c>
      <c r="J366" s="5">
        <f>_xll.IMDP("STK",표.실시간4[[#This Row],[nxt_code]],"전일대비")</f>
        <v>100</v>
      </c>
      <c r="K366">
        <f>_xll.IMDP("STK",표.실시간4[[#This Row],[nxt_code]],"등락률")</f>
        <v>0.24</v>
      </c>
      <c r="L366" s="4">
        <f>_xll.IMDP("STK",표.실시간4[[#This Row],[nxt_code]],"누적거래량")</f>
        <v>422</v>
      </c>
      <c r="M366" s="4">
        <f>_xll.IMDP("STK",표.실시간4[[#This Row],[nxt_code]],"누적거래대금")</f>
        <v>17383100</v>
      </c>
      <c r="N366" s="4">
        <f>_xll.IMDP("STK",표.실시간4[[#This Row],[nxt_code]],"가중평균가")</f>
        <v>41192.180095000003</v>
      </c>
      <c r="O366" s="4">
        <f>_xll.IMDP("STK",표.실시간4[[#This Row],[nxt_code]],"시가")</f>
        <v>41200</v>
      </c>
      <c r="P366" s="4">
        <f>_xll.IMDP("STK",표.실시간4[[#This Row],[nxt_code]],"고가")</f>
        <v>41300</v>
      </c>
      <c r="Q366" s="4">
        <f>_xll.IMDP("STK",표.실시간4[[#This Row],[nxt_code]],"저가")</f>
        <v>40900</v>
      </c>
      <c r="R366">
        <f>_xll.IMDP("STK",표.실시간4[[#This Row],[nxt_code]],"세션명")</f>
        <v>0</v>
      </c>
      <c r="S366">
        <f>_xll.IMDP("STK",표.실시간4[[#This Row],[nxt_code]],"체결시간")</f>
        <v>0</v>
      </c>
      <c r="T366" s="4">
        <f>_xll.IMDP("STK","003850","현재가")</f>
        <v>9050</v>
      </c>
      <c r="U366">
        <f>_xll.IMDP("STK","003850","누적거래량")</f>
        <v>7852</v>
      </c>
    </row>
    <row r="367" spans="3:21" x14ac:dyDescent="0.3">
      <c r="C367">
        <v>362</v>
      </c>
      <c r="D367">
        <v>4360</v>
      </c>
      <c r="E367" t="s">
        <v>671</v>
      </c>
      <c r="F367" t="str">
        <f>ConvertStockCode(표.실시간4[[#This Row],[코드]])</f>
        <v>N004360</v>
      </c>
      <c r="G367" s="4">
        <f>_xll.IMDP("STK",표.실시간4[[#This Row],[nxt_code]],"현재가")</f>
        <v>13650</v>
      </c>
      <c r="H367" s="4">
        <f>_xll.IMDP("STK",표.실시간4[[#This Row],[nxt_code]],"시가총액")/10^12</f>
        <v>0.26092798095000003</v>
      </c>
      <c r="I367" s="4">
        <f>표.실시간4[[#This Row],[시가총액 (조원)]]/표.실시간4[[#This Row],[현재가]]*(표.실시간4[[#This Row],[현재가]]-표.실시간4[[#This Row],[대비]])</f>
        <v>0.25920757668000005</v>
      </c>
      <c r="J367" s="5">
        <f>_xll.IMDP("STK",표.실시간4[[#This Row],[nxt_code]],"전일대비")</f>
        <v>90</v>
      </c>
      <c r="K367">
        <f>_xll.IMDP("STK",표.실시간4[[#This Row],[nxt_code]],"등락률")</f>
        <v>0.66</v>
      </c>
      <c r="L367" s="4">
        <f>_xll.IMDP("STK",표.실시간4[[#This Row],[nxt_code]],"누적거래량")</f>
        <v>1833</v>
      </c>
      <c r="M367" s="4">
        <f>_xll.IMDP("STK",표.실시간4[[#This Row],[nxt_code]],"누적거래대금")</f>
        <v>24926560</v>
      </c>
      <c r="N367" s="4">
        <f>_xll.IMDP("STK",표.실시간4[[#This Row],[nxt_code]],"가중평균가")</f>
        <v>13598.777959999999</v>
      </c>
      <c r="O367" s="4">
        <f>_xll.IMDP("STK",표.실시간4[[#This Row],[nxt_code]],"시가")</f>
        <v>13690</v>
      </c>
      <c r="P367" s="4">
        <f>_xll.IMDP("STK",표.실시간4[[#This Row],[nxt_code]],"고가")</f>
        <v>13690</v>
      </c>
      <c r="Q367" s="4">
        <f>_xll.IMDP("STK",표.실시간4[[#This Row],[nxt_code]],"저가")</f>
        <v>13560</v>
      </c>
      <c r="R367">
        <f>_xll.IMDP("STK",표.실시간4[[#This Row],[nxt_code]],"세션명")</f>
        <v>0</v>
      </c>
      <c r="S367">
        <f>_xll.IMDP("STK",표.실시간4[[#This Row],[nxt_code]],"체결시간")</f>
        <v>0</v>
      </c>
      <c r="T367" s="4">
        <f>_xll.IMDP("STK","042000","현재가")</f>
        <v>31650</v>
      </c>
      <c r="U367">
        <f>_xll.IMDP("STK","042000","누적거래량")</f>
        <v>1436</v>
      </c>
    </row>
    <row r="368" spans="3:21" x14ac:dyDescent="0.3">
      <c r="C368">
        <v>363</v>
      </c>
      <c r="D368">
        <v>78520</v>
      </c>
      <c r="E368" t="s">
        <v>682</v>
      </c>
      <c r="F368" t="str">
        <f>ConvertStockCode(표.실시간4[[#This Row],[코드]])</f>
        <v>N078520</v>
      </c>
      <c r="G368" s="4">
        <f>_xll.IMDP("STK",표.실시간4[[#This Row],[nxt_code]],"현재가")</f>
        <v>9950</v>
      </c>
      <c r="H368" s="4">
        <f>_xll.IMDP("STK",표.실시간4[[#This Row],[nxt_code]],"시가총액")/10^12</f>
        <v>0.25884090194999998</v>
      </c>
      <c r="I368" s="4">
        <f>표.실시간4[[#This Row],[시가총액 (조원)]]/표.실시간4[[#This Row],[현재가]]*(표.실시간4[[#This Row],[현재가]]-표.실시간4[[#This Row],[대비]])</f>
        <v>0.26118217643999997</v>
      </c>
      <c r="J368" s="5">
        <f>_xll.IMDP("STK",표.실시간4[[#This Row],[nxt_code]],"전일대비")</f>
        <v>-90</v>
      </c>
      <c r="K368">
        <f>_xll.IMDP("STK",표.실시간4[[#This Row],[nxt_code]],"등락률")</f>
        <v>-0.9</v>
      </c>
      <c r="L368" s="4">
        <f>_xll.IMDP("STK",표.실시간4[[#This Row],[nxt_code]],"누적거래량")</f>
        <v>14922</v>
      </c>
      <c r="M368" s="4">
        <f>_xll.IMDP("STK",표.실시간4[[#This Row],[nxt_code]],"누적거래대금")</f>
        <v>150132720</v>
      </c>
      <c r="N368" s="4">
        <f>_xll.IMDP("STK",표.실시간4[[#This Row],[nxt_code]],"가중평균가")</f>
        <v>10061.166063999999</v>
      </c>
      <c r="O368" s="4">
        <f>_xll.IMDP("STK",표.실시간4[[#This Row],[nxt_code]],"시가")</f>
        <v>10110</v>
      </c>
      <c r="P368" s="4">
        <f>_xll.IMDP("STK",표.실시간4[[#This Row],[nxt_code]],"고가")</f>
        <v>10180</v>
      </c>
      <c r="Q368" s="4">
        <f>_xll.IMDP("STK",표.실시간4[[#This Row],[nxt_code]],"저가")</f>
        <v>9940</v>
      </c>
      <c r="R368">
        <f>_xll.IMDP("STK",표.실시간4[[#This Row],[nxt_code]],"세션명")</f>
        <v>0</v>
      </c>
      <c r="S368">
        <f>_xll.IMDP("STK",표.실시간4[[#This Row],[nxt_code]],"체결시간")</f>
        <v>0</v>
      </c>
      <c r="T368" s="4">
        <f>_xll.IMDP("STK","086450","현재가")</f>
        <v>16690</v>
      </c>
      <c r="U368">
        <f>_xll.IMDP("STK","086450","누적거래량")</f>
        <v>2422</v>
      </c>
    </row>
    <row r="369" spans="3:21" x14ac:dyDescent="0.3">
      <c r="C369">
        <v>364</v>
      </c>
      <c r="D369">
        <v>108670</v>
      </c>
      <c r="E369" t="s">
        <v>677</v>
      </c>
      <c r="F369" t="str">
        <f>ConvertStockCode(표.실시간4[[#This Row],[코드]])</f>
        <v>N108670</v>
      </c>
      <c r="G369" s="4">
        <f>_xll.IMDP("STK",표.실시간4[[#This Row],[nxt_code]],"현재가")</f>
        <v>29000</v>
      </c>
      <c r="H369" s="4">
        <f>_xll.IMDP("STK",표.실시간4[[#This Row],[nxt_code]],"시가총액")/10^12</f>
        <v>0.26006243000000001</v>
      </c>
      <c r="I369" s="4">
        <f>표.실시간4[[#This Row],[시가총액 (조원)]]/표.실시간4[[#This Row],[현재가]]*(표.실시간4[[#This Row],[현재가]]-표.실시간4[[#This Row],[대비]])</f>
        <v>0.25871727950000001</v>
      </c>
      <c r="J369" s="5">
        <f>_xll.IMDP("STK",표.실시간4[[#This Row],[nxt_code]],"전일대비")</f>
        <v>150</v>
      </c>
      <c r="K369">
        <f>_xll.IMDP("STK",표.실시간4[[#This Row],[nxt_code]],"등락률")</f>
        <v>0.52</v>
      </c>
      <c r="L369" s="4">
        <f>_xll.IMDP("STK",표.실시간4[[#This Row],[nxt_code]],"누적거래량")</f>
        <v>931</v>
      </c>
      <c r="M369" s="4">
        <f>_xll.IMDP("STK",표.실시간4[[#This Row],[nxt_code]],"누적거래대금")</f>
        <v>27213700</v>
      </c>
      <c r="N369" s="4">
        <f>_xll.IMDP("STK",표.실시간4[[#This Row],[nxt_code]],"가중평균가")</f>
        <v>29230.612245</v>
      </c>
      <c r="O369" s="4">
        <f>_xll.IMDP("STK",표.실시간4[[#This Row],[nxt_code]],"시가")</f>
        <v>29800</v>
      </c>
      <c r="P369" s="4">
        <f>_xll.IMDP("STK",표.실시간4[[#This Row],[nxt_code]],"고가")</f>
        <v>29800</v>
      </c>
      <c r="Q369" s="4">
        <f>_xll.IMDP("STK",표.실시간4[[#This Row],[nxt_code]],"저가")</f>
        <v>28900</v>
      </c>
      <c r="R369">
        <f>_xll.IMDP("STK",표.실시간4[[#This Row],[nxt_code]],"세션명")</f>
        <v>0</v>
      </c>
      <c r="S369">
        <f>_xll.IMDP("STK",표.실시간4[[#This Row],[nxt_code]],"체결시간")</f>
        <v>0</v>
      </c>
      <c r="T369" s="4">
        <f>_xll.IMDP("STK","069260","현재가")</f>
        <v>18700</v>
      </c>
      <c r="U369">
        <f>_xll.IMDP("STK","069260","누적거래량")</f>
        <v>1197</v>
      </c>
    </row>
    <row r="370" spans="3:21" x14ac:dyDescent="0.3">
      <c r="C370">
        <v>365</v>
      </c>
      <c r="D370">
        <v>3220</v>
      </c>
      <c r="E370" t="s">
        <v>679</v>
      </c>
      <c r="F370" t="str">
        <f>ConvertStockCode(표.실시간4[[#This Row],[코드]])</f>
        <v>N003220</v>
      </c>
      <c r="G370" s="4">
        <f>_xll.IMDP("STK",표.실시간4[[#This Row],[nxt_code]],"현재가")</f>
        <v>11500</v>
      </c>
      <c r="H370" s="4">
        <f>_xll.IMDP("STK",표.실시간4[[#This Row],[nxt_code]],"시가총액")/10^12</f>
        <v>0.2579172045</v>
      </c>
      <c r="I370" s="4">
        <f>표.실시간4[[#This Row],[시가총액 (조원)]]/표.실시간4[[#This Row],[현재가]]*(표.실시간4[[#This Row],[현재가]]-표.실시간4[[#This Row],[대비]])</f>
        <v>0.25589872202999997</v>
      </c>
      <c r="J370" s="5">
        <f>_xll.IMDP("STK",표.실시간4[[#This Row],[nxt_code]],"전일대비")</f>
        <v>90</v>
      </c>
      <c r="K370">
        <f>_xll.IMDP("STK",표.실시간4[[#This Row],[nxt_code]],"등락률")</f>
        <v>0.79</v>
      </c>
      <c r="L370" s="4">
        <f>_xll.IMDP("STK",표.실시간4[[#This Row],[nxt_code]],"누적거래량")</f>
        <v>2327</v>
      </c>
      <c r="M370" s="4">
        <f>_xll.IMDP("STK",표.실시간4[[#This Row],[nxt_code]],"누적거래대금")</f>
        <v>26711790</v>
      </c>
      <c r="N370" s="4">
        <f>_xll.IMDP("STK",표.실시간4[[#This Row],[nxt_code]],"가중평균가")</f>
        <v>11479.067469</v>
      </c>
      <c r="O370" s="4">
        <f>_xll.IMDP("STK",표.실시간4[[#This Row],[nxt_code]],"시가")</f>
        <v>11500</v>
      </c>
      <c r="P370" s="4">
        <f>_xll.IMDP("STK",표.실시간4[[#This Row],[nxt_code]],"고가")</f>
        <v>11500</v>
      </c>
      <c r="Q370" s="4">
        <f>_xll.IMDP("STK",표.실시간4[[#This Row],[nxt_code]],"저가")</f>
        <v>11410</v>
      </c>
      <c r="R370">
        <f>_xll.IMDP("STK",표.실시간4[[#This Row],[nxt_code]],"세션명")</f>
        <v>0</v>
      </c>
      <c r="S370">
        <f>_xll.IMDP("STK",표.실시간4[[#This Row],[nxt_code]],"체결시간")</f>
        <v>0</v>
      </c>
      <c r="T370" s="4">
        <f>_xll.IMDP("STK","067160","현재가")</f>
        <v>65300</v>
      </c>
      <c r="U370">
        <f>_xll.IMDP("STK","067160","누적거래량")</f>
        <v>248</v>
      </c>
    </row>
    <row r="371" spans="3:21" x14ac:dyDescent="0.3">
      <c r="C371">
        <v>366</v>
      </c>
      <c r="D371">
        <v>5500</v>
      </c>
      <c r="E371" t="s">
        <v>678</v>
      </c>
      <c r="F371" t="str">
        <f>ConvertStockCode(표.실시간4[[#This Row],[코드]])</f>
        <v>N005500</v>
      </c>
      <c r="G371" s="4">
        <f>_xll.IMDP("STK",표.실시간4[[#This Row],[nxt_code]],"현재가")</f>
        <v>19130</v>
      </c>
      <c r="H371" s="4">
        <f>_xll.IMDP("STK",표.실시간4[[#This Row],[nxt_code]],"시가총액")/10^12</f>
        <v>0.25481160000000003</v>
      </c>
      <c r="I371" s="4">
        <f>표.실시간4[[#This Row],[시가총액 (조원)]]/표.실시간4[[#This Row],[현재가]]*(표.실시간4[[#This Row],[현재가]]-표.실시간4[[#This Row],[대비]])</f>
        <v>0.25507800000000003</v>
      </c>
      <c r="J371" s="5">
        <f>_xll.IMDP("STK",표.실시간4[[#This Row],[nxt_code]],"전일대비")</f>
        <v>-20</v>
      </c>
      <c r="K371">
        <f>_xll.IMDP("STK",표.실시간4[[#This Row],[nxt_code]],"등락률")</f>
        <v>-0.1</v>
      </c>
      <c r="L371" s="4">
        <f>_xll.IMDP("STK",표.실시간4[[#This Row],[nxt_code]],"누적거래량")</f>
        <v>708</v>
      </c>
      <c r="M371" s="4">
        <f>_xll.IMDP("STK",표.실시간4[[#This Row],[nxt_code]],"누적거래대금")</f>
        <v>13646610</v>
      </c>
      <c r="N371" s="4">
        <f>_xll.IMDP("STK",표.실시간4[[#This Row],[nxt_code]],"가중평균가")</f>
        <v>19274.872880999999</v>
      </c>
      <c r="O371" s="4">
        <f>_xll.IMDP("STK",표.실시간4[[#This Row],[nxt_code]],"시가")</f>
        <v>19430</v>
      </c>
      <c r="P371" s="4">
        <f>_xll.IMDP("STK",표.실시간4[[#This Row],[nxt_code]],"고가")</f>
        <v>19430</v>
      </c>
      <c r="Q371" s="4">
        <f>_xll.IMDP("STK",표.실시간4[[#This Row],[nxt_code]],"저가")</f>
        <v>19130</v>
      </c>
      <c r="R371">
        <f>_xll.IMDP("STK",표.실시간4[[#This Row],[nxt_code]],"세션명")</f>
        <v>0</v>
      </c>
      <c r="S371">
        <f>_xll.IMDP("STK",표.실시간4[[#This Row],[nxt_code]],"체결시간")</f>
        <v>0</v>
      </c>
      <c r="T371" s="4">
        <f>_xll.IMDP("STK","001680","현재가")</f>
        <v>21950</v>
      </c>
      <c r="U371">
        <f>_xll.IMDP("STK","001680","누적거래량")</f>
        <v>2311</v>
      </c>
    </row>
    <row r="372" spans="3:21" x14ac:dyDescent="0.3">
      <c r="C372">
        <v>367</v>
      </c>
      <c r="D372">
        <v>35150</v>
      </c>
      <c r="E372" t="s">
        <v>675</v>
      </c>
      <c r="F372" t="str">
        <f>ConvertStockCode(표.실시간4[[#This Row],[코드]])</f>
        <v>N035150</v>
      </c>
      <c r="G372" s="4">
        <f>_xll.IMDP("STK",표.실시간4[[#This Row],[nxt_code]],"현재가")</f>
        <v>12330</v>
      </c>
      <c r="H372" s="4">
        <f>_xll.IMDP("STK",표.실시간4[[#This Row],[nxt_code]],"시가총액")/10^12</f>
        <v>0.25349083011000001</v>
      </c>
      <c r="I372" s="4">
        <f>표.실시간4[[#This Row],[시가총액 (조원)]]/표.실시간4[[#This Row],[현재가]]*(표.실시간4[[#This Row],[현재가]]-표.실시간4[[#This Row],[대비]])</f>
        <v>0.25246288676</v>
      </c>
      <c r="J372" s="5">
        <f>_xll.IMDP("STK",표.실시간4[[#This Row],[nxt_code]],"전일대비")</f>
        <v>50</v>
      </c>
      <c r="K372">
        <f>_xll.IMDP("STK",표.실시간4[[#This Row],[nxt_code]],"등락률")</f>
        <v>0.41</v>
      </c>
      <c r="L372" s="4">
        <f>_xll.IMDP("STK",표.실시간4[[#This Row],[nxt_code]],"누적거래량")</f>
        <v>51</v>
      </c>
      <c r="M372" s="4">
        <f>_xll.IMDP("STK",표.실시간4[[#This Row],[nxt_code]],"누적거래대금")</f>
        <v>628830</v>
      </c>
      <c r="N372" s="4">
        <f>_xll.IMDP("STK",표.실시간4[[#This Row],[nxt_code]],"가중평균가")</f>
        <v>12330</v>
      </c>
      <c r="O372" s="4">
        <f>_xll.IMDP("STK",표.실시간4[[#This Row],[nxt_code]],"시가")</f>
        <v>12330</v>
      </c>
      <c r="P372" s="4">
        <f>_xll.IMDP("STK",표.실시간4[[#This Row],[nxt_code]],"고가")</f>
        <v>12330</v>
      </c>
      <c r="Q372" s="4">
        <f>_xll.IMDP("STK",표.실시간4[[#This Row],[nxt_code]],"저가")</f>
        <v>12330</v>
      </c>
      <c r="R372">
        <f>_xll.IMDP("STK",표.실시간4[[#This Row],[nxt_code]],"세션명")</f>
        <v>0</v>
      </c>
      <c r="S372">
        <f>_xll.IMDP("STK",표.실시간4[[#This Row],[nxt_code]],"체결시간")</f>
        <v>0</v>
      </c>
      <c r="T372" s="4">
        <f>_xll.IMDP("STK","336570","현재가")</f>
        <v>8490</v>
      </c>
      <c r="U372">
        <f>_xll.IMDP("STK","336570","누적거래량")</f>
        <v>59696</v>
      </c>
    </row>
    <row r="373" spans="3:21" x14ac:dyDescent="0.3">
      <c r="C373">
        <v>368</v>
      </c>
      <c r="D373">
        <v>226320</v>
      </c>
      <c r="E373" t="s">
        <v>688</v>
      </c>
      <c r="F373" t="str">
        <f>ConvertStockCode(표.실시간4[[#This Row],[코드]])</f>
        <v>N226320</v>
      </c>
      <c r="G373" s="4">
        <f>_xll.IMDP("STK",표.실시간4[[#This Row],[nxt_code]],"현재가")</f>
        <v>11190</v>
      </c>
      <c r="H373" s="4">
        <f>_xll.IMDP("STK",표.실시간4[[#This Row],[nxt_code]],"시가총액")/10^12</f>
        <v>0.24538903484999999</v>
      </c>
      <c r="I373" s="4">
        <f>표.실시간4[[#This Row],[시가총액 (조원)]]/표.실시간4[[#This Row],[현재가]]*(표.실시간4[[#This Row],[현재가]]-표.실시간4[[#This Row],[대비]])</f>
        <v>0.24473115539999998</v>
      </c>
      <c r="J373" s="5">
        <f>_xll.IMDP("STK",표.실시간4[[#This Row],[nxt_code]],"전일대비")</f>
        <v>30</v>
      </c>
      <c r="K373">
        <f>_xll.IMDP("STK",표.실시간4[[#This Row],[nxt_code]],"등락률")</f>
        <v>0.27</v>
      </c>
      <c r="L373" s="4">
        <f>_xll.IMDP("STK",표.실시간4[[#This Row],[nxt_code]],"누적거래량")</f>
        <v>1856</v>
      </c>
      <c r="M373" s="4">
        <f>_xll.IMDP("STK",표.실시간4[[#This Row],[nxt_code]],"누적거래대금")</f>
        <v>20753670</v>
      </c>
      <c r="N373" s="4">
        <f>_xll.IMDP("STK",표.실시간4[[#This Row],[nxt_code]],"가중평균가")</f>
        <v>11181.934267000001</v>
      </c>
      <c r="O373" s="4">
        <f>_xll.IMDP("STK",표.실시간4[[#This Row],[nxt_code]],"시가")</f>
        <v>11190</v>
      </c>
      <c r="P373" s="4">
        <f>_xll.IMDP("STK",표.실시간4[[#This Row],[nxt_code]],"고가")</f>
        <v>11220</v>
      </c>
      <c r="Q373" s="4">
        <f>_xll.IMDP("STK",표.실시간4[[#This Row],[nxt_code]],"저가")</f>
        <v>11170</v>
      </c>
      <c r="R373">
        <f>_xll.IMDP("STK",표.실시간4[[#This Row],[nxt_code]],"세션명")</f>
        <v>0</v>
      </c>
      <c r="S373">
        <f>_xll.IMDP("STK",표.실시간4[[#This Row],[nxt_code]],"체결시간")</f>
        <v>0</v>
      </c>
      <c r="T373" s="4">
        <f>_xll.IMDP("STK","025980","현재가")</f>
        <v>7810</v>
      </c>
      <c r="U373">
        <f>_xll.IMDP("STK","025980","누적거래량")</f>
        <v>3141</v>
      </c>
    </row>
    <row r="374" spans="3:21" x14ac:dyDescent="0.3">
      <c r="C374">
        <v>369</v>
      </c>
      <c r="D374">
        <v>37710</v>
      </c>
      <c r="E374" t="s">
        <v>685</v>
      </c>
      <c r="F374" t="str">
        <f>ConvertStockCode(표.실시간4[[#This Row],[코드]])</f>
        <v>N037710</v>
      </c>
      <c r="G374" s="4">
        <f>_xll.IMDP("STK",표.실시간4[[#This Row],[nxt_code]],"현재가")</f>
        <v>30950</v>
      </c>
      <c r="H374" s="4">
        <f>_xll.IMDP("STK",표.실시간4[[#This Row],[nxt_code]],"시가총액")/10^12</f>
        <v>0.24627503049999999</v>
      </c>
      <c r="I374" s="4">
        <f>표.실시간4[[#This Row],[시가총액 (조원)]]/표.실시간4[[#This Row],[현재가]]*(표.실시간4[[#This Row],[현재가]]-표.실시간4[[#This Row],[대비]])</f>
        <v>0.24587717100000001</v>
      </c>
      <c r="J374" s="5">
        <f>_xll.IMDP("STK",표.실시간4[[#This Row],[nxt_code]],"전일대비")</f>
        <v>50</v>
      </c>
      <c r="K374">
        <f>_xll.IMDP("STK",표.실시간4[[#This Row],[nxt_code]],"등락률")</f>
        <v>0.16</v>
      </c>
      <c r="L374" s="4">
        <f>_xll.IMDP("STK",표.실시간4[[#This Row],[nxt_code]],"누적거래량")</f>
        <v>200</v>
      </c>
      <c r="M374" s="4">
        <f>_xll.IMDP("STK",표.실시간4[[#This Row],[nxt_code]],"누적거래대금")</f>
        <v>6196850</v>
      </c>
      <c r="N374" s="4">
        <f>_xll.IMDP("STK",표.실시간4[[#This Row],[nxt_code]],"가중평균가")</f>
        <v>30984.25</v>
      </c>
      <c r="O374" s="4">
        <f>_xll.IMDP("STK",표.실시간4[[#This Row],[nxt_code]],"시가")</f>
        <v>30850</v>
      </c>
      <c r="P374" s="4">
        <f>_xll.IMDP("STK",표.실시간4[[#This Row],[nxt_code]],"고가")</f>
        <v>31050</v>
      </c>
      <c r="Q374" s="4">
        <f>_xll.IMDP("STK",표.실시간4[[#This Row],[nxt_code]],"저가")</f>
        <v>30850</v>
      </c>
      <c r="R374">
        <f>_xll.IMDP("STK",표.실시간4[[#This Row],[nxt_code]],"세션명")</f>
        <v>0</v>
      </c>
      <c r="S374">
        <f>_xll.IMDP("STK",표.실시간4[[#This Row],[nxt_code]],"체결시간")</f>
        <v>0</v>
      </c>
      <c r="T374" s="4">
        <f>_xll.IMDP("STK","125490","현재가")</f>
        <v>19180</v>
      </c>
      <c r="U374">
        <f>_xll.IMDP("STK","125490","누적거래량")</f>
        <v>21588</v>
      </c>
    </row>
    <row r="375" spans="3:21" x14ac:dyDescent="0.3">
      <c r="C375">
        <v>370</v>
      </c>
      <c r="D375">
        <v>1130</v>
      </c>
      <c r="E375" t="s">
        <v>692</v>
      </c>
      <c r="F375" t="str">
        <f>ConvertStockCode(표.실시간4[[#This Row],[코드]])</f>
        <v>N001130</v>
      </c>
      <c r="G375" s="4">
        <f>_xll.IMDP("STK",표.실시간4[[#This Row],[nxt_code]],"현재가")</f>
        <v>143000</v>
      </c>
      <c r="H375" s="4">
        <f>_xll.IMDP("STK",표.실시간4[[#This Row],[nxt_code]],"시가총액")/10^12</f>
        <v>0.24167</v>
      </c>
      <c r="I375" s="4">
        <f>표.실시간4[[#This Row],[시가총액 (조원)]]/표.실시간4[[#This Row],[현재가]]*(표.실시간4[[#This Row],[현재가]]-표.실시간4[[#This Row],[대비]])</f>
        <v>0.23930399999999999</v>
      </c>
      <c r="J375" s="5">
        <f>_xll.IMDP("STK",표.실시간4[[#This Row],[nxt_code]],"전일대비")</f>
        <v>1400</v>
      </c>
      <c r="K375">
        <f>_xll.IMDP("STK",표.실시간4[[#This Row],[nxt_code]],"등락률")</f>
        <v>0.99</v>
      </c>
      <c r="L375" s="4">
        <f>_xll.IMDP("STK",표.실시간4[[#This Row],[nxt_code]],"누적거래량")</f>
        <v>5</v>
      </c>
      <c r="M375" s="4">
        <f>_xll.IMDP("STK",표.실시간4[[#This Row],[nxt_code]],"누적거래대금")</f>
        <v>716000</v>
      </c>
      <c r="N375" s="4">
        <f>_xll.IMDP("STK",표.실시간4[[#This Row],[nxt_code]],"가중평균가")</f>
        <v>143200</v>
      </c>
      <c r="O375" s="4">
        <f>_xll.IMDP("STK",표.실시간4[[#This Row],[nxt_code]],"시가")</f>
        <v>144000</v>
      </c>
      <c r="P375" s="4">
        <f>_xll.IMDP("STK",표.실시간4[[#This Row],[nxt_code]],"고가")</f>
        <v>144000</v>
      </c>
      <c r="Q375" s="4">
        <f>_xll.IMDP("STK",표.실시간4[[#This Row],[nxt_code]],"저가")</f>
        <v>143000</v>
      </c>
      <c r="R375">
        <f>_xll.IMDP("STK",표.실시간4[[#This Row],[nxt_code]],"세션명")</f>
        <v>0</v>
      </c>
      <c r="S375">
        <f>_xll.IMDP("STK",표.실시간4[[#This Row],[nxt_code]],"체결시간")</f>
        <v>0</v>
      </c>
      <c r="T375" s="4">
        <f>_xll.IMDP("STK","214320","현재가")</f>
        <v>18640</v>
      </c>
      <c r="U375">
        <f>_xll.IMDP("STK","214320","누적거래량")</f>
        <v>8650</v>
      </c>
    </row>
    <row r="376" spans="3:21" x14ac:dyDescent="0.3">
      <c r="C376">
        <v>371</v>
      </c>
      <c r="D376">
        <v>1630</v>
      </c>
      <c r="E376" t="s">
        <v>693</v>
      </c>
      <c r="F376" t="str">
        <f>ConvertStockCode(표.실시간4[[#This Row],[코드]])</f>
        <v>N001630</v>
      </c>
      <c r="G376" s="4">
        <f>_xll.IMDP("STK",표.실시간4[[#This Row],[nxt_code]],"현재가")</f>
        <v>47200</v>
      </c>
      <c r="H376" s="4">
        <f>_xll.IMDP("STK",표.실시간4[[#This Row],[nxt_code]],"시가총액")/10^12</f>
        <v>0.23646543919999999</v>
      </c>
      <c r="I376" s="4">
        <f>표.실시간4[[#This Row],[시가총액 (조원)]]/표.실시간4[[#This Row],[현재가]]*(표.실시간4[[#This Row],[현재가]]-표.실시간4[[#This Row],[대비]])</f>
        <v>0.23546346700000001</v>
      </c>
      <c r="J376" s="5">
        <f>_xll.IMDP("STK",표.실시간4[[#This Row],[nxt_code]],"전일대비")</f>
        <v>200</v>
      </c>
      <c r="K376">
        <f>_xll.IMDP("STK",표.실시간4[[#This Row],[nxt_code]],"등락률")</f>
        <v>0.43</v>
      </c>
      <c r="L376" s="4">
        <f>_xll.IMDP("STK",표.실시간4[[#This Row],[nxt_code]],"누적거래량")</f>
        <v>151</v>
      </c>
      <c r="M376" s="4">
        <f>_xll.IMDP("STK",표.실시간4[[#This Row],[nxt_code]],"누적거래대금")</f>
        <v>7149400</v>
      </c>
      <c r="N376" s="4">
        <f>_xll.IMDP("STK",표.실시간4[[#This Row],[nxt_code]],"가중평균가")</f>
        <v>47347.019868000003</v>
      </c>
      <c r="O376" s="4">
        <f>_xll.IMDP("STK",표.실시간4[[#This Row],[nxt_code]],"시가")</f>
        <v>47200</v>
      </c>
      <c r="P376" s="4">
        <f>_xll.IMDP("STK",표.실시간4[[#This Row],[nxt_code]],"고가")</f>
        <v>47450</v>
      </c>
      <c r="Q376" s="4">
        <f>_xll.IMDP("STK",표.실시간4[[#This Row],[nxt_code]],"저가")</f>
        <v>47200</v>
      </c>
      <c r="R376">
        <f>_xll.IMDP("STK",표.실시간4[[#This Row],[nxt_code]],"세션명")</f>
        <v>0</v>
      </c>
      <c r="S376">
        <f>_xll.IMDP("STK",표.실시간4[[#This Row],[nxt_code]],"체결시간")</f>
        <v>0</v>
      </c>
      <c r="T376" s="4">
        <f>_xll.IMDP("STK","381970","현재가")</f>
        <v>15340</v>
      </c>
      <c r="U376">
        <f>_xll.IMDP("STK","381970","누적거래량")</f>
        <v>382</v>
      </c>
    </row>
    <row r="377" spans="3:21" x14ac:dyDescent="0.3">
      <c r="C377">
        <v>372</v>
      </c>
      <c r="D377">
        <v>1750</v>
      </c>
      <c r="E377" t="s">
        <v>694</v>
      </c>
      <c r="F377" t="str">
        <f>ConvertStockCode(표.실시간4[[#This Row],[코드]])</f>
        <v>N001750</v>
      </c>
      <c r="G377" s="4">
        <f>_xll.IMDP("STK",표.실시간4[[#This Row],[nxt_code]],"현재가")</f>
        <v>18690</v>
      </c>
      <c r="H377" s="4">
        <f>_xll.IMDP("STK",표.실시간4[[#This Row],[nxt_code]],"시가총액")/10^12</f>
        <v>0.23789630045999999</v>
      </c>
      <c r="I377" s="4">
        <f>표.실시간4[[#This Row],[시가총액 (조원)]]/표.실시간4[[#This Row],[현재가]]*(표.실시간4[[#This Row],[현재가]]-표.실시간4[[#This Row],[대비]])</f>
        <v>0.23624159104</v>
      </c>
      <c r="J377" s="5">
        <f>_xll.IMDP("STK",표.실시간4[[#This Row],[nxt_code]],"전일대비")</f>
        <v>130</v>
      </c>
      <c r="K377">
        <f>_xll.IMDP("STK",표.실시간4[[#This Row],[nxt_code]],"등락률")</f>
        <v>0.7</v>
      </c>
      <c r="L377" s="4">
        <f>_xll.IMDP("STK",표.실시간4[[#This Row],[nxt_code]],"누적거래량")</f>
        <v>1121</v>
      </c>
      <c r="M377" s="4">
        <f>_xll.IMDP("STK",표.실시간4[[#This Row],[nxt_code]],"누적거래대금")</f>
        <v>20913670</v>
      </c>
      <c r="N377" s="4">
        <f>_xll.IMDP("STK",표.실시간4[[#This Row],[nxt_code]],"가중평균가")</f>
        <v>18656.262266000002</v>
      </c>
      <c r="O377" s="4">
        <f>_xll.IMDP("STK",표.실시간4[[#This Row],[nxt_code]],"시가")</f>
        <v>18660</v>
      </c>
      <c r="P377" s="4">
        <f>_xll.IMDP("STK",표.실시간4[[#This Row],[nxt_code]],"고가")</f>
        <v>18700</v>
      </c>
      <c r="Q377" s="4">
        <f>_xll.IMDP("STK",표.실시간4[[#This Row],[nxt_code]],"저가")</f>
        <v>18630</v>
      </c>
      <c r="R377">
        <f>_xll.IMDP("STK",표.실시간4[[#This Row],[nxt_code]],"세션명")</f>
        <v>0</v>
      </c>
      <c r="S377">
        <f>_xll.IMDP("STK",표.실시간4[[#This Row],[nxt_code]],"체결시간")</f>
        <v>0</v>
      </c>
      <c r="T377" s="4">
        <f>_xll.IMDP("STK","248070","현재가")</f>
        <v>15610</v>
      </c>
      <c r="U377">
        <f>_xll.IMDP("STK","248070","누적거래량")</f>
        <v>964</v>
      </c>
    </row>
    <row r="378" spans="3:21" x14ac:dyDescent="0.3">
      <c r="C378">
        <v>373</v>
      </c>
      <c r="D378">
        <v>84010</v>
      </c>
      <c r="E378" t="s">
        <v>696</v>
      </c>
      <c r="F378" t="str">
        <f>ConvertStockCode(표.실시간4[[#This Row],[코드]])</f>
        <v>N084010</v>
      </c>
      <c r="G378" s="4">
        <f>_xll.IMDP("STK",표.실시간4[[#This Row],[nxt_code]],"현재가")</f>
        <v>10350</v>
      </c>
      <c r="H378" s="4">
        <f>_xll.IMDP("STK",표.실시간4[[#This Row],[nxt_code]],"시가총액")/10^12</f>
        <v>0.23716400895</v>
      </c>
      <c r="I378" s="4">
        <f>표.실시간4[[#This Row],[시가총액 (조원)]]/표.실시간4[[#This Row],[현재가]]*(표.실시간4[[#This Row],[현재가]]-표.실시간4[[#This Row],[대비]])</f>
        <v>0.23487256925</v>
      </c>
      <c r="J378" s="5">
        <f>_xll.IMDP("STK",표.실시간4[[#This Row],[nxt_code]],"전일대비")</f>
        <v>100</v>
      </c>
      <c r="K378">
        <f>_xll.IMDP("STK",표.실시간4[[#This Row],[nxt_code]],"등락률")</f>
        <v>0.98</v>
      </c>
      <c r="L378" s="4">
        <f>_xll.IMDP("STK",표.실시간4[[#This Row],[nxt_code]],"누적거래량")</f>
        <v>1318</v>
      </c>
      <c r="M378" s="4">
        <f>_xll.IMDP("STK",표.실시간4[[#This Row],[nxt_code]],"누적거래대금")</f>
        <v>13698760</v>
      </c>
      <c r="N378" s="4">
        <f>_xll.IMDP("STK",표.실시간4[[#This Row],[nxt_code]],"가중평균가")</f>
        <v>10393.596358000001</v>
      </c>
      <c r="O378" s="4">
        <f>_xll.IMDP("STK",표.실시간4[[#This Row],[nxt_code]],"시가")</f>
        <v>10520</v>
      </c>
      <c r="P378" s="4">
        <f>_xll.IMDP("STK",표.실시간4[[#This Row],[nxt_code]],"고가")</f>
        <v>10540</v>
      </c>
      <c r="Q378" s="4">
        <f>_xll.IMDP("STK",표.실시간4[[#This Row],[nxt_code]],"저가")</f>
        <v>10280</v>
      </c>
      <c r="R378">
        <f>_xll.IMDP("STK",표.실시간4[[#This Row],[nxt_code]],"세션명")</f>
        <v>0</v>
      </c>
      <c r="S378">
        <f>_xll.IMDP("STK",표.실시간4[[#This Row],[nxt_code]],"체결시간")</f>
        <v>0</v>
      </c>
      <c r="T378" s="4">
        <f>_xll.IMDP("STK","005180","현재가")</f>
        <v>76200</v>
      </c>
      <c r="U378">
        <f>_xll.IMDP("STK","005180","누적거래량")</f>
        <v>385</v>
      </c>
    </row>
    <row r="379" spans="3:21" x14ac:dyDescent="0.3">
      <c r="C379">
        <v>374</v>
      </c>
      <c r="D379">
        <v>8490</v>
      </c>
      <c r="E379" t="s">
        <v>698</v>
      </c>
      <c r="F379" t="str">
        <f>ConvertStockCode(표.실시간4[[#This Row],[코드]])</f>
        <v>N008490</v>
      </c>
      <c r="G379" s="4">
        <f>_xll.IMDP("STK",표.실시간4[[#This Row],[nxt_code]],"현재가")</f>
        <v>20850</v>
      </c>
      <c r="H379" s="4">
        <f>_xll.IMDP("STK",표.실시간4[[#This Row],[nxt_code]],"시가총액")/10^12</f>
        <v>0.24121600604999999</v>
      </c>
      <c r="I379" s="4">
        <f>표.실시간4[[#This Row],[시가총액 (조원)]]/표.실시간4[[#This Row],[현재가]]*(표.실시간4[[#This Row],[현재가]]-표.실시간4[[#This Row],[대비]])</f>
        <v>0.24063755039999998</v>
      </c>
      <c r="J379" s="5">
        <f>_xll.IMDP("STK",표.실시간4[[#This Row],[nxt_code]],"전일대비")</f>
        <v>50</v>
      </c>
      <c r="K379">
        <f>_xll.IMDP("STK",표.실시간4[[#This Row],[nxt_code]],"등락률")</f>
        <v>0.24</v>
      </c>
      <c r="L379" s="4">
        <f>_xll.IMDP("STK",표.실시간4[[#This Row],[nxt_code]],"누적거래량")</f>
        <v>358</v>
      </c>
      <c r="M379" s="4">
        <f>_xll.IMDP("STK",표.실시간4[[#This Row],[nxt_code]],"누적거래대금")</f>
        <v>7479100</v>
      </c>
      <c r="N379" s="4">
        <f>_xll.IMDP("STK",표.실시간4[[#This Row],[nxt_code]],"가중평균가")</f>
        <v>20891.340781999999</v>
      </c>
      <c r="O379" s="4">
        <f>_xll.IMDP("STK",표.실시간4[[#This Row],[nxt_code]],"시가")</f>
        <v>20950</v>
      </c>
      <c r="P379" s="4">
        <f>_xll.IMDP("STK",표.실시간4[[#This Row],[nxt_code]],"고가")</f>
        <v>20950</v>
      </c>
      <c r="Q379" s="4">
        <f>_xll.IMDP("STK",표.실시간4[[#This Row],[nxt_code]],"저가")</f>
        <v>20850</v>
      </c>
      <c r="R379">
        <f>_xll.IMDP("STK",표.실시간4[[#This Row],[nxt_code]],"세션명")</f>
        <v>0</v>
      </c>
      <c r="S379">
        <f>_xll.IMDP("STK",표.실시간4[[#This Row],[nxt_code]],"체결시간")</f>
        <v>0</v>
      </c>
      <c r="T379" s="4">
        <f>_xll.IMDP("STK","036810","현재가")</f>
        <v>37050</v>
      </c>
      <c r="U379">
        <f>_xll.IMDP("STK","036810","누적거래량")</f>
        <v>75641</v>
      </c>
    </row>
    <row r="380" spans="3:21" x14ac:dyDescent="0.3">
      <c r="C380">
        <v>375</v>
      </c>
      <c r="D380">
        <v>4980</v>
      </c>
      <c r="E380" t="s">
        <v>701</v>
      </c>
      <c r="F380" t="str">
        <f>ConvertStockCode(표.실시간4[[#This Row],[코드]])</f>
        <v>N004980</v>
      </c>
      <c r="G380" s="4">
        <f>_xll.IMDP("STK",표.실시간4[[#This Row],[nxt_code]],"현재가")</f>
        <v>9490</v>
      </c>
      <c r="H380" s="4">
        <f>_xll.IMDP("STK",표.실시간4[[#This Row],[nxt_code]],"시가총액")/10^12</f>
        <v>0.23265753277000001</v>
      </c>
      <c r="I380" s="4">
        <f>표.실시간4[[#This Row],[시가총액 (조원)]]/표.실시간4[[#This Row],[현재가]]*(표.실시간4[[#This Row],[현재가]]-표.실시간4[[#This Row],[대비]])</f>
        <v>0.23118656839000001</v>
      </c>
      <c r="J380" s="5">
        <f>_xll.IMDP("STK",표.실시간4[[#This Row],[nxt_code]],"전일대비")</f>
        <v>60</v>
      </c>
      <c r="K380">
        <f>_xll.IMDP("STK",표.실시간4[[#This Row],[nxt_code]],"등락률")</f>
        <v>0.96</v>
      </c>
      <c r="L380" s="4">
        <f>_xll.IMDP("STK",표.실시간4[[#This Row],[nxt_code]],"누적거래량")</f>
        <v>8001</v>
      </c>
      <c r="M380" s="4">
        <f>_xll.IMDP("STK",표.실시간4[[#This Row],[nxt_code]],"누적거래대금")</f>
        <v>75871930</v>
      </c>
      <c r="N380" s="4">
        <f>_xll.IMDP("STK",표.실시간4[[#This Row],[nxt_code]],"가중평균가")</f>
        <v>9482.7579270000006</v>
      </c>
      <c r="O380" s="4">
        <f>_xll.IMDP("STK",표.실시간4[[#This Row],[nxt_code]],"시가")</f>
        <v>9490</v>
      </c>
      <c r="P380" s="4">
        <f>_xll.IMDP("STK",표.실시간4[[#This Row],[nxt_code]],"고가")</f>
        <v>9490</v>
      </c>
      <c r="Q380" s="4">
        <f>_xll.IMDP("STK",표.실시간4[[#This Row],[nxt_code]],"저가")</f>
        <v>9460</v>
      </c>
      <c r="R380">
        <f>_xll.IMDP("STK",표.실시간4[[#This Row],[nxt_code]],"세션명")</f>
        <v>0</v>
      </c>
      <c r="S380">
        <f>_xll.IMDP("STK",표.실시간4[[#This Row],[nxt_code]],"체결시간")</f>
        <v>0</v>
      </c>
      <c r="T380" s="4">
        <f>_xll.IMDP("STK","287840","현재가")</f>
        <v>50200</v>
      </c>
      <c r="U380">
        <f>_xll.IMDP("STK","287840","누적거래량")</f>
        <v>1275</v>
      </c>
    </row>
  </sheetData>
  <phoneticPr fontId="2" type="noConversion"/>
  <conditionalFormatting sqref="K6:K38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{64416C50-5996-4C82-845E-686ED0364AFC}</x14:id>
        </ext>
      </extLst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416C50-5996-4C82-845E-686ED0364A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K6:K380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4388A-F83B-4CE0-97FE-DA813B4FECF8}">
  <sheetPr codeName="Sheet1"/>
  <dimension ref="C4:V696"/>
  <sheetViews>
    <sheetView workbookViewId="0">
      <selection activeCell="C5" sqref="C5"/>
    </sheetView>
  </sheetViews>
  <sheetFormatPr defaultRowHeight="16.5" x14ac:dyDescent="0.3"/>
  <cols>
    <col min="7" max="7" width="10.875" bestFit="1" customWidth="1"/>
    <col min="8" max="8" width="14.5" customWidth="1"/>
    <col min="9" max="9" width="13.875" customWidth="1"/>
    <col min="12" max="12" width="18.5" customWidth="1"/>
    <col min="13" max="13" width="16.875" customWidth="1"/>
    <col min="14" max="14" width="16.75" customWidth="1"/>
    <col min="15" max="17" width="10.875" bestFit="1" customWidth="1"/>
    <col min="18" max="18" width="10.25" customWidth="1"/>
    <col min="19" max="19" width="13.875" customWidth="1"/>
    <col min="20" max="20" width="12.125" customWidth="1"/>
    <col min="21" max="21" width="10.25" customWidth="1"/>
    <col min="22" max="22" width="11.875" customWidth="1"/>
    <col min="23" max="23" width="12.125" customWidth="1"/>
    <col min="24" max="24" width="13.75" customWidth="1"/>
  </cols>
  <sheetData>
    <row r="4" spans="3:22" x14ac:dyDescent="0.3">
      <c r="C4" t="s">
        <v>723</v>
      </c>
    </row>
    <row r="5" spans="3:22" x14ac:dyDescent="0.3">
      <c r="C5" t="s">
        <v>0</v>
      </c>
      <c r="D5" t="s">
        <v>1</v>
      </c>
      <c r="E5" t="s">
        <v>2</v>
      </c>
      <c r="F5" t="s">
        <v>719</v>
      </c>
      <c r="G5" t="s">
        <v>720</v>
      </c>
      <c r="H5" t="s">
        <v>722</v>
      </c>
      <c r="I5" t="s">
        <v>717</v>
      </c>
      <c r="J5" t="s">
        <v>4</v>
      </c>
      <c r="K5" t="s">
        <v>5</v>
      </c>
      <c r="L5" t="s">
        <v>6</v>
      </c>
      <c r="M5" t="s">
        <v>7</v>
      </c>
      <c r="N5" t="s">
        <v>8</v>
      </c>
      <c r="O5" t="s">
        <v>9</v>
      </c>
      <c r="P5" t="s">
        <v>10</v>
      </c>
      <c r="Q5" t="s">
        <v>11</v>
      </c>
      <c r="R5" t="s">
        <v>12</v>
      </c>
      <c r="S5" t="s">
        <v>718</v>
      </c>
      <c r="T5" t="s">
        <v>13</v>
      </c>
      <c r="U5" t="s">
        <v>16</v>
      </c>
      <c r="V5" t="s">
        <v>17</v>
      </c>
    </row>
    <row r="6" spans="3:22" x14ac:dyDescent="0.3">
      <c r="C6">
        <v>1</v>
      </c>
      <c r="D6">
        <v>5930</v>
      </c>
      <c r="E6" t="s">
        <v>18</v>
      </c>
      <c r="F6" t="str">
        <f>ConvertStockCode(표.실시간[[#This Row],[코드]])</f>
        <v>N005930</v>
      </c>
      <c r="G6" s="4">
        <f>_xll.IMDP("STK",표.실시간[[#This Row],[nxt_code]],"현재가")</f>
        <v>153400</v>
      </c>
      <c r="H6" s="4">
        <f>_xll.IMDP("STK",표.실시간[[#This Row],[nxt_code]],"시가총액")/10^12</f>
        <v>908.07245723480003</v>
      </c>
      <c r="I6" t="str">
        <f>_xll.IMDP("","","전일대비부호")</f>
        <v>코드오류</v>
      </c>
      <c r="J6" s="5">
        <f>_xll.IMDP("STK",표.실시간[[#This Row],[nxt_code]],"전일대비")</f>
        <v>1200</v>
      </c>
      <c r="K6">
        <f>_xll.IMDP("STK",표.실시간[[#This Row],[nxt_code]],"등락률")</f>
        <v>0.72</v>
      </c>
      <c r="L6" s="4">
        <f>_xll.IMDP("STK",표.실시간[[#This Row],[nxt_code]],"누적거래량")</f>
        <v>2280981</v>
      </c>
      <c r="M6" s="4">
        <f>_xll.IMDP("STK",표.실시간[[#This Row],[nxt_code]],"누적거래대금")</f>
        <v>351203318500</v>
      </c>
      <c r="N6" s="4">
        <f>_xll.IMDP("STK",표.실시간[[#This Row],[nxt_code]],"가중평균가")</f>
        <v>153970.29545599999</v>
      </c>
      <c r="O6" s="4">
        <f>_xll.IMDP("STK",표.실시간[[#This Row],[nxt_code]],"시가")</f>
        <v>153600</v>
      </c>
      <c r="P6" s="4">
        <f>_xll.IMDP("STK",표.실시간[[#This Row],[nxt_code]],"고가")</f>
        <v>154400</v>
      </c>
      <c r="Q6" s="4">
        <f>_xll.IMDP("STK",표.실시간[[#This Row],[nxt_code]],"저가")</f>
        <v>152800</v>
      </c>
      <c r="R6">
        <f>_xll.IMDP("STK",표.실시간[[#This Row],[nxt_code]],"세션명")</f>
        <v>0</v>
      </c>
      <c r="S6">
        <f>_xll.IMDP("STK",표.실시간[[#This Row],[nxt_code]],"체결시간")</f>
        <v>0</v>
      </c>
      <c r="T6" s="4">
        <f>_xll.IMDP("STK","005930","현재가")</f>
        <v>153400</v>
      </c>
      <c r="U6">
        <f>_xll.IMDP("STK","005930","누적거래량")</f>
        <v>1464330</v>
      </c>
      <c r="V6">
        <v>825.9</v>
      </c>
    </row>
    <row r="7" spans="3:22" x14ac:dyDescent="0.3">
      <c r="C7">
        <v>2</v>
      </c>
      <c r="D7">
        <v>660</v>
      </c>
      <c r="E7" t="s">
        <v>19</v>
      </c>
      <c r="F7" t="str">
        <f>ConvertStockCode(표.실시간[[#This Row],[코드]])</f>
        <v>N000660</v>
      </c>
      <c r="G7" s="4">
        <f>_xll.IMDP("STK",표.실시간[[#This Row],[nxt_code]],"현재가")</f>
        <v>750000</v>
      </c>
      <c r="H7" s="4">
        <f>_xll.IMDP("STK",표.실시간[[#This Row],[nxt_code]],"시가총액")/10^12</f>
        <v>548.18578084499995</v>
      </c>
      <c r="I7" t="str">
        <f>_xll.IMDP("","","전일대비부호")</f>
        <v>코드오류</v>
      </c>
      <c r="J7" s="5">
        <f>_xll.IMDP("STK",표.실시간[[#This Row],[nxt_code]],"전일대비")</f>
        <v>-2000</v>
      </c>
      <c r="K7">
        <f>_xll.IMDP("STK",표.실시간[[#This Row],[nxt_code]],"등락률")</f>
        <v>-0.66</v>
      </c>
      <c r="L7" s="4">
        <f>_xll.IMDP("STK",표.실시간[[#This Row],[nxt_code]],"누적거래량")</f>
        <v>235944</v>
      </c>
      <c r="M7" s="4">
        <f>_xll.IMDP("STK",표.실시간[[#This Row],[nxt_code]],"누적거래대금")</f>
        <v>178500740500</v>
      </c>
      <c r="N7" s="4">
        <f>_xll.IMDP("STK",표.실시간[[#This Row],[nxt_code]],"가중평균가")</f>
        <v>756538.58754600002</v>
      </c>
      <c r="O7" s="4">
        <f>_xll.IMDP("STK",표.실시간[[#This Row],[nxt_code]],"시가")</f>
        <v>753000</v>
      </c>
      <c r="P7" s="4">
        <f>_xll.IMDP("STK",표.실시간[[#This Row],[nxt_code]],"고가")</f>
        <v>767000</v>
      </c>
      <c r="Q7" s="4">
        <f>_xll.IMDP("STK",표.실시간[[#This Row],[nxt_code]],"저가")</f>
        <v>750000</v>
      </c>
      <c r="R7">
        <f>_xll.IMDP("STK",표.실시간[[#This Row],[nxt_code]],"세션명")</f>
        <v>0</v>
      </c>
      <c r="S7">
        <f>_xll.IMDP("STK",표.실시간[[#This Row],[nxt_code]],"체결시간")</f>
        <v>0</v>
      </c>
      <c r="T7" s="4">
        <f>_xll.IMDP("STK","000660","현재가")</f>
        <v>750000</v>
      </c>
      <c r="U7">
        <f>_xll.IMDP("STK","000660","누적거래량")</f>
        <v>164296</v>
      </c>
      <c r="V7" s="2">
        <v>1052.33</v>
      </c>
    </row>
    <row r="8" spans="3:22" x14ac:dyDescent="0.3">
      <c r="C8">
        <v>3</v>
      </c>
      <c r="D8">
        <v>5380</v>
      </c>
      <c r="E8" t="s">
        <v>20</v>
      </c>
      <c r="F8" t="str">
        <f>ConvertStockCode(표.실시간[[#This Row],[코드]])</f>
        <v>N005380</v>
      </c>
      <c r="G8" s="4">
        <f>_xll.IMDP("STK",표.실시간[[#This Row],[nxt_code]],"현재가")</f>
        <v>533000</v>
      </c>
      <c r="H8" s="4">
        <f>_xll.IMDP("STK",표.실시간[[#This Row],[nxt_code]],"시가총액")/10^12</f>
        <v>109.13588927799999</v>
      </c>
      <c r="I8" t="str">
        <f>_xll.IMDP("","","전일대비부호")</f>
        <v>코드오류</v>
      </c>
      <c r="J8" s="5">
        <f>_xll.IMDP("STK",표.실시간[[#This Row],[nxt_code]],"전일대비")</f>
        <v>4000</v>
      </c>
      <c r="K8">
        <f>_xll.IMDP("STK",표.실시간[[#This Row],[nxt_code]],"등락률")</f>
        <v>0.76</v>
      </c>
      <c r="L8" s="4">
        <f>_xll.IMDP("STK",표.실시간[[#This Row],[nxt_code]],"누적거래량")</f>
        <v>924109</v>
      </c>
      <c r="M8" s="4">
        <f>_xll.IMDP("STK",표.실시간[[#This Row],[nxt_code]],"누적거래대금")</f>
        <v>495822819500</v>
      </c>
      <c r="N8" s="4">
        <f>_xll.IMDP("STK",표.실시간[[#This Row],[nxt_code]],"가중평균가")</f>
        <v>536541.48969399999</v>
      </c>
      <c r="O8" s="4">
        <f>_xll.IMDP("STK",표.실시간[[#This Row],[nxt_code]],"시가")</f>
        <v>538000</v>
      </c>
      <c r="P8" s="4">
        <f>_xll.IMDP("STK",표.실시간[[#This Row],[nxt_code]],"고가")</f>
        <v>551000</v>
      </c>
      <c r="Q8" s="4">
        <f>_xll.IMDP("STK",표.실시간[[#This Row],[nxt_code]],"저가")</f>
        <v>522000</v>
      </c>
      <c r="R8">
        <f>_xll.IMDP("STK",표.실시간[[#This Row],[nxt_code]],"세션명")</f>
        <v>0</v>
      </c>
      <c r="S8">
        <f>_xll.IMDP("STK",표.실시간[[#This Row],[nxt_code]],"체결시간")</f>
        <v>0</v>
      </c>
      <c r="T8" s="4">
        <f>_xll.IMDP("STK","005380","현재가")</f>
        <v>533000</v>
      </c>
      <c r="U8">
        <f>_xll.IMDP("STK","005380","누적거래량")</f>
        <v>149291</v>
      </c>
      <c r="V8" s="2">
        <v>5440.58</v>
      </c>
    </row>
    <row r="9" spans="3:22" x14ac:dyDescent="0.3">
      <c r="C9">
        <v>4</v>
      </c>
      <c r="D9">
        <v>373220</v>
      </c>
      <c r="E9" t="s">
        <v>21</v>
      </c>
      <c r="F9" t="str">
        <f>ConvertStockCode(표.실시간[[#This Row],[코드]])</f>
        <v>N373220</v>
      </c>
      <c r="G9" s="4">
        <f>_xll.IMDP("STK",표.실시간[[#This Row],[nxt_code]],"현재가")</f>
        <v>422500</v>
      </c>
      <c r="H9" s="4">
        <f>_xll.IMDP("STK",표.실시간[[#This Row],[nxt_code]],"시가총액")/10^12</f>
        <v>98.864999999999995</v>
      </c>
      <c r="I9" t="str">
        <f>_xll.IMDP("","","전일대비부호")</f>
        <v>코드오류</v>
      </c>
      <c r="J9" s="5">
        <f>_xll.IMDP("STK",표.실시간[[#This Row],[nxt_code]],"전일대비")</f>
        <v>5500</v>
      </c>
      <c r="K9">
        <f>_xll.IMDP("STK",표.실시간[[#This Row],[nxt_code]],"등락률")</f>
        <v>1.32</v>
      </c>
      <c r="L9" s="4">
        <f>_xll.IMDP("STK",표.실시간[[#This Row],[nxt_code]],"누적거래량")</f>
        <v>127979</v>
      </c>
      <c r="M9" s="4">
        <f>_xll.IMDP("STK",표.실시간[[#This Row],[nxt_code]],"누적거래대금")</f>
        <v>54840252250</v>
      </c>
      <c r="N9" s="4">
        <f>_xll.IMDP("STK",표.실시간[[#This Row],[nxt_code]],"가중평균가")</f>
        <v>428452.85985499999</v>
      </c>
      <c r="O9" s="4">
        <f>_xll.IMDP("STK",표.실시간[[#This Row],[nxt_code]],"시가")</f>
        <v>424000</v>
      </c>
      <c r="P9" s="4">
        <f>_xll.IMDP("STK",표.실시간[[#This Row],[nxt_code]],"고가")</f>
        <v>435000</v>
      </c>
      <c r="Q9" s="4">
        <f>_xll.IMDP("STK",표.실시간[[#This Row],[nxt_code]],"저가")</f>
        <v>421500</v>
      </c>
      <c r="R9">
        <f>_xll.IMDP("STK",표.실시간[[#This Row],[nxt_code]],"세션명")</f>
        <v>0</v>
      </c>
      <c r="S9">
        <f>_xll.IMDP("STK",표.실시간[[#This Row],[nxt_code]],"체결시간")</f>
        <v>0</v>
      </c>
      <c r="T9" s="4">
        <f>_xll.IMDP("STK","373220","현재가")</f>
        <v>422500</v>
      </c>
      <c r="U9">
        <f>_xll.IMDP("STK","373220","누적거래량")</f>
        <v>52643</v>
      </c>
      <c r="V9" s="2">
        <v>2369.0700000000002</v>
      </c>
    </row>
    <row r="10" spans="3:22" x14ac:dyDescent="0.3">
      <c r="C10">
        <v>5</v>
      </c>
      <c r="D10">
        <v>207940</v>
      </c>
      <c r="E10" t="s">
        <v>22</v>
      </c>
      <c r="F10" t="str">
        <f>ConvertStockCode(표.실시간[[#This Row],[코드]])</f>
        <v>N207940</v>
      </c>
      <c r="G10" s="4">
        <f>_xll.IMDP("STK",표.실시간[[#This Row],[nxt_code]],"현재가")</f>
        <v>1794000</v>
      </c>
      <c r="H10" s="4">
        <f>_xll.IMDP("STK",표.실시간[[#This Row],[nxt_code]],"시가총액")/10^12</f>
        <v>83.045966093999994</v>
      </c>
      <c r="I10" t="str">
        <f>_xll.IMDP("","","전일대비부호")</f>
        <v>코드오류</v>
      </c>
      <c r="J10" s="5">
        <f>_xll.IMDP("STK",표.실시간[[#This Row],[nxt_code]],"전일대비")</f>
        <v>16000</v>
      </c>
      <c r="K10">
        <f>_xll.IMDP("STK",표.실시간[[#This Row],[nxt_code]],"등락률")</f>
        <v>0.9</v>
      </c>
      <c r="L10" s="4">
        <f>_xll.IMDP("STK",표.실시간[[#This Row],[nxt_code]],"누적거래량")</f>
        <v>2601</v>
      </c>
      <c r="M10" s="4">
        <f>_xll.IMDP("STK",표.실시간[[#This Row],[nxt_code]],"누적거래대금")</f>
        <v>4664915000</v>
      </c>
      <c r="N10" s="4">
        <f>_xll.IMDP("STK",표.실시간[[#This Row],[nxt_code]],"가중평균가")</f>
        <v>1793508.266052</v>
      </c>
      <c r="O10" s="4">
        <f>_xll.IMDP("STK",표.실시간[[#This Row],[nxt_code]],"시가")</f>
        <v>1793000</v>
      </c>
      <c r="P10" s="4">
        <f>_xll.IMDP("STK",표.실시간[[#This Row],[nxt_code]],"고가")</f>
        <v>1799000</v>
      </c>
      <c r="Q10" s="4">
        <f>_xll.IMDP("STK",표.실시간[[#This Row],[nxt_code]],"저가")</f>
        <v>1783000</v>
      </c>
      <c r="R10">
        <f>_xll.IMDP("STK",표.실시간[[#This Row],[nxt_code]],"세션명")</f>
        <v>0</v>
      </c>
      <c r="S10">
        <f>_xll.IMDP("STK",표.실시간[[#This Row],[nxt_code]],"체결시간")</f>
        <v>0</v>
      </c>
      <c r="T10" s="4">
        <f>_xll.IMDP("STK","207940","현재가")</f>
        <v>1793000</v>
      </c>
      <c r="U10">
        <f>_xll.IMDP("STK","207940","누적거래량")</f>
        <v>1673</v>
      </c>
      <c r="V10">
        <v>295.33</v>
      </c>
    </row>
    <row r="11" spans="3:22" x14ac:dyDescent="0.3">
      <c r="C11">
        <v>6</v>
      </c>
      <c r="D11">
        <v>270</v>
      </c>
      <c r="E11" t="s">
        <v>23</v>
      </c>
      <c r="F11" t="str">
        <f>ConvertStockCode(표.실시간[[#This Row],[코드]])</f>
        <v>N000270</v>
      </c>
      <c r="G11" s="4">
        <f>_xll.IMDP("STK",표.실시간[[#This Row],[nxt_code]],"현재가")</f>
        <v>162100</v>
      </c>
      <c r="H11" s="4">
        <f>_xll.IMDP("STK",표.실시간[[#This Row],[nxt_code]],"시가총액")/10^12</f>
        <v>63.285946975800002</v>
      </c>
      <c r="I11" t="str">
        <f>_xll.IMDP("","","전일대비부호")</f>
        <v>코드오류</v>
      </c>
      <c r="J11" s="5">
        <f>_xll.IMDP("STK",표.실시간[[#This Row],[nxt_code]],"전일대비")</f>
        <v>-2500</v>
      </c>
      <c r="K11">
        <f>_xll.IMDP("STK",표.실시간[[#This Row],[nxt_code]],"등락률")</f>
        <v>-1.52</v>
      </c>
      <c r="L11" s="4">
        <f>_xll.IMDP("STK",표.실시간[[#This Row],[nxt_code]],"누적거래량")</f>
        <v>149871</v>
      </c>
      <c r="M11" s="4">
        <f>_xll.IMDP("STK",표.실시간[[#This Row],[nxt_code]],"누적거래대금")</f>
        <v>24702849750</v>
      </c>
      <c r="N11" s="4">
        <f>_xll.IMDP("STK",표.실시간[[#This Row],[nxt_code]],"가중평균가")</f>
        <v>164827.416578</v>
      </c>
      <c r="O11" s="4">
        <f>_xll.IMDP("STK",표.실시간[[#This Row],[nxt_code]],"시가")</f>
        <v>167300</v>
      </c>
      <c r="P11" s="4">
        <f>_xll.IMDP("STK",표.실시간[[#This Row],[nxt_code]],"고가")</f>
        <v>167700</v>
      </c>
      <c r="Q11" s="4">
        <f>_xll.IMDP("STK",표.실시간[[#This Row],[nxt_code]],"저가")</f>
        <v>161200</v>
      </c>
      <c r="R11">
        <f>_xll.IMDP("STK",표.실시간[[#This Row],[nxt_code]],"세션명")</f>
        <v>0</v>
      </c>
      <c r="S11">
        <f>_xll.IMDP("STK",표.실시간[[#This Row],[nxt_code]],"체결시간")</f>
        <v>0</v>
      </c>
      <c r="T11" s="4">
        <f>_xll.IMDP("STK","000270","현재가")</f>
        <v>162200</v>
      </c>
      <c r="U11">
        <f>_xll.IMDP("STK","000270","누적거래량")</f>
        <v>103491</v>
      </c>
      <c r="V11" s="2">
        <v>2173.19</v>
      </c>
    </row>
    <row r="12" spans="3:22" x14ac:dyDescent="0.3">
      <c r="C12">
        <v>7</v>
      </c>
      <c r="D12">
        <v>12450</v>
      </c>
      <c r="E12" t="s">
        <v>24</v>
      </c>
      <c r="F12" t="str">
        <f>ConvertStockCode(표.실시간[[#This Row],[코드]])</f>
        <v>N012450</v>
      </c>
      <c r="G12" s="4">
        <f>_xll.IMDP("STK",표.실시간[[#This Row],[nxt_code]],"현재가")</f>
        <v>1276000</v>
      </c>
      <c r="H12" s="4">
        <f>_xll.IMDP("STK",표.실시간[[#This Row],[nxt_code]],"시가총액")/10^12</f>
        <v>65.898026478000006</v>
      </c>
      <c r="I12" t="str">
        <f>_xll.IMDP("","","전일대비부호")</f>
        <v>코드오류</v>
      </c>
      <c r="J12" s="5">
        <f>_xll.IMDP("STK",표.실시간[[#This Row],[nxt_code]],"전일대비")</f>
        <v>-11000</v>
      </c>
      <c r="K12">
        <f>_xll.IMDP("STK",표.실시간[[#This Row],[nxt_code]],"등락률")</f>
        <v>-1.01</v>
      </c>
      <c r="L12" s="4">
        <f>_xll.IMDP("STK",표.실시간[[#This Row],[nxt_code]],"누적거래량")</f>
        <v>7117</v>
      </c>
      <c r="M12" s="4">
        <f>_xll.IMDP("STK",표.실시간[[#This Row],[nxt_code]],"누적거래대금")</f>
        <v>9200908000</v>
      </c>
      <c r="N12" s="4">
        <f>_xll.IMDP("STK",표.실시간[[#This Row],[nxt_code]],"가중평균가")</f>
        <v>1291536.777092</v>
      </c>
      <c r="O12" s="4">
        <f>_xll.IMDP("STK",표.실시간[[#This Row],[nxt_code]],"시가")</f>
        <v>1289000</v>
      </c>
      <c r="P12" s="4">
        <f>_xll.IMDP("STK",표.실시간[[#This Row],[nxt_code]],"고가")</f>
        <v>1301000</v>
      </c>
      <c r="Q12" s="4">
        <f>_xll.IMDP("STK",표.실시간[[#This Row],[nxt_code]],"저가")</f>
        <v>1271000</v>
      </c>
      <c r="R12">
        <f>_xll.IMDP("STK",표.실시간[[#This Row],[nxt_code]],"세션명")</f>
        <v>0</v>
      </c>
      <c r="S12">
        <f>_xll.IMDP("STK",표.실시간[[#This Row],[nxt_code]],"체결시간")</f>
        <v>0</v>
      </c>
      <c r="T12" s="4">
        <f>_xll.IMDP("STK","012450","현재가")</f>
        <v>1276000</v>
      </c>
      <c r="U12">
        <f>_xll.IMDP("STK","012450","누적거래량")</f>
        <v>8048</v>
      </c>
      <c r="V12" s="2">
        <v>2138.23</v>
      </c>
    </row>
    <row r="13" spans="3:22" x14ac:dyDescent="0.3">
      <c r="C13">
        <v>8</v>
      </c>
      <c r="D13">
        <v>329180</v>
      </c>
      <c r="E13" t="s">
        <v>25</v>
      </c>
      <c r="F13" t="str">
        <f>ConvertStockCode(표.실시간[[#This Row],[코드]])</f>
        <v>N329180</v>
      </c>
      <c r="G13" s="4">
        <f>_xll.IMDP("STK",표.실시간[[#This Row],[nxt_code]],"현재가")</f>
        <v>623000</v>
      </c>
      <c r="H13" s="4">
        <f>_xll.IMDP("STK",표.실시간[[#This Row],[nxt_code]],"시가총액")/10^12</f>
        <v>65.390843175000001</v>
      </c>
      <c r="I13" t="str">
        <f>_xll.IMDP("","","전일대비부호")</f>
        <v>코드오류</v>
      </c>
      <c r="J13" s="5">
        <f>_xll.IMDP("STK",표.실시간[[#This Row],[nxt_code]],"전일대비")</f>
        <v>10000</v>
      </c>
      <c r="K13">
        <f>_xll.IMDP("STK",표.실시간[[#This Row],[nxt_code]],"등락률")</f>
        <v>1.63</v>
      </c>
      <c r="L13" s="4">
        <f>_xll.IMDP("STK",표.실시간[[#This Row],[nxt_code]],"누적거래량")</f>
        <v>12601</v>
      </c>
      <c r="M13" s="4">
        <f>_xll.IMDP("STK",표.실시간[[#This Row],[nxt_code]],"누적거래대금")</f>
        <v>7830025500</v>
      </c>
      <c r="N13" s="4">
        <f>_xll.IMDP("STK",표.실시간[[#This Row],[nxt_code]],"가중평균가")</f>
        <v>619709.18084699998</v>
      </c>
      <c r="O13" s="4">
        <f>_xll.IMDP("STK",표.실시간[[#This Row],[nxt_code]],"시가")</f>
        <v>613000</v>
      </c>
      <c r="P13" s="4">
        <f>_xll.IMDP("STK",표.실시간[[#This Row],[nxt_code]],"고가")</f>
        <v>628000</v>
      </c>
      <c r="Q13" s="4">
        <f>_xll.IMDP("STK",표.실시간[[#This Row],[nxt_code]],"저가")</f>
        <v>613000</v>
      </c>
      <c r="R13">
        <f>_xll.IMDP("STK",표.실시간[[#This Row],[nxt_code]],"세션명")</f>
        <v>0</v>
      </c>
      <c r="S13">
        <f>_xll.IMDP("STK",표.실시간[[#This Row],[nxt_code]],"체결시간")</f>
        <v>0</v>
      </c>
      <c r="T13" s="4">
        <f>_xll.IMDP("STK","329180","현재가")</f>
        <v>625000</v>
      </c>
      <c r="U13">
        <f>_xll.IMDP("STK","329180","누적거래량")</f>
        <v>8911</v>
      </c>
      <c r="V13" s="2">
        <v>1177.71</v>
      </c>
    </row>
    <row r="14" spans="3:22" x14ac:dyDescent="0.3">
      <c r="C14">
        <v>9</v>
      </c>
      <c r="D14">
        <v>34020</v>
      </c>
      <c r="E14" t="s">
        <v>26</v>
      </c>
      <c r="F14" t="str">
        <f>ConvertStockCode(표.실시간[[#This Row],[코드]])</f>
        <v>N034020</v>
      </c>
      <c r="G14" s="4">
        <f>_xll.IMDP("STK",표.실시간[[#This Row],[nxt_code]],"현재가")</f>
        <v>90200</v>
      </c>
      <c r="H14" s="4">
        <f>_xll.IMDP("STK",표.실시간[[#This Row],[nxt_code]],"시가총액")/10^12</f>
        <v>57.778615369199997</v>
      </c>
      <c r="I14" t="str">
        <f>_xll.IMDP("","","전일대비부호")</f>
        <v>코드오류</v>
      </c>
      <c r="J14" s="5">
        <f>_xll.IMDP("STK",표.실시간[[#This Row],[nxt_code]],"전일대비")</f>
        <v>200</v>
      </c>
      <c r="K14">
        <f>_xll.IMDP("STK",표.실시간[[#This Row],[nxt_code]],"등락률")</f>
        <v>0.22</v>
      </c>
      <c r="L14" s="4">
        <f>_xll.IMDP("STK",표.실시간[[#This Row],[nxt_code]],"누적거래량")</f>
        <v>857773</v>
      </c>
      <c r="M14" s="4">
        <f>_xll.IMDP("STK",표.실시간[[#This Row],[nxt_code]],"누적거래대금")</f>
        <v>78269672400</v>
      </c>
      <c r="N14" s="4">
        <f>_xll.IMDP("STK",표.실시간[[#This Row],[nxt_code]],"가중평균가")</f>
        <v>91247.535652999999</v>
      </c>
      <c r="O14" s="4">
        <f>_xll.IMDP("STK",표.실시간[[#This Row],[nxt_code]],"시가")</f>
        <v>91000</v>
      </c>
      <c r="P14" s="4">
        <f>_xll.IMDP("STK",표.실시간[[#This Row],[nxt_code]],"고가")</f>
        <v>91900</v>
      </c>
      <c r="Q14" s="4">
        <f>_xll.IMDP("STK",표.실시간[[#This Row],[nxt_code]],"저가")</f>
        <v>90200</v>
      </c>
      <c r="R14">
        <f>_xll.IMDP("STK",표.실시간[[#This Row],[nxt_code]],"세션명")</f>
        <v>0</v>
      </c>
      <c r="S14">
        <f>_xll.IMDP("STK",표.실시간[[#This Row],[nxt_code]],"체결시간")</f>
        <v>0</v>
      </c>
      <c r="T14" s="4">
        <f>_xll.IMDP("STK","034020","현재가")</f>
        <v>90100</v>
      </c>
      <c r="U14">
        <f>_xll.IMDP("STK","034020","누적거래량")</f>
        <v>158641</v>
      </c>
      <c r="V14" s="2">
        <v>5705.15</v>
      </c>
    </row>
    <row r="15" spans="3:22" x14ac:dyDescent="0.3">
      <c r="C15">
        <v>10</v>
      </c>
      <c r="D15">
        <v>402340</v>
      </c>
      <c r="E15" t="s">
        <v>27</v>
      </c>
      <c r="F15" t="str">
        <f>ConvertStockCode(표.실시간[[#This Row],[코드]])</f>
        <v>N402340</v>
      </c>
      <c r="G15" s="4">
        <f>_xll.IMDP("STK",표.실시간[[#This Row],[nxt_code]],"현재가")</f>
        <v>441500</v>
      </c>
      <c r="H15" s="4">
        <f>_xll.IMDP("STK",표.실시간[[#This Row],[nxt_code]],"시가총액")/10^12</f>
        <v>58.3164612725</v>
      </c>
      <c r="I15" t="str">
        <f>_xll.IMDP("","","전일대비부호")</f>
        <v>코드오류</v>
      </c>
      <c r="J15" s="5">
        <f>_xll.IMDP("STK",표.실시간[[#This Row],[nxt_code]],"전일대비")</f>
        <v>-5000</v>
      </c>
      <c r="K15">
        <f>_xll.IMDP("STK",표.실시간[[#This Row],[nxt_code]],"등락률")</f>
        <v>-1.1200000000000001</v>
      </c>
      <c r="L15" s="4">
        <f>_xll.IMDP("STK",표.실시간[[#This Row],[nxt_code]],"누적거래량")</f>
        <v>7831</v>
      </c>
      <c r="M15" s="4">
        <f>_xll.IMDP("STK",표.실시간[[#This Row],[nxt_code]],"누적거래대금")</f>
        <v>3517493500</v>
      </c>
      <c r="N15" s="4">
        <f>_xll.IMDP("STK",표.실시간[[#This Row],[nxt_code]],"가중평균가")</f>
        <v>449175.52036800003</v>
      </c>
      <c r="O15" s="4">
        <f>_xll.IMDP("STK",표.실시간[[#This Row],[nxt_code]],"시가")</f>
        <v>447500</v>
      </c>
      <c r="P15" s="4">
        <f>_xll.IMDP("STK",표.실시간[[#This Row],[nxt_code]],"고가")</f>
        <v>452500</v>
      </c>
      <c r="Q15" s="4">
        <f>_xll.IMDP("STK",표.실시간[[#This Row],[nxt_code]],"저가")</f>
        <v>441500</v>
      </c>
      <c r="R15">
        <f>_xll.IMDP("STK",표.실시간[[#This Row],[nxt_code]],"세션명")</f>
        <v>0</v>
      </c>
      <c r="S15">
        <f>_xll.IMDP("STK",표.실시간[[#This Row],[nxt_code]],"체결시간")</f>
        <v>0</v>
      </c>
      <c r="T15" s="4">
        <f>_xll.IMDP("STK","402340","현재가")</f>
        <v>441000</v>
      </c>
      <c r="U15">
        <f>_xll.IMDP("STK","402340","누적거래량")</f>
        <v>9152</v>
      </c>
      <c r="V15" s="2">
        <v>1064.3499999999999</v>
      </c>
    </row>
    <row r="16" spans="3:22" x14ac:dyDescent="0.3">
      <c r="C16">
        <v>11</v>
      </c>
      <c r="D16">
        <v>105560</v>
      </c>
      <c r="E16" t="s">
        <v>28</v>
      </c>
      <c r="F16" t="str">
        <f>ConvertStockCode(표.실시간[[#This Row],[코드]])</f>
        <v>N105560</v>
      </c>
      <c r="G16" s="4">
        <f>_xll.IMDP("STK",표.실시간[[#This Row],[nxt_code]],"현재가")</f>
        <v>134100</v>
      </c>
      <c r="H16" s="4">
        <f>_xll.IMDP("STK",표.실시간[[#This Row],[nxt_code]],"시가총액")/10^12</f>
        <v>51.154068012300002</v>
      </c>
      <c r="I16" t="str">
        <f>_xll.IMDP("","","전일대비부호")</f>
        <v>코드오류</v>
      </c>
      <c r="J16" s="5">
        <f>_xll.IMDP("STK",표.실시간[[#This Row],[nxt_code]],"전일대비")</f>
        <v>-600</v>
      </c>
      <c r="K16">
        <f>_xll.IMDP("STK",표.실시간[[#This Row],[nxt_code]],"등락률")</f>
        <v>-0.45</v>
      </c>
      <c r="L16" s="4">
        <f>_xll.IMDP("STK",표.실시간[[#This Row],[nxt_code]],"누적거래량")</f>
        <v>12069</v>
      </c>
      <c r="M16" s="4">
        <f>_xll.IMDP("STK",표.실시간[[#This Row],[nxt_code]],"누적거래대금")</f>
        <v>1622567600</v>
      </c>
      <c r="N16" s="4">
        <f>_xll.IMDP("STK",표.실시간[[#This Row],[nxt_code]],"가중평균가")</f>
        <v>134440.931312</v>
      </c>
      <c r="O16" s="4">
        <f>_xll.IMDP("STK",표.실시간[[#This Row],[nxt_code]],"시가")</f>
        <v>134700</v>
      </c>
      <c r="P16" s="4">
        <f>_xll.IMDP("STK",표.실시간[[#This Row],[nxt_code]],"고가")</f>
        <v>134900</v>
      </c>
      <c r="Q16" s="4">
        <f>_xll.IMDP("STK",표.실시간[[#This Row],[nxt_code]],"저가")</f>
        <v>134000</v>
      </c>
      <c r="R16">
        <f>_xll.IMDP("STK",표.실시간[[#This Row],[nxt_code]],"세션명")</f>
        <v>0</v>
      </c>
      <c r="S16">
        <f>_xll.IMDP("STK",표.실시간[[#This Row],[nxt_code]],"체결시간")</f>
        <v>0</v>
      </c>
      <c r="T16" s="4">
        <f>_xll.IMDP("STK","105560","현재가")</f>
        <v>134800</v>
      </c>
      <c r="U16">
        <f>_xll.IMDP("STK","105560","누적거래량")</f>
        <v>57499</v>
      </c>
      <c r="V16">
        <v>296.72000000000003</v>
      </c>
    </row>
    <row r="17" spans="3:22" x14ac:dyDescent="0.3">
      <c r="C17">
        <v>12</v>
      </c>
      <c r="D17">
        <v>28260</v>
      </c>
      <c r="E17" t="s">
        <v>29</v>
      </c>
      <c r="F17" t="str">
        <f>ConvertStockCode(표.실시간[[#This Row],[코드]])</f>
        <v>N028260</v>
      </c>
      <c r="G17" s="4">
        <f>_xll.IMDP("STK",표.실시간[[#This Row],[nxt_code]],"현재가")</f>
        <v>299000</v>
      </c>
      <c r="H17" s="4">
        <f>_xll.IMDP("STK",표.실시간[[#This Row],[nxt_code]],"시가총액")/10^12</f>
        <v>50.822986655999998</v>
      </c>
      <c r="I17" t="str">
        <f>_xll.IMDP("","","전일대비부호")</f>
        <v>코드오류</v>
      </c>
      <c r="J17" s="5">
        <f>_xll.IMDP("STK",표.실시간[[#This Row],[nxt_code]],"전일대비")</f>
        <v>2000</v>
      </c>
      <c r="K17">
        <f>_xll.IMDP("STK",표.실시간[[#This Row],[nxt_code]],"등락률")</f>
        <v>0.5</v>
      </c>
      <c r="L17" s="4">
        <f>_xll.IMDP("STK",표.실시간[[#This Row],[nxt_code]],"누적거래량")</f>
        <v>4865</v>
      </c>
      <c r="M17" s="4">
        <f>_xll.IMDP("STK",표.실시간[[#This Row],[nxt_code]],"누적거래대금")</f>
        <v>1481470000</v>
      </c>
      <c r="N17" s="4">
        <f>_xll.IMDP("STK",표.실시간[[#This Row],[nxt_code]],"가중평균가")</f>
        <v>300318.26474800002</v>
      </c>
      <c r="O17" s="4">
        <f>_xll.IMDP("STK",표.실시간[[#This Row],[nxt_code]],"시가")</f>
        <v>298500</v>
      </c>
      <c r="P17" s="4">
        <f>_xll.IMDP("STK",표.실시간[[#This Row],[nxt_code]],"고가")</f>
        <v>302000</v>
      </c>
      <c r="Q17" s="4">
        <f>_xll.IMDP("STK",표.실시간[[#This Row],[nxt_code]],"저가")</f>
        <v>298500</v>
      </c>
      <c r="R17">
        <f>_xll.IMDP("STK",표.실시간[[#This Row],[nxt_code]],"세션명")</f>
        <v>0</v>
      </c>
      <c r="S17">
        <f>_xll.IMDP("STK",표.실시간[[#This Row],[nxt_code]],"체결시간")</f>
        <v>0</v>
      </c>
      <c r="T17" s="4">
        <f>_xll.IMDP("STK","028260","현재가")</f>
        <v>298500</v>
      </c>
      <c r="U17">
        <f>_xll.IMDP("STK","028260","누적거래량")</f>
        <v>7689</v>
      </c>
      <c r="V17" s="2">
        <v>1345.97</v>
      </c>
    </row>
    <row r="18" spans="3:22" x14ac:dyDescent="0.3">
      <c r="C18">
        <v>13</v>
      </c>
      <c r="D18">
        <v>68270</v>
      </c>
      <c r="E18" t="s">
        <v>30</v>
      </c>
      <c r="F18" t="str">
        <f>ConvertStockCode(표.실시간[[#This Row],[코드]])</f>
        <v>N068270</v>
      </c>
      <c r="G18" s="4">
        <f>_xll.IMDP("STK",표.실시간[[#This Row],[nxt_code]],"현재가")</f>
        <v>207000</v>
      </c>
      <c r="H18" s="4">
        <f>_xll.IMDP("STK",표.실시간[[#This Row],[nxt_code]],"시가총액")/10^12</f>
        <v>47.808920583000003</v>
      </c>
      <c r="I18" t="str">
        <f>_xll.IMDP("","","전일대비부호")</f>
        <v>코드오류</v>
      </c>
      <c r="J18" s="5">
        <f>_xll.IMDP("STK",표.실시간[[#This Row],[nxt_code]],"전일대비")</f>
        <v>-500</v>
      </c>
      <c r="K18">
        <f>_xll.IMDP("STK",표.실시간[[#This Row],[nxt_code]],"등락률")</f>
        <v>-0.48</v>
      </c>
      <c r="L18" s="4">
        <f>_xll.IMDP("STK",표.실시간[[#This Row],[nxt_code]],"누적거래량")</f>
        <v>41454</v>
      </c>
      <c r="M18" s="4">
        <f>_xll.IMDP("STK",표.실시간[[#This Row],[nxt_code]],"누적거래대금")</f>
        <v>8653194000</v>
      </c>
      <c r="N18" s="4">
        <f>_xll.IMDP("STK",표.실시간[[#This Row],[nxt_code]],"가중평균가")</f>
        <v>208742.07555400001</v>
      </c>
      <c r="O18" s="4">
        <f>_xll.IMDP("STK",표.실시간[[#This Row],[nxt_code]],"시가")</f>
        <v>210000</v>
      </c>
      <c r="P18" s="4">
        <f>_xll.IMDP("STK",표.실시간[[#This Row],[nxt_code]],"고가")</f>
        <v>210000</v>
      </c>
      <c r="Q18" s="4">
        <f>_xll.IMDP("STK",표.실시간[[#This Row],[nxt_code]],"저가")</f>
        <v>207500</v>
      </c>
      <c r="R18">
        <f>_xll.IMDP("STK",표.실시간[[#This Row],[nxt_code]],"세션명")</f>
        <v>0</v>
      </c>
      <c r="S18">
        <f>_xll.IMDP("STK",표.실시간[[#This Row],[nxt_code]],"체결시간")</f>
        <v>0</v>
      </c>
      <c r="T18" s="4">
        <f>_xll.IMDP("STK","068270","현재가")</f>
        <v>207000</v>
      </c>
      <c r="U18">
        <f>_xll.IMDP("STK","068270","누적거래량")</f>
        <v>19055</v>
      </c>
      <c r="V18" s="2">
        <v>2138.4499999999998</v>
      </c>
    </row>
    <row r="19" spans="3:22" x14ac:dyDescent="0.3">
      <c r="C19">
        <v>14</v>
      </c>
      <c r="D19">
        <v>12330</v>
      </c>
      <c r="E19" t="s">
        <v>31</v>
      </c>
      <c r="F19" t="str">
        <f>ConvertStockCode(표.실시간[[#This Row],[코드]])</f>
        <v>N012330</v>
      </c>
      <c r="G19" s="4">
        <f>_xll.IMDP("STK",표.실시간[[#This Row],[nxt_code]],"현재가")</f>
        <v>447000</v>
      </c>
      <c r="H19" s="4">
        <f>_xll.IMDP("STK",표.실시간[[#This Row],[nxt_code]],"시가총액")/10^12</f>
        <v>40.557464601</v>
      </c>
      <c r="I19" t="str">
        <f>_xll.IMDP("","","전일대비부호")</f>
        <v>코드오류</v>
      </c>
      <c r="J19" s="5">
        <f>_xll.IMDP("STK",표.실시간[[#This Row],[nxt_code]],"전일대비")</f>
        <v>-6500</v>
      </c>
      <c r="K19">
        <f>_xll.IMDP("STK",표.실시간[[#This Row],[nxt_code]],"등락률")</f>
        <v>-1.43</v>
      </c>
      <c r="L19" s="4">
        <f>_xll.IMDP("STK",표.실시간[[#This Row],[nxt_code]],"누적거래량")</f>
        <v>76205</v>
      </c>
      <c r="M19" s="4">
        <f>_xll.IMDP("STK",표.실시간[[#This Row],[nxt_code]],"누적거래대금")</f>
        <v>34465684750</v>
      </c>
      <c r="N19" s="4">
        <f>_xll.IMDP("STK",표.실시간[[#This Row],[nxt_code]],"가중평균가")</f>
        <v>452275.89725099999</v>
      </c>
      <c r="O19" s="4">
        <f>_xll.IMDP("STK",표.실시간[[#This Row],[nxt_code]],"시가")</f>
        <v>460000</v>
      </c>
      <c r="P19" s="4">
        <f>_xll.IMDP("STK",표.실시간[[#This Row],[nxt_code]],"고가")</f>
        <v>461500</v>
      </c>
      <c r="Q19" s="4">
        <f>_xll.IMDP("STK",표.실시간[[#This Row],[nxt_code]],"저가")</f>
        <v>444000</v>
      </c>
      <c r="R19">
        <f>_xll.IMDP("STK",표.실시간[[#This Row],[nxt_code]],"세션명")</f>
        <v>0</v>
      </c>
      <c r="S19">
        <f>_xll.IMDP("STK",표.실시간[[#This Row],[nxt_code]],"체결시간")</f>
        <v>0</v>
      </c>
      <c r="T19" s="4">
        <f>_xll.IMDP("STK","012330","현재가")</f>
        <v>447500</v>
      </c>
      <c r="U19">
        <f>_xll.IMDP("STK","012330","누적거래량")</f>
        <v>45057</v>
      </c>
      <c r="V19" s="2">
        <v>1945.62</v>
      </c>
    </row>
    <row r="20" spans="3:22" x14ac:dyDescent="0.3">
      <c r="C20">
        <v>15</v>
      </c>
      <c r="D20">
        <v>42660</v>
      </c>
      <c r="E20" t="s">
        <v>32</v>
      </c>
      <c r="F20" t="str">
        <f>ConvertStockCode(표.실시간[[#This Row],[코드]])</f>
        <v>N042660</v>
      </c>
      <c r="G20" s="4">
        <f>_xll.IMDP("STK",표.실시간[[#This Row],[nxt_code]],"현재가")</f>
        <v>141000</v>
      </c>
      <c r="H20" s="4">
        <f>_xll.IMDP("STK",표.실시간[[#This Row],[nxt_code]],"시가총액")/10^12</f>
        <v>43.204288554000001</v>
      </c>
      <c r="I20" t="str">
        <f>_xll.IMDP("","","전일대비부호")</f>
        <v>코드오류</v>
      </c>
      <c r="J20" s="5">
        <f>_xll.IMDP("STK",표.실시간[[#This Row],[nxt_code]],"전일대비")</f>
        <v>3500</v>
      </c>
      <c r="K20">
        <f>_xll.IMDP("STK",표.실시간[[#This Row],[nxt_code]],"등락률")</f>
        <v>2.4</v>
      </c>
      <c r="L20" s="4">
        <f>_xll.IMDP("STK",표.실시간[[#This Row],[nxt_code]],"누적거래량")</f>
        <v>267720</v>
      </c>
      <c r="M20" s="4">
        <f>_xll.IMDP("STK",표.실시간[[#This Row],[nxt_code]],"누적거래대금")</f>
        <v>37355069500</v>
      </c>
      <c r="N20" s="4">
        <f>_xll.IMDP("STK",표.실시간[[#This Row],[nxt_code]],"가중평균가")</f>
        <v>139530.365681</v>
      </c>
      <c r="O20" s="4">
        <f>_xll.IMDP("STK",표.실시간[[#This Row],[nxt_code]],"시가")</f>
        <v>138200</v>
      </c>
      <c r="P20" s="4">
        <f>_xll.IMDP("STK",표.실시간[[#This Row],[nxt_code]],"고가")</f>
        <v>142500</v>
      </c>
      <c r="Q20" s="4">
        <f>_xll.IMDP("STK",표.실시간[[#This Row],[nxt_code]],"저가")</f>
        <v>137900</v>
      </c>
      <c r="R20">
        <f>_xll.IMDP("STK",표.실시간[[#This Row],[nxt_code]],"세션명")</f>
        <v>0</v>
      </c>
      <c r="S20">
        <f>_xll.IMDP("STK",표.실시간[[#This Row],[nxt_code]],"체결시간")</f>
        <v>0</v>
      </c>
      <c r="T20" s="4">
        <f>_xll.IMDP("STK","042660","현재가")</f>
        <v>141100</v>
      </c>
      <c r="U20">
        <f>_xll.IMDP("STK","042660","누적거래량")</f>
        <v>115430</v>
      </c>
      <c r="V20" s="2">
        <v>3423.24</v>
      </c>
    </row>
    <row r="21" spans="3:22" x14ac:dyDescent="0.3">
      <c r="C21">
        <v>16</v>
      </c>
      <c r="D21">
        <v>15760</v>
      </c>
      <c r="E21" t="s">
        <v>33</v>
      </c>
      <c r="F21" t="str">
        <f>ConvertStockCode(표.실시간[[#This Row],[코드]])</f>
        <v>N015760</v>
      </c>
      <c r="G21" s="4">
        <f>_xll.IMDP("STK",표.실시간[[#This Row],[nxt_code]],"현재가")</f>
        <v>63700</v>
      </c>
      <c r="H21" s="4">
        <f>_xll.IMDP("STK",표.실시간[[#This Row],[nxt_code]],"시가총액")/10^12</f>
        <v>40.893111704900001</v>
      </c>
      <c r="I21" t="str">
        <f>_xll.IMDP("","","전일대비부호")</f>
        <v>코드오류</v>
      </c>
      <c r="J21" s="5">
        <f>_xll.IMDP("STK",표.실시간[[#This Row],[nxt_code]],"전일대비")</f>
        <v>-2300</v>
      </c>
      <c r="K21">
        <f>_xll.IMDP("STK",표.실시간[[#This Row],[nxt_code]],"등락률")</f>
        <v>-3.48</v>
      </c>
      <c r="L21" s="4">
        <f>_xll.IMDP("STK",표.실시간[[#This Row],[nxt_code]],"누적거래량")</f>
        <v>797711</v>
      </c>
      <c r="M21" s="4">
        <f>_xll.IMDP("STK",표.실시간[[#This Row],[nxt_code]],"누적거래대금")</f>
        <v>51684426250</v>
      </c>
      <c r="N21" s="4">
        <f>_xll.IMDP("STK",표.실시간[[#This Row],[nxt_code]],"가중평균가")</f>
        <v>64790.915820000002</v>
      </c>
      <c r="O21" s="4">
        <f>_xll.IMDP("STK",표.실시간[[#This Row],[nxt_code]],"시가")</f>
        <v>65900</v>
      </c>
      <c r="P21" s="4">
        <f>_xll.IMDP("STK",표.실시간[[#This Row],[nxt_code]],"고가")</f>
        <v>65900</v>
      </c>
      <c r="Q21" s="4">
        <f>_xll.IMDP("STK",표.실시간[[#This Row],[nxt_code]],"저가")</f>
        <v>63400</v>
      </c>
      <c r="R21">
        <f>_xll.IMDP("STK",표.실시간[[#This Row],[nxt_code]],"세션명")</f>
        <v>0</v>
      </c>
      <c r="S21">
        <f>_xll.IMDP("STK",표.실시간[[#This Row],[nxt_code]],"체결시간")</f>
        <v>0</v>
      </c>
      <c r="T21" s="4">
        <f>_xll.IMDP("STK","015760","현재가")</f>
        <v>63800</v>
      </c>
      <c r="U21">
        <f>_xll.IMDP("STK","015760","누적거래량")</f>
        <v>275999</v>
      </c>
      <c r="V21" s="2">
        <v>4153.51</v>
      </c>
    </row>
    <row r="22" spans="3:22" x14ac:dyDescent="0.3">
      <c r="C22">
        <v>17</v>
      </c>
      <c r="D22">
        <v>55550</v>
      </c>
      <c r="E22" t="s">
        <v>34</v>
      </c>
      <c r="F22" t="str">
        <f>ConvertStockCode(표.실시간[[#This Row],[코드]])</f>
        <v>N055550</v>
      </c>
      <c r="G22" s="4">
        <f>_xll.IMDP("STK",표.실시간[[#This Row],[nxt_code]],"현재가")</f>
        <v>83300</v>
      </c>
      <c r="H22" s="4">
        <f>_xll.IMDP("STK",표.실시간[[#This Row],[nxt_code]],"시가총액")/10^12</f>
        <v>40.441728002200001</v>
      </c>
      <c r="I22" t="str">
        <f>_xll.IMDP("","","전일대비부호")</f>
        <v>코드오류</v>
      </c>
      <c r="J22" s="5">
        <f>_xll.IMDP("STK",표.실시간[[#This Row],[nxt_code]],"전일대비")</f>
        <v>400</v>
      </c>
      <c r="K22">
        <f>_xll.IMDP("STK",표.실시간[[#This Row],[nxt_code]],"등락률")</f>
        <v>0.48</v>
      </c>
      <c r="L22" s="4">
        <f>_xll.IMDP("STK",표.실시간[[#This Row],[nxt_code]],"누적거래량")</f>
        <v>21119</v>
      </c>
      <c r="M22" s="4">
        <f>_xll.IMDP("STK",표.실시간[[#This Row],[nxt_code]],"누적거래대금")</f>
        <v>1750288250</v>
      </c>
      <c r="N22" s="4">
        <f>_xll.IMDP("STK",표.실시간[[#This Row],[nxt_code]],"가중평균가")</f>
        <v>82877.420805999995</v>
      </c>
      <c r="O22" s="4">
        <f>_xll.IMDP("STK",표.실시간[[#This Row],[nxt_code]],"시가")</f>
        <v>82700</v>
      </c>
      <c r="P22" s="4">
        <f>_xll.IMDP("STK",표.실시간[[#This Row],[nxt_code]],"고가")</f>
        <v>83400</v>
      </c>
      <c r="Q22" s="4">
        <f>_xll.IMDP("STK",표.실시간[[#This Row],[nxt_code]],"저가")</f>
        <v>82500</v>
      </c>
      <c r="R22">
        <f>_xll.IMDP("STK",표.실시간[[#This Row],[nxt_code]],"세션명")</f>
        <v>0</v>
      </c>
      <c r="S22">
        <f>_xll.IMDP("STK",표.실시간[[#This Row],[nxt_code]],"체결시간")</f>
        <v>0</v>
      </c>
      <c r="T22" s="4">
        <f>_xll.IMDP("STK","055550","현재가")</f>
        <v>83300</v>
      </c>
      <c r="U22">
        <f>_xll.IMDP("STK","055550","누적거래량")</f>
        <v>94404</v>
      </c>
      <c r="V22">
        <v>745.83</v>
      </c>
    </row>
    <row r="23" spans="3:22" x14ac:dyDescent="0.3">
      <c r="C23">
        <v>18</v>
      </c>
      <c r="D23">
        <v>35420</v>
      </c>
      <c r="E23" t="s">
        <v>35</v>
      </c>
      <c r="F23" t="str">
        <f>ConvertStockCode(표.실시간[[#This Row],[코드]])</f>
        <v>N035420</v>
      </c>
      <c r="G23" s="4">
        <f>_xll.IMDP("STK",표.실시간[[#This Row],[nxt_code]],"현재가")</f>
        <v>247000</v>
      </c>
      <c r="H23" s="4">
        <f>_xll.IMDP("STK",표.실시간[[#This Row],[nxt_code]],"시가총액")/10^12</f>
        <v>38.742601585999999</v>
      </c>
      <c r="I23" t="str">
        <f>_xll.IMDP("","","전일대비부호")</f>
        <v>코드오류</v>
      </c>
      <c r="J23" s="5">
        <f>_xll.IMDP("STK",표.실시간[[#This Row],[nxt_code]],"전일대비")</f>
        <v>1500</v>
      </c>
      <c r="K23">
        <f>_xll.IMDP("STK",표.실시간[[#This Row],[nxt_code]],"등락률")</f>
        <v>0.61</v>
      </c>
      <c r="L23" s="4">
        <f>_xll.IMDP("STK",표.실시간[[#This Row],[nxt_code]],"누적거래량")</f>
        <v>112588</v>
      </c>
      <c r="M23" s="4">
        <f>_xll.IMDP("STK",표.실시간[[#This Row],[nxt_code]],"누적거래대금")</f>
        <v>27891455500</v>
      </c>
      <c r="N23" s="4">
        <f>_xll.IMDP("STK",표.실시간[[#This Row],[nxt_code]],"가중평균가")</f>
        <v>247708.26746500001</v>
      </c>
      <c r="O23" s="4">
        <f>_xll.IMDP("STK",표.실시간[[#This Row],[nxt_code]],"시가")</f>
        <v>246000</v>
      </c>
      <c r="P23" s="4">
        <f>_xll.IMDP("STK",표.실시간[[#This Row],[nxt_code]],"고가")</f>
        <v>248500</v>
      </c>
      <c r="Q23" s="4">
        <f>_xll.IMDP("STK",표.실시간[[#This Row],[nxt_code]],"저가")</f>
        <v>246000</v>
      </c>
      <c r="R23">
        <f>_xll.IMDP("STK",표.실시간[[#This Row],[nxt_code]],"세션명")</f>
        <v>0</v>
      </c>
      <c r="S23">
        <f>_xll.IMDP("STK",표.실시간[[#This Row],[nxt_code]],"체결시간")</f>
        <v>0</v>
      </c>
      <c r="T23" s="4">
        <f>_xll.IMDP("STK","035420","현재가")</f>
        <v>247000</v>
      </c>
      <c r="U23">
        <f>_xll.IMDP("STK","035420","누적거래량")</f>
        <v>34155</v>
      </c>
      <c r="V23" s="2">
        <v>1111.6300000000001</v>
      </c>
    </row>
    <row r="24" spans="3:22" x14ac:dyDescent="0.3">
      <c r="C24">
        <v>19</v>
      </c>
      <c r="D24">
        <v>32830</v>
      </c>
      <c r="E24" t="s">
        <v>36</v>
      </c>
      <c r="F24" t="str">
        <f>ConvertStockCode(표.실시간[[#This Row],[코드]])</f>
        <v>N032830</v>
      </c>
      <c r="G24" s="4">
        <f>_xll.IMDP("STK",표.실시간[[#This Row],[nxt_code]],"현재가")</f>
        <v>178900</v>
      </c>
      <c r="H24" s="4">
        <f>_xll.IMDP("STK",표.실시간[[#This Row],[nxt_code]],"시가총액")/10^12</f>
        <v>35.78</v>
      </c>
      <c r="I24" t="str">
        <f>_xll.IMDP("","","전일대비부호")</f>
        <v>코드오류</v>
      </c>
      <c r="J24" s="5">
        <f>_xll.IMDP("STK",표.실시간[[#This Row],[nxt_code]],"전일대비")</f>
        <v>100</v>
      </c>
      <c r="K24">
        <f>_xll.IMDP("STK",표.실시간[[#This Row],[nxt_code]],"등락률")</f>
        <v>0.06</v>
      </c>
      <c r="L24" s="4">
        <f>_xll.IMDP("STK",표.실시간[[#This Row],[nxt_code]],"누적거래량")</f>
        <v>14607</v>
      </c>
      <c r="M24" s="4">
        <f>_xll.IMDP("STK",표.실시간[[#This Row],[nxt_code]],"누적거래대금")</f>
        <v>2659407400</v>
      </c>
      <c r="N24" s="4">
        <f>_xll.IMDP("STK",표.실시간[[#This Row],[nxt_code]],"가중평균가")</f>
        <v>182076.732197</v>
      </c>
      <c r="O24" s="4">
        <f>_xll.IMDP("STK",표.실시간[[#This Row],[nxt_code]],"시가")</f>
        <v>180000</v>
      </c>
      <c r="P24" s="4">
        <f>_xll.IMDP("STK",표.실시간[[#This Row],[nxt_code]],"고가")</f>
        <v>183800</v>
      </c>
      <c r="Q24" s="4">
        <f>_xll.IMDP("STK",표.실시간[[#This Row],[nxt_code]],"저가")</f>
        <v>176900</v>
      </c>
      <c r="R24">
        <f>_xll.IMDP("STK",표.실시간[[#This Row],[nxt_code]],"세션명")</f>
        <v>0</v>
      </c>
      <c r="S24">
        <f>_xll.IMDP("STK",표.실시간[[#This Row],[nxt_code]],"체결시간")</f>
        <v>0</v>
      </c>
      <c r="T24" s="4">
        <f>_xll.IMDP("STK","032830","현재가")</f>
        <v>178800</v>
      </c>
      <c r="U24">
        <f>_xll.IMDP("STK","032830","누적거래량")</f>
        <v>19282</v>
      </c>
      <c r="V24" s="2">
        <v>4466.7700000000004</v>
      </c>
    </row>
    <row r="25" spans="3:22" x14ac:dyDescent="0.3">
      <c r="C25">
        <v>20</v>
      </c>
      <c r="D25">
        <v>10130</v>
      </c>
      <c r="E25" t="s">
        <v>37</v>
      </c>
      <c r="F25" t="str">
        <f>ConvertStockCode(표.실시간[[#This Row],[코드]])</f>
        <v>N010130</v>
      </c>
      <c r="G25" s="4">
        <f>_xll.IMDP("STK",표.실시간[[#This Row],[nxt_code]],"현재가")</f>
        <v>1554000</v>
      </c>
      <c r="H25" s="4">
        <f>_xll.IMDP("STK",표.실시간[[#This Row],[nxt_code]],"시가총액")/10^12</f>
        <v>32.373974918999998</v>
      </c>
      <c r="I25" t="str">
        <f>_xll.IMDP("","","전일대비부호")</f>
        <v>코드오류</v>
      </c>
      <c r="J25" s="5">
        <f>_xll.IMDP("STK",표.실시간[[#This Row],[nxt_code]],"전일대비")</f>
        <v>-4000</v>
      </c>
      <c r="K25">
        <f>_xll.IMDP("STK",표.실시간[[#This Row],[nxt_code]],"등락률")</f>
        <v>-0.26</v>
      </c>
      <c r="L25" s="4">
        <f>_xll.IMDP("STK",표.실시간[[#This Row],[nxt_code]],"누적거래량")</f>
        <v>12964</v>
      </c>
      <c r="M25" s="4">
        <f>_xll.IMDP("STK",표.실시간[[#This Row],[nxt_code]],"누적거래대금")</f>
        <v>20250242000</v>
      </c>
      <c r="N25" s="4">
        <f>_xll.IMDP("STK",표.실시간[[#This Row],[nxt_code]],"가중평균가")</f>
        <v>1562036.5627890001</v>
      </c>
      <c r="O25" s="4">
        <f>_xll.IMDP("STK",표.실시간[[#This Row],[nxt_code]],"시가")</f>
        <v>1562000</v>
      </c>
      <c r="P25" s="4">
        <f>_xll.IMDP("STK",표.실시간[[#This Row],[nxt_code]],"고가")</f>
        <v>1588000</v>
      </c>
      <c r="Q25" s="4">
        <f>_xll.IMDP("STK",표.실시간[[#This Row],[nxt_code]],"저가")</f>
        <v>1522000</v>
      </c>
      <c r="R25">
        <f>_xll.IMDP("STK",표.실시간[[#This Row],[nxt_code]],"세션명")</f>
        <v>0</v>
      </c>
      <c r="S25">
        <f>_xll.IMDP("STK",표.실시간[[#This Row],[nxt_code]],"체결시간")</f>
        <v>0</v>
      </c>
      <c r="T25" s="4">
        <f>_xll.IMDP("STK","010130","현재가")</f>
        <v>1550000</v>
      </c>
      <c r="U25">
        <f>_xll.IMDP("STK","010130","누적거래량")</f>
        <v>3004</v>
      </c>
      <c r="V25" s="2">
        <v>2937.5</v>
      </c>
    </row>
    <row r="26" spans="3:22" x14ac:dyDescent="0.3">
      <c r="C26">
        <v>21</v>
      </c>
      <c r="D26">
        <v>267260</v>
      </c>
      <c r="E26" t="s">
        <v>38</v>
      </c>
      <c r="F26" t="str">
        <f>ConvertStockCode(표.실시간[[#This Row],[코드]])</f>
        <v>N267260</v>
      </c>
      <c r="G26" s="4">
        <f>_xll.IMDP("STK",표.실시간[[#This Row],[nxt_code]],"현재가")</f>
        <v>873000</v>
      </c>
      <c r="H26" s="4">
        <f>_xll.IMDP("STK",표.실시간[[#This Row],[nxt_code]],"시가총액")/10^12</f>
        <v>31.469148855</v>
      </c>
      <c r="I26" t="str">
        <f>_xll.IMDP("","","전일대비부호")</f>
        <v>코드오류</v>
      </c>
      <c r="J26" s="5">
        <f>_xll.IMDP("STK",표.실시간[[#This Row],[nxt_code]],"전일대비")</f>
        <v>-15000</v>
      </c>
      <c r="K26">
        <f>_xll.IMDP("STK",표.실시간[[#This Row],[nxt_code]],"등락률")</f>
        <v>-1.69</v>
      </c>
      <c r="L26" s="4">
        <f>_xll.IMDP("STK",표.실시간[[#This Row],[nxt_code]],"누적거래량")</f>
        <v>6368</v>
      </c>
      <c r="M26" s="4">
        <f>_xll.IMDP("STK",표.실시간[[#This Row],[nxt_code]],"누적거래대금")</f>
        <v>5666821000</v>
      </c>
      <c r="N26" s="4">
        <f>_xll.IMDP("STK",표.실시간[[#This Row],[nxt_code]],"가중평균가")</f>
        <v>889916.79773500003</v>
      </c>
      <c r="O26" s="4">
        <f>_xll.IMDP("STK",표.실시간[[#This Row],[nxt_code]],"시가")</f>
        <v>889000</v>
      </c>
      <c r="P26" s="4">
        <f>_xll.IMDP("STK",표.실시간[[#This Row],[nxt_code]],"고가")</f>
        <v>896000</v>
      </c>
      <c r="Q26" s="4">
        <f>_xll.IMDP("STK",표.실시간[[#This Row],[nxt_code]],"저가")</f>
        <v>873000</v>
      </c>
      <c r="R26">
        <f>_xll.IMDP("STK",표.실시간[[#This Row],[nxt_code]],"세션명")</f>
        <v>0</v>
      </c>
      <c r="S26">
        <f>_xll.IMDP("STK",표.실시간[[#This Row],[nxt_code]],"체결시간")</f>
        <v>0</v>
      </c>
      <c r="T26" s="4">
        <f>_xll.IMDP("STK","267260","현재가")</f>
        <v>872000</v>
      </c>
      <c r="U26">
        <f>_xll.IMDP("STK","267260","누적거래량")</f>
        <v>6244</v>
      </c>
      <c r="V26" s="2">
        <v>4119.37</v>
      </c>
    </row>
    <row r="27" spans="3:22" x14ac:dyDescent="0.3">
      <c r="C27">
        <v>22</v>
      </c>
      <c r="D27">
        <v>9540</v>
      </c>
      <c r="E27" t="s">
        <v>39</v>
      </c>
      <c r="F27" t="str">
        <f>ConvertStockCode(표.실시간[[#This Row],[코드]])</f>
        <v>N009540</v>
      </c>
      <c r="G27" s="4">
        <f>_xll.IMDP("STK",표.실시간[[#This Row],[nxt_code]],"현재가")</f>
        <v>430500</v>
      </c>
      <c r="H27" s="4">
        <f>_xll.IMDP("STK",표.실시간[[#This Row],[nxt_code]],"시가총액")/10^12</f>
        <v>30.467826437999999</v>
      </c>
      <c r="I27" t="str">
        <f>_xll.IMDP("","","전일대비부호")</f>
        <v>코드오류</v>
      </c>
      <c r="J27" s="5">
        <f>_xll.IMDP("STK",표.실시간[[#This Row],[nxt_code]],"전일대비")</f>
        <v>3000</v>
      </c>
      <c r="K27">
        <f>_xll.IMDP("STK",표.실시간[[#This Row],[nxt_code]],"등락률")</f>
        <v>1.41</v>
      </c>
      <c r="L27" s="4">
        <f>_xll.IMDP("STK",표.실시간[[#This Row],[nxt_code]],"누적거래량")</f>
        <v>4455</v>
      </c>
      <c r="M27" s="4">
        <f>_xll.IMDP("STK",표.실시간[[#This Row],[nxt_code]],"누적거래대금")</f>
        <v>1320458500</v>
      </c>
      <c r="N27" s="4">
        <f>_xll.IMDP("STK",표.실시간[[#This Row],[nxt_code]],"가중평균가")</f>
        <v>428097.64309799997</v>
      </c>
      <c r="O27" s="4">
        <f>_xll.IMDP("STK",표.실시간[[#This Row],[nxt_code]],"시가")</f>
        <v>429000</v>
      </c>
      <c r="P27" s="4">
        <f>_xll.IMDP("STK",표.실시간[[#This Row],[nxt_code]],"고가")</f>
        <v>430500</v>
      </c>
      <c r="Q27" s="4">
        <f>_xll.IMDP("STK",표.실시간[[#This Row],[nxt_code]],"저가")</f>
        <v>426500</v>
      </c>
      <c r="R27">
        <f>_xll.IMDP("STK",표.실시간[[#This Row],[nxt_code]],"세션명")</f>
        <v>0</v>
      </c>
      <c r="S27">
        <f>_xll.IMDP("STK",표.실시간[[#This Row],[nxt_code]],"체결시간")</f>
        <v>0</v>
      </c>
      <c r="T27" s="4">
        <f>_xll.IMDP("STK","009540","현재가")</f>
        <v>430500</v>
      </c>
      <c r="U27">
        <f>_xll.IMDP("STK","009540","누적거래량")</f>
        <v>6607</v>
      </c>
      <c r="V27" s="2">
        <v>2894.1</v>
      </c>
    </row>
    <row r="28" spans="3:22" x14ac:dyDescent="0.3">
      <c r="C28">
        <v>23</v>
      </c>
      <c r="D28">
        <v>5490</v>
      </c>
      <c r="E28" t="s">
        <v>40</v>
      </c>
      <c r="F28" t="str">
        <f>ConvertStockCode(표.실시간[[#This Row],[코드]])</f>
        <v>N005490</v>
      </c>
      <c r="G28" s="4">
        <f>_xll.IMDP("STK",표.실시간[[#This Row],[nxt_code]],"현재가")</f>
        <v>383500</v>
      </c>
      <c r="H28" s="4">
        <f>_xll.IMDP("STK",표.실시간[[#This Row],[nxt_code]],"시가총액")/10^12</f>
        <v>31.037787091999999</v>
      </c>
      <c r="I28" t="str">
        <f>_xll.IMDP("","","전일대비부호")</f>
        <v>코드오류</v>
      </c>
      <c r="J28" s="5">
        <f>_xll.IMDP("STK",표.실시간[[#This Row],[nxt_code]],"전일대비")</f>
        <v>24000</v>
      </c>
      <c r="K28">
        <f>_xll.IMDP("STK",표.실시간[[#This Row],[nxt_code]],"등락률")</f>
        <v>6.68</v>
      </c>
      <c r="L28" s="4">
        <f>_xll.IMDP("STK",표.실시간[[#This Row],[nxt_code]],"누적거래량")</f>
        <v>377678</v>
      </c>
      <c r="M28" s="4">
        <f>_xll.IMDP("STK",표.실시간[[#This Row],[nxt_code]],"누적거래대금")</f>
        <v>139926883000</v>
      </c>
      <c r="N28" s="4">
        <f>_xll.IMDP("STK",표.실시간[[#This Row],[nxt_code]],"가중평균가")</f>
        <v>370492.54391299997</v>
      </c>
      <c r="O28" s="4">
        <f>_xll.IMDP("STK",표.실시간[[#This Row],[nxt_code]],"시가")</f>
        <v>362500</v>
      </c>
      <c r="P28" s="4">
        <f>_xll.IMDP("STK",표.실시간[[#This Row],[nxt_code]],"고가")</f>
        <v>384000</v>
      </c>
      <c r="Q28" s="4">
        <f>_xll.IMDP("STK",표.실시간[[#This Row],[nxt_code]],"저가")</f>
        <v>362000</v>
      </c>
      <c r="R28">
        <f>_xll.IMDP("STK",표.실시간[[#This Row],[nxt_code]],"세션명")</f>
        <v>0</v>
      </c>
      <c r="S28">
        <f>_xll.IMDP("STK",표.실시간[[#This Row],[nxt_code]],"체결시간")</f>
        <v>0</v>
      </c>
      <c r="T28" s="4">
        <f>_xll.IMDP("STK","005490","현재가")</f>
        <v>383500</v>
      </c>
      <c r="U28">
        <f>_xll.IMDP("STK","005490","누적거래량")</f>
        <v>129570</v>
      </c>
      <c r="V28" s="2">
        <v>5709.59</v>
      </c>
    </row>
    <row r="29" spans="3:22" x14ac:dyDescent="0.3">
      <c r="C29">
        <v>24</v>
      </c>
      <c r="D29">
        <v>86790</v>
      </c>
      <c r="E29" t="s">
        <v>41</v>
      </c>
      <c r="F29" t="str">
        <f>ConvertStockCode(표.실시간[[#This Row],[코드]])</f>
        <v>N086790</v>
      </c>
      <c r="G29" s="4">
        <f>_xll.IMDP("STK",표.실시간[[#This Row],[nxt_code]],"현재가")</f>
        <v>102000</v>
      </c>
      <c r="H29" s="4">
        <f>_xll.IMDP("STK",표.실시간[[#This Row],[nxt_code]],"시가총액")/10^12</f>
        <v>28.389233028</v>
      </c>
      <c r="I29" t="str">
        <f>_xll.IMDP("","","전일대비부호")</f>
        <v>코드오류</v>
      </c>
      <c r="J29" s="5">
        <f>_xll.IMDP("STK",표.실시간[[#This Row],[nxt_code]],"전일대비")</f>
        <v>1600</v>
      </c>
      <c r="K29">
        <f>_xll.IMDP("STK",표.실시간[[#This Row],[nxt_code]],"등락률")</f>
        <v>1.49</v>
      </c>
      <c r="L29" s="4">
        <f>_xll.IMDP("STK",표.실시간[[#This Row],[nxt_code]],"누적거래량")</f>
        <v>16355</v>
      </c>
      <c r="M29" s="4">
        <f>_xll.IMDP("STK",표.실시간[[#This Row],[nxt_code]],"누적거래대금")</f>
        <v>1648103200</v>
      </c>
      <c r="N29" s="4">
        <f>_xll.IMDP("STK",표.실시간[[#This Row],[nxt_code]],"가중평균가")</f>
        <v>100752.12128599999</v>
      </c>
      <c r="O29" s="4">
        <f>_xll.IMDP("STK",표.실시간[[#This Row],[nxt_code]],"시가")</f>
        <v>100500</v>
      </c>
      <c r="P29" s="4">
        <f>_xll.IMDP("STK",표.실시간[[#This Row],[nxt_code]],"고가")</f>
        <v>102000</v>
      </c>
      <c r="Q29" s="4">
        <f>_xll.IMDP("STK",표.실시간[[#This Row],[nxt_code]],"저가")</f>
        <v>99900</v>
      </c>
      <c r="R29">
        <f>_xll.IMDP("STK",표.실시간[[#This Row],[nxt_code]],"세션명")</f>
        <v>0</v>
      </c>
      <c r="S29">
        <f>_xll.IMDP("STK",표.실시간[[#This Row],[nxt_code]],"체결시간")</f>
        <v>0</v>
      </c>
      <c r="T29" s="4">
        <f>_xll.IMDP("STK","086790","현재가")</f>
        <v>102100</v>
      </c>
      <c r="U29">
        <f>_xll.IMDP("STK","086790","누적거래량")</f>
        <v>24572</v>
      </c>
      <c r="V29" s="2">
        <v>1519.36</v>
      </c>
    </row>
    <row r="30" spans="3:22" x14ac:dyDescent="0.3">
      <c r="C30">
        <v>25</v>
      </c>
      <c r="D30">
        <v>10140</v>
      </c>
      <c r="E30" t="s">
        <v>42</v>
      </c>
      <c r="F30" t="str">
        <f>ConvertStockCode(표.실시간[[#This Row],[코드]])</f>
        <v>N010140</v>
      </c>
      <c r="G30" s="4">
        <f>_xll.IMDP("STK",표.실시간[[#This Row],[nxt_code]],"현재가")</f>
        <v>30750</v>
      </c>
      <c r="H30" s="4">
        <f>_xll.IMDP("STK",표.실시간[[#This Row],[nxt_code]],"시가총액")/10^12</f>
        <v>27.06</v>
      </c>
      <c r="I30" t="str">
        <f>_xll.IMDP("","","전일대비부호")</f>
        <v>코드오류</v>
      </c>
      <c r="J30" s="5">
        <f>_xll.IMDP("STK",표.실시간[[#This Row],[nxt_code]],"전일대비")</f>
        <v>650</v>
      </c>
      <c r="K30">
        <f>_xll.IMDP("STK",표.실시간[[#This Row],[nxt_code]],"등락률")</f>
        <v>2.16</v>
      </c>
      <c r="L30" s="4">
        <f>_xll.IMDP("STK",표.실시간[[#This Row],[nxt_code]],"누적거래량")</f>
        <v>447554</v>
      </c>
      <c r="M30" s="4">
        <f>_xll.IMDP("STK",표.실시간[[#This Row],[nxt_code]],"누적거래대금")</f>
        <v>13625640875</v>
      </c>
      <c r="N30" s="4">
        <f>_xll.IMDP("STK",표.실시간[[#This Row],[nxt_code]],"가중평균가")</f>
        <v>30444.685724999999</v>
      </c>
      <c r="O30" s="4">
        <f>_xll.IMDP("STK",표.실시간[[#This Row],[nxt_code]],"시가")</f>
        <v>30300</v>
      </c>
      <c r="P30" s="4">
        <f>_xll.IMDP("STK",표.실시간[[#This Row],[nxt_code]],"고가")</f>
        <v>30850</v>
      </c>
      <c r="Q30" s="4">
        <f>_xll.IMDP("STK",표.실시간[[#This Row],[nxt_code]],"저가")</f>
        <v>30200</v>
      </c>
      <c r="R30">
        <f>_xll.IMDP("STK",표.실시간[[#This Row],[nxt_code]],"세션명")</f>
        <v>0</v>
      </c>
      <c r="S30">
        <f>_xll.IMDP("STK",표.실시간[[#This Row],[nxt_code]],"체결시간")</f>
        <v>0</v>
      </c>
      <c r="T30" s="4">
        <f>_xll.IMDP("STK","010140","현재가")</f>
        <v>30700</v>
      </c>
      <c r="U30">
        <f>_xll.IMDP("STK","010140","누적거래량")</f>
        <v>269174</v>
      </c>
      <c r="V30" s="2">
        <v>3196.07</v>
      </c>
    </row>
    <row r="31" spans="3:22" x14ac:dyDescent="0.3">
      <c r="C31">
        <v>26</v>
      </c>
      <c r="D31">
        <v>6400</v>
      </c>
      <c r="E31" t="s">
        <v>43</v>
      </c>
      <c r="F31" t="str">
        <f>ConvertStockCode(표.실시간[[#This Row],[코드]])</f>
        <v>N006400</v>
      </c>
      <c r="G31" s="4">
        <f>_xll.IMDP("STK",표.실시간[[#This Row],[nxt_code]],"현재가")</f>
        <v>391500</v>
      </c>
      <c r="H31" s="4">
        <f>_xll.IMDP("STK",표.실시간[[#This Row],[nxt_code]],"시가총액")/10^12</f>
        <v>31.549234994999999</v>
      </c>
      <c r="I31" t="str">
        <f>_xll.IMDP("","","전일대비부호")</f>
        <v>코드오류</v>
      </c>
      <c r="J31" s="5">
        <f>_xll.IMDP("STK",표.실시간[[#This Row],[nxt_code]],"전일대비")</f>
        <v>7000</v>
      </c>
      <c r="K31">
        <f>_xll.IMDP("STK",표.실시간[[#This Row],[nxt_code]],"등락률")</f>
        <v>1.82</v>
      </c>
      <c r="L31" s="4">
        <f>_xll.IMDP("STK",표.실시간[[#This Row],[nxt_code]],"누적거래량")</f>
        <v>1794449</v>
      </c>
      <c r="M31" s="4">
        <f>_xll.IMDP("STK",표.실시간[[#This Row],[nxt_code]],"누적거래대금")</f>
        <v>719083383250</v>
      </c>
      <c r="N31" s="4">
        <f>_xll.IMDP("STK",표.실시간[[#This Row],[nxt_code]],"가중평균가")</f>
        <v>400726.56467200001</v>
      </c>
      <c r="O31" s="4">
        <f>_xll.IMDP("STK",표.실시간[[#This Row],[nxt_code]],"시가")</f>
        <v>400500</v>
      </c>
      <c r="P31" s="4">
        <f>_xll.IMDP("STK",표.실시간[[#This Row],[nxt_code]],"고가")</f>
        <v>409000</v>
      </c>
      <c r="Q31" s="4">
        <f>_xll.IMDP("STK",표.실시간[[#This Row],[nxt_code]],"저가")</f>
        <v>391000</v>
      </c>
      <c r="R31">
        <f>_xll.IMDP("STK",표.실시간[[#This Row],[nxt_code]],"세션명")</f>
        <v>0</v>
      </c>
      <c r="S31">
        <f>_xll.IMDP("STK",표.실시간[[#This Row],[nxt_code]],"체결시간")</f>
        <v>0</v>
      </c>
      <c r="T31" s="4">
        <f>_xll.IMDP("STK","006400","현재가")</f>
        <v>391500</v>
      </c>
      <c r="U31">
        <f>_xll.IMDP("STK","006400","누적거래량")</f>
        <v>305501</v>
      </c>
      <c r="V31" s="2">
        <v>3384.51</v>
      </c>
    </row>
    <row r="32" spans="3:22" x14ac:dyDescent="0.3">
      <c r="C32">
        <v>27</v>
      </c>
      <c r="D32">
        <v>35720</v>
      </c>
      <c r="E32" t="s">
        <v>44</v>
      </c>
      <c r="F32" t="str">
        <f>ConvertStockCode(표.실시간[[#This Row],[코드]])</f>
        <v>N035720</v>
      </c>
      <c r="G32" s="4">
        <f>_xll.IMDP("STK",표.실시간[[#This Row],[nxt_code]],"현재가")</f>
        <v>58400</v>
      </c>
      <c r="H32" s="4">
        <f>_xll.IMDP("STK",표.실시간[[#This Row],[nxt_code]],"시가총액")/10^12</f>
        <v>25.841720848000001</v>
      </c>
      <c r="I32" t="str">
        <f>_xll.IMDP("","","전일대비부호")</f>
        <v>코드오류</v>
      </c>
      <c r="J32" s="5">
        <f>_xll.IMDP("STK",표.실시간[[#This Row],[nxt_code]],"전일대비")</f>
        <v>0</v>
      </c>
      <c r="K32">
        <f>_xll.IMDP("STK",표.실시간[[#This Row],[nxt_code]],"등락률")</f>
        <v>0</v>
      </c>
      <c r="L32" s="4">
        <f>_xll.IMDP("STK",표.실시간[[#This Row],[nxt_code]],"누적거래량")</f>
        <v>175162</v>
      </c>
      <c r="M32" s="4">
        <f>_xll.IMDP("STK",표.실시간[[#This Row],[nxt_code]],"누적거래대금")</f>
        <v>10266027950</v>
      </c>
      <c r="N32" s="4">
        <f>_xll.IMDP("STK",표.실시간[[#This Row],[nxt_code]],"가중평균가")</f>
        <v>58609.095294999999</v>
      </c>
      <c r="O32" s="4">
        <f>_xll.IMDP("STK",표.실시간[[#This Row],[nxt_code]],"시가")</f>
        <v>58700</v>
      </c>
      <c r="P32" s="4">
        <f>_xll.IMDP("STK",표.실시간[[#This Row],[nxt_code]],"고가")</f>
        <v>58900</v>
      </c>
      <c r="Q32" s="4">
        <f>_xll.IMDP("STK",표.실시간[[#This Row],[nxt_code]],"저가")</f>
        <v>58400</v>
      </c>
      <c r="R32">
        <f>_xll.IMDP("STK",표.실시간[[#This Row],[nxt_code]],"세션명")</f>
        <v>0</v>
      </c>
      <c r="S32">
        <f>_xll.IMDP("STK",표.실시간[[#This Row],[nxt_code]],"체결시간")</f>
        <v>0</v>
      </c>
      <c r="T32" s="4">
        <f>_xll.IMDP("STK","035720","현재가")</f>
        <v>58500</v>
      </c>
      <c r="U32">
        <f>_xll.IMDP("STK","035720","누적거래량")</f>
        <v>64259</v>
      </c>
      <c r="V32" s="2">
        <v>3143.41</v>
      </c>
    </row>
    <row r="33" spans="3:22" x14ac:dyDescent="0.3">
      <c r="C33">
        <v>28</v>
      </c>
      <c r="D33">
        <v>51910</v>
      </c>
      <c r="E33" t="s">
        <v>45</v>
      </c>
      <c r="F33" t="str">
        <f>ConvertStockCode(표.실시간[[#This Row],[코드]])</f>
        <v>N051910</v>
      </c>
      <c r="G33" s="4">
        <f>_xll.IMDP("STK",표.실시간[[#This Row],[nxt_code]],"현재가")</f>
        <v>355000</v>
      </c>
      <c r="H33" s="4">
        <f>_xll.IMDP("STK",표.실시간[[#This Row],[nxt_code]],"시가총액")/10^12</f>
        <v>25.060281764999999</v>
      </c>
      <c r="I33" t="str">
        <f>_xll.IMDP("","","전일대비부호")</f>
        <v>코드오류</v>
      </c>
      <c r="J33" s="5">
        <f>_xll.IMDP("STK",표.실시간[[#This Row],[nxt_code]],"전일대비")</f>
        <v>5000</v>
      </c>
      <c r="K33">
        <f>_xll.IMDP("STK",표.실시간[[#This Row],[nxt_code]],"등락률")</f>
        <v>1.28</v>
      </c>
      <c r="L33" s="4">
        <f>_xll.IMDP("STK",표.실시간[[#This Row],[nxt_code]],"누적거래량")</f>
        <v>41994</v>
      </c>
      <c r="M33" s="4">
        <f>_xll.IMDP("STK",표.실시간[[#This Row],[nxt_code]],"누적거래대금")</f>
        <v>14963876750</v>
      </c>
      <c r="N33" s="4">
        <f>_xll.IMDP("STK",표.실시간[[#This Row],[nxt_code]],"가중평균가")</f>
        <v>356333.68457400001</v>
      </c>
      <c r="O33" s="4">
        <f>_xll.IMDP("STK",표.실시간[[#This Row],[nxt_code]],"시가")</f>
        <v>355500</v>
      </c>
      <c r="P33" s="4">
        <f>_xll.IMDP("STK",표.실시간[[#This Row],[nxt_code]],"고가")</f>
        <v>359000</v>
      </c>
      <c r="Q33" s="4">
        <f>_xll.IMDP("STK",표.실시간[[#This Row],[nxt_code]],"저가")</f>
        <v>353000</v>
      </c>
      <c r="R33">
        <f>_xll.IMDP("STK",표.실시간[[#This Row],[nxt_code]],"세션명")</f>
        <v>0</v>
      </c>
      <c r="S33">
        <f>_xll.IMDP("STK",표.실시간[[#This Row],[nxt_code]],"체결시간")</f>
        <v>0</v>
      </c>
      <c r="T33" s="4">
        <f>_xll.IMDP("STK","051910","현재가")</f>
        <v>355000</v>
      </c>
      <c r="U33">
        <f>_xll.IMDP("STK","051910","누적거래량")</f>
        <v>33011</v>
      </c>
      <c r="V33" s="2">
        <v>6859.14</v>
      </c>
    </row>
    <row r="34" spans="3:22" x14ac:dyDescent="0.3">
      <c r="C34">
        <v>29</v>
      </c>
      <c r="D34">
        <v>64350</v>
      </c>
      <c r="E34" t="s">
        <v>46</v>
      </c>
      <c r="F34" t="str">
        <f>ConvertStockCode(표.실시간[[#This Row],[코드]])</f>
        <v>N064350</v>
      </c>
      <c r="G34" s="4">
        <f>_xll.IMDP("STK",표.실시간[[#This Row],[nxt_code]],"현재가")</f>
        <v>205500</v>
      </c>
      <c r="H34" s="4">
        <f>_xll.IMDP("STK",표.실시간[[#This Row],[nxt_code]],"시가총액")/10^12</f>
        <v>22.4287412115</v>
      </c>
      <c r="I34" t="str">
        <f>_xll.IMDP("","","전일대비부호")</f>
        <v>코드오류</v>
      </c>
      <c r="J34" s="5">
        <f>_xll.IMDP("STK",표.실시간[[#This Row],[nxt_code]],"전일대비")</f>
        <v>-1000</v>
      </c>
      <c r="K34">
        <f>_xll.IMDP("STK",표.실시간[[#This Row],[nxt_code]],"등락률")</f>
        <v>-0.48</v>
      </c>
      <c r="L34" s="4">
        <f>_xll.IMDP("STK",표.실시간[[#This Row],[nxt_code]],"누적거래량")</f>
        <v>43237</v>
      </c>
      <c r="M34" s="4">
        <f>_xll.IMDP("STK",표.실시간[[#This Row],[nxt_code]],"누적거래대금")</f>
        <v>9000347250</v>
      </c>
      <c r="N34" s="4">
        <f>_xll.IMDP("STK",표.실시간[[#This Row],[nxt_code]],"가중평균가")</f>
        <v>208163.083701</v>
      </c>
      <c r="O34" s="4">
        <f>_xll.IMDP("STK",표.실시간[[#This Row],[nxt_code]],"시가")</f>
        <v>208000</v>
      </c>
      <c r="P34" s="4">
        <f>_xll.IMDP("STK",표.실시간[[#This Row],[nxt_code]],"고가")</f>
        <v>209000</v>
      </c>
      <c r="Q34" s="4">
        <f>_xll.IMDP("STK",표.실시간[[#This Row],[nxt_code]],"저가")</f>
        <v>205000</v>
      </c>
      <c r="R34">
        <f>_xll.IMDP("STK",표.실시간[[#This Row],[nxt_code]],"세션명")</f>
        <v>0</v>
      </c>
      <c r="S34">
        <f>_xll.IMDP("STK",표.실시간[[#This Row],[nxt_code]],"체결시간")</f>
        <v>0</v>
      </c>
      <c r="T34" s="4">
        <f>_xll.IMDP("STK","064350","현재가")</f>
        <v>205500</v>
      </c>
      <c r="U34">
        <f>_xll.IMDP("STK","064350","누적거래량")</f>
        <v>24009</v>
      </c>
      <c r="V34" s="2">
        <v>2923.59</v>
      </c>
    </row>
    <row r="35" spans="3:22" x14ac:dyDescent="0.3">
      <c r="C35">
        <v>30</v>
      </c>
      <c r="D35">
        <v>810</v>
      </c>
      <c r="E35" t="s">
        <v>47</v>
      </c>
      <c r="F35" t="str">
        <f>ConvertStockCode(표.실시간[[#This Row],[코드]])</f>
        <v>N000810</v>
      </c>
      <c r="G35" s="4">
        <f>_xll.IMDP("STK",표.실시간[[#This Row],[nxt_code]],"현재가")</f>
        <v>488000</v>
      </c>
      <c r="H35" s="4">
        <f>_xll.IMDP("STK",표.실시간[[#This Row],[nxt_code]],"시가총액")/10^12</f>
        <v>22.45344364</v>
      </c>
      <c r="I35" t="str">
        <f>_xll.IMDP("","","전일대비부호")</f>
        <v>코드오류</v>
      </c>
      <c r="J35" s="5">
        <f>_xll.IMDP("STK",표.실시간[[#This Row],[nxt_code]],"전일대비")</f>
        <v>-1500</v>
      </c>
      <c r="K35">
        <f>_xll.IMDP("STK",표.실시간[[#This Row],[nxt_code]],"등락률")</f>
        <v>-0.31</v>
      </c>
      <c r="L35" s="4">
        <f>_xll.IMDP("STK",표.실시간[[#This Row],[nxt_code]],"누적거래량")</f>
        <v>1516</v>
      </c>
      <c r="M35" s="4">
        <f>_xll.IMDP("STK",표.실시간[[#This Row],[nxt_code]],"누적거래대금")</f>
        <v>742828000</v>
      </c>
      <c r="N35" s="4">
        <f>_xll.IMDP("STK",표.실시간[[#This Row],[nxt_code]],"가중평균가")</f>
        <v>489992.08443300001</v>
      </c>
      <c r="O35" s="4">
        <f>_xll.IMDP("STK",표.실시간[[#This Row],[nxt_code]],"시가")</f>
        <v>486000</v>
      </c>
      <c r="P35" s="4">
        <f>_xll.IMDP("STK",표.실시간[[#This Row],[nxt_code]],"고가")</f>
        <v>492000</v>
      </c>
      <c r="Q35" s="4">
        <f>_xll.IMDP("STK",표.실시간[[#This Row],[nxt_code]],"저가")</f>
        <v>486000</v>
      </c>
      <c r="R35">
        <f>_xll.IMDP("STK",표.실시간[[#This Row],[nxt_code]],"세션명")</f>
        <v>0</v>
      </c>
      <c r="S35">
        <f>_xll.IMDP("STK",표.실시간[[#This Row],[nxt_code]],"체결시간")</f>
        <v>0</v>
      </c>
      <c r="T35" s="4">
        <f>_xll.IMDP("STK","000810","현재가")</f>
        <v>488000</v>
      </c>
      <c r="U35">
        <f>_xll.IMDP("STK","000810","누적거래량")</f>
        <v>3246</v>
      </c>
      <c r="V35" s="2">
        <v>1808.57</v>
      </c>
    </row>
    <row r="36" spans="3:22" x14ac:dyDescent="0.3">
      <c r="C36">
        <v>31</v>
      </c>
      <c r="D36">
        <v>86280</v>
      </c>
      <c r="E36" t="s">
        <v>48</v>
      </c>
      <c r="F36" t="str">
        <f>ConvertStockCode(표.실시간[[#This Row],[코드]])</f>
        <v>N086280</v>
      </c>
      <c r="G36" s="4">
        <f>_xll.IMDP("STK",표.실시간[[#This Row],[nxt_code]],"현재가")</f>
        <v>258000</v>
      </c>
      <c r="H36" s="4">
        <f>_xll.IMDP("STK",표.실시간[[#This Row],[nxt_code]],"시가총액")/10^12</f>
        <v>19.350000000000001</v>
      </c>
      <c r="I36" t="str">
        <f>_xll.IMDP("","","전일대비부호")</f>
        <v>코드오류</v>
      </c>
      <c r="J36" s="5">
        <f>_xll.IMDP("STK",표.실시간[[#This Row],[nxt_code]],"전일대비")</f>
        <v>-4000</v>
      </c>
      <c r="K36">
        <f>_xll.IMDP("STK",표.실시간[[#This Row],[nxt_code]],"등락률")</f>
        <v>-1.53</v>
      </c>
      <c r="L36" s="4">
        <f>_xll.IMDP("STK",표.실시간[[#This Row],[nxt_code]],"누적거래량")</f>
        <v>126314</v>
      </c>
      <c r="M36" s="4">
        <f>_xll.IMDP("STK",표.실시간[[#This Row],[nxt_code]],"누적거래대금")</f>
        <v>33221345500</v>
      </c>
      <c r="N36" s="4">
        <f>_xll.IMDP("STK",표.실시간[[#This Row],[nxt_code]],"가중평균가")</f>
        <v>263006.04446100001</v>
      </c>
      <c r="O36" s="4">
        <f>_xll.IMDP("STK",표.실시간[[#This Row],[nxt_code]],"시가")</f>
        <v>266000</v>
      </c>
      <c r="P36" s="4">
        <f>_xll.IMDP("STK",표.실시간[[#This Row],[nxt_code]],"고가")</f>
        <v>271000</v>
      </c>
      <c r="Q36" s="4">
        <f>_xll.IMDP("STK",표.실시간[[#This Row],[nxt_code]],"저가")</f>
        <v>255000</v>
      </c>
      <c r="R36">
        <f>_xll.IMDP("STK",표.실시간[[#This Row],[nxt_code]],"세션명")</f>
        <v>0</v>
      </c>
      <c r="S36">
        <f>_xll.IMDP("STK",표.실시간[[#This Row],[nxt_code]],"체결시간")</f>
        <v>0</v>
      </c>
      <c r="T36" s="4">
        <f>_xll.IMDP("STK","086280","현재가")</f>
        <v>258000</v>
      </c>
      <c r="U36">
        <f>_xll.IMDP("STK","086280","누적거래량")</f>
        <v>22036</v>
      </c>
      <c r="V36" s="2">
        <v>11772.12</v>
      </c>
    </row>
    <row r="37" spans="3:22" x14ac:dyDescent="0.3">
      <c r="C37">
        <v>32</v>
      </c>
      <c r="D37">
        <v>298040</v>
      </c>
      <c r="E37" t="s">
        <v>49</v>
      </c>
      <c r="F37" t="str">
        <f>ConvertStockCode(표.실시간[[#This Row],[코드]])</f>
        <v>N298040</v>
      </c>
      <c r="G37" s="4">
        <f>_xll.IMDP("STK",표.실시간[[#This Row],[nxt_code]],"현재가")</f>
        <v>2306000</v>
      </c>
      <c r="H37" s="4">
        <f>_xll.IMDP("STK",표.실시간[[#This Row],[nxt_code]],"시가총액")/10^12</f>
        <v>21.502407688000002</v>
      </c>
      <c r="I37" t="str">
        <f>_xll.IMDP("","","전일대비부호")</f>
        <v>코드오류</v>
      </c>
      <c r="J37" s="5">
        <f>_xll.IMDP("STK",표.실시간[[#This Row],[nxt_code]],"전일대비")</f>
        <v>-43000</v>
      </c>
      <c r="K37">
        <f>_xll.IMDP("STK",표.실시간[[#This Row],[nxt_code]],"등락률")</f>
        <v>-1.83</v>
      </c>
      <c r="L37" s="4">
        <f>_xll.IMDP("STK",표.실시간[[#This Row],[nxt_code]],"누적거래량")</f>
        <v>3131</v>
      </c>
      <c r="M37" s="4">
        <f>_xll.IMDP("STK",표.실시간[[#This Row],[nxt_code]],"누적거래대금")</f>
        <v>7404776000</v>
      </c>
      <c r="N37" s="4">
        <f>_xll.IMDP("STK",표.실시간[[#This Row],[nxt_code]],"가중평균가")</f>
        <v>2364987.5439160001</v>
      </c>
      <c r="O37" s="4">
        <f>_xll.IMDP("STK",표.실시간[[#This Row],[nxt_code]],"시가")</f>
        <v>2360000</v>
      </c>
      <c r="P37" s="4">
        <f>_xll.IMDP("STK",표.실시간[[#This Row],[nxt_code]],"고가")</f>
        <v>2385000</v>
      </c>
      <c r="Q37" s="4">
        <f>_xll.IMDP("STK",표.실시간[[#This Row],[nxt_code]],"저가")</f>
        <v>2301000</v>
      </c>
      <c r="R37">
        <f>_xll.IMDP("STK",표.실시간[[#This Row],[nxt_code]],"세션명")</f>
        <v>0</v>
      </c>
      <c r="S37">
        <f>_xll.IMDP("STK",표.실시간[[#This Row],[nxt_code]],"체결시간")</f>
        <v>0</v>
      </c>
      <c r="T37" s="4">
        <f>_xll.IMDP("STK","298040","현재가")</f>
        <v>2306000</v>
      </c>
      <c r="U37">
        <f>_xll.IMDP("STK","298040","누적거래량")</f>
        <v>1401</v>
      </c>
    </row>
    <row r="38" spans="3:22" x14ac:dyDescent="0.3">
      <c r="C38">
        <v>33</v>
      </c>
      <c r="D38">
        <v>34730</v>
      </c>
      <c r="E38" t="s">
        <v>50</v>
      </c>
      <c r="F38" t="str">
        <f>ConvertStockCode(표.실시간[[#This Row],[코드]])</f>
        <v>N034730</v>
      </c>
      <c r="G38" s="4">
        <f>_xll.IMDP("STK",표.실시간[[#This Row],[nxt_code]],"현재가")</f>
        <v>290500</v>
      </c>
      <c r="H38" s="4">
        <f>_xll.IMDP("STK",표.실시간[[#This Row],[nxt_code]],"시가총액")/10^12</f>
        <v>21.0620352215</v>
      </c>
      <c r="I38" t="str">
        <f>_xll.IMDP("","","전일대비부호")</f>
        <v>코드오류</v>
      </c>
      <c r="J38" s="5">
        <f>_xll.IMDP("STK",표.실시간[[#This Row],[nxt_code]],"전일대비")</f>
        <v>-500</v>
      </c>
      <c r="K38">
        <f>_xll.IMDP("STK",표.실시간[[#This Row],[nxt_code]],"등락률")</f>
        <v>-0.34</v>
      </c>
      <c r="L38" s="4">
        <f>_xll.IMDP("STK",표.실시간[[#This Row],[nxt_code]],"누적거래량")</f>
        <v>12167</v>
      </c>
      <c r="M38" s="4">
        <f>_xll.IMDP("STK",표.실시간[[#This Row],[nxt_code]],"누적거래대금")</f>
        <v>3574811000</v>
      </c>
      <c r="N38" s="4">
        <f>_xll.IMDP("STK",표.실시간[[#This Row],[nxt_code]],"가중평균가")</f>
        <v>293812.03254699998</v>
      </c>
      <c r="O38" s="4">
        <f>_xll.IMDP("STK",표.실시간[[#This Row],[nxt_code]],"시가")</f>
        <v>293500</v>
      </c>
      <c r="P38" s="4">
        <f>_xll.IMDP("STK",표.실시간[[#This Row],[nxt_code]],"고가")</f>
        <v>295000</v>
      </c>
      <c r="Q38" s="4">
        <f>_xll.IMDP("STK",표.실시간[[#This Row],[nxt_code]],"저가")</f>
        <v>290500</v>
      </c>
      <c r="R38">
        <f>_xll.IMDP("STK",표.실시간[[#This Row],[nxt_code]],"세션명")</f>
        <v>0</v>
      </c>
      <c r="S38">
        <f>_xll.IMDP("STK",표.실시간[[#This Row],[nxt_code]],"체결시간")</f>
        <v>0</v>
      </c>
      <c r="T38" s="4">
        <f>_xll.IMDP("STK","034730","현재가")</f>
        <v>290500</v>
      </c>
      <c r="U38">
        <f>_xll.IMDP("STK","034730","누적거래량")</f>
        <v>4844</v>
      </c>
    </row>
    <row r="39" spans="3:22" x14ac:dyDescent="0.3">
      <c r="C39">
        <v>34</v>
      </c>
      <c r="D39">
        <v>9150</v>
      </c>
      <c r="E39" t="s">
        <v>51</v>
      </c>
      <c r="F39" t="str">
        <f>ConvertStockCode(표.실시간[[#This Row],[코드]])</f>
        <v>N009150</v>
      </c>
      <c r="G39" s="4">
        <f>_xll.IMDP("STK",표.실시간[[#This Row],[nxt_code]],"현재가")</f>
        <v>284500</v>
      </c>
      <c r="H39" s="4">
        <f>_xll.IMDP("STK",표.실시간[[#This Row],[nxt_code]],"시가총액")/10^12</f>
        <v>21.250356512</v>
      </c>
      <c r="I39" t="str">
        <f>_xll.IMDP("","","전일대비부호")</f>
        <v>코드오류</v>
      </c>
      <c r="J39" s="5">
        <f>_xll.IMDP("STK",표.실시간[[#This Row],[nxt_code]],"전일대비")</f>
        <v>1500</v>
      </c>
      <c r="K39">
        <f>_xll.IMDP("STK",표.실시간[[#This Row],[nxt_code]],"등락률")</f>
        <v>0.53</v>
      </c>
      <c r="L39" s="4">
        <f>_xll.IMDP("STK",표.실시간[[#This Row],[nxt_code]],"누적거래량")</f>
        <v>55290</v>
      </c>
      <c r="M39" s="4">
        <f>_xll.IMDP("STK",표.실시간[[#This Row],[nxt_code]],"누적거래대금")</f>
        <v>15835981500</v>
      </c>
      <c r="N39" s="4">
        <f>_xll.IMDP("STK",표.실시간[[#This Row],[nxt_code]],"가중평균가")</f>
        <v>286416.73901199998</v>
      </c>
      <c r="O39" s="4">
        <f>_xll.IMDP("STK",표.실시간[[#This Row],[nxt_code]],"시가")</f>
        <v>284000</v>
      </c>
      <c r="P39" s="4">
        <f>_xll.IMDP("STK",표.실시간[[#This Row],[nxt_code]],"고가")</f>
        <v>289000</v>
      </c>
      <c r="Q39" s="4">
        <f>_xll.IMDP("STK",표.실시간[[#This Row],[nxt_code]],"저가")</f>
        <v>284000</v>
      </c>
      <c r="R39">
        <f>_xll.IMDP("STK",표.실시간[[#This Row],[nxt_code]],"세션명")</f>
        <v>0</v>
      </c>
      <c r="S39">
        <f>_xll.IMDP("STK",표.실시간[[#This Row],[nxt_code]],"체결시간")</f>
        <v>0</v>
      </c>
      <c r="T39" s="4">
        <f>_xll.IMDP("STK","009150","현재가")</f>
        <v>284000</v>
      </c>
      <c r="U39">
        <f>_xll.IMDP("STK","009150","누적거래량")</f>
        <v>22423</v>
      </c>
    </row>
    <row r="40" spans="3:22" x14ac:dyDescent="0.3">
      <c r="C40">
        <v>35</v>
      </c>
      <c r="D40">
        <v>316140</v>
      </c>
      <c r="E40" t="s">
        <v>52</v>
      </c>
      <c r="F40" t="str">
        <f>ConvertStockCode(표.실시간[[#This Row],[코드]])</f>
        <v>N316140</v>
      </c>
      <c r="G40" s="4">
        <f>_xll.IMDP("STK",표.실시간[[#This Row],[nxt_code]],"현재가")</f>
        <v>29200</v>
      </c>
      <c r="H40" s="4">
        <f>_xll.IMDP("STK",표.실시간[[#This Row],[nxt_code]],"시가총액")/10^12</f>
        <v>21.435028544000001</v>
      </c>
      <c r="I40" t="str">
        <f>_xll.IMDP("","","전일대비부호")</f>
        <v>코드오류</v>
      </c>
      <c r="J40" s="5">
        <f>_xll.IMDP("STK",표.실시간[[#This Row],[nxt_code]],"전일대비")</f>
        <v>100</v>
      </c>
      <c r="K40">
        <f>_xll.IMDP("STK",표.실시간[[#This Row],[nxt_code]],"등락률")</f>
        <v>0.34</v>
      </c>
      <c r="L40" s="4">
        <f>_xll.IMDP("STK",표.실시간[[#This Row],[nxt_code]],"누적거래량")</f>
        <v>59290</v>
      </c>
      <c r="M40" s="4">
        <f>_xll.IMDP("STK",표.실시간[[#This Row],[nxt_code]],"누적거래대금")</f>
        <v>1722288900</v>
      </c>
      <c r="N40" s="4">
        <f>_xll.IMDP("STK",표.실시간[[#This Row],[nxt_code]],"가중평균가")</f>
        <v>29048.556249000001</v>
      </c>
      <c r="O40" s="4">
        <f>_xll.IMDP("STK",표.실시간[[#This Row],[nxt_code]],"시가")</f>
        <v>29200</v>
      </c>
      <c r="P40" s="4">
        <f>_xll.IMDP("STK",표.실시간[[#This Row],[nxt_code]],"고가")</f>
        <v>29200</v>
      </c>
      <c r="Q40" s="4">
        <f>_xll.IMDP("STK",표.실시간[[#This Row],[nxt_code]],"저가")</f>
        <v>28950</v>
      </c>
      <c r="R40">
        <f>_xll.IMDP("STK",표.실시간[[#This Row],[nxt_code]],"세션명")</f>
        <v>0</v>
      </c>
      <c r="S40">
        <f>_xll.IMDP("STK",표.실시간[[#This Row],[nxt_code]],"체결시간")</f>
        <v>0</v>
      </c>
      <c r="T40" s="4">
        <f>_xll.IMDP("STK","316140","현재가")</f>
        <v>29150</v>
      </c>
      <c r="U40">
        <f>_xll.IMDP("STK","316140","누적거래량")</f>
        <v>52014</v>
      </c>
      <c r="V40" s="2">
        <v>1983.46</v>
      </c>
    </row>
    <row r="41" spans="3:22" x14ac:dyDescent="0.3">
      <c r="C41">
        <v>36</v>
      </c>
      <c r="D41">
        <v>267250</v>
      </c>
      <c r="E41" t="s">
        <v>53</v>
      </c>
      <c r="F41" t="str">
        <f>ConvertStockCode(표.실시간[[#This Row],[코드]])</f>
        <v>N267250</v>
      </c>
      <c r="G41" s="4">
        <f>_xll.IMDP("STK",표.실시간[[#This Row],[nxt_code]],"현재가")</f>
        <v>244000</v>
      </c>
      <c r="H41" s="4">
        <f>_xll.IMDP("STK",표.실시간[[#This Row],[nxt_code]],"시가총액")/10^12</f>
        <v>19.274312739999999</v>
      </c>
      <c r="I41" t="str">
        <f>_xll.IMDP("","","전일대비부호")</f>
        <v>코드오류</v>
      </c>
      <c r="J41" s="5">
        <f>_xll.IMDP("STK",표.실시간[[#This Row],[nxt_code]],"전일대비")</f>
        <v>1000</v>
      </c>
      <c r="K41">
        <f>_xll.IMDP("STK",표.실시간[[#This Row],[nxt_code]],"등락률")</f>
        <v>0.41</v>
      </c>
      <c r="L41" s="4">
        <f>_xll.IMDP("STK",표.실시간[[#This Row],[nxt_code]],"누적거래량")</f>
        <v>8070</v>
      </c>
      <c r="M41" s="4">
        <f>_xll.IMDP("STK",표.실시간[[#This Row],[nxt_code]],"누적거래대금")</f>
        <v>1971455000</v>
      </c>
      <c r="N41" s="4">
        <f>_xll.IMDP("STK",표.실시간[[#This Row],[nxt_code]],"가중평균가")</f>
        <v>244294.299876</v>
      </c>
      <c r="O41" s="4">
        <f>_xll.IMDP("STK",표.실시간[[#This Row],[nxt_code]],"시가")</f>
        <v>245000</v>
      </c>
      <c r="P41" s="4">
        <f>_xll.IMDP("STK",표.실시간[[#This Row],[nxt_code]],"고가")</f>
        <v>248000</v>
      </c>
      <c r="Q41" s="4">
        <f>_xll.IMDP("STK",표.실시간[[#This Row],[nxt_code]],"저가")</f>
        <v>243000</v>
      </c>
      <c r="R41">
        <f>_xll.IMDP("STK",표.실시간[[#This Row],[nxt_code]],"세션명")</f>
        <v>0</v>
      </c>
      <c r="S41">
        <f>_xll.IMDP("STK",표.실시간[[#This Row],[nxt_code]],"체결시간")</f>
        <v>0</v>
      </c>
      <c r="T41" s="4">
        <f>_xll.IMDP("STK","267250","현재가")</f>
        <v>243500</v>
      </c>
      <c r="U41">
        <f>_xll.IMDP("STK","267250","누적거래량")</f>
        <v>3313</v>
      </c>
    </row>
    <row r="42" spans="3:22" x14ac:dyDescent="0.3">
      <c r="C42">
        <v>37</v>
      </c>
      <c r="D42">
        <v>196170</v>
      </c>
      <c r="E42" t="s">
        <v>54</v>
      </c>
      <c r="F42" t="str">
        <f>ConvertStockCode(표.실시간[[#This Row],[코드]])</f>
        <v>N196170</v>
      </c>
      <c r="G42" s="4">
        <f>_xll.IMDP("STK",표.실시간[[#This Row],[nxt_code]],"현재가")</f>
        <v>375000</v>
      </c>
      <c r="H42" s="4">
        <f>_xll.IMDP("STK",표.실시간[[#This Row],[nxt_code]],"시가총액")/10^12</f>
        <v>20.064670499999998</v>
      </c>
      <c r="I42" t="str">
        <f>_xll.IMDP("","","전일대비부호")</f>
        <v>코드오류</v>
      </c>
      <c r="J42" s="5">
        <f>_xll.IMDP("STK",표.실시간[[#This Row],[nxt_code]],"전일대비")</f>
        <v>4500</v>
      </c>
      <c r="K42">
        <f>_xll.IMDP("STK",표.실시간[[#This Row],[nxt_code]],"등락률")</f>
        <v>1.35</v>
      </c>
      <c r="L42" s="4">
        <f>_xll.IMDP("STK",표.실시간[[#This Row],[nxt_code]],"누적거래량")</f>
        <v>192075</v>
      </c>
      <c r="M42" s="4">
        <f>_xll.IMDP("STK",표.실시간[[#This Row],[nxt_code]],"누적거래대금")</f>
        <v>71356222750</v>
      </c>
      <c r="N42" s="4">
        <f>_xll.IMDP("STK",표.실시간[[#This Row],[nxt_code]],"가중평균가")</f>
        <v>371501.87556900003</v>
      </c>
      <c r="O42" s="4">
        <f>_xll.IMDP("STK",표.실시간[[#This Row],[nxt_code]],"시가")</f>
        <v>384500</v>
      </c>
      <c r="P42" s="4">
        <f>_xll.IMDP("STK",표.실시간[[#This Row],[nxt_code]],"고가")</f>
        <v>384500</v>
      </c>
      <c r="Q42" s="4">
        <f>_xll.IMDP("STK",표.실시간[[#This Row],[nxt_code]],"저가")</f>
        <v>367000</v>
      </c>
      <c r="R42">
        <f>_xll.IMDP("STK",표.실시간[[#This Row],[nxt_code]],"세션명")</f>
        <v>0</v>
      </c>
      <c r="S42">
        <f>_xll.IMDP("STK",표.실시간[[#This Row],[nxt_code]],"체결시간")</f>
        <v>0</v>
      </c>
      <c r="T42" s="4">
        <f>_xll.IMDP("STK","196170","현재가")</f>
        <v>375000</v>
      </c>
      <c r="U42">
        <f>_xll.IMDP("STK","196170","누적거래량")</f>
        <v>27611</v>
      </c>
    </row>
    <row r="43" spans="3:22" x14ac:dyDescent="0.3">
      <c r="C43">
        <v>38</v>
      </c>
      <c r="D43">
        <v>11200</v>
      </c>
      <c r="E43" t="s">
        <v>55</v>
      </c>
      <c r="F43" t="str">
        <f>ConvertStockCode(표.실시간[[#This Row],[코드]])</f>
        <v>N011200</v>
      </c>
      <c r="G43" s="4">
        <f>_xll.IMDP("STK",표.실시간[[#This Row],[nxt_code]],"현재가")</f>
        <v>20300</v>
      </c>
      <c r="H43" s="4">
        <f>_xll.IMDP("STK",표.실시간[[#This Row],[nxt_code]],"시가총액")/10^12</f>
        <v>19.147730791000001</v>
      </c>
      <c r="I43" t="str">
        <f>_xll.IMDP("","","전일대비부호")</f>
        <v>코드오류</v>
      </c>
      <c r="J43" s="5">
        <f>_xll.IMDP("STK",표.실시간[[#This Row],[nxt_code]],"전일대비")</f>
        <v>-250</v>
      </c>
      <c r="K43">
        <f>_xll.IMDP("STK",표.실시간[[#This Row],[nxt_code]],"등락률")</f>
        <v>-1.22</v>
      </c>
      <c r="L43" s="4">
        <f>_xll.IMDP("STK",표.실시간[[#This Row],[nxt_code]],"누적거래량")</f>
        <v>198576</v>
      </c>
      <c r="M43" s="4">
        <f>_xll.IMDP("STK",표.실시간[[#This Row],[nxt_code]],"누적거래대금")</f>
        <v>4089380150</v>
      </c>
      <c r="N43" s="4">
        <f>_xll.IMDP("STK",표.실시간[[#This Row],[nxt_code]],"가중평균가")</f>
        <v>20593.52666</v>
      </c>
      <c r="O43" s="4">
        <f>_xll.IMDP("STK",표.실시간[[#This Row],[nxt_code]],"시가")</f>
        <v>20550</v>
      </c>
      <c r="P43" s="4">
        <f>_xll.IMDP("STK",표.실시간[[#This Row],[nxt_code]],"고가")</f>
        <v>20750</v>
      </c>
      <c r="Q43" s="4">
        <f>_xll.IMDP("STK",표.실시간[[#This Row],[nxt_code]],"저가")</f>
        <v>20250</v>
      </c>
      <c r="R43">
        <f>_xll.IMDP("STK",표.실시간[[#This Row],[nxt_code]],"세션명")</f>
        <v>0</v>
      </c>
      <c r="S43">
        <f>_xll.IMDP("STK",표.실시간[[#This Row],[nxt_code]],"체결시간")</f>
        <v>0</v>
      </c>
      <c r="T43" s="4">
        <f>_xll.IMDP("STK","011200","현재가")</f>
        <v>20300</v>
      </c>
      <c r="U43">
        <f>_xll.IMDP("STK","011200","누적거래량")</f>
        <v>84783</v>
      </c>
    </row>
    <row r="44" spans="3:22" x14ac:dyDescent="0.3">
      <c r="C44">
        <v>39</v>
      </c>
      <c r="D44">
        <v>138040</v>
      </c>
      <c r="E44" t="s">
        <v>56</v>
      </c>
      <c r="F44" t="str">
        <f>ConvertStockCode(표.실시간[[#This Row],[코드]])</f>
        <v>N138040</v>
      </c>
      <c r="G44" s="4">
        <f>_xll.IMDP("STK",표.실시간[[#This Row],[nxt_code]],"현재가")</f>
        <v>108700</v>
      </c>
      <c r="H44" s="4">
        <f>_xll.IMDP("STK",표.실시간[[#This Row],[nxt_code]],"시가총액")/10^12</f>
        <v>19.046606725099998</v>
      </c>
      <c r="I44" t="str">
        <f>_xll.IMDP("","","전일대비부호")</f>
        <v>코드오류</v>
      </c>
      <c r="J44" s="5">
        <f>_xll.IMDP("STK",표.실시간[[#This Row],[nxt_code]],"전일대비")</f>
        <v>1300</v>
      </c>
      <c r="K44">
        <f>_xll.IMDP("STK",표.실시간[[#This Row],[nxt_code]],"등락률")</f>
        <v>1.21</v>
      </c>
      <c r="L44" s="4">
        <f>_xll.IMDP("STK",표.실시간[[#This Row],[nxt_code]],"누적거래량")</f>
        <v>2742</v>
      </c>
      <c r="M44" s="4">
        <f>_xll.IMDP("STK",표.실시간[[#This Row],[nxt_code]],"누적거래대금")</f>
        <v>295745800</v>
      </c>
      <c r="N44" s="4">
        <f>_xll.IMDP("STK",표.실시간[[#This Row],[nxt_code]],"가중평균가")</f>
        <v>107857.69511299999</v>
      </c>
      <c r="O44" s="4">
        <f>_xll.IMDP("STK",표.실시간[[#This Row],[nxt_code]],"시가")</f>
        <v>108300</v>
      </c>
      <c r="P44" s="4">
        <f>_xll.IMDP("STK",표.실시간[[#This Row],[nxt_code]],"고가")</f>
        <v>108700</v>
      </c>
      <c r="Q44" s="4">
        <f>_xll.IMDP("STK",표.실시간[[#This Row],[nxt_code]],"저가")</f>
        <v>107300</v>
      </c>
      <c r="R44">
        <f>_xll.IMDP("STK",표.실시간[[#This Row],[nxt_code]],"세션명")</f>
        <v>0</v>
      </c>
      <c r="S44">
        <f>_xll.IMDP("STK",표.실시간[[#This Row],[nxt_code]],"체결시간")</f>
        <v>0</v>
      </c>
      <c r="T44" s="4">
        <f>_xll.IMDP("STK","138040","현재가")</f>
        <v>108600</v>
      </c>
      <c r="U44">
        <f>_xll.IMDP("STK","138040","누적거래량")</f>
        <v>9088</v>
      </c>
    </row>
    <row r="45" spans="3:22" x14ac:dyDescent="0.3">
      <c r="C45">
        <v>40</v>
      </c>
      <c r="D45">
        <v>66570</v>
      </c>
      <c r="E45" t="s">
        <v>57</v>
      </c>
      <c r="F45" t="str">
        <f>ConvertStockCode(표.실시간[[#This Row],[코드]])</f>
        <v>N066570</v>
      </c>
      <c r="G45" s="4">
        <f>_xll.IMDP("STK",표.실시간[[#This Row],[nxt_code]],"현재가")</f>
        <v>106000</v>
      </c>
      <c r="H45" s="4">
        <f>_xll.IMDP("STK",표.실시간[[#This Row],[nxt_code]],"시가총액")/10^12</f>
        <v>17.265957021999998</v>
      </c>
      <c r="I45" t="str">
        <f>_xll.IMDP("","","전일대비부호")</f>
        <v>코드오류</v>
      </c>
      <c r="J45" s="5">
        <f>_xll.IMDP("STK",표.실시간[[#This Row],[nxt_code]],"전일대비")</f>
        <v>0</v>
      </c>
      <c r="K45">
        <f>_xll.IMDP("STK",표.실시간[[#This Row],[nxt_code]],"등락률")</f>
        <v>-0.19</v>
      </c>
      <c r="L45" s="4">
        <f>_xll.IMDP("STK",표.실시간[[#This Row],[nxt_code]],"누적거래량")</f>
        <v>105004</v>
      </c>
      <c r="M45" s="4">
        <f>_xll.IMDP("STK",표.실시간[[#This Row],[nxt_code]],"누적거래대금")</f>
        <v>11203960600</v>
      </c>
      <c r="N45" s="4">
        <f>_xll.IMDP("STK",표.실시간[[#This Row],[nxt_code]],"가중평균가")</f>
        <v>106699.30574700001</v>
      </c>
      <c r="O45" s="4">
        <f>_xll.IMDP("STK",표.실시간[[#This Row],[nxt_code]],"시가")</f>
        <v>107400</v>
      </c>
      <c r="P45" s="4">
        <f>_xll.IMDP("STK",표.실시간[[#This Row],[nxt_code]],"고가")</f>
        <v>107900</v>
      </c>
      <c r="Q45" s="4">
        <f>_xll.IMDP("STK",표.실시간[[#This Row],[nxt_code]],"저가")</f>
        <v>106000</v>
      </c>
      <c r="R45">
        <f>_xll.IMDP("STK",표.실시간[[#This Row],[nxt_code]],"세션명")</f>
        <v>0</v>
      </c>
      <c r="S45">
        <f>_xll.IMDP("STK",표.실시간[[#This Row],[nxt_code]],"체결시간")</f>
        <v>0</v>
      </c>
      <c r="T45" s="4">
        <f>_xll.IMDP("STK","066570","현재가")</f>
        <v>106100</v>
      </c>
      <c r="U45">
        <f>_xll.IMDP("STK","066570","누적거래량")</f>
        <v>28370</v>
      </c>
    </row>
    <row r="46" spans="3:22" x14ac:dyDescent="0.3">
      <c r="C46">
        <v>41</v>
      </c>
      <c r="D46">
        <v>3670</v>
      </c>
      <c r="E46" t="s">
        <v>58</v>
      </c>
      <c r="F46" t="str">
        <f>ConvertStockCode(표.실시간[[#This Row],[코드]])</f>
        <v>N003670</v>
      </c>
      <c r="G46" s="4">
        <f>_xll.IMDP("STK",표.실시간[[#This Row],[nxt_code]],"현재가")</f>
        <v>215500</v>
      </c>
      <c r="H46" s="4">
        <f>_xll.IMDP("STK",표.실시간[[#This Row],[nxt_code]],"시가총액")/10^12</f>
        <v>19.167910410000001</v>
      </c>
      <c r="I46" t="str">
        <f>_xll.IMDP("","","전일대비부호")</f>
        <v>코드오류</v>
      </c>
      <c r="J46" s="5">
        <f>_xll.IMDP("STK",표.실시간[[#This Row],[nxt_code]],"전일대비")</f>
        <v>-2000</v>
      </c>
      <c r="K46">
        <f>_xll.IMDP("STK",표.실시간[[#This Row],[nxt_code]],"등락률")</f>
        <v>-0.69</v>
      </c>
      <c r="L46" s="4">
        <f>_xll.IMDP("STK",표.실시간[[#This Row],[nxt_code]],"누적거래량")</f>
        <v>289906</v>
      </c>
      <c r="M46" s="4">
        <f>_xll.IMDP("STK",표.실시간[[#This Row],[nxt_code]],"누적거래대금")</f>
        <v>64311187750</v>
      </c>
      <c r="N46" s="4">
        <f>_xll.IMDP("STK",표.실시간[[#This Row],[nxt_code]],"가중평균가")</f>
        <v>221834.62139499999</v>
      </c>
      <c r="O46" s="4">
        <f>_xll.IMDP("STK",표.실시간[[#This Row],[nxt_code]],"시가")</f>
        <v>220000</v>
      </c>
      <c r="P46" s="4">
        <f>_xll.IMDP("STK",표.실시간[[#This Row],[nxt_code]],"고가")</f>
        <v>225500</v>
      </c>
      <c r="Q46" s="4">
        <f>_xll.IMDP("STK",표.실시간[[#This Row],[nxt_code]],"저가")</f>
        <v>215000</v>
      </c>
      <c r="R46">
        <f>_xll.IMDP("STK",표.실시간[[#This Row],[nxt_code]],"세션명")</f>
        <v>0</v>
      </c>
      <c r="S46">
        <f>_xll.IMDP("STK",표.실시간[[#This Row],[nxt_code]],"체결시간")</f>
        <v>0</v>
      </c>
      <c r="T46" s="4">
        <f>_xll.IMDP("STK","003670","현재가")</f>
        <v>215000</v>
      </c>
      <c r="U46">
        <f>_xll.IMDP("STK","003670","누적거래량")</f>
        <v>91414</v>
      </c>
    </row>
    <row r="47" spans="3:22" x14ac:dyDescent="0.3">
      <c r="C47">
        <v>42</v>
      </c>
      <c r="D47">
        <v>96770</v>
      </c>
      <c r="E47" t="s">
        <v>59</v>
      </c>
      <c r="F47" t="str">
        <f>ConvertStockCode(표.실시간[[#This Row],[코드]])</f>
        <v>N096770</v>
      </c>
      <c r="G47" s="4">
        <f>_xll.IMDP("STK",표.실시간[[#This Row],[nxt_code]],"현재가")</f>
        <v>112800</v>
      </c>
      <c r="H47" s="4">
        <f>_xll.IMDP("STK",표.실시간[[#This Row],[nxt_code]],"시가총액")/10^12</f>
        <v>19.069154486399999</v>
      </c>
      <c r="I47" t="str">
        <f>_xll.IMDP("","","전일대비부호")</f>
        <v>코드오류</v>
      </c>
      <c r="J47" s="5">
        <f>_xll.IMDP("STK",표.실시간[[#This Row],[nxt_code]],"전일대비")</f>
        <v>600</v>
      </c>
      <c r="K47">
        <f>_xll.IMDP("STK",표.실시간[[#This Row],[nxt_code]],"등락률")</f>
        <v>0.53</v>
      </c>
      <c r="L47" s="4">
        <f>_xll.IMDP("STK",표.실시간[[#This Row],[nxt_code]],"누적거래량")</f>
        <v>107420</v>
      </c>
      <c r="M47" s="4">
        <f>_xll.IMDP("STK",표.실시간[[#This Row],[nxt_code]],"누적거래대금")</f>
        <v>12276525050</v>
      </c>
      <c r="N47" s="4">
        <f>_xll.IMDP("STK",표.실시간[[#This Row],[nxt_code]],"가중평균가")</f>
        <v>114285.282536</v>
      </c>
      <c r="O47" s="4">
        <f>_xll.IMDP("STK",표.실시간[[#This Row],[nxt_code]],"시가")</f>
        <v>113000</v>
      </c>
      <c r="P47" s="4">
        <f>_xll.IMDP("STK",표.실시간[[#This Row],[nxt_code]],"고가")</f>
        <v>115900</v>
      </c>
      <c r="Q47" s="4">
        <f>_xll.IMDP("STK",표.실시간[[#This Row],[nxt_code]],"저가")</f>
        <v>112800</v>
      </c>
      <c r="R47">
        <f>_xll.IMDP("STK",표.실시간[[#This Row],[nxt_code]],"세션명")</f>
        <v>0</v>
      </c>
      <c r="S47">
        <f>_xll.IMDP("STK",표.실시간[[#This Row],[nxt_code]],"체결시간")</f>
        <v>0</v>
      </c>
      <c r="T47" s="4">
        <f>_xll.IMDP("STK","096770","현재가")</f>
        <v>112750</v>
      </c>
      <c r="U47">
        <f>_xll.IMDP("STK","096770","누적거래량")</f>
        <v>36717</v>
      </c>
    </row>
    <row r="48" spans="3:22" x14ac:dyDescent="0.3">
      <c r="C48">
        <v>43</v>
      </c>
      <c r="D48">
        <v>6800</v>
      </c>
      <c r="E48" t="s">
        <v>60</v>
      </c>
      <c r="F48" t="str">
        <f>ConvertStockCode(표.실시간[[#This Row],[코드]])</f>
        <v>N006800</v>
      </c>
      <c r="G48" s="4">
        <f>_xll.IMDP("STK",표.실시간[[#This Row],[nxt_code]],"현재가")</f>
        <v>32100</v>
      </c>
      <c r="H48" s="4">
        <f>_xll.IMDP("STK",표.실시간[[#This Row],[nxt_code]],"시가총액")/10^12</f>
        <v>18.2034520614</v>
      </c>
      <c r="I48" t="str">
        <f>_xll.IMDP("","","전일대비부호")</f>
        <v>코드오류</v>
      </c>
      <c r="J48" s="5">
        <f>_xll.IMDP("STK",표.실시간[[#This Row],[nxt_code]],"전일대비")</f>
        <v>2250</v>
      </c>
      <c r="K48">
        <f>_xll.IMDP("STK",표.실시간[[#This Row],[nxt_code]],"등락률")</f>
        <v>7.54</v>
      </c>
      <c r="L48" s="4">
        <f>_xll.IMDP("STK",표.실시간[[#This Row],[nxt_code]],"누적거래량")</f>
        <v>2285326</v>
      </c>
      <c r="M48" s="4">
        <f>_xll.IMDP("STK",표.실시간[[#This Row],[nxt_code]],"누적거래대금")</f>
        <v>71531080375</v>
      </c>
      <c r="N48" s="4">
        <f>_xll.IMDP("STK",표.실시간[[#This Row],[nxt_code]],"가중평균가")</f>
        <v>31300.164779999999</v>
      </c>
      <c r="O48" s="4">
        <f>_xll.IMDP("STK",표.실시간[[#This Row],[nxt_code]],"시가")</f>
        <v>30150</v>
      </c>
      <c r="P48" s="4">
        <f>_xll.IMDP("STK",표.실시간[[#This Row],[nxt_code]],"고가")</f>
        <v>32600</v>
      </c>
      <c r="Q48" s="4">
        <f>_xll.IMDP("STK",표.실시간[[#This Row],[nxt_code]],"저가")</f>
        <v>30000</v>
      </c>
      <c r="R48">
        <f>_xll.IMDP("STK",표.실시간[[#This Row],[nxt_code]],"세션명")</f>
        <v>0</v>
      </c>
      <c r="S48">
        <f>_xll.IMDP("STK",표.실시간[[#This Row],[nxt_code]],"체결시간")</f>
        <v>0</v>
      </c>
      <c r="T48" s="4">
        <f>_xll.IMDP("STK","006800","현재가")</f>
        <v>32050</v>
      </c>
      <c r="U48">
        <f>_xll.IMDP("STK","006800","누적거래량")</f>
        <v>872339</v>
      </c>
    </row>
    <row r="49" spans="3:21" x14ac:dyDescent="0.3">
      <c r="C49">
        <v>44</v>
      </c>
      <c r="D49">
        <v>33780</v>
      </c>
      <c r="E49" t="s">
        <v>61</v>
      </c>
      <c r="F49" t="str">
        <f>ConvertStockCode(표.실시간[[#This Row],[코드]])</f>
        <v>N033780</v>
      </c>
      <c r="G49" s="4">
        <f>_xll.IMDP("STK",표.실시간[[#This Row],[nxt_code]],"현재가")</f>
        <v>144200</v>
      </c>
      <c r="H49" s="4">
        <f>_xll.IMDP("STK",표.실시간[[#This Row],[nxt_code]],"시가총액")/10^12</f>
        <v>17.012232209</v>
      </c>
      <c r="I49" t="str">
        <f>_xll.IMDP("","","전일대비부호")</f>
        <v>코드오류</v>
      </c>
      <c r="J49" s="5">
        <f>_xll.IMDP("STK",표.실시간[[#This Row],[nxt_code]],"전일대비")</f>
        <v>200</v>
      </c>
      <c r="K49">
        <f>_xll.IMDP("STK",표.실시간[[#This Row],[nxt_code]],"등락률")</f>
        <v>0.14000000000000001</v>
      </c>
      <c r="L49" s="4">
        <f>_xll.IMDP("STK",표.실시간[[#This Row],[nxt_code]],"누적거래량")</f>
        <v>2460</v>
      </c>
      <c r="M49" s="4">
        <f>_xll.IMDP("STK",표.실시간[[#This Row],[nxt_code]],"누적거래대금")</f>
        <v>354508400</v>
      </c>
      <c r="N49" s="4">
        <f>_xll.IMDP("STK",표.실시간[[#This Row],[nxt_code]],"가중평균가")</f>
        <v>144109.105691</v>
      </c>
      <c r="O49" s="4">
        <f>_xll.IMDP("STK",표.실시간[[#This Row],[nxt_code]],"시가")</f>
        <v>144000</v>
      </c>
      <c r="P49" s="4">
        <f>_xll.IMDP("STK",표.실시간[[#This Row],[nxt_code]],"고가")</f>
        <v>144700</v>
      </c>
      <c r="Q49" s="4">
        <f>_xll.IMDP("STK",표.실시간[[#This Row],[nxt_code]],"저가")</f>
        <v>143300</v>
      </c>
      <c r="R49">
        <f>_xll.IMDP("STK",표.실시간[[#This Row],[nxt_code]],"세션명")</f>
        <v>0</v>
      </c>
      <c r="S49">
        <f>_xll.IMDP("STK",표.실시간[[#This Row],[nxt_code]],"체결시간")</f>
        <v>0</v>
      </c>
      <c r="T49" s="4">
        <f>_xll.IMDP("STK","033780","현재가")</f>
        <v>144100</v>
      </c>
      <c r="U49">
        <f>_xll.IMDP("STK","033780","누적거래량")</f>
        <v>3794</v>
      </c>
    </row>
    <row r="50" spans="3:21" x14ac:dyDescent="0.3">
      <c r="C50">
        <v>45</v>
      </c>
      <c r="D50">
        <v>272210</v>
      </c>
      <c r="E50" t="s">
        <v>62</v>
      </c>
      <c r="F50" t="str">
        <f>ConvertStockCode(표.실시간[[#This Row],[코드]])</f>
        <v>N272210</v>
      </c>
      <c r="G50" s="4">
        <f>_xll.IMDP("STK",표.실시간[[#This Row],[nxt_code]],"현재가")</f>
        <v>90800</v>
      </c>
      <c r="H50" s="4">
        <f>_xll.IMDP("STK",표.실시간[[#This Row],[nxt_code]],"시가총액")/10^12</f>
        <v>17.153880521200001</v>
      </c>
      <c r="I50" t="str">
        <f>_xll.IMDP("","","전일대비부호")</f>
        <v>코드오류</v>
      </c>
      <c r="J50" s="5">
        <f>_xll.IMDP("STK",표.실시간[[#This Row],[nxt_code]],"전일대비")</f>
        <v>2500</v>
      </c>
      <c r="K50">
        <f>_xll.IMDP("STK",표.실시간[[#This Row],[nxt_code]],"등락률")</f>
        <v>2.83</v>
      </c>
      <c r="L50" s="4">
        <f>_xll.IMDP("STK",표.실시간[[#This Row],[nxt_code]],"누적거래량")</f>
        <v>342072</v>
      </c>
      <c r="M50" s="4">
        <f>_xll.IMDP("STK",표.실시간[[#This Row],[nxt_code]],"누적거래대금")</f>
        <v>30720312650</v>
      </c>
      <c r="N50" s="4">
        <f>_xll.IMDP("STK",표.실시간[[#This Row],[nxt_code]],"가중평균가")</f>
        <v>89779.228495999996</v>
      </c>
      <c r="O50" s="4">
        <f>_xll.IMDP("STK",표.실시간[[#This Row],[nxt_code]],"시가")</f>
        <v>89200</v>
      </c>
      <c r="P50" s="4">
        <f>_xll.IMDP("STK",표.실시간[[#This Row],[nxt_code]],"고가")</f>
        <v>91700</v>
      </c>
      <c r="Q50" s="4">
        <f>_xll.IMDP("STK",표.실시간[[#This Row],[nxt_code]],"저가")</f>
        <v>88300</v>
      </c>
      <c r="R50">
        <f>_xll.IMDP("STK",표.실시간[[#This Row],[nxt_code]],"세션명")</f>
        <v>0</v>
      </c>
      <c r="S50">
        <f>_xll.IMDP("STK",표.실시간[[#This Row],[nxt_code]],"체결시간")</f>
        <v>0</v>
      </c>
      <c r="T50" s="4">
        <f>_xll.IMDP("STK","272210","현재가")</f>
        <v>90800</v>
      </c>
      <c r="U50">
        <f>_xll.IMDP("STK","272210","누적거래량")</f>
        <v>125990</v>
      </c>
    </row>
    <row r="51" spans="3:21" x14ac:dyDescent="0.3">
      <c r="C51">
        <v>46</v>
      </c>
      <c r="D51">
        <v>42700</v>
      </c>
      <c r="E51" t="s">
        <v>63</v>
      </c>
      <c r="F51" t="str">
        <f>ConvertStockCode(표.실시간[[#This Row],[코드]])</f>
        <v>N042700</v>
      </c>
      <c r="G51" s="4">
        <f>_xll.IMDP("STK",표.실시간[[#This Row],[nxt_code]],"현재가")</f>
        <v>169900</v>
      </c>
      <c r="H51" s="4">
        <f>_xll.IMDP("STK",표.실시간[[#This Row],[nxt_code]],"시가총액")/10^12</f>
        <v>16.193542780000001</v>
      </c>
      <c r="I51" t="str">
        <f>_xll.IMDP("","","전일대비부호")</f>
        <v>코드오류</v>
      </c>
      <c r="J51" s="5">
        <f>_xll.IMDP("STK",표.실시간[[#This Row],[nxt_code]],"전일대비")</f>
        <v>-500</v>
      </c>
      <c r="K51">
        <f>_xll.IMDP("STK",표.실시간[[#This Row],[nxt_code]],"등락률")</f>
        <v>-0.28999999999999998</v>
      </c>
      <c r="L51" s="4">
        <f>_xll.IMDP("STK",표.실시간[[#This Row],[nxt_code]],"누적거래량")</f>
        <v>87332</v>
      </c>
      <c r="M51" s="4">
        <f>_xll.IMDP("STK",표.실시간[[#This Row],[nxt_code]],"누적거래대금")</f>
        <v>14895955500</v>
      </c>
      <c r="N51" s="4">
        <f>_xll.IMDP("STK",표.실시간[[#This Row],[nxt_code]],"가중평균가")</f>
        <v>170568.92548000001</v>
      </c>
      <c r="O51" s="4">
        <f>_xll.IMDP("STK",표.실시간[[#This Row],[nxt_code]],"시가")</f>
        <v>170300</v>
      </c>
      <c r="P51" s="4">
        <f>_xll.IMDP("STK",표.실시간[[#This Row],[nxt_code]],"고가")</f>
        <v>171500</v>
      </c>
      <c r="Q51" s="4">
        <f>_xll.IMDP("STK",표.실시간[[#This Row],[nxt_code]],"저가")</f>
        <v>168100</v>
      </c>
      <c r="R51">
        <f>_xll.IMDP("STK",표.실시간[[#This Row],[nxt_code]],"세션명")</f>
        <v>0</v>
      </c>
      <c r="S51">
        <f>_xll.IMDP("STK",표.실시간[[#This Row],[nxt_code]],"체결시간")</f>
        <v>0</v>
      </c>
      <c r="T51" s="4">
        <f>_xll.IMDP("STK","042700","현재가")</f>
        <v>169800</v>
      </c>
      <c r="U51">
        <f>_xll.IMDP("STK","042700","누적거래량")</f>
        <v>16426</v>
      </c>
    </row>
    <row r="52" spans="3:21" x14ac:dyDescent="0.3">
      <c r="C52">
        <v>47</v>
      </c>
      <c r="D52">
        <v>24110</v>
      </c>
      <c r="E52" t="s">
        <v>64</v>
      </c>
      <c r="F52" t="str">
        <f>ConvertStockCode(표.실시간[[#This Row],[코드]])</f>
        <v>N024110</v>
      </c>
      <c r="G52" s="4">
        <f>_xll.IMDP("STK",표.실시간[[#This Row],[nxt_code]],"현재가")</f>
        <v>21000</v>
      </c>
      <c r="H52" s="4">
        <f>_xll.IMDP("STK",표.실시간[[#This Row],[nxt_code]],"시가총액")/10^12</f>
        <v>16.745943249</v>
      </c>
      <c r="I52" t="str">
        <f>_xll.IMDP("","","전일대비부호")</f>
        <v>코드오류</v>
      </c>
      <c r="J52" s="5">
        <f>_xll.IMDP("STK",표.실시간[[#This Row],[nxt_code]],"전일대비")</f>
        <v>0</v>
      </c>
      <c r="K52">
        <f>_xll.IMDP("STK",표.실시간[[#This Row],[nxt_code]],"등락률")</f>
        <v>0</v>
      </c>
      <c r="L52" s="4">
        <f>_xll.IMDP("STK",표.실시간[[#This Row],[nxt_code]],"누적거래량")</f>
        <v>55565</v>
      </c>
      <c r="M52" s="4">
        <f>_xll.IMDP("STK",표.실시간[[#This Row],[nxt_code]],"누적거래대금")</f>
        <v>1169561300</v>
      </c>
      <c r="N52" s="4">
        <f>_xll.IMDP("STK",표.실시간[[#This Row],[nxt_code]],"가중평균가")</f>
        <v>21048.525151000002</v>
      </c>
      <c r="O52" s="4">
        <f>_xll.IMDP("STK",표.실시간[[#This Row],[nxt_code]],"시가")</f>
        <v>21000</v>
      </c>
      <c r="P52" s="4">
        <f>_xll.IMDP("STK",표.실시간[[#This Row],[nxt_code]],"고가")</f>
        <v>21150</v>
      </c>
      <c r="Q52" s="4">
        <f>_xll.IMDP("STK",표.실시간[[#This Row],[nxt_code]],"저가")</f>
        <v>20950</v>
      </c>
      <c r="R52">
        <f>_xll.IMDP("STK",표.실시간[[#This Row],[nxt_code]],"세션명")</f>
        <v>0</v>
      </c>
      <c r="S52">
        <f>_xll.IMDP("STK",표.실시간[[#This Row],[nxt_code]],"체결시간")</f>
        <v>0</v>
      </c>
      <c r="T52" s="4">
        <f>_xll.IMDP("STK","024110","현재가")</f>
        <v>20950</v>
      </c>
      <c r="U52">
        <f>_xll.IMDP("STK","024110","누적거래량")</f>
        <v>11861</v>
      </c>
    </row>
    <row r="53" spans="3:21" x14ac:dyDescent="0.3">
      <c r="C53">
        <v>48</v>
      </c>
      <c r="D53">
        <v>47810</v>
      </c>
      <c r="E53" t="s">
        <v>65</v>
      </c>
      <c r="F53" t="str">
        <f>ConvertStockCode(표.실시간[[#This Row],[코드]])</f>
        <v>N047810</v>
      </c>
      <c r="G53" s="4">
        <f>_xll.IMDP("STK",표.실시간[[#This Row],[nxt_code]],"현재가")</f>
        <v>165600</v>
      </c>
      <c r="H53" s="4">
        <f>_xll.IMDP("STK",표.실시간[[#This Row],[nxt_code]],"시가총액")/10^12</f>
        <v>16.1418777192</v>
      </c>
      <c r="I53" t="str">
        <f>_xll.IMDP("","","전일대비부호")</f>
        <v>코드오류</v>
      </c>
      <c r="J53" s="5">
        <f>_xll.IMDP("STK",표.실시간[[#This Row],[nxt_code]],"전일대비")</f>
        <v>-100</v>
      </c>
      <c r="K53">
        <f>_xll.IMDP("STK",표.실시간[[#This Row],[nxt_code]],"등락률")</f>
        <v>0.78</v>
      </c>
      <c r="L53" s="4">
        <f>_xll.IMDP("STK",표.실시간[[#This Row],[nxt_code]],"누적거래량")</f>
        <v>68950</v>
      </c>
      <c r="M53" s="4">
        <f>_xll.IMDP("STK",표.실시간[[#This Row],[nxt_code]],"누적거래대금")</f>
        <v>11438248700</v>
      </c>
      <c r="N53" s="4">
        <f>_xll.IMDP("STK",표.실시간[[#This Row],[nxt_code]],"가중평균가")</f>
        <v>165891.931835</v>
      </c>
      <c r="O53" s="4">
        <f>_xll.IMDP("STK",표.실시간[[#This Row],[nxt_code]],"시가")</f>
        <v>166200</v>
      </c>
      <c r="P53" s="4">
        <f>_xll.IMDP("STK",표.실시간[[#This Row],[nxt_code]],"고가")</f>
        <v>167400</v>
      </c>
      <c r="Q53" s="4">
        <f>_xll.IMDP("STK",표.실시간[[#This Row],[nxt_code]],"저가")</f>
        <v>165300</v>
      </c>
      <c r="R53">
        <f>_xll.IMDP("STK",표.실시간[[#This Row],[nxt_code]],"세션명")</f>
        <v>0</v>
      </c>
      <c r="S53">
        <f>_xll.IMDP("STK",표.실시간[[#This Row],[nxt_code]],"체결시간")</f>
        <v>0</v>
      </c>
      <c r="T53" s="4">
        <f>_xll.IMDP("STK","047810","현재가")</f>
        <v>165600</v>
      </c>
      <c r="U53">
        <f>_xll.IMDP("STK","047810","누적거래량")</f>
        <v>22662</v>
      </c>
    </row>
    <row r="54" spans="3:21" x14ac:dyDescent="0.3">
      <c r="C54">
        <v>49</v>
      </c>
      <c r="D54">
        <v>247540</v>
      </c>
      <c r="E54" t="s">
        <v>66</v>
      </c>
      <c r="F54" t="str">
        <f>ConvertStockCode(표.실시간[[#This Row],[코드]])</f>
        <v>N247540</v>
      </c>
      <c r="G54" s="4">
        <f>_xll.IMDP("STK",표.실시간[[#This Row],[nxt_code]],"현재가")</f>
        <v>173600</v>
      </c>
      <c r="H54" s="4">
        <f>_xll.IMDP("STK",표.실시간[[#This Row],[nxt_code]],"시가총액")/10^12</f>
        <v>16.978313318400001</v>
      </c>
      <c r="I54" t="str">
        <f>_xll.IMDP("","","전일대비부호")</f>
        <v>코드오류</v>
      </c>
      <c r="J54" s="5">
        <f>_xll.IMDP("STK",표.실시간[[#This Row],[nxt_code]],"전일대비")</f>
        <v>1200</v>
      </c>
      <c r="K54">
        <f>_xll.IMDP("STK",표.실시간[[#This Row],[nxt_code]],"등락률")</f>
        <v>0.7</v>
      </c>
      <c r="L54" s="4">
        <f>_xll.IMDP("STK",표.실시간[[#This Row],[nxt_code]],"누적거래량")</f>
        <v>253259</v>
      </c>
      <c r="M54" s="4">
        <f>_xll.IMDP("STK",표.실시간[[#This Row],[nxt_code]],"누적거래대금")</f>
        <v>44394796550</v>
      </c>
      <c r="N54" s="4">
        <f>_xll.IMDP("STK",표.실시간[[#This Row],[nxt_code]],"가중평균가")</f>
        <v>175294.052926</v>
      </c>
      <c r="O54" s="4">
        <f>_xll.IMDP("STK",표.실시간[[#This Row],[nxt_code]],"시가")</f>
        <v>180000</v>
      </c>
      <c r="P54" s="4">
        <f>_xll.IMDP("STK",표.실시간[[#This Row],[nxt_code]],"고가")</f>
        <v>180000</v>
      </c>
      <c r="Q54" s="4">
        <f>_xll.IMDP("STK",표.실시간[[#This Row],[nxt_code]],"저가")</f>
        <v>173600</v>
      </c>
      <c r="R54">
        <f>_xll.IMDP("STK",표.실시간[[#This Row],[nxt_code]],"세션명")</f>
        <v>0</v>
      </c>
      <c r="S54">
        <f>_xll.IMDP("STK",표.실시간[[#This Row],[nxt_code]],"체결시간")</f>
        <v>0</v>
      </c>
      <c r="T54" s="4">
        <f>_xll.IMDP("STK","247540","현재가")</f>
        <v>173600</v>
      </c>
      <c r="U54">
        <f>_xll.IMDP("STK","247540","누적거래량")</f>
        <v>58201</v>
      </c>
    </row>
    <row r="55" spans="3:21" x14ac:dyDescent="0.3">
      <c r="C55">
        <v>50</v>
      </c>
      <c r="D55">
        <v>10120</v>
      </c>
      <c r="E55" t="s">
        <v>67</v>
      </c>
      <c r="F55" t="str">
        <f>ConvertStockCode(표.실시간[[#This Row],[코드]])</f>
        <v>N010120</v>
      </c>
      <c r="G55" s="4">
        <f>_xll.IMDP("STK",표.실시간[[#This Row],[nxt_code]],"현재가")</f>
        <v>506000</v>
      </c>
      <c r="H55" s="4">
        <f>_xll.IMDP("STK",표.실시간[[#This Row],[nxt_code]],"시가총액")/10^12</f>
        <v>15.15</v>
      </c>
      <c r="I55" t="str">
        <f>_xll.IMDP("","","전일대비부호")</f>
        <v>코드오류</v>
      </c>
      <c r="J55" s="5">
        <f>_xll.IMDP("STK",표.실시간[[#This Row],[nxt_code]],"전일대비")</f>
        <v>-12000</v>
      </c>
      <c r="K55">
        <f>_xll.IMDP("STK",표.실시간[[#This Row],[nxt_code]],"등락률")</f>
        <v>-2.13</v>
      </c>
      <c r="L55" s="4">
        <f>_xll.IMDP("STK",표.실시간[[#This Row],[nxt_code]],"누적거래량")</f>
        <v>14969</v>
      </c>
      <c r="M55" s="4">
        <f>_xll.IMDP("STK",표.실시간[[#This Row],[nxt_code]],"누적거래대금")</f>
        <v>7747253000</v>
      </c>
      <c r="N55" s="4">
        <f>_xll.IMDP("STK",표.실시간[[#This Row],[nxt_code]],"가중평균가")</f>
        <v>517553.143163</v>
      </c>
      <c r="O55" s="4">
        <f>_xll.IMDP("STK",표.실시간[[#This Row],[nxt_code]],"시가")</f>
        <v>521000</v>
      </c>
      <c r="P55" s="4">
        <f>_xll.IMDP("STK",표.실시간[[#This Row],[nxt_code]],"고가")</f>
        <v>525000</v>
      </c>
      <c r="Q55" s="4">
        <f>_xll.IMDP("STK",표.실시간[[#This Row],[nxt_code]],"저가")</f>
        <v>505000</v>
      </c>
      <c r="R55">
        <f>_xll.IMDP("STK",표.실시간[[#This Row],[nxt_code]],"세션명")</f>
        <v>0</v>
      </c>
      <c r="S55">
        <f>_xll.IMDP("STK",표.실시간[[#This Row],[nxt_code]],"체결시간")</f>
        <v>0</v>
      </c>
      <c r="T55" s="4">
        <f>_xll.IMDP("STK","010120","현재가")</f>
        <v>506000</v>
      </c>
      <c r="U55">
        <f>_xll.IMDP("STK","010120","누적거래량")</f>
        <v>5540</v>
      </c>
    </row>
    <row r="56" spans="3:21" x14ac:dyDescent="0.3">
      <c r="C56">
        <v>51</v>
      </c>
      <c r="D56">
        <v>352820</v>
      </c>
      <c r="E56" t="s">
        <v>68</v>
      </c>
      <c r="F56" t="str">
        <f>ConvertStockCode(표.실시간[[#This Row],[코드]])</f>
        <v>N352820</v>
      </c>
      <c r="G56" s="4">
        <f>_xll.IMDP("STK",표.실시간[[#This Row],[nxt_code]],"현재가")</f>
        <v>384500</v>
      </c>
      <c r="H56" s="4">
        <f>_xll.IMDP("STK",표.실시간[[#This Row],[nxt_code]],"시가총액")/10^12</f>
        <v>16.421869653000002</v>
      </c>
      <c r="I56" t="str">
        <f>_xll.IMDP("","","전일대비부호")</f>
        <v>코드오류</v>
      </c>
      <c r="J56" s="5">
        <f>_xll.IMDP("STK",표.실시간[[#This Row],[nxt_code]],"전일대비")</f>
        <v>15500</v>
      </c>
      <c r="K56">
        <f>_xll.IMDP("STK",표.실시간[[#This Row],[nxt_code]],"등락률")</f>
        <v>4.34</v>
      </c>
      <c r="L56" s="4">
        <f>_xll.IMDP("STK",표.실시간[[#This Row],[nxt_code]],"누적거래량")</f>
        <v>128332</v>
      </c>
      <c r="M56" s="4">
        <f>_xll.IMDP("STK",표.실시간[[#This Row],[nxt_code]],"누적거래대금")</f>
        <v>48732656750</v>
      </c>
      <c r="N56" s="4">
        <f>_xll.IMDP("STK",표.실시간[[#This Row],[nxt_code]],"가중평균가")</f>
        <v>379738.93300199998</v>
      </c>
      <c r="O56" s="4">
        <f>_xll.IMDP("STK",표.실시간[[#This Row],[nxt_code]],"시가")</f>
        <v>374500</v>
      </c>
      <c r="P56" s="4">
        <f>_xll.IMDP("STK",표.실시간[[#This Row],[nxt_code]],"고가")</f>
        <v>393000</v>
      </c>
      <c r="Q56" s="4">
        <f>_xll.IMDP("STK",표.실시간[[#This Row],[nxt_code]],"저가")</f>
        <v>373000</v>
      </c>
      <c r="R56">
        <f>_xll.IMDP("STK",표.실시간[[#This Row],[nxt_code]],"세션명")</f>
        <v>0</v>
      </c>
      <c r="S56">
        <f>_xll.IMDP("STK",표.실시간[[#This Row],[nxt_code]],"체결시간")</f>
        <v>0</v>
      </c>
      <c r="T56" s="4">
        <f>_xll.IMDP("STK","352820","현재가")</f>
        <v>384500</v>
      </c>
      <c r="U56">
        <f>_xll.IMDP("STK","352820","누적거래량")</f>
        <v>67109</v>
      </c>
    </row>
    <row r="57" spans="3:21" x14ac:dyDescent="0.3">
      <c r="C57">
        <v>52</v>
      </c>
      <c r="D57" t="s">
        <v>711</v>
      </c>
      <c r="E57" t="s">
        <v>69</v>
      </c>
      <c r="F57" t="str">
        <f>ConvertStockCode(표.실시간[[#This Row],[코드]])</f>
        <v>N0126Z0</v>
      </c>
      <c r="G57" s="4">
        <f>_xll.IMDP("STK",표.실시간[[#This Row],[nxt_code]],"현재가")</f>
        <v>631000</v>
      </c>
      <c r="H57" s="4">
        <f>_xll.IMDP("STK",표.실시간[[#This Row],[nxt_code]],"시가총액")/10^12</f>
        <v>15.701203918999999</v>
      </c>
      <c r="I57" t="str">
        <f>_xll.IMDP("","","전일대비부호")</f>
        <v>코드오류</v>
      </c>
      <c r="J57" s="5">
        <f>_xll.IMDP("STK",표.실시간[[#This Row],[nxt_code]],"전일대비")</f>
        <v>-9000</v>
      </c>
      <c r="K57">
        <f>_xll.IMDP("STK",표.실시간[[#This Row],[nxt_code]],"등락률")</f>
        <v>-1.41</v>
      </c>
      <c r="L57" s="4">
        <f>_xll.IMDP("STK",표.실시간[[#This Row],[nxt_code]],"누적거래량")</f>
        <v>18574</v>
      </c>
      <c r="M57" s="4">
        <f>_xll.IMDP("STK",표.실시간[[#This Row],[nxt_code]],"누적거래대금")</f>
        <v>11834961000</v>
      </c>
      <c r="N57" s="4">
        <f>_xll.IMDP("STK",표.실시간[[#This Row],[nxt_code]],"가중평균가")</f>
        <v>637144.60296100006</v>
      </c>
      <c r="O57" s="4">
        <f>_xll.IMDP("STK",표.실시간[[#This Row],[nxt_code]],"시가")</f>
        <v>642000</v>
      </c>
      <c r="P57" s="4">
        <f>_xll.IMDP("STK",표.실시간[[#This Row],[nxt_code]],"고가")</f>
        <v>644000</v>
      </c>
      <c r="Q57" s="4">
        <f>_xll.IMDP("STK",표.실시간[[#This Row],[nxt_code]],"저가")</f>
        <v>630000</v>
      </c>
      <c r="R57">
        <f>_xll.IMDP("STK",표.실시간[[#This Row],[nxt_code]],"세션명")</f>
        <v>0</v>
      </c>
      <c r="S57">
        <f>_xll.IMDP("STK",표.실시간[[#This Row],[nxt_code]],"체결시간")</f>
        <v>0</v>
      </c>
      <c r="T57" s="4">
        <f>_xll.IMDP("STK","0126Z0","현재가")</f>
        <v>632000</v>
      </c>
      <c r="U57">
        <f>_xll.IMDP("STK","0126Z0","누적거래량")</f>
        <v>7409</v>
      </c>
    </row>
    <row r="58" spans="3:21" x14ac:dyDescent="0.3">
      <c r="C58">
        <v>53</v>
      </c>
      <c r="D58">
        <v>307950</v>
      </c>
      <c r="E58" t="s">
        <v>70</v>
      </c>
      <c r="F58" t="str">
        <f>ConvertStockCode(표.실시간[[#This Row],[코드]])</f>
        <v>N307950</v>
      </c>
      <c r="G58" s="4">
        <f>_xll.IMDP("STK",표.실시간[[#This Row],[nxt_code]],"현재가")</f>
        <v>468000</v>
      </c>
      <c r="H58" s="4">
        <f>_xll.IMDP("STK",표.실시간[[#This Row],[nxt_code]],"시가총액")/10^12</f>
        <v>12.834423576000001</v>
      </c>
      <c r="I58" t="str">
        <f>_xll.IMDP("","","전일대비부호")</f>
        <v>코드오류</v>
      </c>
      <c r="J58" s="5">
        <f>_xll.IMDP("STK",표.실시간[[#This Row],[nxt_code]],"전일대비")</f>
        <v>2500</v>
      </c>
      <c r="K58">
        <f>_xll.IMDP("STK",표.실시간[[#This Row],[nxt_code]],"등락률")</f>
        <v>0.54</v>
      </c>
      <c r="L58" s="4">
        <f>_xll.IMDP("STK",표.실시간[[#This Row],[nxt_code]],"누적거래량")</f>
        <v>58212</v>
      </c>
      <c r="M58" s="4">
        <f>_xll.IMDP("STK",표.실시간[[#This Row],[nxt_code]],"누적거래대금")</f>
        <v>27388991500</v>
      </c>
      <c r="N58" s="4">
        <f>_xll.IMDP("STK",표.실시간[[#This Row],[nxt_code]],"가중평균가")</f>
        <v>470504.217344</v>
      </c>
      <c r="O58" s="4">
        <f>_xll.IMDP("STK",표.실시간[[#This Row],[nxt_code]],"시가")</f>
        <v>472500</v>
      </c>
      <c r="P58" s="4">
        <f>_xll.IMDP("STK",표.실시간[[#This Row],[nxt_code]],"고가")</f>
        <v>480000</v>
      </c>
      <c r="Q58" s="4">
        <f>_xll.IMDP("STK",표.실시간[[#This Row],[nxt_code]],"저가")</f>
        <v>457000</v>
      </c>
      <c r="R58">
        <f>_xll.IMDP("STK",표.실시간[[#This Row],[nxt_code]],"세션명")</f>
        <v>0</v>
      </c>
      <c r="S58">
        <f>_xll.IMDP("STK",표.실시간[[#This Row],[nxt_code]],"체결시간")</f>
        <v>0</v>
      </c>
      <c r="T58" s="4">
        <f>_xll.IMDP("STK","307950","현재가")</f>
        <v>468000</v>
      </c>
      <c r="U58">
        <f>_xll.IMDP("STK","307950","누적거래량")</f>
        <v>6688</v>
      </c>
    </row>
    <row r="59" spans="3:21" x14ac:dyDescent="0.3">
      <c r="C59">
        <v>54</v>
      </c>
      <c r="D59">
        <v>30200</v>
      </c>
      <c r="E59" t="s">
        <v>71</v>
      </c>
      <c r="F59" t="str">
        <f>ConvertStockCode(표.실시간[[#This Row],[코드]])</f>
        <v>N030200</v>
      </c>
      <c r="G59" s="4">
        <f>_xll.IMDP("STK",표.실시간[[#This Row],[nxt_code]],"현재가")</f>
        <v>55100</v>
      </c>
      <c r="H59" s="4">
        <f>_xll.IMDP("STK",표.실시간[[#This Row],[nxt_code]],"시가총액")/10^12</f>
        <v>13.8863948435</v>
      </c>
      <c r="I59" t="str">
        <f>_xll.IMDP("","","전일대비부호")</f>
        <v>코드오류</v>
      </c>
      <c r="J59" s="5">
        <f>_xll.IMDP("STK",표.실시간[[#This Row],[nxt_code]],"전일대비")</f>
        <v>200</v>
      </c>
      <c r="K59">
        <f>_xll.IMDP("STK",표.실시간[[#This Row],[nxt_code]],"등락률")</f>
        <v>0.36</v>
      </c>
      <c r="L59" s="4">
        <f>_xll.IMDP("STK",표.실시간[[#This Row],[nxt_code]],"누적거래량")</f>
        <v>11721</v>
      </c>
      <c r="M59" s="4">
        <f>_xll.IMDP("STK",표.실시간[[#This Row],[nxt_code]],"누적거래대금")</f>
        <v>645727800</v>
      </c>
      <c r="N59" s="4">
        <f>_xll.IMDP("STK",표.실시간[[#This Row],[nxt_code]],"가중평균가")</f>
        <v>55091.528027</v>
      </c>
      <c r="O59" s="4">
        <f>_xll.IMDP("STK",표.실시간[[#This Row],[nxt_code]],"시가")</f>
        <v>55000</v>
      </c>
      <c r="P59" s="4">
        <f>_xll.IMDP("STK",표.실시간[[#This Row],[nxt_code]],"고가")</f>
        <v>55300</v>
      </c>
      <c r="Q59" s="4">
        <f>_xll.IMDP("STK",표.실시간[[#This Row],[nxt_code]],"저가")</f>
        <v>55000</v>
      </c>
      <c r="R59">
        <f>_xll.IMDP("STK",표.실시간[[#This Row],[nxt_code]],"세션명")</f>
        <v>0</v>
      </c>
      <c r="S59">
        <f>_xll.IMDP("STK",표.실시간[[#This Row],[nxt_code]],"체결시간")</f>
        <v>0</v>
      </c>
      <c r="T59" s="4">
        <f>_xll.IMDP("STK","030200","현재가")</f>
        <v>55000</v>
      </c>
      <c r="U59">
        <f>_xll.IMDP("STK","030200","누적거래량")</f>
        <v>6610</v>
      </c>
    </row>
    <row r="60" spans="3:21" x14ac:dyDescent="0.3">
      <c r="C60">
        <v>55</v>
      </c>
      <c r="D60">
        <v>18260</v>
      </c>
      <c r="E60" t="s">
        <v>72</v>
      </c>
      <c r="F60" t="str">
        <f>ConvertStockCode(표.실시간[[#This Row],[코드]])</f>
        <v>N018260</v>
      </c>
      <c r="G60" s="4">
        <f>_xll.IMDP("STK",표.실시간[[#This Row],[nxt_code]],"현재가")</f>
        <v>170700</v>
      </c>
      <c r="H60" s="4">
        <f>_xll.IMDP("STK",표.실시간[[#This Row],[nxt_code]],"시가총액")/10^12</f>
        <v>13.20839046</v>
      </c>
      <c r="I60" t="str">
        <f>_xll.IMDP("","","전일대비부호")</f>
        <v>코드오류</v>
      </c>
      <c r="J60" s="5">
        <f>_xll.IMDP("STK",표.실시간[[#This Row],[nxt_code]],"전일대비")</f>
        <v>1500</v>
      </c>
      <c r="K60">
        <f>_xll.IMDP("STK",표.실시간[[#This Row],[nxt_code]],"등락률")</f>
        <v>0.89</v>
      </c>
      <c r="L60" s="4">
        <f>_xll.IMDP("STK",표.실시간[[#This Row],[nxt_code]],"누적거래량")</f>
        <v>21181</v>
      </c>
      <c r="M60" s="4">
        <f>_xll.IMDP("STK",표.실시간[[#This Row],[nxt_code]],"누적거래대금")</f>
        <v>3624320700</v>
      </c>
      <c r="N60" s="4">
        <f>_xll.IMDP("STK",표.실시간[[#This Row],[nxt_code]],"가중평균가")</f>
        <v>171111.87857</v>
      </c>
      <c r="O60" s="4">
        <f>_xll.IMDP("STK",표.실시간[[#This Row],[nxt_code]],"시가")</f>
        <v>172700</v>
      </c>
      <c r="P60" s="4">
        <f>_xll.IMDP("STK",표.실시간[[#This Row],[nxt_code]],"고가")</f>
        <v>172900</v>
      </c>
      <c r="Q60" s="4">
        <f>_xll.IMDP("STK",표.실시간[[#This Row],[nxt_code]],"저가")</f>
        <v>170400</v>
      </c>
      <c r="R60">
        <f>_xll.IMDP("STK",표.실시간[[#This Row],[nxt_code]],"세션명")</f>
        <v>0</v>
      </c>
      <c r="S60">
        <f>_xll.IMDP("STK",표.실시간[[#This Row],[nxt_code]],"체결시간")</f>
        <v>0</v>
      </c>
      <c r="T60" s="4">
        <f>_xll.IMDP("STK","018260","현재가")</f>
        <v>171200</v>
      </c>
      <c r="U60">
        <f>_xll.IMDP("STK","018260","누적거래량")</f>
        <v>12961</v>
      </c>
    </row>
    <row r="61" spans="3:21" x14ac:dyDescent="0.3">
      <c r="C61">
        <v>56</v>
      </c>
      <c r="D61">
        <v>150</v>
      </c>
      <c r="E61" t="s">
        <v>73</v>
      </c>
      <c r="F61" t="str">
        <f>ConvertStockCode(표.실시간[[#This Row],[코드]])</f>
        <v>N000150</v>
      </c>
      <c r="G61" s="4">
        <f>_xll.IMDP("STK",표.실시간[[#This Row],[nxt_code]],"현재가")</f>
        <v>907000</v>
      </c>
      <c r="H61" s="4">
        <f>_xll.IMDP("STK",표.실시간[[#This Row],[nxt_code]],"시가총액")/10^12</f>
        <v>14.687808345000001</v>
      </c>
      <c r="I61" t="str">
        <f>_xll.IMDP("","","전일대비부호")</f>
        <v>코드오류</v>
      </c>
      <c r="J61" s="5">
        <f>_xll.IMDP("STK",표.실시간[[#This Row],[nxt_code]],"전일대비")</f>
        <v>7000</v>
      </c>
      <c r="K61">
        <f>_xll.IMDP("STK",표.실시간[[#This Row],[nxt_code]],"등락률")</f>
        <v>0.78</v>
      </c>
      <c r="L61" s="4">
        <f>_xll.IMDP("STK",표.실시간[[#This Row],[nxt_code]],"누적거래량")</f>
        <v>21146</v>
      </c>
      <c r="M61" s="4">
        <f>_xll.IMDP("STK",표.실시간[[#This Row],[nxt_code]],"누적거래대금")</f>
        <v>19312862000</v>
      </c>
      <c r="N61" s="4">
        <f>_xll.IMDP("STK",표.실시간[[#This Row],[nxt_code]],"가중평균가")</f>
        <v>913310.41331700003</v>
      </c>
      <c r="O61" s="4">
        <f>_xll.IMDP("STK",표.실시간[[#This Row],[nxt_code]],"시가")</f>
        <v>893000</v>
      </c>
      <c r="P61" s="4">
        <f>_xll.IMDP("STK",표.실시간[[#This Row],[nxt_code]],"고가")</f>
        <v>920000</v>
      </c>
      <c r="Q61" s="4">
        <f>_xll.IMDP("STK",표.실시간[[#This Row],[nxt_code]],"저가")</f>
        <v>883000</v>
      </c>
      <c r="R61">
        <f>_xll.IMDP("STK",표.실시간[[#This Row],[nxt_code]],"세션명")</f>
        <v>0</v>
      </c>
      <c r="S61">
        <f>_xll.IMDP("STK",표.실시간[[#This Row],[nxt_code]],"체결시간")</f>
        <v>0</v>
      </c>
      <c r="T61" s="4">
        <f>_xll.IMDP("STK","000150","현재가")</f>
        <v>906000</v>
      </c>
      <c r="U61">
        <f>_xll.IMDP("STK","000150","누적거래량")</f>
        <v>4759</v>
      </c>
    </row>
    <row r="62" spans="3:21" x14ac:dyDescent="0.3">
      <c r="C62">
        <v>57</v>
      </c>
      <c r="D62">
        <v>3550</v>
      </c>
      <c r="E62" t="s">
        <v>74</v>
      </c>
      <c r="F62" t="str">
        <f>ConvertStockCode(표.실시간[[#This Row],[코드]])</f>
        <v>N003550</v>
      </c>
      <c r="G62" s="4">
        <f>_xll.IMDP("STK",표.실시간[[#This Row],[nxt_code]],"현재가")</f>
        <v>89000</v>
      </c>
      <c r="H62" s="4">
        <f>_xll.IMDP("STK",표.실시간[[#This Row],[nxt_code]],"시가총액")/10^12</f>
        <v>13.725721065</v>
      </c>
      <c r="I62" t="str">
        <f>_xll.IMDP("","","전일대비부호")</f>
        <v>코드오류</v>
      </c>
      <c r="J62" s="5">
        <f>_xll.IMDP("STK",표.실시간[[#This Row],[nxt_code]],"전일대비")</f>
        <v>300</v>
      </c>
      <c r="K62">
        <f>_xll.IMDP("STK",표.실시간[[#This Row],[nxt_code]],"등락률")</f>
        <v>0.34</v>
      </c>
      <c r="L62" s="4">
        <f>_xll.IMDP("STK",표.실시간[[#This Row],[nxt_code]],"누적거래량")</f>
        <v>7916</v>
      </c>
      <c r="M62" s="4">
        <f>_xll.IMDP("STK",표.실시간[[#This Row],[nxt_code]],"누적거래대금")</f>
        <v>705624000</v>
      </c>
      <c r="N62" s="4">
        <f>_xll.IMDP("STK",표.실시간[[#This Row],[nxt_code]],"가중평균가")</f>
        <v>89138.959069999997</v>
      </c>
      <c r="O62" s="4">
        <f>_xll.IMDP("STK",표.실시간[[#This Row],[nxt_code]],"시가")</f>
        <v>88800</v>
      </c>
      <c r="P62" s="4">
        <f>_xll.IMDP("STK",표.실시간[[#This Row],[nxt_code]],"고가")</f>
        <v>89400</v>
      </c>
      <c r="Q62" s="4">
        <f>_xll.IMDP("STK",표.실시간[[#This Row],[nxt_code]],"저가")</f>
        <v>88800</v>
      </c>
      <c r="R62">
        <f>_xll.IMDP("STK",표.실시간[[#This Row],[nxt_code]],"세션명")</f>
        <v>0</v>
      </c>
      <c r="S62">
        <f>_xll.IMDP("STK",표.실시간[[#This Row],[nxt_code]],"체결시간")</f>
        <v>0</v>
      </c>
      <c r="T62" s="4">
        <f>_xll.IMDP("STK","003550","현재가")</f>
        <v>89000</v>
      </c>
      <c r="U62">
        <f>_xll.IMDP("STK","003550","누적거래량")</f>
        <v>6707</v>
      </c>
    </row>
    <row r="63" spans="3:21" x14ac:dyDescent="0.3">
      <c r="C63">
        <v>58</v>
      </c>
      <c r="D63">
        <v>17670</v>
      </c>
      <c r="E63" t="s">
        <v>75</v>
      </c>
      <c r="F63" t="str">
        <f>ConvertStockCode(표.실시간[[#This Row],[코드]])</f>
        <v>N017670</v>
      </c>
      <c r="G63" s="4">
        <f>_xll.IMDP("STK",표.실시간[[#This Row],[nxt_code]],"현재가")</f>
        <v>63300</v>
      </c>
      <c r="H63" s="4">
        <f>_xll.IMDP("STK",표.실시간[[#This Row],[nxt_code]],"시가총액")/10^12</f>
        <v>13.5962103549</v>
      </c>
      <c r="I63" t="str">
        <f>_xll.IMDP("","","전일대비부호")</f>
        <v>코드오류</v>
      </c>
      <c r="J63" s="5">
        <f>_xll.IMDP("STK",표.실시간[[#This Row],[nxt_code]],"전일대비")</f>
        <v>1700</v>
      </c>
      <c r="K63">
        <f>_xll.IMDP("STK",표.실시간[[#This Row],[nxt_code]],"등락률")</f>
        <v>2.59</v>
      </c>
      <c r="L63" s="4">
        <f>_xll.IMDP("STK",표.실시간[[#This Row],[nxt_code]],"누적거래량")</f>
        <v>84781</v>
      </c>
      <c r="M63" s="4">
        <f>_xll.IMDP("STK",표.실시간[[#This Row],[nxt_code]],"누적거래대금")</f>
        <v>5274009600</v>
      </c>
      <c r="N63" s="4">
        <f>_xll.IMDP("STK",표.실시간[[#This Row],[nxt_code]],"가중평균가")</f>
        <v>62222.380014000002</v>
      </c>
      <c r="O63" s="4">
        <f>_xll.IMDP("STK",표.실시간[[#This Row],[nxt_code]],"시가")</f>
        <v>61900</v>
      </c>
      <c r="P63" s="4">
        <f>_xll.IMDP("STK",표.실시간[[#This Row],[nxt_code]],"고가")</f>
        <v>63400</v>
      </c>
      <c r="Q63" s="4">
        <f>_xll.IMDP("STK",표.실시간[[#This Row],[nxt_code]],"저가")</f>
        <v>61300</v>
      </c>
      <c r="R63">
        <f>_xll.IMDP("STK",표.실시간[[#This Row],[nxt_code]],"세션명")</f>
        <v>0</v>
      </c>
      <c r="S63">
        <f>_xll.IMDP("STK",표.실시간[[#This Row],[nxt_code]],"체결시간")</f>
        <v>0</v>
      </c>
      <c r="T63" s="4">
        <f>_xll.IMDP("STK","017670","현재가")</f>
        <v>63500</v>
      </c>
      <c r="U63">
        <f>_xll.IMDP("STK","017670","누적거래량")</f>
        <v>122897</v>
      </c>
    </row>
    <row r="64" spans="3:21" x14ac:dyDescent="0.3">
      <c r="C64">
        <v>59</v>
      </c>
      <c r="D64">
        <v>86520</v>
      </c>
      <c r="E64" t="s">
        <v>76</v>
      </c>
      <c r="F64" t="str">
        <f>ConvertStockCode(표.실시간[[#This Row],[코드]])</f>
        <v>N086520</v>
      </c>
      <c r="G64" s="4">
        <f>_xll.IMDP("STK",표.실시간[[#This Row],[nxt_code]],"현재가")</f>
        <v>106100</v>
      </c>
      <c r="H64" s="4">
        <f>_xll.IMDP("STK",표.실시간[[#This Row],[nxt_code]],"시가총액")/10^12</f>
        <v>14.4058497272</v>
      </c>
      <c r="I64" t="str">
        <f>_xll.IMDP("","","전일대비부호")</f>
        <v>코드오류</v>
      </c>
      <c r="J64" s="5">
        <f>_xll.IMDP("STK",표.실시간[[#This Row],[nxt_code]],"전일대비")</f>
        <v>1100</v>
      </c>
      <c r="K64">
        <f>_xll.IMDP("STK",표.실시간[[#This Row],[nxt_code]],"등락률")</f>
        <v>1.05</v>
      </c>
      <c r="L64" s="4">
        <f>_xll.IMDP("STK",표.실시간[[#This Row],[nxt_code]],"누적거래량")</f>
        <v>1446372</v>
      </c>
      <c r="M64" s="4">
        <f>_xll.IMDP("STK",표.실시간[[#This Row],[nxt_code]],"누적거래대금")</f>
        <v>156511853800</v>
      </c>
      <c r="N64" s="4">
        <f>_xll.IMDP("STK",표.실시간[[#This Row],[nxt_code]],"가중평균가")</f>
        <v>108209.958296</v>
      </c>
      <c r="O64" s="4">
        <f>_xll.IMDP("STK",표.실시간[[#This Row],[nxt_code]],"시가")</f>
        <v>106700</v>
      </c>
      <c r="P64" s="4">
        <f>_xll.IMDP("STK",표.실시간[[#This Row],[nxt_code]],"고가")</f>
        <v>110400</v>
      </c>
      <c r="Q64" s="4">
        <f>_xll.IMDP("STK",표.실시간[[#This Row],[nxt_code]],"저가")</f>
        <v>106000</v>
      </c>
      <c r="R64">
        <f>_xll.IMDP("STK",표.실시간[[#This Row],[nxt_code]],"세션명")</f>
        <v>0</v>
      </c>
      <c r="S64">
        <f>_xll.IMDP("STK",표.실시간[[#This Row],[nxt_code]],"체결시간")</f>
        <v>0</v>
      </c>
      <c r="T64" s="4">
        <f>_xll.IMDP("STK","086520","현재가")</f>
        <v>106200</v>
      </c>
      <c r="U64">
        <f>_xll.IMDP("STK","086520","누적거래량")</f>
        <v>269775</v>
      </c>
    </row>
    <row r="65" spans="3:21" x14ac:dyDescent="0.3">
      <c r="C65">
        <v>60</v>
      </c>
      <c r="D65">
        <v>720</v>
      </c>
      <c r="E65" t="s">
        <v>77</v>
      </c>
      <c r="F65" t="str">
        <f>ConvertStockCode(표.실시간[[#This Row],[코드]])</f>
        <v>N000720</v>
      </c>
      <c r="G65" s="4">
        <f>_xll.IMDP("STK",표.실시간[[#This Row],[nxt_code]],"현재가")</f>
        <v>108200</v>
      </c>
      <c r="H65" s="4">
        <f>_xll.IMDP("STK",표.실시간[[#This Row],[nxt_code]],"시가총액")/10^12</f>
        <v>12.048693773</v>
      </c>
      <c r="I65" t="str">
        <f>_xll.IMDP("","","전일대비부호")</f>
        <v>코드오류</v>
      </c>
      <c r="J65" s="5">
        <f>_xll.IMDP("STK",표.실시간[[#This Row],[nxt_code]],"전일대비")</f>
        <v>4200</v>
      </c>
      <c r="K65">
        <f>_xll.IMDP("STK",표.실시간[[#This Row],[nxt_code]],"등락률")</f>
        <v>4.04</v>
      </c>
      <c r="L65" s="4">
        <f>_xll.IMDP("STK",표.실시간[[#This Row],[nxt_code]],"누적거래량")</f>
        <v>178432</v>
      </c>
      <c r="M65" s="4">
        <f>_xll.IMDP("STK",표.실시간[[#This Row],[nxt_code]],"누적거래대금")</f>
        <v>19060356500</v>
      </c>
      <c r="N65" s="4">
        <f>_xll.IMDP("STK",표.실시간[[#This Row],[nxt_code]],"가중평균가")</f>
        <v>106821.333012</v>
      </c>
      <c r="O65" s="4">
        <f>_xll.IMDP("STK",표.실시간[[#This Row],[nxt_code]],"시가")</f>
        <v>104500</v>
      </c>
      <c r="P65" s="4">
        <f>_xll.IMDP("STK",표.실시간[[#This Row],[nxt_code]],"고가")</f>
        <v>109200</v>
      </c>
      <c r="Q65" s="4">
        <f>_xll.IMDP("STK",표.실시간[[#This Row],[nxt_code]],"저가")</f>
        <v>104500</v>
      </c>
      <c r="R65">
        <f>_xll.IMDP("STK",표.실시간[[#This Row],[nxt_code]],"세션명")</f>
        <v>0</v>
      </c>
      <c r="S65">
        <f>_xll.IMDP("STK",표.실시간[[#This Row],[nxt_code]],"체결시간")</f>
        <v>0</v>
      </c>
      <c r="T65" s="4">
        <f>_xll.IMDP("STK","000720","현재가")</f>
        <v>108200</v>
      </c>
      <c r="U65">
        <f>_xll.IMDP("STK","000720","누적거래량")</f>
        <v>90176</v>
      </c>
    </row>
    <row r="66" spans="3:21" x14ac:dyDescent="0.3">
      <c r="C66">
        <v>61</v>
      </c>
      <c r="D66">
        <v>79550</v>
      </c>
      <c r="E66" t="s">
        <v>78</v>
      </c>
      <c r="F66" t="str">
        <f>ConvertStockCode(표.실시간[[#This Row],[코드]])</f>
        <v>N079550</v>
      </c>
      <c r="G66" s="4">
        <f>_xll.IMDP("STK",표.실시간[[#This Row],[nxt_code]],"현재가")</f>
        <v>535000</v>
      </c>
      <c r="H66" s="4">
        <f>_xll.IMDP("STK",표.실시간[[#This Row],[nxt_code]],"시가총액")/10^12</f>
        <v>11.792</v>
      </c>
      <c r="I66" t="str">
        <f>_xll.IMDP("","","전일대비부호")</f>
        <v>코드오류</v>
      </c>
      <c r="J66" s="5">
        <f>_xll.IMDP("STK",표.실시간[[#This Row],[nxt_code]],"전일대비")</f>
        <v>7000</v>
      </c>
      <c r="K66">
        <f>_xll.IMDP("STK",표.실시간[[#This Row],[nxt_code]],"등락률")</f>
        <v>1.32</v>
      </c>
      <c r="L66" s="4">
        <f>_xll.IMDP("STK",표.실시간[[#This Row],[nxt_code]],"누적거래량")</f>
        <v>3976</v>
      </c>
      <c r="M66" s="4">
        <f>_xll.IMDP("STK",표.실시간[[#This Row],[nxt_code]],"누적거래대금")</f>
        <v>2123331000</v>
      </c>
      <c r="N66" s="4">
        <f>_xll.IMDP("STK",표.실시간[[#This Row],[nxt_code]],"가중평균가")</f>
        <v>534036.97183099994</v>
      </c>
      <c r="O66" s="4">
        <f>_xll.IMDP("STK",표.실시간[[#This Row],[nxt_code]],"시가")</f>
        <v>533000</v>
      </c>
      <c r="P66" s="4">
        <f>_xll.IMDP("STK",표.실시간[[#This Row],[nxt_code]],"고가")</f>
        <v>538000</v>
      </c>
      <c r="Q66" s="4">
        <f>_xll.IMDP("STK",표.실시간[[#This Row],[nxt_code]],"저가")</f>
        <v>530000</v>
      </c>
      <c r="R66">
        <f>_xll.IMDP("STK",표.실시간[[#This Row],[nxt_code]],"세션명")</f>
        <v>0</v>
      </c>
      <c r="S66">
        <f>_xll.IMDP("STK",표.실시간[[#This Row],[nxt_code]],"체결시간")</f>
        <v>0</v>
      </c>
      <c r="T66" s="4">
        <f>_xll.IMDP("STK","079550","현재가")</f>
        <v>535000</v>
      </c>
      <c r="U66">
        <f>_xll.IMDP("STK","079550","누적거래량")</f>
        <v>2508</v>
      </c>
    </row>
    <row r="67" spans="3:21" x14ac:dyDescent="0.3">
      <c r="C67">
        <v>62</v>
      </c>
      <c r="D67">
        <v>259960</v>
      </c>
      <c r="E67" t="s">
        <v>79</v>
      </c>
      <c r="F67" t="str">
        <f>ConvertStockCode(표.실시간[[#This Row],[코드]])</f>
        <v>N259960</v>
      </c>
      <c r="G67" s="4">
        <f>_xll.IMDP("STK",표.실시간[[#This Row],[nxt_code]],"현재가")</f>
        <v>236500</v>
      </c>
      <c r="H67" s="4">
        <f>_xll.IMDP("STK",표.실시간[[#This Row],[nxt_code]],"시가총액")/10^12</f>
        <v>11.2110060315</v>
      </c>
      <c r="I67" t="str">
        <f>_xll.IMDP("","","전일대비부호")</f>
        <v>코드오류</v>
      </c>
      <c r="J67" s="5">
        <f>_xll.IMDP("STK",표.실시간[[#This Row],[nxt_code]],"전일대비")</f>
        <v>0</v>
      </c>
      <c r="K67">
        <f>_xll.IMDP("STK",표.실시간[[#This Row],[nxt_code]],"등락률")</f>
        <v>0</v>
      </c>
      <c r="L67" s="4">
        <f>_xll.IMDP("STK",표.실시간[[#This Row],[nxt_code]],"누적거래량")</f>
        <v>1194</v>
      </c>
      <c r="M67" s="4">
        <f>_xll.IMDP("STK",표.실시간[[#This Row],[nxt_code]],"누적거래대금")</f>
        <v>282719500</v>
      </c>
      <c r="N67" s="4">
        <f>_xll.IMDP("STK",표.실시간[[#This Row],[nxt_code]],"가중평균가")</f>
        <v>236783.50083800001</v>
      </c>
      <c r="O67" s="4">
        <f>_xll.IMDP("STK",표.실시간[[#This Row],[nxt_code]],"시가")</f>
        <v>238000</v>
      </c>
      <c r="P67" s="4">
        <f>_xll.IMDP("STK",표.실시간[[#This Row],[nxt_code]],"고가")</f>
        <v>238000</v>
      </c>
      <c r="Q67" s="4">
        <f>_xll.IMDP("STK",표.실시간[[#This Row],[nxt_code]],"저가")</f>
        <v>236000</v>
      </c>
      <c r="R67">
        <f>_xll.IMDP("STK",표.실시간[[#This Row],[nxt_code]],"세션명")</f>
        <v>0</v>
      </c>
      <c r="S67">
        <f>_xll.IMDP("STK",표.실시간[[#This Row],[nxt_code]],"체결시간")</f>
        <v>0</v>
      </c>
      <c r="T67" s="4">
        <f>_xll.IMDP("STK","259960","현재가")</f>
        <v>236000</v>
      </c>
      <c r="U67">
        <f>_xll.IMDP("STK","259960","누적거래량")</f>
        <v>1137</v>
      </c>
    </row>
    <row r="68" spans="3:21" x14ac:dyDescent="0.3">
      <c r="C68">
        <v>63</v>
      </c>
      <c r="D68">
        <v>47050</v>
      </c>
      <c r="E68" t="s">
        <v>80</v>
      </c>
      <c r="F68" t="str">
        <f>ConvertStockCode(표.실시간[[#This Row],[코드]])</f>
        <v>N047050</v>
      </c>
      <c r="G68" s="4">
        <f>_xll.IMDP("STK",표.실시간[[#This Row],[nxt_code]],"현재가")</f>
        <v>63800</v>
      </c>
      <c r="H68" s="4">
        <f>_xll.IMDP("STK",표.실시간[[#This Row],[nxt_code]],"시가총액")/10^12</f>
        <v>11.223873874400001</v>
      </c>
      <c r="I68" t="str">
        <f>_xll.IMDP("","","전일대비부호")</f>
        <v>코드오류</v>
      </c>
      <c r="J68" s="5">
        <f>_xll.IMDP("STK",표.실시간[[#This Row],[nxt_code]],"전일대비")</f>
        <v>1100</v>
      </c>
      <c r="K68">
        <f>_xll.IMDP("STK",표.실시간[[#This Row],[nxt_code]],"등락률")</f>
        <v>1.75</v>
      </c>
      <c r="L68" s="4">
        <f>_xll.IMDP("STK",표.실시간[[#This Row],[nxt_code]],"누적거래량")</f>
        <v>132896</v>
      </c>
      <c r="M68" s="4">
        <f>_xll.IMDP("STK",표.실시간[[#This Row],[nxt_code]],"누적거래대금")</f>
        <v>8440757800</v>
      </c>
      <c r="N68" s="4">
        <f>_xll.IMDP("STK",표.실시간[[#This Row],[nxt_code]],"가중평균가")</f>
        <v>63465.298726000001</v>
      </c>
      <c r="O68" s="4">
        <f>_xll.IMDP("STK",표.실시간[[#This Row],[nxt_code]],"시가")</f>
        <v>63400</v>
      </c>
      <c r="P68" s="4">
        <f>_xll.IMDP("STK",표.실시간[[#This Row],[nxt_code]],"고가")</f>
        <v>64000</v>
      </c>
      <c r="Q68" s="4">
        <f>_xll.IMDP("STK",표.실시간[[#This Row],[nxt_code]],"저가")</f>
        <v>62600</v>
      </c>
      <c r="R68">
        <f>_xll.IMDP("STK",표.실시간[[#This Row],[nxt_code]],"세션명")</f>
        <v>0</v>
      </c>
      <c r="S68">
        <f>_xll.IMDP("STK",표.실시간[[#This Row],[nxt_code]],"체결시간")</f>
        <v>0</v>
      </c>
      <c r="T68" s="4">
        <f>_xll.IMDP("STK","047050","현재가")</f>
        <v>63800</v>
      </c>
      <c r="U68">
        <f>_xll.IMDP("STK","047050","누적거래량")</f>
        <v>27015</v>
      </c>
    </row>
    <row r="69" spans="3:21" x14ac:dyDescent="0.3">
      <c r="C69">
        <v>64</v>
      </c>
      <c r="D69">
        <v>10950</v>
      </c>
      <c r="E69" t="s">
        <v>81</v>
      </c>
      <c r="F69" t="str">
        <f>ConvertStockCode(표.실시간[[#This Row],[코드]])</f>
        <v>N010950</v>
      </c>
      <c r="G69" s="4">
        <f>_xll.IMDP("STK",표.실시간[[#This Row],[nxt_code]],"현재가")</f>
        <v>97600</v>
      </c>
      <c r="H69" s="4">
        <f>_xll.IMDP("STK",표.실시간[[#This Row],[nxt_code]],"시가총액")/10^12</f>
        <v>10.988080499200001</v>
      </c>
      <c r="I69" t="str">
        <f>_xll.IMDP("","","전일대비부호")</f>
        <v>코드오류</v>
      </c>
      <c r="J69" s="5">
        <f>_xll.IMDP("STK",표.실시간[[#This Row],[nxt_code]],"전일대비")</f>
        <v>-900</v>
      </c>
      <c r="K69">
        <f>_xll.IMDP("STK",표.실시간[[#This Row],[nxt_code]],"등락률")</f>
        <v>-0.91</v>
      </c>
      <c r="L69" s="4">
        <f>_xll.IMDP("STK",표.실시간[[#This Row],[nxt_code]],"누적거래량")</f>
        <v>17308</v>
      </c>
      <c r="M69" s="4">
        <f>_xll.IMDP("STK",표.실시간[[#This Row],[nxt_code]],"누적거래대금")</f>
        <v>1679828100</v>
      </c>
      <c r="N69" s="4">
        <f>_xll.IMDP("STK",표.실시간[[#This Row],[nxt_code]],"가중평균가")</f>
        <v>97055.009244000001</v>
      </c>
      <c r="O69" s="4">
        <f>_xll.IMDP("STK",표.실시간[[#This Row],[nxt_code]],"시가")</f>
        <v>98400</v>
      </c>
      <c r="P69" s="4">
        <f>_xll.IMDP("STK",표.실시간[[#This Row],[nxt_code]],"고가")</f>
        <v>98400</v>
      </c>
      <c r="Q69" s="4">
        <f>_xll.IMDP("STK",표.실시간[[#This Row],[nxt_code]],"저가")</f>
        <v>96400</v>
      </c>
      <c r="R69">
        <f>_xll.IMDP("STK",표.실시간[[#This Row],[nxt_code]],"세션명")</f>
        <v>0</v>
      </c>
      <c r="S69">
        <f>_xll.IMDP("STK",표.실시간[[#This Row],[nxt_code]],"체결시간")</f>
        <v>0</v>
      </c>
      <c r="T69" s="4">
        <f>_xll.IMDP("STK","010950","현재가")</f>
        <v>97800</v>
      </c>
      <c r="U69">
        <f>_xll.IMDP("STK","010950","누적거래량")</f>
        <v>6346</v>
      </c>
    </row>
    <row r="70" spans="3:21" x14ac:dyDescent="0.3">
      <c r="C70">
        <v>65</v>
      </c>
      <c r="D70">
        <v>71050</v>
      </c>
      <c r="E70" t="s">
        <v>82</v>
      </c>
      <c r="F70" t="str">
        <f>ConvertStockCode(표.실시간[[#This Row],[코드]])</f>
        <v>N071050</v>
      </c>
      <c r="G70" s="4">
        <f>_xll.IMDP("STK",표.실시간[[#This Row],[nxt_code]],"현재가")</f>
        <v>190500</v>
      </c>
      <c r="H70" s="4">
        <f>_xll.IMDP("STK",표.실시간[[#This Row],[nxt_code]],"시가총액")/10^12</f>
        <v>10.615801476</v>
      </c>
      <c r="I70" t="str">
        <f>_xll.IMDP("","","전일대비부호")</f>
        <v>코드오류</v>
      </c>
      <c r="J70" s="5">
        <f>_xll.IMDP("STK",표.실시간[[#This Row],[nxt_code]],"전일대비")</f>
        <v>4800</v>
      </c>
      <c r="K70">
        <f>_xll.IMDP("STK",표.실시간[[#This Row],[nxt_code]],"등락률")</f>
        <v>2.09</v>
      </c>
      <c r="L70" s="4">
        <f>_xll.IMDP("STK",표.실시간[[#This Row],[nxt_code]],"누적거래량")</f>
        <v>26168</v>
      </c>
      <c r="M70" s="4">
        <f>_xll.IMDP("STK",표.실시간[[#This Row],[nxt_code]],"누적거래대금")</f>
        <v>5006646200</v>
      </c>
      <c r="N70" s="4">
        <f>_xll.IMDP("STK",표.실시간[[#This Row],[nxt_code]],"가중평균가")</f>
        <v>191327.04830299999</v>
      </c>
      <c r="O70" s="4">
        <f>_xll.IMDP("STK",표.실시간[[#This Row],[nxt_code]],"시가")</f>
        <v>188000</v>
      </c>
      <c r="P70" s="4">
        <f>_xll.IMDP("STK",표.실시간[[#This Row],[nxt_code]],"고가")</f>
        <v>194500</v>
      </c>
      <c r="Q70" s="4">
        <f>_xll.IMDP("STK",표.실시간[[#This Row],[nxt_code]],"저가")</f>
        <v>186600</v>
      </c>
      <c r="R70">
        <f>_xll.IMDP("STK",표.실시간[[#This Row],[nxt_code]],"세션명")</f>
        <v>0</v>
      </c>
      <c r="S70">
        <f>_xll.IMDP("STK",표.실시간[[#This Row],[nxt_code]],"체결시간")</f>
        <v>0</v>
      </c>
      <c r="T70" s="4">
        <f>_xll.IMDP("STK","071050","현재가")</f>
        <v>190800</v>
      </c>
      <c r="U70">
        <f>_xll.IMDP("STK","071050","누적거래량")</f>
        <v>27264</v>
      </c>
    </row>
    <row r="71" spans="3:21" x14ac:dyDescent="0.3">
      <c r="C71">
        <v>66</v>
      </c>
      <c r="D71">
        <v>277810</v>
      </c>
      <c r="E71" t="s">
        <v>83</v>
      </c>
      <c r="F71" t="str">
        <f>ConvertStockCode(표.실시간[[#This Row],[코드]])</f>
        <v>N277810</v>
      </c>
      <c r="G71" s="4">
        <f>_xll.IMDP("STK",표.실시간[[#This Row],[nxt_code]],"현재가")</f>
        <v>498500</v>
      </c>
      <c r="H71" s="4">
        <f>_xll.IMDP("STK",표.실시간[[#This Row],[nxt_code]],"시가총액")/10^12</f>
        <v>9.6708292129999993</v>
      </c>
      <c r="I71" t="str">
        <f>_xll.IMDP("","","전일대비부호")</f>
        <v>코드오류</v>
      </c>
      <c r="J71" s="5">
        <f>_xll.IMDP("STK",표.실시간[[#This Row],[nxt_code]],"전일대비")</f>
        <v>-2000</v>
      </c>
      <c r="K71">
        <f>_xll.IMDP("STK",표.실시간[[#This Row],[nxt_code]],"등락률")</f>
        <v>-0.5</v>
      </c>
      <c r="L71" s="4">
        <f>_xll.IMDP("STK",표.실시간[[#This Row],[nxt_code]],"누적거래량")</f>
        <v>17218</v>
      </c>
      <c r="M71" s="4">
        <f>_xll.IMDP("STK",표.실시간[[#This Row],[nxt_code]],"누적거래대금")</f>
        <v>8667359000</v>
      </c>
      <c r="N71" s="4">
        <f>_xll.IMDP("STK",표.실시간[[#This Row],[nxt_code]],"가중평균가")</f>
        <v>503389.41805099999</v>
      </c>
      <c r="O71" s="4">
        <f>_xll.IMDP("STK",표.실시간[[#This Row],[nxt_code]],"시가")</f>
        <v>513000</v>
      </c>
      <c r="P71" s="4">
        <f>_xll.IMDP("STK",표.실시간[[#This Row],[nxt_code]],"고가")</f>
        <v>513000</v>
      </c>
      <c r="Q71" s="4">
        <f>_xll.IMDP("STK",표.실시간[[#This Row],[nxt_code]],"저가")</f>
        <v>499000</v>
      </c>
      <c r="R71">
        <f>_xll.IMDP("STK",표.실시간[[#This Row],[nxt_code]],"세션명")</f>
        <v>0</v>
      </c>
      <c r="S71">
        <f>_xll.IMDP("STK",표.실시간[[#This Row],[nxt_code]],"체결시간")</f>
        <v>0</v>
      </c>
      <c r="T71" s="4">
        <f>_xll.IMDP("STK","277810","현재가")</f>
        <v>498500</v>
      </c>
      <c r="U71">
        <f>_xll.IMDP("STK","277810","누적거래량")</f>
        <v>4261</v>
      </c>
    </row>
    <row r="72" spans="3:21" x14ac:dyDescent="0.3">
      <c r="C72">
        <v>67</v>
      </c>
      <c r="D72">
        <v>323410</v>
      </c>
      <c r="E72" t="s">
        <v>84</v>
      </c>
      <c r="F72" t="str">
        <f>ConvertStockCode(표.실시간[[#This Row],[코드]])</f>
        <v>N323410</v>
      </c>
      <c r="G72" s="4">
        <f>_xll.IMDP("STK",표.실시간[[#This Row],[nxt_code]],"현재가")</f>
        <v>21650</v>
      </c>
      <c r="H72" s="4">
        <f>_xll.IMDP("STK",표.실시간[[#This Row],[nxt_code]],"시가총액")/10^12</f>
        <v>10.32729761105</v>
      </c>
      <c r="I72" t="str">
        <f>_xll.IMDP("","","전일대비부호")</f>
        <v>코드오류</v>
      </c>
      <c r="J72" s="5">
        <f>_xll.IMDP("STK",표.실시간[[#This Row],[nxt_code]],"전일대비")</f>
        <v>250</v>
      </c>
      <c r="K72">
        <f>_xll.IMDP("STK",표.실시간[[#This Row],[nxt_code]],"등락률")</f>
        <v>1.17</v>
      </c>
      <c r="L72" s="4">
        <f>_xll.IMDP("STK",표.실시간[[#This Row],[nxt_code]],"누적거래량")</f>
        <v>85772</v>
      </c>
      <c r="M72" s="4">
        <f>_xll.IMDP("STK",표.실시간[[#This Row],[nxt_code]],"누적거래대금")</f>
        <v>1845366250</v>
      </c>
      <c r="N72" s="4">
        <f>_xll.IMDP("STK",표.실시간[[#This Row],[nxt_code]],"가중평균가")</f>
        <v>21514.786294000001</v>
      </c>
      <c r="O72" s="4">
        <f>_xll.IMDP("STK",표.실시간[[#This Row],[nxt_code]],"시가")</f>
        <v>21450</v>
      </c>
      <c r="P72" s="4">
        <f>_xll.IMDP("STK",표.실시간[[#This Row],[nxt_code]],"고가")</f>
        <v>21650</v>
      </c>
      <c r="Q72" s="4">
        <f>_xll.IMDP("STK",표.실시간[[#This Row],[nxt_code]],"저가")</f>
        <v>21400</v>
      </c>
      <c r="R72">
        <f>_xll.IMDP("STK",표.실시간[[#This Row],[nxt_code]],"세션명")</f>
        <v>0</v>
      </c>
      <c r="S72">
        <f>_xll.IMDP("STK",표.실시간[[#This Row],[nxt_code]],"체결시간")</f>
        <v>0</v>
      </c>
      <c r="T72" s="4">
        <f>_xll.IMDP("STK","323410","현재가")</f>
        <v>21650</v>
      </c>
      <c r="U72">
        <f>_xll.IMDP("STK","323410","누적거래량")</f>
        <v>33301</v>
      </c>
    </row>
    <row r="73" spans="3:21" x14ac:dyDescent="0.3">
      <c r="C73">
        <v>68</v>
      </c>
      <c r="D73">
        <v>298380</v>
      </c>
      <c r="E73" t="s">
        <v>85</v>
      </c>
      <c r="F73" t="str">
        <f>ConvertStockCode(표.실시간[[#This Row],[코드]])</f>
        <v>N298380</v>
      </c>
      <c r="G73" s="4">
        <f>_xll.IMDP("STK",표.실시간[[#This Row],[nxt_code]],"현재가")</f>
        <v>181400</v>
      </c>
      <c r="H73" s="4">
        <f>_xll.IMDP("STK",표.실시간[[#This Row],[nxt_code]],"시가총액")/10^12</f>
        <v>9.9997049310000001</v>
      </c>
      <c r="I73" t="str">
        <f>_xll.IMDP("","","전일대비부호")</f>
        <v>코드오류</v>
      </c>
      <c r="J73" s="5">
        <f>_xll.IMDP("STK",표.실시간[[#This Row],[nxt_code]],"전일대비")</f>
        <v>1800</v>
      </c>
      <c r="K73">
        <f>_xll.IMDP("STK",표.실시간[[#This Row],[nxt_code]],"등락률")</f>
        <v>1</v>
      </c>
      <c r="L73" s="4">
        <f>_xll.IMDP("STK",표.실시간[[#This Row],[nxt_code]],"누적거래량")</f>
        <v>97211</v>
      </c>
      <c r="M73" s="4">
        <f>_xll.IMDP("STK",표.실시간[[#This Row],[nxt_code]],"누적거래대금")</f>
        <v>17463199900</v>
      </c>
      <c r="N73" s="4">
        <f>_xll.IMDP("STK",표.실시간[[#This Row],[nxt_code]],"가중평균가")</f>
        <v>179642.220531</v>
      </c>
      <c r="O73" s="4">
        <f>_xll.IMDP("STK",표.실시간[[#This Row],[nxt_code]],"시가")</f>
        <v>180000</v>
      </c>
      <c r="P73" s="4">
        <f>_xll.IMDP("STK",표.실시간[[#This Row],[nxt_code]],"고가")</f>
        <v>182300</v>
      </c>
      <c r="Q73" s="4">
        <f>_xll.IMDP("STK",표.실시간[[#This Row],[nxt_code]],"저가")</f>
        <v>178000</v>
      </c>
      <c r="R73">
        <f>_xll.IMDP("STK",표.실시간[[#This Row],[nxt_code]],"세션명")</f>
        <v>0</v>
      </c>
      <c r="S73">
        <f>_xll.IMDP("STK",표.실시간[[#This Row],[nxt_code]],"체결시간")</f>
        <v>0</v>
      </c>
      <c r="T73" s="4">
        <f>_xll.IMDP("STK","298380","현재가")</f>
        <v>181100</v>
      </c>
      <c r="U73">
        <f>_xll.IMDP("STK","298380","누적거래량")</f>
        <v>18061</v>
      </c>
    </row>
    <row r="74" spans="3:21" x14ac:dyDescent="0.3">
      <c r="C74">
        <v>69</v>
      </c>
      <c r="D74">
        <v>278470</v>
      </c>
      <c r="E74" t="s">
        <v>86</v>
      </c>
      <c r="F74" t="str">
        <f>ConvertStockCode(표.실시간[[#This Row],[코드]])</f>
        <v>N278470</v>
      </c>
      <c r="G74" s="4">
        <f>_xll.IMDP("STK",표.실시간[[#This Row],[nxt_code]],"현재가")</f>
        <v>287000</v>
      </c>
      <c r="H74" s="4">
        <f>_xll.IMDP("STK",표.실시간[[#This Row],[nxt_code]],"시가총액")/10^12</f>
        <v>10.742597985</v>
      </c>
      <c r="I74" t="str">
        <f>_xll.IMDP("","","전일대비부호")</f>
        <v>코드오류</v>
      </c>
      <c r="J74" s="5">
        <f>_xll.IMDP("STK",표.실시간[[#This Row],[nxt_code]],"전일대비")</f>
        <v>500</v>
      </c>
      <c r="K74">
        <f>_xll.IMDP("STK",표.실시간[[#This Row],[nxt_code]],"등락률")</f>
        <v>0.35</v>
      </c>
      <c r="L74" s="4">
        <f>_xll.IMDP("STK",표.실시간[[#This Row],[nxt_code]],"누적거래량")</f>
        <v>65185</v>
      </c>
      <c r="M74" s="4">
        <f>_xll.IMDP("STK",표.실시간[[#This Row],[nxt_code]],"누적거래대금")</f>
        <v>18401260250</v>
      </c>
      <c r="N74" s="4">
        <f>_xll.IMDP("STK",표.실시간[[#This Row],[nxt_code]],"가중평균가")</f>
        <v>282292.86262199999</v>
      </c>
      <c r="O74" s="4">
        <f>_xll.IMDP("STK",표.실시간[[#This Row],[nxt_code]],"시가")</f>
        <v>286000</v>
      </c>
      <c r="P74" s="4">
        <f>_xll.IMDP("STK",표.실시간[[#This Row],[nxt_code]],"고가")</f>
        <v>288500</v>
      </c>
      <c r="Q74" s="4">
        <f>_xll.IMDP("STK",표.실시간[[#This Row],[nxt_code]],"저가")</f>
        <v>279500</v>
      </c>
      <c r="R74">
        <f>_xll.IMDP("STK",표.실시간[[#This Row],[nxt_code]],"세션명")</f>
        <v>0</v>
      </c>
      <c r="S74">
        <f>_xll.IMDP("STK",표.실시간[[#This Row],[nxt_code]],"체결시간")</f>
        <v>0</v>
      </c>
      <c r="T74" s="4">
        <f>_xll.IMDP("STK","278470","현재가")</f>
        <v>287000</v>
      </c>
      <c r="U74">
        <f>_xll.IMDP("STK","278470","누적거래량")</f>
        <v>19449</v>
      </c>
    </row>
    <row r="75" spans="3:21" x14ac:dyDescent="0.3">
      <c r="C75">
        <v>70</v>
      </c>
      <c r="D75">
        <v>5830</v>
      </c>
      <c r="E75" t="s">
        <v>87</v>
      </c>
      <c r="F75" t="str">
        <f>ConvertStockCode(표.실시간[[#This Row],[코드]])</f>
        <v>N005830</v>
      </c>
      <c r="G75" s="4">
        <f>_xll.IMDP("STK",표.실시간[[#This Row],[nxt_code]],"현재가")</f>
        <v>128900</v>
      </c>
      <c r="H75" s="4">
        <f>_xll.IMDP("STK",표.실시간[[#This Row],[nxt_code]],"시가총액")/10^12</f>
        <v>8.9435976000000004</v>
      </c>
      <c r="I75" t="str">
        <f>_xll.IMDP("","","전일대비부호")</f>
        <v>코드오류</v>
      </c>
      <c r="J75" s="5">
        <f>_xll.IMDP("STK",표.실시간[[#This Row],[nxt_code]],"전일대비")</f>
        <v>-100</v>
      </c>
      <c r="K75">
        <f>_xll.IMDP("STK",표.실시간[[#This Row],[nxt_code]],"등락률")</f>
        <v>-0.08</v>
      </c>
      <c r="L75" s="4">
        <f>_xll.IMDP("STK",표.실시간[[#This Row],[nxt_code]],"누적거래량")</f>
        <v>901</v>
      </c>
      <c r="M75" s="4">
        <f>_xll.IMDP("STK",표.실시간[[#This Row],[nxt_code]],"누적거래대금")</f>
        <v>116320500</v>
      </c>
      <c r="N75" s="4">
        <f>_xll.IMDP("STK",표.실시간[[#This Row],[nxt_code]],"가중평균가")</f>
        <v>129101.553829</v>
      </c>
      <c r="O75" s="4">
        <f>_xll.IMDP("STK",표.실시간[[#This Row],[nxt_code]],"시가")</f>
        <v>129400</v>
      </c>
      <c r="P75" s="4">
        <f>_xll.IMDP("STK",표.실시간[[#This Row],[nxt_code]],"고가")</f>
        <v>129600</v>
      </c>
      <c r="Q75" s="4">
        <f>_xll.IMDP("STK",표.실시간[[#This Row],[nxt_code]],"저가")</f>
        <v>128700</v>
      </c>
      <c r="R75">
        <f>_xll.IMDP("STK",표.실시간[[#This Row],[nxt_code]],"세션명")</f>
        <v>0</v>
      </c>
      <c r="S75">
        <f>_xll.IMDP("STK",표.실시간[[#This Row],[nxt_code]],"체결시간")</f>
        <v>0</v>
      </c>
      <c r="T75" s="4">
        <f>_xll.IMDP("STK","005830","현재가")</f>
        <v>128700</v>
      </c>
      <c r="U75">
        <f>_xll.IMDP("STK","005830","누적거래량")</f>
        <v>3516</v>
      </c>
    </row>
    <row r="76" spans="3:21" x14ac:dyDescent="0.3">
      <c r="C76">
        <v>71</v>
      </c>
      <c r="D76">
        <v>880</v>
      </c>
      <c r="E76" t="s">
        <v>88</v>
      </c>
      <c r="F76" t="str">
        <f>ConvertStockCode(표.실시간[[#This Row],[코드]])</f>
        <v>N000880</v>
      </c>
      <c r="G76" s="4">
        <f>_xll.IMDP("STK",표.실시간[[#This Row],[nxt_code]],"현재가")</f>
        <v>117900</v>
      </c>
      <c r="H76" s="4">
        <f>_xll.IMDP("STK",표.실시간[[#This Row],[nxt_code]],"시가총액")/10^12</f>
        <v>8.8376348564999994</v>
      </c>
      <c r="I76" t="str">
        <f>_xll.IMDP("","","전일대비부호")</f>
        <v>코드오류</v>
      </c>
      <c r="J76" s="5">
        <f>_xll.IMDP("STK",표.실시간[[#This Row],[nxt_code]],"전일대비")</f>
        <v>2900</v>
      </c>
      <c r="K76">
        <f>_xll.IMDP("STK",표.실시간[[#This Row],[nxt_code]],"등락률")</f>
        <v>2.52</v>
      </c>
      <c r="L76" s="4">
        <f>_xll.IMDP("STK",표.실시간[[#This Row],[nxt_code]],"누적거래량")</f>
        <v>90740</v>
      </c>
      <c r="M76" s="4">
        <f>_xll.IMDP("STK",표.실시간[[#This Row],[nxt_code]],"누적거래대금")</f>
        <v>10619559500</v>
      </c>
      <c r="N76" s="4">
        <f>_xll.IMDP("STK",표.실시간[[#This Row],[nxt_code]],"가중평균가")</f>
        <v>117032.835574</v>
      </c>
      <c r="O76" s="4">
        <f>_xll.IMDP("STK",표.실시간[[#This Row],[nxt_code]],"시가")</f>
        <v>115900</v>
      </c>
      <c r="P76" s="4">
        <f>_xll.IMDP("STK",표.실시간[[#This Row],[nxt_code]],"고가")</f>
        <v>118700</v>
      </c>
      <c r="Q76" s="4">
        <f>_xll.IMDP("STK",표.실시간[[#This Row],[nxt_code]],"저가")</f>
        <v>115000</v>
      </c>
      <c r="R76">
        <f>_xll.IMDP("STK",표.실시간[[#This Row],[nxt_code]],"세션명")</f>
        <v>0</v>
      </c>
      <c r="S76">
        <f>_xll.IMDP("STK",표.실시간[[#This Row],[nxt_code]],"체결시간")</f>
        <v>0</v>
      </c>
      <c r="T76" s="4">
        <f>_xll.IMDP("STK","000880","현재가")</f>
        <v>117900</v>
      </c>
      <c r="U76">
        <f>_xll.IMDP("STK","000880","누적거래량")</f>
        <v>21366</v>
      </c>
    </row>
    <row r="77" spans="3:21" x14ac:dyDescent="0.3">
      <c r="C77">
        <v>72</v>
      </c>
      <c r="D77">
        <v>3230</v>
      </c>
      <c r="E77" t="s">
        <v>89</v>
      </c>
      <c r="F77" t="str">
        <f>ConvertStockCode(표.실시간[[#This Row],[코드]])</f>
        <v>N003230</v>
      </c>
      <c r="G77" s="4">
        <f>_xll.IMDP("STK",표.실시간[[#This Row],[nxt_code]],"현재가")</f>
        <v>1255000</v>
      </c>
      <c r="H77" s="4">
        <f>_xll.IMDP("STK",표.실시간[[#This Row],[nxt_code]],"시가총액")/10^12</f>
        <v>9.453933825</v>
      </c>
      <c r="I77" t="str">
        <f>_xll.IMDP("","","전일대비부호")</f>
        <v>코드오류</v>
      </c>
      <c r="J77" s="5">
        <f>_xll.IMDP("STK",표.실시간[[#This Row],[nxt_code]],"전일대비")</f>
        <v>20000</v>
      </c>
      <c r="K77">
        <f>_xll.IMDP("STK",표.실시간[[#This Row],[nxt_code]],"등락률")</f>
        <v>1.62</v>
      </c>
      <c r="L77" s="4">
        <f>_xll.IMDP("STK",표.실시간[[#This Row],[nxt_code]],"누적거래량")</f>
        <v>4695</v>
      </c>
      <c r="M77" s="4">
        <f>_xll.IMDP("STK",표.실시간[[#This Row],[nxt_code]],"누적거래대금")</f>
        <v>5873625000</v>
      </c>
      <c r="N77" s="4">
        <f>_xll.IMDP("STK",표.실시간[[#This Row],[nxt_code]],"가중평균가")</f>
        <v>1251038.3386580001</v>
      </c>
      <c r="O77" s="4">
        <f>_xll.IMDP("STK",표.실시간[[#This Row],[nxt_code]],"시가")</f>
        <v>1242000</v>
      </c>
      <c r="P77" s="4">
        <f>_xll.IMDP("STK",표.실시간[[#This Row],[nxt_code]],"고가")</f>
        <v>1270000</v>
      </c>
      <c r="Q77" s="4">
        <f>_xll.IMDP("STK",표.실시간[[#This Row],[nxt_code]],"저가")</f>
        <v>1235000</v>
      </c>
      <c r="R77">
        <f>_xll.IMDP("STK",표.실시간[[#This Row],[nxt_code]],"세션명")</f>
        <v>0</v>
      </c>
      <c r="S77">
        <f>_xll.IMDP("STK",표.실시간[[#This Row],[nxt_code]],"체결시간")</f>
        <v>0</v>
      </c>
      <c r="T77" s="4">
        <f>_xll.IMDP("STK","003230","현재가")</f>
        <v>1257000</v>
      </c>
      <c r="U77">
        <f>_xll.IMDP("STK","003230","누적거래량")</f>
        <v>4223</v>
      </c>
    </row>
    <row r="78" spans="3:21" x14ac:dyDescent="0.3">
      <c r="C78">
        <v>73</v>
      </c>
      <c r="D78">
        <v>326030</v>
      </c>
      <c r="E78" t="s">
        <v>90</v>
      </c>
      <c r="F78" t="str">
        <f>ConvertStockCode(표.실시간[[#This Row],[코드]])</f>
        <v>N326030</v>
      </c>
      <c r="G78" s="4">
        <f>_xll.IMDP("STK",표.실시간[[#This Row],[nxt_code]],"현재가")</f>
        <v>117200</v>
      </c>
      <c r="H78" s="4">
        <f>_xll.IMDP("STK",표.실시간[[#This Row],[nxt_code]],"시가총액")/10^12</f>
        <v>9.1783128999999999</v>
      </c>
      <c r="I78" t="str">
        <f>_xll.IMDP("","","전일대비부호")</f>
        <v>코드오류</v>
      </c>
      <c r="J78" s="5">
        <f>_xll.IMDP("STK",표.실시간[[#This Row],[nxt_code]],"전일대비")</f>
        <v>1000</v>
      </c>
      <c r="K78">
        <f>_xll.IMDP("STK",표.실시간[[#This Row],[nxt_code]],"등락률")</f>
        <v>0.86</v>
      </c>
      <c r="L78" s="4">
        <f>_xll.IMDP("STK",표.실시간[[#This Row],[nxt_code]],"누적거래량")</f>
        <v>18708</v>
      </c>
      <c r="M78" s="4">
        <f>_xll.IMDP("STK",표.실시간[[#This Row],[nxt_code]],"누적거래대금")</f>
        <v>2195443700</v>
      </c>
      <c r="N78" s="4">
        <f>_xll.IMDP("STK",표.실시간[[#This Row],[nxt_code]],"가중평균가")</f>
        <v>117353.201839</v>
      </c>
      <c r="O78" s="4">
        <f>_xll.IMDP("STK",표.실시간[[#This Row],[nxt_code]],"시가")</f>
        <v>117000</v>
      </c>
      <c r="P78" s="4">
        <f>_xll.IMDP("STK",표.실시간[[#This Row],[nxt_code]],"고가")</f>
        <v>117700</v>
      </c>
      <c r="Q78" s="4">
        <f>_xll.IMDP("STK",표.실시간[[#This Row],[nxt_code]],"저가")</f>
        <v>116700</v>
      </c>
      <c r="R78">
        <f>_xll.IMDP("STK",표.실시간[[#This Row],[nxt_code]],"세션명")</f>
        <v>0</v>
      </c>
      <c r="S78">
        <f>_xll.IMDP("STK",표.실시간[[#This Row],[nxt_code]],"체결시간")</f>
        <v>0</v>
      </c>
      <c r="T78" s="4">
        <f>_xll.IMDP("STK","326030","현재가")</f>
        <v>117400</v>
      </c>
      <c r="U78">
        <f>_xll.IMDP("STK","326030","누적거래량")</f>
        <v>3130</v>
      </c>
    </row>
    <row r="79" spans="3:21" x14ac:dyDescent="0.3">
      <c r="C79">
        <v>74</v>
      </c>
      <c r="D79">
        <v>3490</v>
      </c>
      <c r="E79" t="s">
        <v>91</v>
      </c>
      <c r="F79" t="str">
        <f>ConvertStockCode(표.실시간[[#This Row],[코드]])</f>
        <v>N003490</v>
      </c>
      <c r="G79" s="4">
        <f>_xll.IMDP("STK",표.실시간[[#This Row],[nxt_code]],"현재가")</f>
        <v>24150</v>
      </c>
      <c r="H79" s="4">
        <f>_xll.IMDP("STK",표.실시간[[#This Row],[nxt_code]],"시가총액")/10^12</f>
        <v>8.8925289631499993</v>
      </c>
      <c r="I79" t="str">
        <f>_xll.IMDP("","","전일대비부호")</f>
        <v>코드오류</v>
      </c>
      <c r="J79" s="5">
        <f>_xll.IMDP("STK",표.실시간[[#This Row],[nxt_code]],"전일대비")</f>
        <v>100</v>
      </c>
      <c r="K79">
        <f>_xll.IMDP("STK",표.실시간[[#This Row],[nxt_code]],"등락률")</f>
        <v>0.21</v>
      </c>
      <c r="L79" s="4">
        <f>_xll.IMDP("STK",표.실시간[[#This Row],[nxt_code]],"누적거래량")</f>
        <v>149969</v>
      </c>
      <c r="M79" s="4">
        <f>_xll.IMDP("STK",표.실시간[[#This Row],[nxt_code]],"누적거래대금")</f>
        <v>3703435275</v>
      </c>
      <c r="N79" s="4">
        <f>_xll.IMDP("STK",표.실시간[[#This Row],[nxt_code]],"가중평균가")</f>
        <v>24168.495731999999</v>
      </c>
      <c r="O79" s="4">
        <f>_xll.IMDP("STK",표.실시간[[#This Row],[nxt_code]],"시가")</f>
        <v>24100</v>
      </c>
      <c r="P79" s="4">
        <f>_xll.IMDP("STK",표.실시간[[#This Row],[nxt_code]],"고가")</f>
        <v>24300</v>
      </c>
      <c r="Q79" s="4">
        <f>_xll.IMDP("STK",표.실시간[[#This Row],[nxt_code]],"저가")</f>
        <v>24100</v>
      </c>
      <c r="R79">
        <f>_xll.IMDP("STK",표.실시간[[#This Row],[nxt_code]],"세션명")</f>
        <v>0</v>
      </c>
      <c r="S79">
        <f>_xll.IMDP("STK",표.실시간[[#This Row],[nxt_code]],"체결시간")</f>
        <v>0</v>
      </c>
      <c r="T79" s="4">
        <f>_xll.IMDP("STK","003490","현재가")</f>
        <v>24200</v>
      </c>
      <c r="U79">
        <f>_xll.IMDP("STK","003490","누적거래량")</f>
        <v>34747</v>
      </c>
    </row>
    <row r="80" spans="3:21" x14ac:dyDescent="0.3">
      <c r="C80">
        <v>75</v>
      </c>
      <c r="D80">
        <v>180640</v>
      </c>
      <c r="E80" t="s">
        <v>92</v>
      </c>
      <c r="F80" t="str">
        <f>ConvertStockCode(표.실시간[[#This Row],[코드]])</f>
        <v>N180640</v>
      </c>
      <c r="G80" s="4">
        <f>_xll.IMDP("STK",표.실시간[[#This Row],[nxt_code]],"현재가")</f>
        <v>129800</v>
      </c>
      <c r="H80" s="4">
        <f>_xll.IMDP("STK",표.실시간[[#This Row],[nxt_code]],"시가총액")/10^12</f>
        <v>8.6657438142000007</v>
      </c>
      <c r="I80" t="str">
        <f>_xll.IMDP("","","전일대비부호")</f>
        <v>코드오류</v>
      </c>
      <c r="J80" s="5">
        <f>_xll.IMDP("STK",표.실시간[[#This Row],[nxt_code]],"전일대비")</f>
        <v>700</v>
      </c>
      <c r="K80">
        <f>_xll.IMDP("STK",표.실시간[[#This Row],[nxt_code]],"등락률")</f>
        <v>0.54</v>
      </c>
      <c r="L80" s="4">
        <f>_xll.IMDP("STK",표.실시간[[#This Row],[nxt_code]],"누적거래량")</f>
        <v>1775</v>
      </c>
      <c r="M80" s="4">
        <f>_xll.IMDP("STK",표.실시간[[#This Row],[nxt_code]],"누적거래대금")</f>
        <v>230300700</v>
      </c>
      <c r="N80" s="4">
        <f>_xll.IMDP("STK",표.실시간[[#This Row],[nxt_code]],"가중평균가")</f>
        <v>129746.87323899999</v>
      </c>
      <c r="O80" s="4">
        <f>_xll.IMDP("STK",표.실시간[[#This Row],[nxt_code]],"시가")</f>
        <v>132100</v>
      </c>
      <c r="P80" s="4">
        <f>_xll.IMDP("STK",표.실시간[[#This Row],[nxt_code]],"고가")</f>
        <v>132100</v>
      </c>
      <c r="Q80" s="4">
        <f>_xll.IMDP("STK",표.실시간[[#This Row],[nxt_code]],"저가")</f>
        <v>129300</v>
      </c>
      <c r="R80">
        <f>_xll.IMDP("STK",표.실시간[[#This Row],[nxt_code]],"세션명")</f>
        <v>0</v>
      </c>
      <c r="S80">
        <f>_xll.IMDP("STK",표.실시간[[#This Row],[nxt_code]],"체결시간")</f>
        <v>0</v>
      </c>
      <c r="T80" s="4">
        <f>_xll.IMDP("STK","180640","현재가")</f>
        <v>129900</v>
      </c>
      <c r="U80">
        <f>_xll.IMDP("STK","180640","누적거래량")</f>
        <v>604</v>
      </c>
    </row>
    <row r="81" spans="3:21" x14ac:dyDescent="0.3">
      <c r="C81">
        <v>76</v>
      </c>
      <c r="D81">
        <v>161390</v>
      </c>
      <c r="E81" t="s">
        <v>93</v>
      </c>
      <c r="F81" t="str">
        <f>ConvertStockCode(표.실시간[[#This Row],[코드]])</f>
        <v>N161390</v>
      </c>
      <c r="G81" s="4">
        <f>_xll.IMDP("STK",표.실시간[[#This Row],[nxt_code]],"현재가")</f>
        <v>67400</v>
      </c>
      <c r="H81" s="4">
        <f>_xll.IMDP("STK",표.실시간[[#This Row],[nxt_code]],"시가총액")/10^12</f>
        <v>8.3491796506</v>
      </c>
      <c r="I81" t="str">
        <f>_xll.IMDP("","","전일대비부호")</f>
        <v>코드오류</v>
      </c>
      <c r="J81" s="5">
        <f>_xll.IMDP("STK",표.실시간[[#This Row],[nxt_code]],"전일대비")</f>
        <v>500</v>
      </c>
      <c r="K81">
        <f>_xll.IMDP("STK",표.실시간[[#This Row],[nxt_code]],"등락률")</f>
        <v>0.9</v>
      </c>
      <c r="L81" s="4">
        <f>_xll.IMDP("STK",표.실시간[[#This Row],[nxt_code]],"누적거래량")</f>
        <v>5325</v>
      </c>
      <c r="M81" s="4">
        <f>_xll.IMDP("STK",표.실시간[[#This Row],[nxt_code]],"누적거래대금")</f>
        <v>361429600</v>
      </c>
      <c r="N81" s="4">
        <f>_xll.IMDP("STK",표.실시간[[#This Row],[nxt_code]],"가중평균가")</f>
        <v>67874.103285999998</v>
      </c>
      <c r="O81" s="4">
        <f>_xll.IMDP("STK",표.실시간[[#This Row],[nxt_code]],"시가")</f>
        <v>67500</v>
      </c>
      <c r="P81" s="4">
        <f>_xll.IMDP("STK",표.실시간[[#This Row],[nxt_code]],"고가")</f>
        <v>68500</v>
      </c>
      <c r="Q81" s="4">
        <f>_xll.IMDP("STK",표.실시간[[#This Row],[nxt_code]],"저가")</f>
        <v>67300</v>
      </c>
      <c r="R81">
        <f>_xll.IMDP("STK",표.실시간[[#This Row],[nxt_code]],"세션명")</f>
        <v>0</v>
      </c>
      <c r="S81">
        <f>_xll.IMDP("STK",표.실시간[[#This Row],[nxt_code]],"체결시간")</f>
        <v>0</v>
      </c>
      <c r="T81" s="4">
        <f>_xll.IMDP("STK","161390","현재가")</f>
        <v>67400</v>
      </c>
      <c r="U81">
        <f>_xll.IMDP("STK","161390","누적거래량")</f>
        <v>14520</v>
      </c>
    </row>
    <row r="82" spans="3:21" x14ac:dyDescent="0.3">
      <c r="C82">
        <v>77</v>
      </c>
      <c r="D82">
        <v>39490</v>
      </c>
      <c r="E82" t="s">
        <v>94</v>
      </c>
      <c r="F82" t="str">
        <f>ConvertStockCode(표.실시간[[#This Row],[코드]])</f>
        <v>N039490</v>
      </c>
      <c r="G82" s="4">
        <f>_xll.IMDP("STK",표.실시간[[#This Row],[nxt_code]],"현재가")</f>
        <v>335500</v>
      </c>
      <c r="H82" s="4">
        <f>_xll.IMDP("STK",표.실시간[[#This Row],[nxt_code]],"시가총액")/10^12</f>
        <v>9.0671297309999996</v>
      </c>
      <c r="I82" t="str">
        <f>_xll.IMDP("","","전일대비부호")</f>
        <v>코드오류</v>
      </c>
      <c r="J82" s="5">
        <f>_xll.IMDP("STK",표.실시간[[#This Row],[nxt_code]],"전일대비")</f>
        <v>9000</v>
      </c>
      <c r="K82">
        <f>_xll.IMDP("STK",표.실시간[[#This Row],[nxt_code]],"등락률")</f>
        <v>2.76</v>
      </c>
      <c r="L82" s="4">
        <f>_xll.IMDP("STK",표.실시간[[#This Row],[nxt_code]],"누적거래량")</f>
        <v>7391</v>
      </c>
      <c r="M82" s="4">
        <f>_xll.IMDP("STK",표.실시간[[#This Row],[nxt_code]],"누적거래대금")</f>
        <v>2454834000</v>
      </c>
      <c r="N82" s="4">
        <f>_xll.IMDP("STK",표.실시간[[#This Row],[nxt_code]],"가중평균가")</f>
        <v>332138.27628200001</v>
      </c>
      <c r="O82" s="4">
        <f>_xll.IMDP("STK",표.실시간[[#This Row],[nxt_code]],"시가")</f>
        <v>327000</v>
      </c>
      <c r="P82" s="4">
        <f>_xll.IMDP("STK",표.실시간[[#This Row],[nxt_code]],"고가")</f>
        <v>337000</v>
      </c>
      <c r="Q82" s="4">
        <f>_xll.IMDP("STK",표.실시간[[#This Row],[nxt_code]],"저가")</f>
        <v>327000</v>
      </c>
      <c r="R82">
        <f>_xll.IMDP("STK",표.실시간[[#This Row],[nxt_code]],"세션명")</f>
        <v>0</v>
      </c>
      <c r="S82">
        <f>_xll.IMDP("STK",표.실시간[[#This Row],[nxt_code]],"체결시간")</f>
        <v>0</v>
      </c>
      <c r="T82" s="4">
        <f>_xll.IMDP("STK","039490","현재가")</f>
        <v>334500</v>
      </c>
      <c r="U82">
        <f>_xll.IMDP("STK","039490","누적거래량")</f>
        <v>7541</v>
      </c>
    </row>
    <row r="83" spans="3:21" x14ac:dyDescent="0.3">
      <c r="C83">
        <v>78</v>
      </c>
      <c r="D83">
        <v>443060</v>
      </c>
      <c r="E83" t="s">
        <v>95</v>
      </c>
      <c r="F83" t="str">
        <f>ConvertStockCode(표.실시간[[#This Row],[코드]])</f>
        <v>N443060</v>
      </c>
      <c r="G83" s="4">
        <f>_xll.IMDP("STK",표.실시간[[#This Row],[nxt_code]],"현재가")</f>
        <v>189200</v>
      </c>
      <c r="H83" s="4">
        <f>_xll.IMDP("STK",표.실시간[[#This Row],[nxt_code]],"시가총액")/10^12</f>
        <v>8.4820885819999994</v>
      </c>
      <c r="I83" t="str">
        <f>_xll.IMDP("","","전일대비부호")</f>
        <v>코드오류</v>
      </c>
      <c r="J83" s="5">
        <f>_xll.IMDP("STK",표.실시간[[#This Row],[nxt_code]],"전일대비")</f>
        <v>3100</v>
      </c>
      <c r="K83">
        <f>_xll.IMDP("STK",표.실시간[[#This Row],[nxt_code]],"등락률")</f>
        <v>1.72</v>
      </c>
      <c r="L83" s="4">
        <f>_xll.IMDP("STK",표.실시간[[#This Row],[nxt_code]],"누적거래량")</f>
        <v>5472</v>
      </c>
      <c r="M83" s="4">
        <f>_xll.IMDP("STK",표.실시간[[#This Row],[nxt_code]],"누적거래대금")</f>
        <v>1024812500</v>
      </c>
      <c r="N83" s="4">
        <f>_xll.IMDP("STK",표.실시간[[#This Row],[nxt_code]],"가중평균가")</f>
        <v>187265.30800399999</v>
      </c>
      <c r="O83" s="4">
        <f>_xll.IMDP("STK",표.실시간[[#This Row],[nxt_code]],"시가")</f>
        <v>186000</v>
      </c>
      <c r="P83" s="4">
        <f>_xll.IMDP("STK",표.실시간[[#This Row],[nxt_code]],"고가")</f>
        <v>189200</v>
      </c>
      <c r="Q83" s="4">
        <f>_xll.IMDP("STK",표.실시간[[#This Row],[nxt_code]],"저가")</f>
        <v>186000</v>
      </c>
      <c r="R83">
        <f>_xll.IMDP("STK",표.실시간[[#This Row],[nxt_code]],"세션명")</f>
        <v>0</v>
      </c>
      <c r="S83">
        <f>_xll.IMDP("STK",표.실시간[[#This Row],[nxt_code]],"체결시간")</f>
        <v>0</v>
      </c>
      <c r="T83" s="4">
        <f>_xll.IMDP("STK","443060","현재가")</f>
        <v>189100</v>
      </c>
      <c r="U83">
        <f>_xll.IMDP("STK","443060","누적거래량")</f>
        <v>1985</v>
      </c>
    </row>
    <row r="84" spans="3:21" x14ac:dyDescent="0.3">
      <c r="C84">
        <v>79</v>
      </c>
      <c r="D84">
        <v>100</v>
      </c>
      <c r="E84" t="s">
        <v>96</v>
      </c>
      <c r="F84" t="str">
        <f>ConvertStockCode(표.실시간[[#This Row],[코드]])</f>
        <v>N000100</v>
      </c>
      <c r="G84" s="4">
        <f>_xll.IMDP("STK",표.실시간[[#This Row],[nxt_code]],"현재가")</f>
        <v>105800</v>
      </c>
      <c r="H84" s="4">
        <f>_xll.IMDP("STK",표.실시간[[#This Row],[nxt_code]],"시가총액")/10^12</f>
        <v>8.4686574783000008</v>
      </c>
      <c r="I84" t="str">
        <f>_xll.IMDP("","","전일대비부호")</f>
        <v>코드오류</v>
      </c>
      <c r="J84" s="5">
        <f>_xll.IMDP("STK",표.실시간[[#This Row],[nxt_code]],"전일대비")</f>
        <v>1100</v>
      </c>
      <c r="K84">
        <f>_xll.IMDP("STK",표.실시간[[#This Row],[nxt_code]],"등락률")</f>
        <v>1.05</v>
      </c>
      <c r="L84" s="4">
        <f>_xll.IMDP("STK",표.실시간[[#This Row],[nxt_code]],"누적거래량")</f>
        <v>32720</v>
      </c>
      <c r="M84" s="4">
        <f>_xll.IMDP("STK",표.실시간[[#This Row],[nxt_code]],"누적거래대금")</f>
        <v>3440352600</v>
      </c>
      <c r="N84" s="4">
        <f>_xll.IMDP("STK",표.실시간[[#This Row],[nxt_code]],"가중평균가")</f>
        <v>105142.037224</v>
      </c>
      <c r="O84" s="4">
        <f>_xll.IMDP("STK",표.실시간[[#This Row],[nxt_code]],"시가")</f>
        <v>105500</v>
      </c>
      <c r="P84" s="4">
        <f>_xll.IMDP("STK",표.실시간[[#This Row],[nxt_code]],"고가")</f>
        <v>105900</v>
      </c>
      <c r="Q84" s="4">
        <f>_xll.IMDP("STK",표.실시간[[#This Row],[nxt_code]],"저가")</f>
        <v>104700</v>
      </c>
      <c r="R84">
        <f>_xll.IMDP("STK",표.실시간[[#This Row],[nxt_code]],"세션명")</f>
        <v>0</v>
      </c>
      <c r="S84">
        <f>_xll.IMDP("STK",표.실시간[[#This Row],[nxt_code]],"체결시간")</f>
        <v>0</v>
      </c>
      <c r="T84" s="4">
        <f>_xll.IMDP("STK","000100","현재가")</f>
        <v>105700</v>
      </c>
      <c r="U84">
        <f>_xll.IMDP("STK","000100","누적거래량")</f>
        <v>8781</v>
      </c>
    </row>
    <row r="85" spans="3:21" x14ac:dyDescent="0.3">
      <c r="C85">
        <v>80</v>
      </c>
      <c r="D85">
        <v>5940</v>
      </c>
      <c r="E85" t="s">
        <v>97</v>
      </c>
      <c r="F85" t="str">
        <f>ConvertStockCode(표.실시간[[#This Row],[코드]])</f>
        <v>N005940</v>
      </c>
      <c r="G85" s="4">
        <f>_xll.IMDP("STK",표.실시간[[#This Row],[nxt_code]],"현재가")</f>
        <v>23600</v>
      </c>
      <c r="H85" s="4">
        <f>_xll.IMDP("STK",표.실시간[[#This Row],[nxt_code]],"시가총액")/10^12</f>
        <v>8.4097271084000003</v>
      </c>
      <c r="I85" t="str">
        <f>_xll.IMDP("","","전일대비부호")</f>
        <v>코드오류</v>
      </c>
      <c r="J85" s="5">
        <f>_xll.IMDP("STK",표.실시간[[#This Row],[nxt_code]],"전일대비")</f>
        <v>750</v>
      </c>
      <c r="K85">
        <f>_xll.IMDP("STK",표.실시간[[#This Row],[nxt_code]],"등락률")</f>
        <v>3.28</v>
      </c>
      <c r="L85" s="4">
        <f>_xll.IMDP("STK",표.실시간[[#This Row],[nxt_code]],"누적거래량")</f>
        <v>71283</v>
      </c>
      <c r="M85" s="4">
        <f>_xll.IMDP("STK",표.실시간[[#This Row],[nxt_code]],"누적거래대금")</f>
        <v>1662652950</v>
      </c>
      <c r="N85" s="4">
        <f>_xll.IMDP("STK",표.실시간[[#This Row],[nxt_code]],"가중평균가")</f>
        <v>23324.676992000001</v>
      </c>
      <c r="O85" s="4">
        <f>_xll.IMDP("STK",표.실시간[[#This Row],[nxt_code]],"시가")</f>
        <v>23100</v>
      </c>
      <c r="P85" s="4">
        <f>_xll.IMDP("STK",표.실시간[[#This Row],[nxt_code]],"고가")</f>
        <v>23600</v>
      </c>
      <c r="Q85" s="4">
        <f>_xll.IMDP("STK",표.실시간[[#This Row],[nxt_code]],"저가")</f>
        <v>23000</v>
      </c>
      <c r="R85">
        <f>_xll.IMDP("STK",표.실시간[[#This Row],[nxt_code]],"세션명")</f>
        <v>0</v>
      </c>
      <c r="S85">
        <f>_xll.IMDP("STK",표.실시간[[#This Row],[nxt_code]],"체결시간")</f>
        <v>0</v>
      </c>
      <c r="T85" s="4">
        <f>_xll.IMDP("STK","005940","현재가")</f>
        <v>23500</v>
      </c>
      <c r="U85">
        <f>_xll.IMDP("STK","005940","누적거래량")</f>
        <v>56204</v>
      </c>
    </row>
    <row r="86" spans="3:21" x14ac:dyDescent="0.3">
      <c r="C86">
        <v>81</v>
      </c>
      <c r="D86">
        <v>7660</v>
      </c>
      <c r="E86" t="s">
        <v>98</v>
      </c>
      <c r="F86" t="str">
        <f>ConvertStockCode(표.실시간[[#This Row],[코드]])</f>
        <v>N007660</v>
      </c>
      <c r="G86" s="4">
        <f>_xll.IMDP("STK",표.실시간[[#This Row],[nxt_code]],"현재가")</f>
        <v>112100</v>
      </c>
      <c r="H86" s="4">
        <f>_xll.IMDP("STK",표.실시간[[#This Row],[nxt_code]],"시가총액")/10^12</f>
        <v>8.2291734498999993</v>
      </c>
      <c r="I86" t="str">
        <f>_xll.IMDP("","","전일대비부호")</f>
        <v>코드오류</v>
      </c>
      <c r="J86" s="5">
        <f>_xll.IMDP("STK",표.실시간[[#This Row],[nxt_code]],"전일대비")</f>
        <v>-1000</v>
      </c>
      <c r="K86">
        <f>_xll.IMDP("STK",표.실시간[[#This Row],[nxt_code]],"등락률")</f>
        <v>-0.88</v>
      </c>
      <c r="L86" s="4">
        <f>_xll.IMDP("STK",표.실시간[[#This Row],[nxt_code]],"누적거래량")</f>
        <v>125710</v>
      </c>
      <c r="M86" s="4">
        <f>_xll.IMDP("STK",표.실시간[[#This Row],[nxt_code]],"누적거래대금")</f>
        <v>14209958000</v>
      </c>
      <c r="N86" s="4">
        <f>_xll.IMDP("STK",표.실시간[[#This Row],[nxt_code]],"가중평균가")</f>
        <v>113037.610373</v>
      </c>
      <c r="O86" s="4">
        <f>_xll.IMDP("STK",표.실시간[[#This Row],[nxt_code]],"시가")</f>
        <v>112300</v>
      </c>
      <c r="P86" s="4">
        <f>_xll.IMDP("STK",표.실시간[[#This Row],[nxt_code]],"고가")</f>
        <v>114200</v>
      </c>
      <c r="Q86" s="4">
        <f>_xll.IMDP("STK",표.실시간[[#This Row],[nxt_code]],"저가")</f>
        <v>111000</v>
      </c>
      <c r="R86">
        <f>_xll.IMDP("STK",표.실시간[[#This Row],[nxt_code]],"세션명")</f>
        <v>0</v>
      </c>
      <c r="S86">
        <f>_xll.IMDP("STK",표.실시간[[#This Row],[nxt_code]],"체결시간")</f>
        <v>0</v>
      </c>
      <c r="T86" s="4">
        <f>_xll.IMDP("STK","007660","현재가")</f>
        <v>112000</v>
      </c>
      <c r="U86">
        <f>_xll.IMDP("STK","007660","누적거래량")</f>
        <v>24093</v>
      </c>
    </row>
    <row r="87" spans="3:21" x14ac:dyDescent="0.3">
      <c r="C87">
        <v>82</v>
      </c>
      <c r="D87">
        <v>454910</v>
      </c>
      <c r="E87" t="s">
        <v>99</v>
      </c>
      <c r="F87" t="str">
        <f>ConvertStockCode(표.실시간[[#This Row],[코드]])</f>
        <v>N454910</v>
      </c>
      <c r="G87" s="4">
        <f>_xll.IMDP("STK",표.실시간[[#This Row],[nxt_code]],"현재가")</f>
        <v>114100</v>
      </c>
      <c r="H87" s="4">
        <f>_xll.IMDP("STK",표.실시간[[#This Row],[nxt_code]],"시가총액")/10^12</f>
        <v>7.3959597180000003</v>
      </c>
      <c r="I87" t="str">
        <f>_xll.IMDP("","","전일대비부호")</f>
        <v>코드오류</v>
      </c>
      <c r="J87" s="5">
        <f>_xll.IMDP("STK",표.실시간[[#This Row],[nxt_code]],"전일대비")</f>
        <v>-1400</v>
      </c>
      <c r="K87">
        <f>_xll.IMDP("STK",표.실시간[[#This Row],[nxt_code]],"등락률")</f>
        <v>-1.1299999999999999</v>
      </c>
      <c r="L87" s="4">
        <f>_xll.IMDP("STK",표.실시간[[#This Row],[nxt_code]],"누적거래량")</f>
        <v>167647</v>
      </c>
      <c r="M87" s="4">
        <f>_xll.IMDP("STK",표.실시간[[#This Row],[nxt_code]],"누적거래대금")</f>
        <v>19347682100</v>
      </c>
      <c r="N87" s="4">
        <f>_xll.IMDP("STK",표.실시간[[#This Row],[nxt_code]],"가중평균가")</f>
        <v>115407.267055</v>
      </c>
      <c r="O87" s="4">
        <f>_xll.IMDP("STK",표.실시간[[#This Row],[nxt_code]],"시가")</f>
        <v>116400</v>
      </c>
      <c r="P87" s="4">
        <f>_xll.IMDP("STK",표.실시간[[#This Row],[nxt_code]],"고가")</f>
        <v>117700</v>
      </c>
      <c r="Q87" s="4">
        <f>_xll.IMDP("STK",표.실시간[[#This Row],[nxt_code]],"저가")</f>
        <v>113300</v>
      </c>
      <c r="R87">
        <f>_xll.IMDP("STK",표.실시간[[#This Row],[nxt_code]],"세션명")</f>
        <v>0</v>
      </c>
      <c r="S87">
        <f>_xll.IMDP("STK",표.실시간[[#This Row],[nxt_code]],"체결시간")</f>
        <v>0</v>
      </c>
      <c r="T87" s="4">
        <f>_xll.IMDP("STK","454910","현재가")</f>
        <v>114000</v>
      </c>
      <c r="U87">
        <f>_xll.IMDP("STK","454910","누적거래량")</f>
        <v>34506</v>
      </c>
    </row>
    <row r="88" spans="3:21" x14ac:dyDescent="0.3">
      <c r="C88">
        <v>83</v>
      </c>
      <c r="D88">
        <v>16360</v>
      </c>
      <c r="E88" t="s">
        <v>100</v>
      </c>
      <c r="F88" t="str">
        <f>ConvertStockCode(표.실시간[[#This Row],[코드]])</f>
        <v>N016360</v>
      </c>
      <c r="G88" s="4">
        <f>_xll.IMDP("STK",표.실시간[[#This Row],[nxt_code]],"현재가")</f>
        <v>85500</v>
      </c>
      <c r="H88" s="4">
        <f>_xll.IMDP("STK",표.실시간[[#This Row],[nxt_code]],"시가총액")/10^12</f>
        <v>7.6351500000000003</v>
      </c>
      <c r="I88" t="str">
        <f>_xll.IMDP("","","전일대비부호")</f>
        <v>코드오류</v>
      </c>
      <c r="J88" s="5">
        <f>_xll.IMDP("STK",표.실시간[[#This Row],[nxt_code]],"전일대비")</f>
        <v>1700</v>
      </c>
      <c r="K88">
        <f>_xll.IMDP("STK",표.실시간[[#This Row],[nxt_code]],"등락률")</f>
        <v>2.0299999999999998</v>
      </c>
      <c r="L88" s="4">
        <f>_xll.IMDP("STK",표.실시간[[#This Row],[nxt_code]],"누적거래량")</f>
        <v>57656</v>
      </c>
      <c r="M88" s="4">
        <f>_xll.IMDP("STK",표.실시간[[#This Row],[nxt_code]],"누적거래대금")</f>
        <v>4935537300</v>
      </c>
      <c r="N88" s="4">
        <f>_xll.IMDP("STK",표.실시간[[#This Row],[nxt_code]],"가중평균가")</f>
        <v>85013.388797000007</v>
      </c>
      <c r="O88" s="4">
        <f>_xll.IMDP("STK",표.실시간[[#This Row],[nxt_code]],"시가")</f>
        <v>85000</v>
      </c>
      <c r="P88" s="4">
        <f>_xll.IMDP("STK",표.실시간[[#This Row],[nxt_code]],"고가")</f>
        <v>85800</v>
      </c>
      <c r="Q88" s="4">
        <f>_xll.IMDP("STK",표.실시간[[#This Row],[nxt_code]],"저가")</f>
        <v>84400</v>
      </c>
      <c r="R88">
        <f>_xll.IMDP("STK",표.실시간[[#This Row],[nxt_code]],"세션명")</f>
        <v>0</v>
      </c>
      <c r="S88">
        <f>_xll.IMDP("STK",표.실시간[[#This Row],[nxt_code]],"체결시간")</f>
        <v>0</v>
      </c>
      <c r="T88" s="4">
        <f>_xll.IMDP("STK","016360","현재가")</f>
        <v>85600</v>
      </c>
      <c r="U88">
        <f>_xll.IMDP("STK","016360","누적거래량")</f>
        <v>18476</v>
      </c>
    </row>
    <row r="89" spans="3:21" x14ac:dyDescent="0.3">
      <c r="C89">
        <v>84</v>
      </c>
      <c r="D89">
        <v>6260</v>
      </c>
      <c r="E89" t="s">
        <v>101</v>
      </c>
      <c r="F89" t="str">
        <f>ConvertStockCode(표.실시간[[#This Row],[코드]])</f>
        <v>N006260</v>
      </c>
      <c r="G89" s="4">
        <f>_xll.IMDP("STK",표.실시간[[#This Row],[nxt_code]],"현재가")</f>
        <v>230000</v>
      </c>
      <c r="H89" s="4">
        <f>_xll.IMDP("STK",표.실시간[[#This Row],[nxt_code]],"시가총액")/10^12</f>
        <v>7.2910000000000004</v>
      </c>
      <c r="I89" t="str">
        <f>_xll.IMDP("","","전일대비부호")</f>
        <v>코드오류</v>
      </c>
      <c r="J89" s="5">
        <f>_xll.IMDP("STK",표.실시간[[#This Row],[nxt_code]],"전일대비")</f>
        <v>13000</v>
      </c>
      <c r="K89">
        <f>_xll.IMDP("STK",표.실시간[[#This Row],[nxt_code]],"등락률")</f>
        <v>5.99</v>
      </c>
      <c r="L89" s="4">
        <f>_xll.IMDP("STK",표.실시간[[#This Row],[nxt_code]],"누적거래량")</f>
        <v>68210</v>
      </c>
      <c r="M89" s="4">
        <f>_xll.IMDP("STK",표.실시간[[#This Row],[nxt_code]],"누적거래대금")</f>
        <v>15354518500</v>
      </c>
      <c r="N89" s="4">
        <f>_xll.IMDP("STK",표.실시간[[#This Row],[nxt_code]],"가중평균가")</f>
        <v>225106.56062199999</v>
      </c>
      <c r="O89" s="4">
        <f>_xll.IMDP("STK",표.실시간[[#This Row],[nxt_code]],"시가")</f>
        <v>220000</v>
      </c>
      <c r="P89" s="4">
        <f>_xll.IMDP("STK",표.실시간[[#This Row],[nxt_code]],"고가")</f>
        <v>230500</v>
      </c>
      <c r="Q89" s="4">
        <f>_xll.IMDP("STK",표.실시간[[#This Row],[nxt_code]],"저가")</f>
        <v>218000</v>
      </c>
      <c r="R89">
        <f>_xll.IMDP("STK",표.실시간[[#This Row],[nxt_code]],"세션명")</f>
        <v>0</v>
      </c>
      <c r="S89">
        <f>_xll.IMDP("STK",표.실시간[[#This Row],[nxt_code]],"체결시간")</f>
        <v>0</v>
      </c>
      <c r="T89" s="4">
        <f>_xll.IMDP("STK","006260","현재가")</f>
        <v>231500</v>
      </c>
      <c r="U89">
        <f>_xll.IMDP("STK","006260","누적거래량")</f>
        <v>1533</v>
      </c>
    </row>
    <row r="90" spans="3:21" x14ac:dyDescent="0.3">
      <c r="C90">
        <v>85</v>
      </c>
      <c r="D90">
        <v>90430</v>
      </c>
      <c r="E90" t="s">
        <v>102</v>
      </c>
      <c r="F90" t="str">
        <f>ConvertStockCode(표.실시간[[#This Row],[코드]])</f>
        <v>N090430</v>
      </c>
      <c r="G90" s="4">
        <f>_xll.IMDP("STK",표.실시간[[#This Row],[nxt_code]],"현재가")</f>
        <v>126100</v>
      </c>
      <c r="H90" s="4">
        <f>_xll.IMDP("STK",표.실시간[[#This Row],[nxt_code]],"시가총액")/10^12</f>
        <v>7.3759369099000001</v>
      </c>
      <c r="I90" t="str">
        <f>_xll.IMDP("","","전일대비부호")</f>
        <v>코드오류</v>
      </c>
      <c r="J90" s="5">
        <f>_xll.IMDP("STK",표.실시간[[#This Row],[nxt_code]],"전일대비")</f>
        <v>-500</v>
      </c>
      <c r="K90">
        <f>_xll.IMDP("STK",표.실시간[[#This Row],[nxt_code]],"등락률")</f>
        <v>-0.47</v>
      </c>
      <c r="L90" s="4">
        <f>_xll.IMDP("STK",표.실시간[[#This Row],[nxt_code]],"누적거래량")</f>
        <v>25343</v>
      </c>
      <c r="M90" s="4">
        <f>_xll.IMDP("STK",표.실시간[[#This Row],[nxt_code]],"누적거래대금")</f>
        <v>3205039100</v>
      </c>
      <c r="N90" s="4">
        <f>_xll.IMDP("STK",표.실시간[[#This Row],[nxt_code]],"가중평균가")</f>
        <v>126466.44438299999</v>
      </c>
      <c r="O90" s="4">
        <f>_xll.IMDP("STK",표.실시간[[#This Row],[nxt_code]],"시가")</f>
        <v>126900</v>
      </c>
      <c r="P90" s="4">
        <f>_xll.IMDP("STK",표.실시간[[#This Row],[nxt_code]],"고가")</f>
        <v>127700</v>
      </c>
      <c r="Q90" s="4">
        <f>_xll.IMDP("STK",표.실시간[[#This Row],[nxt_code]],"저가")</f>
        <v>125900</v>
      </c>
      <c r="R90">
        <f>_xll.IMDP("STK",표.실시간[[#This Row],[nxt_code]],"세션명")</f>
        <v>0</v>
      </c>
      <c r="S90">
        <f>_xll.IMDP("STK",표.실시간[[#This Row],[nxt_code]],"체결시간")</f>
        <v>0</v>
      </c>
      <c r="T90" s="4">
        <f>_xll.IMDP("STK","090430","현재가")</f>
        <v>126100</v>
      </c>
      <c r="U90">
        <f>_xll.IMDP("STK","090430","누적거래량")</f>
        <v>6447</v>
      </c>
    </row>
    <row r="91" spans="3:21" x14ac:dyDescent="0.3">
      <c r="C91">
        <v>86</v>
      </c>
      <c r="D91">
        <v>64400</v>
      </c>
      <c r="E91" t="s">
        <v>103</v>
      </c>
      <c r="F91" t="str">
        <f>ConvertStockCode(표.실시간[[#This Row],[코드]])</f>
        <v>N064400</v>
      </c>
      <c r="G91" s="4">
        <f>_xll.IMDP("STK",표.실시간[[#This Row],[nxt_code]],"현재가")</f>
        <v>69200</v>
      </c>
      <c r="H91" s="4">
        <f>_xll.IMDP("STK",표.실시간[[#This Row],[nxt_code]],"시가총액")/10^12</f>
        <v>6.7045076015999996</v>
      </c>
      <c r="I91" t="str">
        <f>_xll.IMDP("","","전일대비부호")</f>
        <v>코드오류</v>
      </c>
      <c r="J91" s="5">
        <f>_xll.IMDP("STK",표.실시간[[#This Row],[nxt_code]],"전일대비")</f>
        <v>1200</v>
      </c>
      <c r="K91">
        <f>_xll.IMDP("STK",표.실시간[[#This Row],[nxt_code]],"등락률")</f>
        <v>1.76</v>
      </c>
      <c r="L91" s="4">
        <f>_xll.IMDP("STK",표.실시간[[#This Row],[nxt_code]],"누적거래량")</f>
        <v>124650</v>
      </c>
      <c r="M91" s="4">
        <f>_xll.IMDP("STK",표.실시간[[#This Row],[nxt_code]],"누적거래대금")</f>
        <v>8595001500</v>
      </c>
      <c r="N91" s="4">
        <f>_xll.IMDP("STK",표.실시간[[#This Row],[nxt_code]],"가중평균가")</f>
        <v>68919.353545000005</v>
      </c>
      <c r="O91" s="4">
        <f>_xll.IMDP("STK",표.실시간[[#This Row],[nxt_code]],"시가")</f>
        <v>68300</v>
      </c>
      <c r="P91" s="4">
        <f>_xll.IMDP("STK",표.실시간[[#This Row],[nxt_code]],"고가")</f>
        <v>69800</v>
      </c>
      <c r="Q91" s="4">
        <f>_xll.IMDP("STK",표.실시간[[#This Row],[nxt_code]],"저가")</f>
        <v>67600</v>
      </c>
      <c r="R91">
        <f>_xll.IMDP("STK",표.실시간[[#This Row],[nxt_code]],"세션명")</f>
        <v>0</v>
      </c>
      <c r="S91">
        <f>_xll.IMDP("STK",표.실시간[[#This Row],[nxt_code]],"체결시간")</f>
        <v>0</v>
      </c>
      <c r="T91" s="4">
        <f>_xll.IMDP("STK","064400","현재가")</f>
        <v>69300</v>
      </c>
      <c r="U91">
        <f>_xll.IMDP("STK","064400","누적거래량")</f>
        <v>47085</v>
      </c>
    </row>
    <row r="92" spans="3:21" x14ac:dyDescent="0.3">
      <c r="C92">
        <v>87</v>
      </c>
      <c r="D92">
        <v>377300</v>
      </c>
      <c r="E92" t="s">
        <v>104</v>
      </c>
      <c r="F92" t="str">
        <f>ConvertStockCode(표.실시간[[#This Row],[코드]])</f>
        <v>N377300</v>
      </c>
      <c r="G92" s="4">
        <f>_xll.IMDP("STK",표.실시간[[#This Row],[nxt_code]],"현재가")</f>
        <v>53800</v>
      </c>
      <c r="H92" s="4">
        <f>_xll.IMDP("STK",표.실시간[[#This Row],[nxt_code]],"시가총액")/10^12</f>
        <v>7.2708090700000003</v>
      </c>
      <c r="I92" t="str">
        <f>_xll.IMDP("","","전일대비부호")</f>
        <v>코드오류</v>
      </c>
      <c r="J92" s="5">
        <f>_xll.IMDP("STK",표.실시간[[#This Row],[nxt_code]],"전일대비")</f>
        <v>1600</v>
      </c>
      <c r="K92">
        <f>_xll.IMDP("STK",표.실시간[[#This Row],[nxt_code]],"등락률")</f>
        <v>3.07</v>
      </c>
      <c r="L92" s="4">
        <f>_xll.IMDP("STK",표.실시간[[#This Row],[nxt_code]],"누적거래량")</f>
        <v>130930</v>
      </c>
      <c r="M92" s="4">
        <f>_xll.IMDP("STK",표.실시간[[#This Row],[nxt_code]],"누적거래대금")</f>
        <v>6956769250</v>
      </c>
      <c r="N92" s="4">
        <f>_xll.IMDP("STK",표.실시간[[#This Row],[nxt_code]],"가중평균가")</f>
        <v>53127.819907999998</v>
      </c>
      <c r="O92" s="4">
        <f>_xll.IMDP("STK",표.실시간[[#This Row],[nxt_code]],"시가")</f>
        <v>52400</v>
      </c>
      <c r="P92" s="4">
        <f>_xll.IMDP("STK",표.실시간[[#This Row],[nxt_code]],"고가")</f>
        <v>54000</v>
      </c>
      <c r="Q92" s="4">
        <f>_xll.IMDP("STK",표.실시간[[#This Row],[nxt_code]],"저가")</f>
        <v>52300</v>
      </c>
      <c r="R92">
        <f>_xll.IMDP("STK",표.실시간[[#This Row],[nxt_code]],"세션명")</f>
        <v>0</v>
      </c>
      <c r="S92">
        <f>_xll.IMDP("STK",표.실시간[[#This Row],[nxt_code]],"체결시간")</f>
        <v>0</v>
      </c>
      <c r="T92" s="4">
        <f>_xll.IMDP("STK","377300","현재가")</f>
        <v>54300</v>
      </c>
      <c r="U92">
        <f>_xll.IMDP("STK","377300","누적거래량")</f>
        <v>5325</v>
      </c>
    </row>
    <row r="93" spans="3:21" x14ac:dyDescent="0.3">
      <c r="C93">
        <v>88</v>
      </c>
      <c r="D93">
        <v>28300</v>
      </c>
      <c r="E93" t="s">
        <v>105</v>
      </c>
      <c r="F93" t="str">
        <f>ConvertStockCode(표.실시간[[#This Row],[코드]])</f>
        <v>N028300</v>
      </c>
      <c r="G93" s="4">
        <f>_xll.IMDP("STK",표.실시간[[#This Row],[nxt_code]],"현재가")</f>
        <v>53400</v>
      </c>
      <c r="H93" s="4">
        <f>_xll.IMDP("STK",표.실시간[[#This Row],[nxt_code]],"시가총액")/10^12</f>
        <v>7.1056021673999998</v>
      </c>
      <c r="I93" t="str">
        <f>_xll.IMDP("","","전일대비부호")</f>
        <v>코드오류</v>
      </c>
      <c r="J93" s="5">
        <f>_xll.IMDP("STK",표.실시간[[#This Row],[nxt_code]],"전일대비")</f>
        <v>0</v>
      </c>
      <c r="K93">
        <f>_xll.IMDP("STK",표.실시간[[#This Row],[nxt_code]],"등락률")</f>
        <v>0.38</v>
      </c>
      <c r="L93" s="4">
        <f>_xll.IMDP("STK",표.실시간[[#This Row],[nxt_code]],"누적거래량")</f>
        <v>104423</v>
      </c>
      <c r="M93" s="4">
        <f>_xll.IMDP("STK",표.실시간[[#This Row],[nxt_code]],"누적거래대금")</f>
        <v>5481918900</v>
      </c>
      <c r="N93" s="4">
        <f>_xll.IMDP("STK",표.실시간[[#This Row],[nxt_code]],"가중평균가")</f>
        <v>52472.111454999998</v>
      </c>
      <c r="O93" s="4">
        <f>_xll.IMDP("STK",표.실시간[[#This Row],[nxt_code]],"시가")</f>
        <v>53200</v>
      </c>
      <c r="P93" s="4">
        <f>_xll.IMDP("STK",표.실시간[[#This Row],[nxt_code]],"고가")</f>
        <v>53400</v>
      </c>
      <c r="Q93" s="4">
        <f>_xll.IMDP("STK",표.실시간[[#This Row],[nxt_code]],"저가")</f>
        <v>51900</v>
      </c>
      <c r="R93">
        <f>_xll.IMDP("STK",표.실시간[[#This Row],[nxt_code]],"세션명")</f>
        <v>0</v>
      </c>
      <c r="S93">
        <f>_xll.IMDP("STK",표.실시간[[#This Row],[nxt_code]],"체결시간")</f>
        <v>0</v>
      </c>
      <c r="T93" s="4">
        <f>_xll.IMDP("STK","028300","현재가")</f>
        <v>53400</v>
      </c>
      <c r="U93">
        <f>_xll.IMDP("STK","028300","누적거래량")</f>
        <v>22504</v>
      </c>
    </row>
    <row r="94" spans="3:21" x14ac:dyDescent="0.3">
      <c r="C94">
        <v>89</v>
      </c>
      <c r="D94">
        <v>11070</v>
      </c>
      <c r="E94" t="s">
        <v>106</v>
      </c>
      <c r="F94" t="str">
        <f>ConvertStockCode(표.실시간[[#This Row],[코드]])</f>
        <v>N011070</v>
      </c>
      <c r="G94" s="4">
        <f>_xll.IMDP("STK",표.실시간[[#This Row],[nxt_code]],"현재가")</f>
        <v>282500</v>
      </c>
      <c r="H94" s="4">
        <f>_xll.IMDP("STK",표.실시간[[#This Row],[nxt_code]],"시가총액")/10^12</f>
        <v>6.6859577274999999</v>
      </c>
      <c r="I94" t="str">
        <f>_xll.IMDP("","","전일대비부호")</f>
        <v>코드오류</v>
      </c>
      <c r="J94" s="5">
        <f>_xll.IMDP("STK",표.실시간[[#This Row],[nxt_code]],"전일대비")</f>
        <v>1000</v>
      </c>
      <c r="K94">
        <f>_xll.IMDP("STK",표.실시간[[#This Row],[nxt_code]],"등락률")</f>
        <v>-0.18</v>
      </c>
      <c r="L94" s="4">
        <f>_xll.IMDP("STK",표.실시간[[#This Row],[nxt_code]],"누적거래량")</f>
        <v>14115</v>
      </c>
      <c r="M94" s="4">
        <f>_xll.IMDP("STK",표.실시간[[#This Row],[nxt_code]],"누적거래대금")</f>
        <v>4105172500</v>
      </c>
      <c r="N94" s="4">
        <f>_xll.IMDP("STK",표.실시간[[#This Row],[nxt_code]],"가중평균가")</f>
        <v>285319.189602</v>
      </c>
      <c r="O94" s="4">
        <f>_xll.IMDP("STK",표.실시간[[#This Row],[nxt_code]],"시가")</f>
        <v>285000</v>
      </c>
      <c r="P94" s="4">
        <f>_xll.IMDP("STK",표.실시간[[#This Row],[nxt_code]],"고가")</f>
        <v>287000</v>
      </c>
      <c r="Q94" s="4">
        <f>_xll.IMDP("STK",표.실시간[[#This Row],[nxt_code]],"저가")</f>
        <v>282500</v>
      </c>
      <c r="R94">
        <f>_xll.IMDP("STK",표.실시간[[#This Row],[nxt_code]],"세션명")</f>
        <v>0</v>
      </c>
      <c r="S94">
        <f>_xll.IMDP("STK",표.실시간[[#This Row],[nxt_code]],"체결시간")</f>
        <v>0</v>
      </c>
      <c r="T94" s="4">
        <f>_xll.IMDP("STK","011070","현재가")</f>
        <v>282000</v>
      </c>
      <c r="U94">
        <f>_xll.IMDP("STK","011070","누적거래량")</f>
        <v>7212</v>
      </c>
    </row>
    <row r="95" spans="3:21" x14ac:dyDescent="0.3">
      <c r="C95">
        <v>90</v>
      </c>
      <c r="D95">
        <v>22100</v>
      </c>
      <c r="E95" t="s">
        <v>107</v>
      </c>
      <c r="F95" t="str">
        <f>ConvertStockCode(표.실시간[[#This Row],[코드]])</f>
        <v>N022100</v>
      </c>
      <c r="G95" s="4">
        <f>_xll.IMDP("STK",표.실시간[[#This Row],[nxt_code]],"현재가")</f>
        <v>40550</v>
      </c>
      <c r="H95" s="4">
        <f>_xll.IMDP("STK",표.실시간[[#This Row],[nxt_code]],"시가총액")/10^12</f>
        <v>6.1650082609499997</v>
      </c>
      <c r="I95" t="str">
        <f>_xll.IMDP("","","전일대비부호")</f>
        <v>코드오류</v>
      </c>
      <c r="J95" s="5">
        <f>_xll.IMDP("STK",표.실시간[[#This Row],[nxt_code]],"전일대비")</f>
        <v>-150</v>
      </c>
      <c r="K95">
        <f>_xll.IMDP("STK",표.실시간[[#This Row],[nxt_code]],"등락률")</f>
        <v>-0.37</v>
      </c>
      <c r="L95" s="4">
        <f>_xll.IMDP("STK",표.실시간[[#This Row],[nxt_code]],"누적거래량")</f>
        <v>451868</v>
      </c>
      <c r="M95" s="4">
        <f>_xll.IMDP("STK",표.실시간[[#This Row],[nxt_code]],"누적거래대금")</f>
        <v>18425360800</v>
      </c>
      <c r="N95" s="4">
        <f>_xll.IMDP("STK",표.실시간[[#This Row],[nxt_code]],"가중평균가")</f>
        <v>40775.980596000001</v>
      </c>
      <c r="O95" s="4">
        <f>_xll.IMDP("STK",표.실시간[[#This Row],[nxt_code]],"시가")</f>
        <v>40600</v>
      </c>
      <c r="P95" s="4">
        <f>_xll.IMDP("STK",표.실시간[[#This Row],[nxt_code]],"고가")</f>
        <v>41200</v>
      </c>
      <c r="Q95" s="4">
        <f>_xll.IMDP("STK",표.실시간[[#This Row],[nxt_code]],"저가")</f>
        <v>40000</v>
      </c>
      <c r="R95">
        <f>_xll.IMDP("STK",표.실시간[[#This Row],[nxt_code]],"세션명")</f>
        <v>0</v>
      </c>
      <c r="S95">
        <f>_xll.IMDP("STK",표.실시간[[#This Row],[nxt_code]],"체결시간")</f>
        <v>0</v>
      </c>
      <c r="T95" s="4">
        <f>_xll.IMDP("STK","022100","현재가")</f>
        <v>40650</v>
      </c>
      <c r="U95">
        <f>_xll.IMDP("STK","022100","누적거래량")</f>
        <v>57454</v>
      </c>
    </row>
    <row r="96" spans="3:21" x14ac:dyDescent="0.3">
      <c r="C96">
        <v>91</v>
      </c>
      <c r="D96">
        <v>32640</v>
      </c>
      <c r="E96" t="s">
        <v>108</v>
      </c>
      <c r="F96" t="str">
        <f>ConvertStockCode(표.실시간[[#This Row],[코드]])</f>
        <v>N032640</v>
      </c>
      <c r="G96" s="4">
        <f>_xll.IMDP("STK",표.실시간[[#This Row],[nxt_code]],"현재가")</f>
        <v>15310</v>
      </c>
      <c r="H96" s="4">
        <f>_xll.IMDP("STK",표.실시간[[#This Row],[nxt_code]],"시가총액")/10^12</f>
        <v>6.5806721150499996</v>
      </c>
      <c r="I96" t="str">
        <f>_xll.IMDP("","","전일대비부호")</f>
        <v>코드오류</v>
      </c>
      <c r="J96" s="5">
        <f>_xll.IMDP("STK",표.실시간[[#This Row],[nxt_code]],"전일대비")</f>
        <v>-70</v>
      </c>
      <c r="K96">
        <f>_xll.IMDP("STK",표.실시간[[#This Row],[nxt_code]],"등락률")</f>
        <v>-0.46</v>
      </c>
      <c r="L96" s="4">
        <f>_xll.IMDP("STK",표.실시간[[#This Row],[nxt_code]],"누적거래량")</f>
        <v>11960</v>
      </c>
      <c r="M96" s="4">
        <f>_xll.IMDP("STK",표.실시간[[#This Row],[nxt_code]],"누적거래대금")</f>
        <v>184255340</v>
      </c>
      <c r="N96" s="4">
        <f>_xll.IMDP("STK",표.실시간[[#This Row],[nxt_code]],"가중평균가")</f>
        <v>15405.964883000001</v>
      </c>
      <c r="O96" s="4">
        <f>_xll.IMDP("STK",표.실시간[[#This Row],[nxt_code]],"시가")</f>
        <v>15370</v>
      </c>
      <c r="P96" s="4">
        <f>_xll.IMDP("STK",표.실시간[[#This Row],[nxt_code]],"고가")</f>
        <v>15500</v>
      </c>
      <c r="Q96" s="4">
        <f>_xll.IMDP("STK",표.실시간[[#This Row],[nxt_code]],"저가")</f>
        <v>15310</v>
      </c>
      <c r="R96">
        <f>_xll.IMDP("STK",표.실시간[[#This Row],[nxt_code]],"세션명")</f>
        <v>0</v>
      </c>
      <c r="S96">
        <f>_xll.IMDP("STK",표.실시간[[#This Row],[nxt_code]],"체결시간")</f>
        <v>0</v>
      </c>
      <c r="T96" s="4">
        <f>_xll.IMDP("STK","032640","현재가")</f>
        <v>15300</v>
      </c>
      <c r="U96">
        <f>_xll.IMDP("STK","032640","누적거래량")</f>
        <v>12753</v>
      </c>
    </row>
    <row r="97" spans="3:21" x14ac:dyDescent="0.3">
      <c r="C97">
        <v>92</v>
      </c>
      <c r="D97">
        <v>250</v>
      </c>
      <c r="E97" t="s">
        <v>109</v>
      </c>
      <c r="F97" t="str">
        <f>ConvertStockCode(표.실시간[[#This Row],[코드]])</f>
        <v>N000250</v>
      </c>
      <c r="G97" s="4">
        <f>_xll.IMDP("STK",표.실시간[[#This Row],[nxt_code]],"현재가")</f>
        <v>339500</v>
      </c>
      <c r="H97" s="4">
        <f>_xll.IMDP("STK",표.실시간[[#This Row],[nxt_code]],"시가총액")/10^12</f>
        <v>7.963811744</v>
      </c>
      <c r="I97" t="str">
        <f>_xll.IMDP("","","전일대비부호")</f>
        <v>코드오류</v>
      </c>
      <c r="J97" s="5">
        <f>_xll.IMDP("STK",표.실시간[[#This Row],[nxt_code]],"전일대비")</f>
        <v>23000</v>
      </c>
      <c r="K97">
        <f>_xll.IMDP("STK",표.실시간[[#This Row],[nxt_code]],"등락률")</f>
        <v>7.27</v>
      </c>
      <c r="L97" s="4">
        <f>_xll.IMDP("STK",표.실시간[[#This Row],[nxt_code]],"누적거래량")</f>
        <v>146629</v>
      </c>
      <c r="M97" s="4">
        <f>_xll.IMDP("STK",표.실시간[[#This Row],[nxt_code]],"누적거래대금")</f>
        <v>46844912750</v>
      </c>
      <c r="N97" s="4">
        <f>_xll.IMDP("STK",표.실시간[[#This Row],[nxt_code]],"가중평균가")</f>
        <v>319479.18044899998</v>
      </c>
      <c r="O97" s="4">
        <f>_xll.IMDP("STK",표.실시간[[#This Row],[nxt_code]],"시가")</f>
        <v>314000</v>
      </c>
      <c r="P97" s="4">
        <f>_xll.IMDP("STK",표.실시간[[#This Row],[nxt_code]],"고가")</f>
        <v>339500</v>
      </c>
      <c r="Q97" s="4">
        <f>_xll.IMDP("STK",표.실시간[[#This Row],[nxt_code]],"저가")</f>
        <v>307500</v>
      </c>
      <c r="R97">
        <f>_xll.IMDP("STK",표.실시간[[#This Row],[nxt_code]],"세션명")</f>
        <v>0</v>
      </c>
      <c r="S97">
        <f>_xll.IMDP("STK",표.실시간[[#This Row],[nxt_code]],"체결시간")</f>
        <v>0</v>
      </c>
      <c r="T97" s="4">
        <f>_xll.IMDP("STK","000250","현재가")</f>
        <v>339500</v>
      </c>
      <c r="U97">
        <f>_xll.IMDP("STK","000250","누적거래량")</f>
        <v>56648</v>
      </c>
    </row>
    <row r="98" spans="3:21" x14ac:dyDescent="0.3">
      <c r="C98">
        <v>93</v>
      </c>
      <c r="D98">
        <v>29780</v>
      </c>
      <c r="E98" t="s">
        <v>110</v>
      </c>
      <c r="F98" t="str">
        <f>ConvertStockCode(표.실시간[[#This Row],[코드]])</f>
        <v>N029780</v>
      </c>
      <c r="G98" s="4">
        <f>_xll.IMDP("STK",표.실시간[[#This Row],[nxt_code]],"현재가")</f>
        <v>54000</v>
      </c>
      <c r="H98" s="4">
        <f>_xll.IMDP("STK",표.실시간[[#This Row],[nxt_code]],"시가총액")/10^12</f>
        <v>6.2563801139999997</v>
      </c>
      <c r="I98" t="str">
        <f>_xll.IMDP("","","전일대비부호")</f>
        <v>코드오류</v>
      </c>
      <c r="J98" s="5">
        <f>_xll.IMDP("STK",표.실시간[[#This Row],[nxt_code]],"전일대비")</f>
        <v>400</v>
      </c>
      <c r="K98">
        <f>_xll.IMDP("STK",표.실시간[[#This Row],[nxt_code]],"등락률")</f>
        <v>0.75</v>
      </c>
      <c r="L98" s="4">
        <f>_xll.IMDP("STK",표.실시간[[#This Row],[nxt_code]],"누적거래량")</f>
        <v>1815</v>
      </c>
      <c r="M98" s="4">
        <f>_xll.IMDP("STK",표.실시간[[#This Row],[nxt_code]],"누적거래대금")</f>
        <v>98046900</v>
      </c>
      <c r="N98" s="4">
        <f>_xll.IMDP("STK",표.실시간[[#This Row],[nxt_code]],"가중평균가")</f>
        <v>54020.330579000001</v>
      </c>
      <c r="O98" s="4">
        <f>_xll.IMDP("STK",표.실시간[[#This Row],[nxt_code]],"시가")</f>
        <v>54000</v>
      </c>
      <c r="P98" s="4">
        <f>_xll.IMDP("STK",표.실시간[[#This Row],[nxt_code]],"고가")</f>
        <v>54100</v>
      </c>
      <c r="Q98" s="4">
        <f>_xll.IMDP("STK",표.실시간[[#This Row],[nxt_code]],"저가")</f>
        <v>53900</v>
      </c>
      <c r="R98">
        <f>_xll.IMDP("STK",표.실시간[[#This Row],[nxt_code]],"세션명")</f>
        <v>0</v>
      </c>
      <c r="S98">
        <f>_xll.IMDP("STK",표.실시간[[#This Row],[nxt_code]],"체결시간")</f>
        <v>0</v>
      </c>
      <c r="T98" s="4">
        <f>_xll.IMDP("STK","029780","현재가")</f>
        <v>54100</v>
      </c>
      <c r="U98">
        <f>_xll.IMDP("STK","029780","누적거래량")</f>
        <v>705</v>
      </c>
    </row>
    <row r="99" spans="3:21" x14ac:dyDescent="0.3">
      <c r="C99">
        <v>94</v>
      </c>
      <c r="D99">
        <v>34220</v>
      </c>
      <c r="E99" t="s">
        <v>111</v>
      </c>
      <c r="F99" t="str">
        <f>ConvertStockCode(표.실시간[[#This Row],[코드]])</f>
        <v>N034220</v>
      </c>
      <c r="G99" s="4">
        <f>_xll.IMDP("STK",표.실시간[[#This Row],[nxt_code]],"현재가")</f>
        <v>12650</v>
      </c>
      <c r="H99" s="4">
        <f>_xll.IMDP("STK",표.실시간[[#This Row],[nxt_code]],"시가총액")/10^12</f>
        <v>6.3250000000000002</v>
      </c>
      <c r="I99" t="str">
        <f>_xll.IMDP("","","전일대비부호")</f>
        <v>코드오류</v>
      </c>
      <c r="J99" s="5">
        <f>_xll.IMDP("STK",표.실시간[[#This Row],[nxt_code]],"전일대비")</f>
        <v>-10</v>
      </c>
      <c r="K99">
        <f>_xll.IMDP("STK",표.실시간[[#This Row],[nxt_code]],"등락률")</f>
        <v>-0.08</v>
      </c>
      <c r="L99" s="4">
        <f>_xll.IMDP("STK",표.실시간[[#This Row],[nxt_code]],"누적거래량")</f>
        <v>225571</v>
      </c>
      <c r="M99" s="4">
        <f>_xll.IMDP("STK",표.실시간[[#This Row],[nxt_code]],"누적거래대금")</f>
        <v>2874342595</v>
      </c>
      <c r="N99" s="4">
        <f>_xll.IMDP("STK",표.실시간[[#This Row],[nxt_code]],"가중평균가")</f>
        <v>12742.518298000001</v>
      </c>
      <c r="O99" s="4">
        <f>_xll.IMDP("STK",표.실시간[[#This Row],[nxt_code]],"시가")</f>
        <v>12690</v>
      </c>
      <c r="P99" s="4">
        <f>_xll.IMDP("STK",표.실시간[[#This Row],[nxt_code]],"고가")</f>
        <v>12800</v>
      </c>
      <c r="Q99" s="4">
        <f>_xll.IMDP("STK",표.실시간[[#This Row],[nxt_code]],"저가")</f>
        <v>12650</v>
      </c>
      <c r="R99">
        <f>_xll.IMDP("STK",표.실시간[[#This Row],[nxt_code]],"세션명")</f>
        <v>0</v>
      </c>
      <c r="S99">
        <f>_xll.IMDP("STK",표.실시간[[#This Row],[nxt_code]],"체결시간")</f>
        <v>0</v>
      </c>
      <c r="T99" s="4">
        <f>_xll.IMDP("STK","034220","현재가")</f>
        <v>12680</v>
      </c>
      <c r="U99">
        <f>_xll.IMDP("STK","034220","누적거래량")</f>
        <v>95549</v>
      </c>
    </row>
    <row r="100" spans="3:21" x14ac:dyDescent="0.3">
      <c r="C100">
        <v>95</v>
      </c>
      <c r="D100">
        <v>241560</v>
      </c>
      <c r="E100" t="s">
        <v>112</v>
      </c>
      <c r="F100" t="str">
        <f>ConvertStockCode(표.실시간[[#This Row],[코드]])</f>
        <v>N241560</v>
      </c>
      <c r="G100" s="4">
        <f>_xll.IMDP("STK",표.실시간[[#This Row],[nxt_code]],"현재가")</f>
        <v>60800</v>
      </c>
      <c r="H100" s="4">
        <f>_xll.IMDP("STK",표.실시간[[#This Row],[nxt_code]],"시가총액")/10^12</f>
        <v>5.8280487519999999</v>
      </c>
      <c r="I100" t="str">
        <f>_xll.IMDP("","","전일대비부호")</f>
        <v>코드오류</v>
      </c>
      <c r="J100" s="5">
        <f>_xll.IMDP("STK",표.실시간[[#This Row],[nxt_code]],"전일대비")</f>
        <v>800</v>
      </c>
      <c r="K100">
        <f>_xll.IMDP("STK",표.실시간[[#This Row],[nxt_code]],"등락률")</f>
        <v>1.33</v>
      </c>
      <c r="L100" s="4">
        <f>_xll.IMDP("STK",표.실시간[[#This Row],[nxt_code]],"누적거래량")</f>
        <v>25641</v>
      </c>
      <c r="M100" s="4">
        <f>_xll.IMDP("STK",표.실시간[[#This Row],[nxt_code]],"누적거래대금")</f>
        <v>1555054000</v>
      </c>
      <c r="N100" s="4">
        <f>_xll.IMDP("STK",표.실시간[[#This Row],[nxt_code]],"가중평균가")</f>
        <v>60647.166646999998</v>
      </c>
      <c r="O100" s="4">
        <f>_xll.IMDP("STK",표.실시간[[#This Row],[nxt_code]],"시가")</f>
        <v>61400</v>
      </c>
      <c r="P100" s="4">
        <f>_xll.IMDP("STK",표.실시간[[#This Row],[nxt_code]],"고가")</f>
        <v>61400</v>
      </c>
      <c r="Q100" s="4">
        <f>_xll.IMDP("STK",표.실시간[[#This Row],[nxt_code]],"저가")</f>
        <v>60200</v>
      </c>
      <c r="R100">
        <f>_xll.IMDP("STK",표.실시간[[#This Row],[nxt_code]],"세션명")</f>
        <v>0</v>
      </c>
      <c r="S100">
        <f>_xll.IMDP("STK",표.실시간[[#This Row],[nxt_code]],"체결시간")</f>
        <v>0</v>
      </c>
      <c r="T100" s="4">
        <f>_xll.IMDP("STK","241560","현재가")</f>
        <v>60800</v>
      </c>
      <c r="U100">
        <f>_xll.IMDP("STK","241560","누적거래량")</f>
        <v>10644</v>
      </c>
    </row>
    <row r="101" spans="3:21" x14ac:dyDescent="0.3">
      <c r="C101">
        <v>96</v>
      </c>
      <c r="D101">
        <v>78930</v>
      </c>
      <c r="E101" t="s">
        <v>113</v>
      </c>
      <c r="F101" t="str">
        <f>ConvertStockCode(표.실시간[[#This Row],[코드]])</f>
        <v>N078930</v>
      </c>
      <c r="G101" s="4">
        <f>_xll.IMDP("STK",표.실시간[[#This Row],[nxt_code]],"현재가")</f>
        <v>60900</v>
      </c>
      <c r="H101" s="4">
        <f>_xll.IMDP("STK",표.실시간[[#This Row],[nxt_code]],"시가총액")/10^12</f>
        <v>5.6585465201999998</v>
      </c>
      <c r="I101" t="str">
        <f>_xll.IMDP("","","전일대비부호")</f>
        <v>코드오류</v>
      </c>
      <c r="J101" s="5">
        <f>_xll.IMDP("STK",표.실시간[[#This Row],[nxt_code]],"전일대비")</f>
        <v>-200</v>
      </c>
      <c r="K101">
        <f>_xll.IMDP("STK",표.실시간[[#This Row],[nxt_code]],"등락률")</f>
        <v>-0.98</v>
      </c>
      <c r="L101" s="4">
        <f>_xll.IMDP("STK",표.실시간[[#This Row],[nxt_code]],"누적거래량")</f>
        <v>11820</v>
      </c>
      <c r="M101" s="4">
        <f>_xll.IMDP("STK",표.실시간[[#This Row],[nxt_code]],"누적거래대금")</f>
        <v>723210200</v>
      </c>
      <c r="N101" s="4">
        <f>_xll.IMDP("STK",표.실시간[[#This Row],[nxt_code]],"가중평균가")</f>
        <v>61185.296108000002</v>
      </c>
      <c r="O101" s="4">
        <f>_xll.IMDP("STK",표.실시간[[#This Row],[nxt_code]],"시가")</f>
        <v>61500</v>
      </c>
      <c r="P101" s="4">
        <f>_xll.IMDP("STK",표.실시간[[#This Row],[nxt_code]],"고가")</f>
        <v>61600</v>
      </c>
      <c r="Q101" s="4">
        <f>_xll.IMDP("STK",표.실시간[[#This Row],[nxt_code]],"저가")</f>
        <v>60900</v>
      </c>
      <c r="R101">
        <f>_xll.IMDP("STK",표.실시간[[#This Row],[nxt_code]],"세션명")</f>
        <v>0</v>
      </c>
      <c r="S101">
        <f>_xll.IMDP("STK",표.실시간[[#This Row],[nxt_code]],"체결시간")</f>
        <v>0</v>
      </c>
      <c r="T101" s="4">
        <f>_xll.IMDP("STK","078930","현재가")</f>
        <v>61200</v>
      </c>
      <c r="U101">
        <f>_xll.IMDP("STK","078930","누적거래량")</f>
        <v>5355</v>
      </c>
    </row>
    <row r="102" spans="3:21" x14ac:dyDescent="0.3">
      <c r="C102">
        <v>97</v>
      </c>
      <c r="D102">
        <v>1040</v>
      </c>
      <c r="E102" t="s">
        <v>114</v>
      </c>
      <c r="F102" t="str">
        <f>ConvertStockCode(표.실시간[[#This Row],[코드]])</f>
        <v>N001040</v>
      </c>
      <c r="G102" s="4">
        <f>_xll.IMDP("STK",표.실시간[[#This Row],[nxt_code]],"현재가")</f>
        <v>189400</v>
      </c>
      <c r="H102" s="4">
        <f>_xll.IMDP("STK",표.실시간[[#This Row],[nxt_code]],"시가총액")/10^12</f>
        <v>5.5261234212000003</v>
      </c>
      <c r="I102" t="str">
        <f>_xll.IMDP("","","전일대비부호")</f>
        <v>코드오류</v>
      </c>
      <c r="J102" s="5">
        <f>_xll.IMDP("STK",표.실시간[[#This Row],[nxt_code]],"전일대비")</f>
        <v>900</v>
      </c>
      <c r="K102">
        <f>_xll.IMDP("STK",표.실시간[[#This Row],[nxt_code]],"등락률")</f>
        <v>1.28</v>
      </c>
      <c r="L102" s="4">
        <f>_xll.IMDP("STK",표.실시간[[#This Row],[nxt_code]],"누적거래량")</f>
        <v>5535</v>
      </c>
      <c r="M102" s="4">
        <f>_xll.IMDP("STK",표.실시간[[#This Row],[nxt_code]],"누적거래대금")</f>
        <v>1042946500</v>
      </c>
      <c r="N102" s="4">
        <f>_xll.IMDP("STK",표.실시간[[#This Row],[nxt_code]],"가중평균가")</f>
        <v>188257.49097499999</v>
      </c>
      <c r="O102" s="4">
        <f>_xll.IMDP("STK",표.실시간[[#This Row],[nxt_code]],"시가")</f>
        <v>187000</v>
      </c>
      <c r="P102" s="4">
        <f>_xll.IMDP("STK",표.실시간[[#This Row],[nxt_code]],"고가")</f>
        <v>190200</v>
      </c>
      <c r="Q102" s="4">
        <f>_xll.IMDP("STK",표.실시간[[#This Row],[nxt_code]],"저가")</f>
        <v>187000</v>
      </c>
      <c r="R102">
        <f>_xll.IMDP("STK",표.실시간[[#This Row],[nxt_code]],"세션명")</f>
        <v>0</v>
      </c>
      <c r="S102">
        <f>_xll.IMDP("STK",표.실시간[[#This Row],[nxt_code]],"체결시간")</f>
        <v>0</v>
      </c>
      <c r="T102" s="4">
        <f>_xll.IMDP("STK","001040","현재가")</f>
        <v>190600</v>
      </c>
      <c r="U102">
        <f>_xll.IMDP("STK","001040","누적거래량")</f>
        <v>3741</v>
      </c>
    </row>
    <row r="103" spans="3:21" x14ac:dyDescent="0.3">
      <c r="C103">
        <v>98</v>
      </c>
      <c r="D103">
        <v>21240</v>
      </c>
      <c r="E103" t="s">
        <v>115</v>
      </c>
      <c r="F103" t="str">
        <f>ConvertStockCode(표.실시간[[#This Row],[코드]])</f>
        <v>N021240</v>
      </c>
      <c r="G103" s="4">
        <f>_xll.IMDP("STK",표.실시간[[#This Row],[nxt_code]],"현재가")</f>
        <v>75900</v>
      </c>
      <c r="H103" s="4">
        <f>_xll.IMDP("STK",표.실시간[[#This Row],[nxt_code]],"시가총액")/10^12</f>
        <v>5.4579031947000001</v>
      </c>
      <c r="I103" t="str">
        <f>_xll.IMDP("","","전일대비부호")</f>
        <v>코드오류</v>
      </c>
      <c r="J103" s="5">
        <f>_xll.IMDP("STK",표.실시간[[#This Row],[nxt_code]],"전일대비")</f>
        <v>-700</v>
      </c>
      <c r="K103">
        <f>_xll.IMDP("STK",표.실시간[[#This Row],[nxt_code]],"등락률")</f>
        <v>-0.91</v>
      </c>
      <c r="L103" s="4">
        <f>_xll.IMDP("STK",표.실시간[[#This Row],[nxt_code]],"누적거래량")</f>
        <v>3196</v>
      </c>
      <c r="M103" s="4">
        <f>_xll.IMDP("STK",표.실시간[[#This Row],[nxt_code]],"누적거래대금")</f>
        <v>243582000</v>
      </c>
      <c r="N103" s="4">
        <f>_xll.IMDP("STK",표.실시간[[#This Row],[nxt_code]],"가중평균가")</f>
        <v>76214.643303999997</v>
      </c>
      <c r="O103" s="4">
        <f>_xll.IMDP("STK",표.실시간[[#This Row],[nxt_code]],"시가")</f>
        <v>75500</v>
      </c>
      <c r="P103" s="4">
        <f>_xll.IMDP("STK",표.실시간[[#This Row],[nxt_code]],"고가")</f>
        <v>76600</v>
      </c>
      <c r="Q103" s="4">
        <f>_xll.IMDP("STK",표.실시간[[#This Row],[nxt_code]],"저가")</f>
        <v>75500</v>
      </c>
      <c r="R103">
        <f>_xll.IMDP("STK",표.실시간[[#This Row],[nxt_code]],"세션명")</f>
        <v>0</v>
      </c>
      <c r="S103">
        <f>_xll.IMDP("STK",표.실시간[[#This Row],[nxt_code]],"체결시간")</f>
        <v>0</v>
      </c>
      <c r="T103" s="4">
        <f>_xll.IMDP("STK","021240","현재가")</f>
        <v>76000</v>
      </c>
      <c r="U103">
        <f>_xll.IMDP("STK","021240","누적거래량")</f>
        <v>9546</v>
      </c>
    </row>
    <row r="104" spans="3:21" x14ac:dyDescent="0.3">
      <c r="C104">
        <v>99</v>
      </c>
      <c r="D104">
        <v>52690</v>
      </c>
      <c r="E104" t="s">
        <v>116</v>
      </c>
      <c r="F104" t="str">
        <f>ConvertStockCode(표.실시간[[#This Row],[코드]])</f>
        <v>N052690</v>
      </c>
      <c r="G104" s="4">
        <f>_xll.IMDP("STK",표.실시간[[#This Row],[nxt_code]],"현재가")</f>
        <v>137200</v>
      </c>
      <c r="H104" s="4">
        <f>_xll.IMDP("STK",표.실시간[[#This Row],[nxt_code]],"시가총액")/10^12</f>
        <v>5.2437839999999998</v>
      </c>
      <c r="I104" t="str">
        <f>_xll.IMDP("","","전일대비부호")</f>
        <v>코드오류</v>
      </c>
      <c r="J104" s="5">
        <f>_xll.IMDP("STK",표.실시간[[#This Row],[nxt_code]],"전일대비")</f>
        <v>600</v>
      </c>
      <c r="K104">
        <f>_xll.IMDP("STK",표.실시간[[#This Row],[nxt_code]],"등락률")</f>
        <v>0.37</v>
      </c>
      <c r="L104" s="4">
        <f>_xll.IMDP("STK",표.실시간[[#This Row],[nxt_code]],"누적거래량")</f>
        <v>36024</v>
      </c>
      <c r="M104" s="4">
        <f>_xll.IMDP("STK",표.실시간[[#This Row],[nxt_code]],"누적거래대금")</f>
        <v>4927110000</v>
      </c>
      <c r="N104" s="4">
        <f>_xll.IMDP("STK",표.실시간[[#This Row],[nxt_code]],"가중평균가")</f>
        <v>136583.411876</v>
      </c>
      <c r="O104" s="4">
        <f>_xll.IMDP("STK",표.실시간[[#This Row],[nxt_code]],"시가")</f>
        <v>136400</v>
      </c>
      <c r="P104" s="4">
        <f>_xll.IMDP("STK",표.실시간[[#This Row],[nxt_code]],"고가")</f>
        <v>138200</v>
      </c>
      <c r="Q104" s="4">
        <f>_xll.IMDP("STK",표.실시간[[#This Row],[nxt_code]],"저가")</f>
        <v>135800</v>
      </c>
      <c r="R104">
        <f>_xll.IMDP("STK",표.실시간[[#This Row],[nxt_code]],"세션명")</f>
        <v>0</v>
      </c>
      <c r="S104">
        <f>_xll.IMDP("STK",표.실시간[[#This Row],[nxt_code]],"체결시간")</f>
        <v>0</v>
      </c>
      <c r="T104" s="4">
        <f>_xll.IMDP("STK","052690","현재가")</f>
        <v>137200</v>
      </c>
      <c r="U104">
        <f>_xll.IMDP("STK","052690","누적거래량")</f>
        <v>11259</v>
      </c>
    </row>
    <row r="105" spans="3:21" x14ac:dyDescent="0.3">
      <c r="C105">
        <v>100</v>
      </c>
      <c r="D105">
        <v>141080</v>
      </c>
      <c r="E105" t="s">
        <v>117</v>
      </c>
      <c r="F105" t="str">
        <f>ConvertStockCode(표.실시간[[#This Row],[코드]])</f>
        <v>N141080</v>
      </c>
      <c r="G105" s="4">
        <f>_xll.IMDP("STK",표.실시간[[#This Row],[nxt_code]],"현재가")</f>
        <v>149900</v>
      </c>
      <c r="H105" s="4">
        <f>_xll.IMDP("STK",표.실시간[[#This Row],[nxt_code]],"시가총액")/10^12</f>
        <v>5.4878896662000001</v>
      </c>
      <c r="I105" t="str">
        <f>_xll.IMDP("","","전일대비부호")</f>
        <v>코드오류</v>
      </c>
      <c r="J105" s="5">
        <f>_xll.IMDP("STK",표.실시간[[#This Row],[nxt_code]],"전일대비")</f>
        <v>2300</v>
      </c>
      <c r="K105">
        <f>_xll.IMDP("STK",표.실시간[[#This Row],[nxt_code]],"등락률")</f>
        <v>1.49</v>
      </c>
      <c r="L105" s="4">
        <f>_xll.IMDP("STK",표.실시간[[#This Row],[nxt_code]],"누적거래량")</f>
        <v>22146</v>
      </c>
      <c r="M105" s="4">
        <f>_xll.IMDP("STK",표.실시간[[#This Row],[nxt_code]],"누적거래대금")</f>
        <v>3300882500</v>
      </c>
      <c r="N105" s="4">
        <f>_xll.IMDP("STK",표.실시간[[#This Row],[nxt_code]],"가중평균가")</f>
        <v>148547.88263400001</v>
      </c>
      <c r="O105" s="4">
        <f>_xll.IMDP("STK",표.실시간[[#This Row],[nxt_code]],"시가")</f>
        <v>148100</v>
      </c>
      <c r="P105" s="4">
        <f>_xll.IMDP("STK",표.실시간[[#This Row],[nxt_code]],"고가")</f>
        <v>150200</v>
      </c>
      <c r="Q105" s="4">
        <f>_xll.IMDP("STK",표.실시간[[#This Row],[nxt_code]],"저가")</f>
        <v>147000</v>
      </c>
      <c r="R105">
        <f>_xll.IMDP("STK",표.실시간[[#This Row],[nxt_code]],"세션명")</f>
        <v>0</v>
      </c>
      <c r="S105">
        <f>_xll.IMDP("STK",표.실시간[[#This Row],[nxt_code]],"체결시간")</f>
        <v>0</v>
      </c>
      <c r="T105" s="4">
        <f>_xll.IMDP("STK","141080","현재가")</f>
        <v>150000</v>
      </c>
      <c r="U105">
        <f>_xll.IMDP("STK","141080","누적거래량")</f>
        <v>5702</v>
      </c>
    </row>
    <row r="106" spans="3:21" x14ac:dyDescent="0.3">
      <c r="C106">
        <v>101</v>
      </c>
      <c r="D106">
        <v>128940</v>
      </c>
      <c r="E106" t="s">
        <v>118</v>
      </c>
      <c r="F106" t="str">
        <f>ConvertStockCode(표.실시간[[#This Row],[코드]])</f>
        <v>N128940</v>
      </c>
      <c r="G106" s="4">
        <f>_xll.IMDP("STK",표.실시간[[#This Row],[nxt_code]],"현재가")</f>
        <v>428000</v>
      </c>
      <c r="H106" s="4">
        <f>_xll.IMDP("STK",표.실시간[[#This Row],[nxt_code]],"시가총액")/10^12</f>
        <v>5.4831041479999998</v>
      </c>
      <c r="I106" t="str">
        <f>_xll.IMDP("","","전일대비부호")</f>
        <v>코드오류</v>
      </c>
      <c r="J106" s="5">
        <f>_xll.IMDP("STK",표.실시간[[#This Row],[nxt_code]],"전일대비")</f>
        <v>-2500</v>
      </c>
      <c r="K106">
        <f>_xll.IMDP("STK",표.실시간[[#This Row],[nxt_code]],"등락률")</f>
        <v>-0.57999999999999996</v>
      </c>
      <c r="L106" s="4">
        <f>_xll.IMDP("STK",표.실시간[[#This Row],[nxt_code]],"누적거래량")</f>
        <v>9186</v>
      </c>
      <c r="M106" s="4">
        <f>_xll.IMDP("STK",표.실시간[[#This Row],[nxt_code]],"누적거래대금")</f>
        <v>3953679500</v>
      </c>
      <c r="N106" s="4">
        <f>_xll.IMDP("STK",표.실시간[[#This Row],[nxt_code]],"가중평균가")</f>
        <v>430402.73241900001</v>
      </c>
      <c r="O106" s="4">
        <f>_xll.IMDP("STK",표.실시간[[#This Row],[nxt_code]],"시가")</f>
        <v>431000</v>
      </c>
      <c r="P106" s="4">
        <f>_xll.IMDP("STK",표.실시간[[#This Row],[nxt_code]],"고가")</f>
        <v>433000</v>
      </c>
      <c r="Q106" s="4">
        <f>_xll.IMDP("STK",표.실시간[[#This Row],[nxt_code]],"저가")</f>
        <v>425500</v>
      </c>
      <c r="R106">
        <f>_xll.IMDP("STK",표.실시간[[#This Row],[nxt_code]],"세션명")</f>
        <v>0</v>
      </c>
      <c r="S106">
        <f>_xll.IMDP("STK",표.실시간[[#This Row],[nxt_code]],"체결시간")</f>
        <v>0</v>
      </c>
      <c r="T106" s="4">
        <f>_xll.IMDP("STK","128940","현재가")</f>
        <v>428000</v>
      </c>
      <c r="U106">
        <f>_xll.IMDP("STK","128940","누적거래량")</f>
        <v>1656</v>
      </c>
    </row>
    <row r="107" spans="3:21" x14ac:dyDescent="0.3">
      <c r="C107">
        <v>102</v>
      </c>
      <c r="D107">
        <v>1440</v>
      </c>
      <c r="E107" t="s">
        <v>119</v>
      </c>
      <c r="F107" t="str">
        <f>ConvertStockCode(표.실시간[[#This Row],[코드]])</f>
        <v>N001440</v>
      </c>
      <c r="G107" s="4">
        <f>_xll.IMDP("STK",표.실시간[[#This Row],[nxt_code]],"현재가")</f>
        <v>27550</v>
      </c>
      <c r="H107" s="4">
        <f>_xll.IMDP("STK",표.실시간[[#This Row],[nxt_code]],"시가총액")/10^12</f>
        <v>5.1366231149999999</v>
      </c>
      <c r="I107" t="str">
        <f>_xll.IMDP("","","전일대비부호")</f>
        <v>코드오류</v>
      </c>
      <c r="J107" s="5">
        <f>_xll.IMDP("STK",표.실시간[[#This Row],[nxt_code]],"전일대비")</f>
        <v>-650</v>
      </c>
      <c r="K107">
        <f>_xll.IMDP("STK",표.실시간[[#This Row],[nxt_code]],"등락률")</f>
        <v>-2.13</v>
      </c>
      <c r="L107" s="4">
        <f>_xll.IMDP("STK",표.실시간[[#This Row],[nxt_code]],"누적거래량")</f>
        <v>1282639</v>
      </c>
      <c r="M107" s="4">
        <f>_xll.IMDP("STK",표.실시간[[#This Row],[nxt_code]],"누적거래대금")</f>
        <v>36511371600</v>
      </c>
      <c r="N107" s="4">
        <f>_xll.IMDP("STK",표.실시간[[#This Row],[nxt_code]],"가중평균가")</f>
        <v>28465.820546999999</v>
      </c>
      <c r="O107" s="4">
        <f>_xll.IMDP("STK",표.실시간[[#This Row],[nxt_code]],"시가")</f>
        <v>28900</v>
      </c>
      <c r="P107" s="4">
        <f>_xll.IMDP("STK",표.실시간[[#This Row],[nxt_code]],"고가")</f>
        <v>29100</v>
      </c>
      <c r="Q107" s="4">
        <f>_xll.IMDP("STK",표.실시간[[#This Row],[nxt_code]],"저가")</f>
        <v>27500</v>
      </c>
      <c r="R107">
        <f>_xll.IMDP("STK",표.실시간[[#This Row],[nxt_code]],"세션명")</f>
        <v>0</v>
      </c>
      <c r="S107">
        <f>_xll.IMDP("STK",표.실시간[[#This Row],[nxt_code]],"체결시간")</f>
        <v>0</v>
      </c>
      <c r="T107" s="4">
        <f>_xll.IMDP("STK","001440","현재가")</f>
        <v>27550</v>
      </c>
      <c r="U107">
        <f>_xll.IMDP("STK","001440","누적거래량")</f>
        <v>283403</v>
      </c>
    </row>
    <row r="108" spans="3:21" x14ac:dyDescent="0.3">
      <c r="C108">
        <v>103</v>
      </c>
      <c r="D108">
        <v>87010</v>
      </c>
      <c r="E108" t="s">
        <v>120</v>
      </c>
      <c r="F108" t="str">
        <f>ConvertStockCode(표.실시간[[#This Row],[코드]])</f>
        <v>N087010</v>
      </c>
      <c r="G108" s="4">
        <f>_xll.IMDP("STK",표.실시간[[#This Row],[nxt_code]],"현재가")</f>
        <v>239500</v>
      </c>
      <c r="H108" s="4">
        <f>_xll.IMDP("STK",표.실시간[[#This Row],[nxt_code]],"시가총액")/10^12</f>
        <v>5.5845053250000003</v>
      </c>
      <c r="I108" t="str">
        <f>_xll.IMDP("","","전일대비부호")</f>
        <v>코드오류</v>
      </c>
      <c r="J108" s="5">
        <f>_xll.IMDP("STK",표.실시간[[#This Row],[nxt_code]],"전일대비")</f>
        <v>0</v>
      </c>
      <c r="K108">
        <f>_xll.IMDP("STK",표.실시간[[#This Row],[nxt_code]],"등락률")</f>
        <v>0</v>
      </c>
      <c r="L108" s="4">
        <f>_xll.IMDP("STK",표.실시간[[#This Row],[nxt_code]],"누적거래량")</f>
        <v>20645</v>
      </c>
      <c r="M108" s="4">
        <f>_xll.IMDP("STK",표.실시간[[#This Row],[nxt_code]],"누적거래대금")</f>
        <v>4872367500</v>
      </c>
      <c r="N108" s="4">
        <f>_xll.IMDP("STK",표.실시간[[#This Row],[nxt_code]],"가중평균가")</f>
        <v>235915.72652900001</v>
      </c>
      <c r="O108" s="4">
        <f>_xll.IMDP("STK",표.실시간[[#This Row],[nxt_code]],"시가")</f>
        <v>238500</v>
      </c>
      <c r="P108" s="4">
        <f>_xll.IMDP("STK",표.실시간[[#This Row],[nxt_code]],"고가")</f>
        <v>241500</v>
      </c>
      <c r="Q108" s="4">
        <f>_xll.IMDP("STK",표.실시간[[#This Row],[nxt_code]],"저가")</f>
        <v>233000</v>
      </c>
      <c r="R108">
        <f>_xll.IMDP("STK",표.실시간[[#This Row],[nxt_code]],"세션명")</f>
        <v>0</v>
      </c>
      <c r="S108">
        <f>_xll.IMDP("STK",표.실시간[[#This Row],[nxt_code]],"체결시간")</f>
        <v>0</v>
      </c>
      <c r="T108" s="4">
        <f>_xll.IMDP("STK","087010","현재가")</f>
        <v>239500</v>
      </c>
      <c r="U108">
        <f>_xll.IMDP("STK","087010","누적거래량")</f>
        <v>9099</v>
      </c>
    </row>
    <row r="109" spans="3:21" x14ac:dyDescent="0.3">
      <c r="C109">
        <v>104</v>
      </c>
      <c r="D109">
        <v>58470</v>
      </c>
      <c r="E109" t="s">
        <v>121</v>
      </c>
      <c r="F109" t="str">
        <f>ConvertStockCode(표.실시간[[#This Row],[코드]])</f>
        <v>N058470</v>
      </c>
      <c r="G109" s="4">
        <f>_xll.IMDP("STK",표.실시간[[#This Row],[nxt_code]],"현재가")</f>
        <v>65100</v>
      </c>
      <c r="H109" s="4">
        <f>_xll.IMDP("STK",표.실시간[[#This Row],[nxt_code]],"시가총액")/10^12</f>
        <v>4.9613914350000003</v>
      </c>
      <c r="I109" t="str">
        <f>_xll.IMDP("","","전일대비부호")</f>
        <v>코드오류</v>
      </c>
      <c r="J109" s="5">
        <f>_xll.IMDP("STK",표.실시간[[#This Row],[nxt_code]],"전일대비")</f>
        <v>-600</v>
      </c>
      <c r="K109">
        <f>_xll.IMDP("STK",표.실시간[[#This Row],[nxt_code]],"등락률")</f>
        <v>-0.91</v>
      </c>
      <c r="L109" s="4">
        <f>_xll.IMDP("STK",표.실시간[[#This Row],[nxt_code]],"누적거래량")</f>
        <v>33371</v>
      </c>
      <c r="M109" s="4">
        <f>_xll.IMDP("STK",표.실시간[[#This Row],[nxt_code]],"누적거래대금")</f>
        <v>2199999400</v>
      </c>
      <c r="N109" s="4">
        <f>_xll.IMDP("STK",표.실시간[[#This Row],[nxt_code]],"가중평균가")</f>
        <v>65925.486201000007</v>
      </c>
      <c r="O109" s="4">
        <f>_xll.IMDP("STK",표.실시간[[#This Row],[nxt_code]],"시가")</f>
        <v>65700</v>
      </c>
      <c r="P109" s="4">
        <f>_xll.IMDP("STK",표.실시간[[#This Row],[nxt_code]],"고가")</f>
        <v>66400</v>
      </c>
      <c r="Q109" s="4">
        <f>_xll.IMDP("STK",표.실시간[[#This Row],[nxt_code]],"저가")</f>
        <v>65100</v>
      </c>
      <c r="R109">
        <f>_xll.IMDP("STK",표.실시간[[#This Row],[nxt_code]],"세션명")</f>
        <v>0</v>
      </c>
      <c r="S109">
        <f>_xll.IMDP("STK",표.실시간[[#This Row],[nxt_code]],"체결시간")</f>
        <v>0</v>
      </c>
      <c r="T109" s="4">
        <f>_xll.IMDP("STK","058470","현재가")</f>
        <v>65000</v>
      </c>
      <c r="U109">
        <f>_xll.IMDP("STK","058470","누적거래량")</f>
        <v>15404</v>
      </c>
    </row>
    <row r="110" spans="3:21" x14ac:dyDescent="0.3">
      <c r="C110">
        <v>105</v>
      </c>
      <c r="D110">
        <v>28050</v>
      </c>
      <c r="E110" t="s">
        <v>122</v>
      </c>
      <c r="F110" t="str">
        <f>ConvertStockCode(표.실시간[[#This Row],[코드]])</f>
        <v>N028050</v>
      </c>
      <c r="G110" s="4">
        <f>_xll.IMDP("STK",표.실시간[[#This Row],[nxt_code]],"현재가")</f>
        <v>25050</v>
      </c>
      <c r="H110" s="4">
        <f>_xll.IMDP("STK",표.실시간[[#This Row],[nxt_code]],"시가총액")/10^12</f>
        <v>4.9097999999999997</v>
      </c>
      <c r="I110" t="str">
        <f>_xll.IMDP("","","전일대비부호")</f>
        <v>코드오류</v>
      </c>
      <c r="J110" s="5">
        <f>_xll.IMDP("STK",표.실시간[[#This Row],[nxt_code]],"전일대비")</f>
        <v>200</v>
      </c>
      <c r="K110">
        <f>_xll.IMDP("STK",표.실시간[[#This Row],[nxt_code]],"등락률")</f>
        <v>0.8</v>
      </c>
      <c r="L110" s="4">
        <f>_xll.IMDP("STK",표.실시간[[#This Row],[nxt_code]],"누적거래량")</f>
        <v>22241</v>
      </c>
      <c r="M110" s="4">
        <f>_xll.IMDP("STK",표.실시간[[#This Row],[nxt_code]],"누적거래대금")</f>
        <v>558357950</v>
      </c>
      <c r="N110" s="4">
        <f>_xll.IMDP("STK",표.실시간[[#This Row],[nxt_code]],"가중평균가")</f>
        <v>25104.894113999999</v>
      </c>
      <c r="O110" s="4">
        <f>_xll.IMDP("STK",표.실시간[[#This Row],[nxt_code]],"시가")</f>
        <v>25150</v>
      </c>
      <c r="P110" s="4">
        <f>_xll.IMDP("STK",표.실시간[[#This Row],[nxt_code]],"고가")</f>
        <v>25150</v>
      </c>
      <c r="Q110" s="4">
        <f>_xll.IMDP("STK",표.실시간[[#This Row],[nxt_code]],"저가")</f>
        <v>25000</v>
      </c>
      <c r="R110">
        <f>_xll.IMDP("STK",표.실시간[[#This Row],[nxt_code]],"세션명")</f>
        <v>0</v>
      </c>
      <c r="S110">
        <f>_xll.IMDP("STK",표.실시간[[#This Row],[nxt_code]],"체결시간")</f>
        <v>0</v>
      </c>
      <c r="T110" s="4">
        <f>_xll.IMDP("STK","028050","현재가")</f>
        <v>25100</v>
      </c>
      <c r="U110">
        <f>_xll.IMDP("STK","028050","누적거래량")</f>
        <v>7517</v>
      </c>
    </row>
    <row r="111" spans="3:21" x14ac:dyDescent="0.3">
      <c r="C111">
        <v>106</v>
      </c>
      <c r="D111">
        <v>36570</v>
      </c>
      <c r="E111" t="s">
        <v>123</v>
      </c>
      <c r="F111" t="str">
        <f>ConvertStockCode(표.실시간[[#This Row],[코드]])</f>
        <v>N036570</v>
      </c>
      <c r="G111" s="4">
        <f>_xll.IMDP("STK",표.실시간[[#This Row],[nxt_code]],"현재가")</f>
        <v>230500</v>
      </c>
      <c r="H111" s="4">
        <f>_xll.IMDP("STK",표.실시간[[#This Row],[nxt_code]],"시가총액")/10^12</f>
        <v>4.9658970709999997</v>
      </c>
      <c r="I111" t="str">
        <f>_xll.IMDP("","","전일대비부호")</f>
        <v>코드오류</v>
      </c>
      <c r="J111" s="5">
        <f>_xll.IMDP("STK",표.실시간[[#This Row],[nxt_code]],"전일대비")</f>
        <v>2000</v>
      </c>
      <c r="K111">
        <f>_xll.IMDP("STK",표.실시간[[#This Row],[nxt_code]],"등락률")</f>
        <v>0.88</v>
      </c>
      <c r="L111" s="4">
        <f>_xll.IMDP("STK",표.실시간[[#This Row],[nxt_code]],"누적거래량")</f>
        <v>6280</v>
      </c>
      <c r="M111" s="4">
        <f>_xll.IMDP("STK",표.실시간[[#This Row],[nxt_code]],"누적거래대금")</f>
        <v>1451162500</v>
      </c>
      <c r="N111" s="4">
        <f>_xll.IMDP("STK",표.실시간[[#This Row],[nxt_code]],"가중평균가")</f>
        <v>231076.83121</v>
      </c>
      <c r="O111" s="4">
        <f>_xll.IMDP("STK",표.실시간[[#This Row],[nxt_code]],"시가")</f>
        <v>230000</v>
      </c>
      <c r="P111" s="4">
        <f>_xll.IMDP("STK",표.실시간[[#This Row],[nxt_code]],"고가")</f>
        <v>232000</v>
      </c>
      <c r="Q111" s="4">
        <f>_xll.IMDP("STK",표.실시간[[#This Row],[nxt_code]],"저가")</f>
        <v>229000</v>
      </c>
      <c r="R111">
        <f>_xll.IMDP("STK",표.실시간[[#This Row],[nxt_code]],"세션명")</f>
        <v>0</v>
      </c>
      <c r="S111">
        <f>_xll.IMDP("STK",표.실시간[[#This Row],[nxt_code]],"체결시간")</f>
        <v>0</v>
      </c>
      <c r="T111" s="4">
        <f>_xll.IMDP("STK","036570","현재가")</f>
        <v>229500</v>
      </c>
      <c r="U111">
        <f>_xll.IMDP("STK","036570","누적거래량")</f>
        <v>3367</v>
      </c>
    </row>
    <row r="112" spans="3:21" x14ac:dyDescent="0.3">
      <c r="C112">
        <v>107</v>
      </c>
      <c r="D112">
        <v>138930</v>
      </c>
      <c r="E112" t="s">
        <v>124</v>
      </c>
      <c r="F112" t="str">
        <f>ConvertStockCode(표.실시간[[#This Row],[코드]])</f>
        <v>N138930</v>
      </c>
      <c r="G112" s="4">
        <f>_xll.IMDP("STK",표.실시간[[#This Row],[nxt_code]],"현재가")</f>
        <v>15740</v>
      </c>
      <c r="H112" s="4">
        <f>_xll.IMDP("STK",표.실시간[[#This Row],[nxt_code]],"시가총액")/10^12</f>
        <v>4.88454749942</v>
      </c>
      <c r="I112" t="str">
        <f>_xll.IMDP("","","전일대비부호")</f>
        <v>코드오류</v>
      </c>
      <c r="J112" s="5">
        <f>_xll.IMDP("STK",표.실시간[[#This Row],[nxt_code]],"전일대비")</f>
        <v>70</v>
      </c>
      <c r="K112">
        <f>_xll.IMDP("STK",표.실시간[[#This Row],[nxt_code]],"등락률")</f>
        <v>0.45</v>
      </c>
      <c r="L112" s="4">
        <f>_xll.IMDP("STK",표.실시간[[#This Row],[nxt_code]],"누적거래량")</f>
        <v>19073</v>
      </c>
      <c r="M112" s="4">
        <f>_xll.IMDP("STK",표.실시간[[#This Row],[nxt_code]],"누적거래대금")</f>
        <v>299271660</v>
      </c>
      <c r="N112" s="4">
        <f>_xll.IMDP("STK",표.실시간[[#This Row],[nxt_code]],"가중평균가")</f>
        <v>15690.854087</v>
      </c>
      <c r="O112" s="4">
        <f>_xll.IMDP("STK",표.실시간[[#This Row],[nxt_code]],"시가")</f>
        <v>15670</v>
      </c>
      <c r="P112" s="4">
        <f>_xll.IMDP("STK",표.실시간[[#This Row],[nxt_code]],"고가")</f>
        <v>15740</v>
      </c>
      <c r="Q112" s="4">
        <f>_xll.IMDP("STK",표.실시간[[#This Row],[nxt_code]],"저가")</f>
        <v>15580</v>
      </c>
      <c r="R112">
        <f>_xll.IMDP("STK",표.실시간[[#This Row],[nxt_code]],"세션명")</f>
        <v>0</v>
      </c>
      <c r="S112">
        <f>_xll.IMDP("STK",표.실시간[[#This Row],[nxt_code]],"체결시간")</f>
        <v>0</v>
      </c>
      <c r="T112" s="4">
        <f>_xll.IMDP("STK","138930","현재가")</f>
        <v>15730</v>
      </c>
      <c r="U112">
        <f>_xll.IMDP("STK","138930","누적거래량")</f>
        <v>12984</v>
      </c>
    </row>
    <row r="113" spans="3:21" x14ac:dyDescent="0.3">
      <c r="C113">
        <v>108</v>
      </c>
      <c r="D113">
        <v>9830</v>
      </c>
      <c r="E113" t="s">
        <v>125</v>
      </c>
      <c r="F113" t="str">
        <f>ConvertStockCode(표.실시간[[#This Row],[코드]])</f>
        <v>N009830</v>
      </c>
      <c r="G113" s="4">
        <f>_xll.IMDP("STK",표.실시간[[#This Row],[nxt_code]],"현재가")</f>
        <v>29450</v>
      </c>
      <c r="H113" s="4">
        <f>_xll.IMDP("STK",표.실시간[[#This Row],[nxt_code]],"시가총액")/10^12</f>
        <v>5.0622351851999996</v>
      </c>
      <c r="I113" t="str">
        <f>_xll.IMDP("","","전일대비부호")</f>
        <v>코드오류</v>
      </c>
      <c r="J113" s="5">
        <f>_xll.IMDP("STK",표.실시간[[#This Row],[nxt_code]],"전일대비")</f>
        <v>1350</v>
      </c>
      <c r="K113">
        <f>_xll.IMDP("STK",표.실시간[[#This Row],[nxt_code]],"등락률")</f>
        <v>4.8</v>
      </c>
      <c r="L113" s="4">
        <f>_xll.IMDP("STK",표.실시간[[#This Row],[nxt_code]],"누적거래량")</f>
        <v>456046</v>
      </c>
      <c r="M113" s="4">
        <f>_xll.IMDP("STK",표.실시간[[#This Row],[nxt_code]],"누적거래대금")</f>
        <v>13213934125</v>
      </c>
      <c r="N113" s="4">
        <f>_xll.IMDP("STK",표.실시간[[#This Row],[nxt_code]],"가중평균가")</f>
        <v>28975.002796000001</v>
      </c>
      <c r="O113" s="4">
        <f>_xll.IMDP("STK",표.실시간[[#This Row],[nxt_code]],"시가")</f>
        <v>28550</v>
      </c>
      <c r="P113" s="4">
        <f>_xll.IMDP("STK",표.실시간[[#This Row],[nxt_code]],"고가")</f>
        <v>29600</v>
      </c>
      <c r="Q113" s="4">
        <f>_xll.IMDP("STK",표.실시간[[#This Row],[nxt_code]],"저가")</f>
        <v>28550</v>
      </c>
      <c r="R113">
        <f>_xll.IMDP("STK",표.실시간[[#This Row],[nxt_code]],"세션명")</f>
        <v>0</v>
      </c>
      <c r="S113">
        <f>_xll.IMDP("STK",표.실시간[[#This Row],[nxt_code]],"체결시간")</f>
        <v>0</v>
      </c>
      <c r="T113" s="4">
        <f>_xll.IMDP("STK","009830","현재가")</f>
        <v>29450</v>
      </c>
      <c r="U113">
        <f>_xll.IMDP("STK","009830","누적거래량")</f>
        <v>272762</v>
      </c>
    </row>
    <row r="114" spans="3:21" x14ac:dyDescent="0.3">
      <c r="C114">
        <v>109</v>
      </c>
      <c r="D114">
        <v>271560</v>
      </c>
      <c r="E114" t="s">
        <v>126</v>
      </c>
      <c r="F114" t="str">
        <f>ConvertStockCode(표.실시간[[#This Row],[코드]])</f>
        <v>N271560</v>
      </c>
      <c r="G114" s="4">
        <f>_xll.IMDP("STK",표.실시간[[#This Row],[nxt_code]],"현재가")</f>
        <v>115500</v>
      </c>
      <c r="H114" s="4">
        <f>_xll.IMDP("STK",표.실시간[[#This Row],[nxt_code]],"시가총액")/10^12</f>
        <v>4.5664232460000003</v>
      </c>
      <c r="I114" t="str">
        <f>_xll.IMDP("","","전일대비부호")</f>
        <v>코드오류</v>
      </c>
      <c r="J114" s="5">
        <f>_xll.IMDP("STK",표.실시간[[#This Row],[nxt_code]],"전일대비")</f>
        <v>-100</v>
      </c>
      <c r="K114">
        <f>_xll.IMDP("STK",표.실시간[[#This Row],[nxt_code]],"등락률")</f>
        <v>-0.09</v>
      </c>
      <c r="L114" s="4">
        <f>_xll.IMDP("STK",표.실시간[[#This Row],[nxt_code]],"누적거래량")</f>
        <v>1419</v>
      </c>
      <c r="M114" s="4">
        <f>_xll.IMDP("STK",표.실시간[[#This Row],[nxt_code]],"누적거래대금")</f>
        <v>163923500</v>
      </c>
      <c r="N114" s="4">
        <f>_xll.IMDP("STK",표.실시간[[#This Row],[nxt_code]],"가중평균가")</f>
        <v>115520.436927</v>
      </c>
      <c r="O114" s="4">
        <f>_xll.IMDP("STK",표.실시간[[#This Row],[nxt_code]],"시가")</f>
        <v>117000</v>
      </c>
      <c r="P114" s="4">
        <f>_xll.IMDP("STK",표.실시간[[#This Row],[nxt_code]],"고가")</f>
        <v>117000</v>
      </c>
      <c r="Q114" s="4">
        <f>_xll.IMDP("STK",표.실시간[[#This Row],[nxt_code]],"저가")</f>
        <v>115300</v>
      </c>
      <c r="R114">
        <f>_xll.IMDP("STK",표.실시간[[#This Row],[nxt_code]],"세션명")</f>
        <v>0</v>
      </c>
      <c r="S114">
        <f>_xll.IMDP("STK",표.실시간[[#This Row],[nxt_code]],"체결시간")</f>
        <v>0</v>
      </c>
      <c r="T114" s="4">
        <f>_xll.IMDP("STK","271560","현재가")</f>
        <v>115600</v>
      </c>
      <c r="U114">
        <f>_xll.IMDP("STK","271560","누적거래량")</f>
        <v>585</v>
      </c>
    </row>
    <row r="115" spans="3:21" x14ac:dyDescent="0.3">
      <c r="C115">
        <v>110</v>
      </c>
      <c r="D115">
        <v>66970</v>
      </c>
      <c r="E115" t="s">
        <v>127</v>
      </c>
      <c r="F115" t="str">
        <f>ConvertStockCode(표.실시간[[#This Row],[코드]])</f>
        <v>N066970</v>
      </c>
      <c r="G115" s="4">
        <f>_xll.IMDP("STK",표.실시간[[#This Row],[nxt_code]],"현재가")</f>
        <v>125000</v>
      </c>
      <c r="H115" s="4">
        <f>_xll.IMDP("STK",표.실시간[[#This Row],[nxt_code]],"시가총액")/10^12</f>
        <v>5.0298642500000001</v>
      </c>
      <c r="I115" t="str">
        <f>_xll.IMDP("","","전일대비부호")</f>
        <v>코드오류</v>
      </c>
      <c r="J115" s="5">
        <f>_xll.IMDP("STK",표.실시간[[#This Row],[nxt_code]],"전일대비")</f>
        <v>-900</v>
      </c>
      <c r="K115">
        <f>_xll.IMDP("STK",표.실시간[[#This Row],[nxt_code]],"등락률")</f>
        <v>-0.71</v>
      </c>
      <c r="L115" s="4">
        <f>_xll.IMDP("STK",표.실시간[[#This Row],[nxt_code]],"누적거래량")</f>
        <v>218478</v>
      </c>
      <c r="M115" s="4">
        <f>_xll.IMDP("STK",표.실시간[[#This Row],[nxt_code]],"누적거래대금")</f>
        <v>27700413900</v>
      </c>
      <c r="N115" s="4">
        <f>_xll.IMDP("STK",표.실시간[[#This Row],[nxt_code]],"가중평균가")</f>
        <v>126788.115508</v>
      </c>
      <c r="O115" s="4">
        <f>_xll.IMDP("STK",표.실시간[[#This Row],[nxt_code]],"시가")</f>
        <v>127900</v>
      </c>
      <c r="P115" s="4">
        <f>_xll.IMDP("STK",표.실시간[[#This Row],[nxt_code]],"고가")</f>
        <v>129700</v>
      </c>
      <c r="Q115" s="4">
        <f>_xll.IMDP("STK",표.실시간[[#This Row],[nxt_code]],"저가")</f>
        <v>124600</v>
      </c>
      <c r="R115">
        <f>_xll.IMDP("STK",표.실시간[[#This Row],[nxt_code]],"세션명")</f>
        <v>0</v>
      </c>
      <c r="S115">
        <f>_xll.IMDP("STK",표.실시간[[#This Row],[nxt_code]],"체결시간")</f>
        <v>0</v>
      </c>
      <c r="T115" s="4">
        <f>_xll.IMDP("STK","066970","현재가")</f>
        <v>125000</v>
      </c>
      <c r="U115">
        <f>_xll.IMDP("STK","066970","누적거래량")</f>
        <v>51107</v>
      </c>
    </row>
    <row r="116" spans="3:21" x14ac:dyDescent="0.3">
      <c r="C116">
        <v>111</v>
      </c>
      <c r="D116">
        <v>82740</v>
      </c>
      <c r="E116" t="s">
        <v>128</v>
      </c>
      <c r="F116" t="str">
        <f>ConvertStockCode(표.실시간[[#This Row],[코드]])</f>
        <v>N082740</v>
      </c>
      <c r="G116" s="4">
        <f>_xll.IMDP("STK",표.실시간[[#This Row],[nxt_code]],"현재가")</f>
        <v>53300</v>
      </c>
      <c r="H116" s="4">
        <f>_xll.IMDP("STK",표.실시간[[#This Row],[nxt_code]],"시가총액")/10^12</f>
        <v>4.4477326685999996</v>
      </c>
      <c r="I116" t="str">
        <f>_xll.IMDP("","","전일대비부호")</f>
        <v>코드오류</v>
      </c>
      <c r="J116" s="5">
        <f>_xll.IMDP("STK",표.실시간[[#This Row],[nxt_code]],"전일대비")</f>
        <v>1000</v>
      </c>
      <c r="K116">
        <f>_xll.IMDP("STK",표.실시간[[#This Row],[nxt_code]],"등락률")</f>
        <v>1.91</v>
      </c>
      <c r="L116" s="4">
        <f>_xll.IMDP("STK",표.실시간[[#This Row],[nxt_code]],"누적거래량")</f>
        <v>63016</v>
      </c>
      <c r="M116" s="4">
        <f>_xll.IMDP("STK",표.실시간[[#This Row],[nxt_code]],"누적거래대금")</f>
        <v>3334961700</v>
      </c>
      <c r="N116" s="4">
        <f>_xll.IMDP("STK",표.실시간[[#This Row],[nxt_code]],"가중평균가")</f>
        <v>52922.459374999999</v>
      </c>
      <c r="O116" s="4">
        <f>_xll.IMDP("STK",표.실시간[[#This Row],[nxt_code]],"시가")</f>
        <v>52500</v>
      </c>
      <c r="P116" s="4">
        <f>_xll.IMDP("STK",표.실시간[[#This Row],[nxt_code]],"고가")</f>
        <v>53300</v>
      </c>
      <c r="Q116" s="4">
        <f>_xll.IMDP("STK",표.실시간[[#This Row],[nxt_code]],"저가")</f>
        <v>52300</v>
      </c>
      <c r="R116">
        <f>_xll.IMDP("STK",표.실시간[[#This Row],[nxt_code]],"세션명")</f>
        <v>0</v>
      </c>
      <c r="S116">
        <f>_xll.IMDP("STK",표.실시간[[#This Row],[nxt_code]],"체결시간")</f>
        <v>0</v>
      </c>
      <c r="T116" s="4">
        <f>_xll.IMDP("STK","082740","현재가")</f>
        <v>53200</v>
      </c>
      <c r="U116">
        <f>_xll.IMDP("STK","082740","누적거래량")</f>
        <v>12224</v>
      </c>
    </row>
    <row r="117" spans="3:21" x14ac:dyDescent="0.3">
      <c r="C117">
        <v>112</v>
      </c>
      <c r="D117">
        <v>214450</v>
      </c>
      <c r="E117" t="s">
        <v>129</v>
      </c>
      <c r="F117" t="str">
        <f>ConvertStockCode(표.실시간[[#This Row],[코드]])</f>
        <v>N214450</v>
      </c>
      <c r="G117" s="4">
        <f>_xll.IMDP("STK",표.실시간[[#This Row],[nxt_code]],"현재가")</f>
        <v>464000</v>
      </c>
      <c r="H117" s="4">
        <f>_xll.IMDP("STK",표.실시간[[#This Row],[nxt_code]],"시가총액")/10^12</f>
        <v>4.8207966720000002</v>
      </c>
      <c r="I117" t="str">
        <f>_xll.IMDP("","","전일대비부호")</f>
        <v>코드오류</v>
      </c>
      <c r="J117" s="5">
        <f>_xll.IMDP("STK",표.실시간[[#This Row],[nxt_code]],"전일대비")</f>
        <v>8000</v>
      </c>
      <c r="K117">
        <f>_xll.IMDP("STK",표.실시간[[#This Row],[nxt_code]],"등락률")</f>
        <v>1.75</v>
      </c>
      <c r="L117" s="4">
        <f>_xll.IMDP("STK",표.실시간[[#This Row],[nxt_code]],"누적거래량")</f>
        <v>22374</v>
      </c>
      <c r="M117" s="4">
        <f>_xll.IMDP("STK",표.실시간[[#This Row],[nxt_code]],"누적거래대금")</f>
        <v>10560646500</v>
      </c>
      <c r="N117" s="4">
        <f>_xll.IMDP("STK",표.실시간[[#This Row],[nxt_code]],"가중평균가")</f>
        <v>472005.29632600001</v>
      </c>
      <c r="O117" s="4">
        <f>_xll.IMDP("STK",표.실시간[[#This Row],[nxt_code]],"시가")</f>
        <v>473000</v>
      </c>
      <c r="P117" s="4">
        <f>_xll.IMDP("STK",표.실시간[[#This Row],[nxt_code]],"고가")</f>
        <v>477500</v>
      </c>
      <c r="Q117" s="4">
        <f>_xll.IMDP("STK",표.실시간[[#This Row],[nxt_code]],"저가")</f>
        <v>463500</v>
      </c>
      <c r="R117">
        <f>_xll.IMDP("STK",표.실시간[[#This Row],[nxt_code]],"세션명")</f>
        <v>0</v>
      </c>
      <c r="S117">
        <f>_xll.IMDP("STK",표.실시간[[#This Row],[nxt_code]],"체결시간")</f>
        <v>0</v>
      </c>
      <c r="T117" s="4">
        <f>_xll.IMDP("STK","214450","현재가")</f>
        <v>464000</v>
      </c>
      <c r="U117">
        <f>_xll.IMDP("STK","214450","누적거래량")</f>
        <v>9256</v>
      </c>
    </row>
    <row r="118" spans="3:21" x14ac:dyDescent="0.3">
      <c r="C118">
        <v>113</v>
      </c>
      <c r="D118">
        <v>175330</v>
      </c>
      <c r="E118" t="s">
        <v>130</v>
      </c>
      <c r="F118" t="str">
        <f>ConvertStockCode(표.실시간[[#This Row],[코드]])</f>
        <v>N175330</v>
      </c>
      <c r="G118" s="4">
        <f>_xll.IMDP("STK",표.실시간[[#This Row],[nxt_code]],"현재가")</f>
        <v>24200</v>
      </c>
      <c r="H118" s="4">
        <f>_xll.IMDP("STK",표.실시간[[#This Row],[nxt_code]],"시가총액")/10^12</f>
        <v>4.5952073442000003</v>
      </c>
      <c r="I118" t="str">
        <f>_xll.IMDP("","","전일대비부호")</f>
        <v>코드오류</v>
      </c>
      <c r="J118" s="5">
        <f>_xll.IMDP("STK",표.실시간[[#This Row],[nxt_code]],"전일대비")</f>
        <v>250</v>
      </c>
      <c r="K118">
        <f>_xll.IMDP("STK",표.실시간[[#This Row],[nxt_code]],"등락률")</f>
        <v>1.04</v>
      </c>
      <c r="L118" s="4">
        <f>_xll.IMDP("STK",표.실시간[[#This Row],[nxt_code]],"누적거래량")</f>
        <v>10695</v>
      </c>
      <c r="M118" s="4">
        <f>_xll.IMDP("STK",표.실시간[[#This Row],[nxt_code]],"누적거래대금")</f>
        <v>257299000</v>
      </c>
      <c r="N118" s="4">
        <f>_xll.IMDP("STK",표.실시간[[#This Row],[nxt_code]],"가중평균가")</f>
        <v>24057.877512999999</v>
      </c>
      <c r="O118" s="4">
        <f>_xll.IMDP("STK",표.실시간[[#This Row],[nxt_code]],"시가")</f>
        <v>24000</v>
      </c>
      <c r="P118" s="4">
        <f>_xll.IMDP("STK",표.실시간[[#This Row],[nxt_code]],"고가")</f>
        <v>24200</v>
      </c>
      <c r="Q118" s="4">
        <f>_xll.IMDP("STK",표.실시간[[#This Row],[nxt_code]],"저가")</f>
        <v>23950</v>
      </c>
      <c r="R118">
        <f>_xll.IMDP("STK",표.실시간[[#This Row],[nxt_code]],"세션명")</f>
        <v>0</v>
      </c>
      <c r="S118">
        <f>_xll.IMDP("STK",표.실시간[[#This Row],[nxt_code]],"체결시간")</f>
        <v>0</v>
      </c>
      <c r="T118" s="4">
        <f>_xll.IMDP("STK","175330","현재가")</f>
        <v>24250</v>
      </c>
      <c r="U118">
        <f>_xll.IMDP("STK","175330","누적거래량")</f>
        <v>9525</v>
      </c>
    </row>
    <row r="119" spans="3:21" x14ac:dyDescent="0.3">
      <c r="C119">
        <v>114</v>
      </c>
      <c r="D119">
        <v>62040</v>
      </c>
      <c r="E119" t="s">
        <v>131</v>
      </c>
      <c r="F119" t="str">
        <f>ConvertStockCode(표.실시간[[#This Row],[코드]])</f>
        <v>N062040</v>
      </c>
      <c r="G119" s="4">
        <f>_xll.IMDP("STK",표.실시간[[#This Row],[nxt_code]],"현재가")</f>
        <v>140500</v>
      </c>
      <c r="H119" s="4">
        <f>_xll.IMDP("STK",표.실시간[[#This Row],[nxt_code]],"시가총액")/10^12</f>
        <v>4.2916005999999998</v>
      </c>
      <c r="I119" t="str">
        <f>_xll.IMDP("","","전일대비부호")</f>
        <v>코드오류</v>
      </c>
      <c r="J119" s="5">
        <f>_xll.IMDP("STK",표.실시간[[#This Row],[nxt_code]],"전일대비")</f>
        <v>-1200</v>
      </c>
      <c r="K119">
        <f>_xll.IMDP("STK",표.실시간[[#This Row],[nxt_code]],"등락률")</f>
        <v>-7.0000000000000007E-2</v>
      </c>
      <c r="L119" s="4">
        <f>_xll.IMDP("STK",표.실시간[[#This Row],[nxt_code]],"누적거래량")</f>
        <v>14836</v>
      </c>
      <c r="M119" s="4">
        <f>_xll.IMDP("STK",표.실시간[[#This Row],[nxt_code]],"누적거래대금")</f>
        <v>2109197200</v>
      </c>
      <c r="N119" s="4">
        <f>_xll.IMDP("STK",표.실시간[[#This Row],[nxt_code]],"가중평균가")</f>
        <v>142167.511459</v>
      </c>
      <c r="O119" s="4">
        <f>_xll.IMDP("STK",표.실시간[[#This Row],[nxt_code]],"시가")</f>
        <v>142200</v>
      </c>
      <c r="P119" s="4">
        <f>_xll.IMDP("STK",표.실시간[[#This Row],[nxt_code]],"고가")</f>
        <v>143500</v>
      </c>
      <c r="Q119" s="4">
        <f>_xll.IMDP("STK",표.실시간[[#This Row],[nxt_code]],"저가")</f>
        <v>140500</v>
      </c>
      <c r="R119">
        <f>_xll.IMDP("STK",표.실시간[[#This Row],[nxt_code]],"세션명")</f>
        <v>0</v>
      </c>
      <c r="S119">
        <f>_xll.IMDP("STK",표.실시간[[#This Row],[nxt_code]],"체결시간")</f>
        <v>0</v>
      </c>
      <c r="T119" s="4">
        <f>_xll.IMDP("STK","062040","현재가")</f>
        <v>140600</v>
      </c>
      <c r="U119">
        <f>_xll.IMDP("STK","062040","누적거래량")</f>
        <v>4686</v>
      </c>
    </row>
    <row r="120" spans="3:21" x14ac:dyDescent="0.3">
      <c r="C120">
        <v>115</v>
      </c>
      <c r="D120">
        <v>251270</v>
      </c>
      <c r="E120" t="s">
        <v>132</v>
      </c>
      <c r="F120" t="str">
        <f>ConvertStockCode(표.실시간[[#This Row],[코드]])</f>
        <v>N251270</v>
      </c>
      <c r="G120" s="4">
        <f>_xll.IMDP("STK",표.실시간[[#This Row],[nxt_code]],"현재가")</f>
        <v>50700</v>
      </c>
      <c r="H120" s="4">
        <f>_xll.IMDP("STK",표.실시간[[#This Row],[nxt_code]],"시가총액")/10^12</f>
        <v>4.3578425514000001</v>
      </c>
      <c r="I120" t="str">
        <f>_xll.IMDP("","","전일대비부호")</f>
        <v>코드오류</v>
      </c>
      <c r="J120" s="5">
        <f>_xll.IMDP("STK",표.실시간[[#This Row],[nxt_code]],"전일대비")</f>
        <v>-200</v>
      </c>
      <c r="K120">
        <f>_xll.IMDP("STK",표.실시간[[#This Row],[nxt_code]],"등락률")</f>
        <v>-0.39</v>
      </c>
      <c r="L120" s="4">
        <f>_xll.IMDP("STK",표.실시간[[#This Row],[nxt_code]],"누적거래량")</f>
        <v>9261</v>
      </c>
      <c r="M120" s="4">
        <f>_xll.IMDP("STK",표.실시간[[#This Row],[nxt_code]],"누적거래대금")</f>
        <v>473769600</v>
      </c>
      <c r="N120" s="4">
        <f>_xll.IMDP("STK",표.실시간[[#This Row],[nxt_code]],"가중평균가")</f>
        <v>51157.499190000002</v>
      </c>
      <c r="O120" s="4">
        <f>_xll.IMDP("STK",표.실시간[[#This Row],[nxt_code]],"시가")</f>
        <v>51000</v>
      </c>
      <c r="P120" s="4">
        <f>_xll.IMDP("STK",표.실시간[[#This Row],[nxt_code]],"고가")</f>
        <v>51400</v>
      </c>
      <c r="Q120" s="4">
        <f>_xll.IMDP("STK",표.실시간[[#This Row],[nxt_code]],"저가")</f>
        <v>50700</v>
      </c>
      <c r="R120">
        <f>_xll.IMDP("STK",표.실시간[[#This Row],[nxt_code]],"세션명")</f>
        <v>0</v>
      </c>
      <c r="S120">
        <f>_xll.IMDP("STK",표.실시간[[#This Row],[nxt_code]],"체결시간")</f>
        <v>0</v>
      </c>
      <c r="T120" s="4">
        <f>_xll.IMDP("STK","251270","현재가")</f>
        <v>50600</v>
      </c>
      <c r="U120">
        <f>_xll.IMDP("STK","251270","누적거래량")</f>
        <v>5599</v>
      </c>
    </row>
    <row r="121" spans="3:21" x14ac:dyDescent="0.3">
      <c r="C121">
        <v>116</v>
      </c>
      <c r="D121">
        <v>450080</v>
      </c>
      <c r="E121" t="s">
        <v>133</v>
      </c>
      <c r="F121" t="str">
        <f>ConvertStockCode(표.실시간[[#This Row],[코드]])</f>
        <v>N450080</v>
      </c>
      <c r="G121" s="4">
        <f>_xll.IMDP("STK",표.실시간[[#This Row],[nxt_code]],"현재가")</f>
        <v>62400</v>
      </c>
      <c r="H121" s="4">
        <f>_xll.IMDP("STK",표.실시간[[#This Row],[nxt_code]],"시가총액")/10^12</f>
        <v>4.4028662495999997</v>
      </c>
      <c r="I121" t="str">
        <f>_xll.IMDP("","","전일대비부호")</f>
        <v>코드오류</v>
      </c>
      <c r="J121" s="5">
        <f>_xll.IMDP("STK",표.실시간[[#This Row],[nxt_code]],"전일대비")</f>
        <v>-300</v>
      </c>
      <c r="K121">
        <f>_xll.IMDP("STK",표.실시간[[#This Row],[nxt_code]],"등락률")</f>
        <v>-0.32</v>
      </c>
      <c r="L121" s="4">
        <f>_xll.IMDP("STK",표.실시간[[#This Row],[nxt_code]],"누적거래량")</f>
        <v>184498</v>
      </c>
      <c r="M121" s="4">
        <f>_xll.IMDP("STK",표.실시간[[#This Row],[nxt_code]],"누적거래대금")</f>
        <v>11730070300</v>
      </c>
      <c r="N121" s="4">
        <f>_xll.IMDP("STK",표.실시간[[#This Row],[nxt_code]],"가중평균가")</f>
        <v>63578.305998000003</v>
      </c>
      <c r="O121" s="4">
        <f>_xll.IMDP("STK",표.실시간[[#This Row],[nxt_code]],"시가")</f>
        <v>63600</v>
      </c>
      <c r="P121" s="4">
        <f>_xll.IMDP("STK",표.실시간[[#This Row],[nxt_code]],"고가")</f>
        <v>64100</v>
      </c>
      <c r="Q121" s="4">
        <f>_xll.IMDP("STK",표.실시간[[#This Row],[nxt_code]],"저가")</f>
        <v>62300</v>
      </c>
      <c r="R121">
        <f>_xll.IMDP("STK",표.실시간[[#This Row],[nxt_code]],"세션명")</f>
        <v>0</v>
      </c>
      <c r="S121">
        <f>_xll.IMDP("STK",표.실시간[[#This Row],[nxt_code]],"체결시간")</f>
        <v>0</v>
      </c>
      <c r="T121" s="4">
        <f>_xll.IMDP("STK","450080","현재가")</f>
        <v>62300</v>
      </c>
      <c r="U121">
        <f>_xll.IMDP("STK","450080","누적거래량")</f>
        <v>48171</v>
      </c>
    </row>
    <row r="122" spans="3:21" x14ac:dyDescent="0.3">
      <c r="C122">
        <v>117</v>
      </c>
      <c r="D122">
        <v>4020</v>
      </c>
      <c r="E122" t="s">
        <v>134</v>
      </c>
      <c r="F122" t="str">
        <f>ConvertStockCode(표.실시간[[#This Row],[코드]])</f>
        <v>N004020</v>
      </c>
      <c r="G122" s="4">
        <f>_xll.IMDP("STK",표.실시간[[#This Row],[nxt_code]],"현재가")</f>
        <v>34650</v>
      </c>
      <c r="H122" s="4">
        <f>_xll.IMDP("STK",표.실시간[[#This Row],[nxt_code]],"시가총액")/10^12</f>
        <v>4.6238964502500002</v>
      </c>
      <c r="I122" t="str">
        <f>_xll.IMDP("","","전일대비부호")</f>
        <v>코드오류</v>
      </c>
      <c r="J122" s="5">
        <f>_xll.IMDP("STK",표.실시간[[#This Row],[nxt_code]],"전일대비")</f>
        <v>750</v>
      </c>
      <c r="K122">
        <f>_xll.IMDP("STK",표.실시간[[#This Row],[nxt_code]],"등락률")</f>
        <v>2.21</v>
      </c>
      <c r="L122" s="4">
        <f>_xll.IMDP("STK",표.실시간[[#This Row],[nxt_code]],"누적거래량")</f>
        <v>346423</v>
      </c>
      <c r="M122" s="4">
        <f>_xll.IMDP("STK",표.실시간[[#This Row],[nxt_code]],"누적거래대금")</f>
        <v>12024837525</v>
      </c>
      <c r="N122" s="4">
        <f>_xll.IMDP("STK",표.실시간[[#This Row],[nxt_code]],"가중평균가")</f>
        <v>34711.429451999997</v>
      </c>
      <c r="O122" s="4">
        <f>_xll.IMDP("STK",표.실시간[[#This Row],[nxt_code]],"시가")</f>
        <v>33900</v>
      </c>
      <c r="P122" s="4">
        <f>_xll.IMDP("STK",표.실시간[[#This Row],[nxt_code]],"고가")</f>
        <v>35200</v>
      </c>
      <c r="Q122" s="4">
        <f>_xll.IMDP("STK",표.실시간[[#This Row],[nxt_code]],"저가")</f>
        <v>33550</v>
      </c>
      <c r="R122">
        <f>_xll.IMDP("STK",표.실시간[[#This Row],[nxt_code]],"세션명")</f>
        <v>0</v>
      </c>
      <c r="S122">
        <f>_xll.IMDP("STK",표.실시간[[#This Row],[nxt_code]],"체결시간")</f>
        <v>0</v>
      </c>
      <c r="T122" s="4">
        <f>_xll.IMDP("STK","004020","현재가")</f>
        <v>34800</v>
      </c>
      <c r="U122">
        <f>_xll.IMDP("STK","004020","누적거래량")</f>
        <v>85509</v>
      </c>
    </row>
    <row r="123" spans="3:21" x14ac:dyDescent="0.3">
      <c r="C123">
        <v>118</v>
      </c>
      <c r="D123">
        <v>11790</v>
      </c>
      <c r="E123" t="s">
        <v>135</v>
      </c>
      <c r="F123" t="str">
        <f>ConvertStockCode(표.실시간[[#This Row],[코드]])</f>
        <v>N011790</v>
      </c>
      <c r="G123" s="4">
        <f>_xll.IMDP("STK",표.실시간[[#This Row],[nxt_code]],"현재가")</f>
        <v>112500</v>
      </c>
      <c r="H123" s="4">
        <f>_xll.IMDP("STK",표.실시간[[#This Row],[nxt_code]],"시가총액")/10^12</f>
        <v>4.2601835250000004</v>
      </c>
      <c r="I123" t="str">
        <f>_xll.IMDP("","","전일대비부호")</f>
        <v>코드오류</v>
      </c>
      <c r="J123" s="5">
        <f>_xll.IMDP("STK",표.실시간[[#This Row],[nxt_code]],"전일대비")</f>
        <v>-3500</v>
      </c>
      <c r="K123">
        <f>_xll.IMDP("STK",표.실시간[[#This Row],[nxt_code]],"등락률")</f>
        <v>-3.1</v>
      </c>
      <c r="L123" s="4">
        <f>_xll.IMDP("STK",표.실시간[[#This Row],[nxt_code]],"누적거래량")</f>
        <v>116592</v>
      </c>
      <c r="M123" s="4">
        <f>_xll.IMDP("STK",표.실시간[[#This Row],[nxt_code]],"누적거래대금")</f>
        <v>13493878300</v>
      </c>
      <c r="N123" s="4">
        <f>_xll.IMDP("STK",표.실시간[[#This Row],[nxt_code]],"가중평균가")</f>
        <v>115735.884966</v>
      </c>
      <c r="O123" s="4">
        <f>_xll.IMDP("STK",표.실시간[[#This Row],[nxt_code]],"시가")</f>
        <v>117000</v>
      </c>
      <c r="P123" s="4">
        <f>_xll.IMDP("STK",표.실시간[[#This Row],[nxt_code]],"고가")</f>
        <v>118500</v>
      </c>
      <c r="Q123" s="4">
        <f>_xll.IMDP("STK",표.실시간[[#This Row],[nxt_code]],"저가")</f>
        <v>112500</v>
      </c>
      <c r="R123">
        <f>_xll.IMDP("STK",표.실시간[[#This Row],[nxt_code]],"세션명")</f>
        <v>0</v>
      </c>
      <c r="S123">
        <f>_xll.IMDP("STK",표.실시간[[#This Row],[nxt_code]],"체결시간")</f>
        <v>0</v>
      </c>
      <c r="T123" s="4">
        <f>_xll.IMDP("STK","011790","현재가")</f>
        <v>112500</v>
      </c>
      <c r="U123">
        <f>_xll.IMDP("STK","011790","누적거래량")</f>
        <v>24664</v>
      </c>
    </row>
    <row r="124" spans="3:21" x14ac:dyDescent="0.3">
      <c r="C124">
        <v>119</v>
      </c>
      <c r="D124">
        <v>51900</v>
      </c>
      <c r="E124" t="s">
        <v>136</v>
      </c>
      <c r="F124" t="str">
        <f>ConvertStockCode(표.실시간[[#This Row],[코드]])</f>
        <v>N051900</v>
      </c>
      <c r="G124" s="4">
        <f>_xll.IMDP("STK",표.실시간[[#This Row],[nxt_code]],"현재가")</f>
        <v>271500</v>
      </c>
      <c r="H124" s="4">
        <f>_xll.IMDP("STK",표.실시간[[#This Row],[nxt_code]],"시가총액")/10^12</f>
        <v>4.1546176184999997</v>
      </c>
      <c r="I124" t="str">
        <f>_xll.IMDP("","","전일대비부호")</f>
        <v>코드오류</v>
      </c>
      <c r="J124" s="5">
        <f>_xll.IMDP("STK",표.실시간[[#This Row],[nxt_code]],"전일대비")</f>
        <v>-2500</v>
      </c>
      <c r="K124">
        <f>_xll.IMDP("STK",표.실시간[[#This Row],[nxt_code]],"등락률")</f>
        <v>-0.91</v>
      </c>
      <c r="L124" s="4">
        <f>_xll.IMDP("STK",표.실시간[[#This Row],[nxt_code]],"누적거래량")</f>
        <v>4485</v>
      </c>
      <c r="M124" s="4">
        <f>_xll.IMDP("STK",표.실시간[[#This Row],[nxt_code]],"누적거래대금")</f>
        <v>1228085000</v>
      </c>
      <c r="N124" s="4">
        <f>_xll.IMDP("STK",표.실시간[[#This Row],[nxt_code]],"가중평균가")</f>
        <v>273820.51282100001</v>
      </c>
      <c r="O124" s="4">
        <f>_xll.IMDP("STK",표.실시간[[#This Row],[nxt_code]],"시가")</f>
        <v>274000</v>
      </c>
      <c r="P124" s="4">
        <f>_xll.IMDP("STK",표.실시간[[#This Row],[nxt_code]],"고가")</f>
        <v>275000</v>
      </c>
      <c r="Q124" s="4">
        <f>_xll.IMDP("STK",표.실시간[[#This Row],[nxt_code]],"저가")</f>
        <v>271000</v>
      </c>
      <c r="R124">
        <f>_xll.IMDP("STK",표.실시간[[#This Row],[nxt_code]],"세션명")</f>
        <v>0</v>
      </c>
      <c r="S124">
        <f>_xll.IMDP("STK",표.실시간[[#This Row],[nxt_code]],"체결시간")</f>
        <v>0</v>
      </c>
      <c r="T124" s="4">
        <f>_xll.IMDP("STK","051900","현재가")</f>
        <v>271500</v>
      </c>
      <c r="U124">
        <f>_xll.IMDP("STK","051900","누적거래량")</f>
        <v>1364</v>
      </c>
    </row>
    <row r="125" spans="3:21" x14ac:dyDescent="0.3">
      <c r="C125">
        <v>120</v>
      </c>
      <c r="D125">
        <v>990</v>
      </c>
      <c r="E125" t="s">
        <v>137</v>
      </c>
      <c r="F125" t="str">
        <f>ConvertStockCode(표.실시간[[#This Row],[코드]])</f>
        <v>N000990</v>
      </c>
      <c r="G125" s="4">
        <f>_xll.IMDP("STK",표.실시간[[#This Row],[nxt_code]],"현재가")</f>
        <v>92200</v>
      </c>
      <c r="H125" s="4">
        <f>_xll.IMDP("STK",표.실시간[[#This Row],[nxt_code]],"시가총액")/10^12</f>
        <v>4.0111230135999998</v>
      </c>
      <c r="I125" t="str">
        <f>_xll.IMDP("","","전일대비부호")</f>
        <v>코드오류</v>
      </c>
      <c r="J125" s="5">
        <f>_xll.IMDP("STK",표.실시간[[#This Row],[nxt_code]],"전일대비")</f>
        <v>0</v>
      </c>
      <c r="K125">
        <f>_xll.IMDP("STK",표.실시간[[#This Row],[nxt_code]],"등락률")</f>
        <v>-0.97</v>
      </c>
      <c r="L125" s="4">
        <f>_xll.IMDP("STK",표.실시간[[#This Row],[nxt_code]],"누적거래량")</f>
        <v>18138</v>
      </c>
      <c r="M125" s="4">
        <f>_xll.IMDP("STK",표.실시간[[#This Row],[nxt_code]],"누적거래대금")</f>
        <v>1716145600</v>
      </c>
      <c r="N125" s="4">
        <f>_xll.IMDP("STK",표.실시간[[#This Row],[nxt_code]],"가중평균가")</f>
        <v>93421.099619000001</v>
      </c>
      <c r="O125" s="4">
        <f>_xll.IMDP("STK",표.실시간[[#This Row],[nxt_code]],"시가")</f>
        <v>93100</v>
      </c>
      <c r="P125" s="4">
        <f>_xll.IMDP("STK",표.실시간[[#This Row],[nxt_code]],"고가")</f>
        <v>95000</v>
      </c>
      <c r="Q125" s="4">
        <f>_xll.IMDP("STK",표.실시간[[#This Row],[nxt_code]],"저가")</f>
        <v>92100</v>
      </c>
      <c r="R125">
        <f>_xll.IMDP("STK",표.실시간[[#This Row],[nxt_code]],"세션명")</f>
        <v>0</v>
      </c>
      <c r="S125">
        <f>_xll.IMDP("STK",표.실시간[[#This Row],[nxt_code]],"체결시간")</f>
        <v>0</v>
      </c>
      <c r="T125" s="4">
        <f>_xll.IMDP("STK","000990","현재가")</f>
        <v>92300</v>
      </c>
      <c r="U125">
        <f>_xll.IMDP("STK","000990","누적거래량")</f>
        <v>7286</v>
      </c>
    </row>
    <row r="126" spans="3:21" x14ac:dyDescent="0.3">
      <c r="C126">
        <v>121</v>
      </c>
      <c r="D126">
        <v>214370</v>
      </c>
      <c r="E126" t="s">
        <v>138</v>
      </c>
      <c r="F126" t="str">
        <f>ConvertStockCode(표.실시간[[#This Row],[코드]])</f>
        <v>N214370</v>
      </c>
      <c r="G126" s="4">
        <f>_xll.IMDP("STK",표.실시간[[#This Row],[nxt_code]],"현재가")</f>
        <v>75700</v>
      </c>
      <c r="H126" s="4">
        <f>_xll.IMDP("STK",표.실시간[[#This Row],[nxt_code]],"시가총액")/10^12</f>
        <v>4.0662254999999998</v>
      </c>
      <c r="I126" t="str">
        <f>_xll.IMDP("","","전일대비부호")</f>
        <v>코드오류</v>
      </c>
      <c r="J126" s="5">
        <f>_xll.IMDP("STK",표.실시간[[#This Row],[nxt_code]],"전일대비")</f>
        <v>-300</v>
      </c>
      <c r="K126">
        <f>_xll.IMDP("STK",표.실시간[[#This Row],[nxt_code]],"등락률")</f>
        <v>-0.39</v>
      </c>
      <c r="L126" s="4">
        <f>_xll.IMDP("STK",표.실시간[[#This Row],[nxt_code]],"누적거래량")</f>
        <v>8614</v>
      </c>
      <c r="M126" s="4">
        <f>_xll.IMDP("STK",표.실시간[[#This Row],[nxt_code]],"누적거래대금")</f>
        <v>655481100</v>
      </c>
      <c r="N126" s="4">
        <f>_xll.IMDP("STK",표.실시간[[#This Row],[nxt_code]],"가중평균가")</f>
        <v>76094.857208999994</v>
      </c>
      <c r="O126" s="4">
        <f>_xll.IMDP("STK",표.실시간[[#This Row],[nxt_code]],"시가")</f>
        <v>76000</v>
      </c>
      <c r="P126" s="4">
        <f>_xll.IMDP("STK",표.실시간[[#This Row],[nxt_code]],"고가")</f>
        <v>76700</v>
      </c>
      <c r="Q126" s="4">
        <f>_xll.IMDP("STK",표.실시간[[#This Row],[nxt_code]],"저가")</f>
        <v>75600</v>
      </c>
      <c r="R126">
        <f>_xll.IMDP("STK",표.실시간[[#This Row],[nxt_code]],"세션명")</f>
        <v>0</v>
      </c>
      <c r="S126">
        <f>_xll.IMDP("STK",표.실시간[[#This Row],[nxt_code]],"체결시간")</f>
        <v>0</v>
      </c>
      <c r="T126" s="4">
        <f>_xll.IMDP("STK","214370","현재가")</f>
        <v>75700</v>
      </c>
      <c r="U126">
        <f>_xll.IMDP("STK","214370","누적거래량")</f>
        <v>3071</v>
      </c>
    </row>
    <row r="127" spans="3:21" x14ac:dyDescent="0.3">
      <c r="C127">
        <v>122</v>
      </c>
      <c r="D127">
        <v>2380</v>
      </c>
      <c r="E127" t="s">
        <v>139</v>
      </c>
      <c r="F127" t="str">
        <f>ConvertStockCode(표.실시간[[#This Row],[코드]])</f>
        <v>N002380</v>
      </c>
      <c r="G127" s="4">
        <f>_xll.IMDP("STK",표.실시간[[#This Row],[nxt_code]],"현재가")</f>
        <v>457500</v>
      </c>
      <c r="H127" s="4">
        <f>_xll.IMDP("STK",표.실시간[[#This Row],[nxt_code]],"시가총액")/10^12</f>
        <v>4.0655604824999996</v>
      </c>
      <c r="I127" t="str">
        <f>_xll.IMDP("","","전일대비부호")</f>
        <v>코드오류</v>
      </c>
      <c r="J127" s="5">
        <f>_xll.IMDP("STK",표.실시간[[#This Row],[nxt_code]],"전일대비")</f>
        <v>14000</v>
      </c>
      <c r="K127">
        <f>_xll.IMDP("STK",표.실시간[[#This Row],[nxt_code]],"등락률")</f>
        <v>3.16</v>
      </c>
      <c r="L127" s="4">
        <f>_xll.IMDP("STK",표.실시간[[#This Row],[nxt_code]],"누적거래량")</f>
        <v>2266</v>
      </c>
      <c r="M127" s="4">
        <f>_xll.IMDP("STK",표.실시간[[#This Row],[nxt_code]],"누적거래대금")</f>
        <v>1021052000</v>
      </c>
      <c r="N127" s="4">
        <f>_xll.IMDP("STK",표.실시간[[#This Row],[nxt_code]],"가중평균가")</f>
        <v>450596.64607199997</v>
      </c>
      <c r="O127" s="4">
        <f>_xll.IMDP("STK",표.실시간[[#This Row],[nxt_code]],"시가")</f>
        <v>446000</v>
      </c>
      <c r="P127" s="4">
        <f>_xll.IMDP("STK",표.실시간[[#This Row],[nxt_code]],"고가")</f>
        <v>459500</v>
      </c>
      <c r="Q127" s="4">
        <f>_xll.IMDP("STK",표.실시간[[#This Row],[nxt_code]],"저가")</f>
        <v>446000</v>
      </c>
      <c r="R127">
        <f>_xll.IMDP("STK",표.실시간[[#This Row],[nxt_code]],"세션명")</f>
        <v>0</v>
      </c>
      <c r="S127">
        <f>_xll.IMDP("STK",표.실시간[[#This Row],[nxt_code]],"체결시간")</f>
        <v>0</v>
      </c>
      <c r="T127" s="4">
        <f>_xll.IMDP("STK","002380","현재가")</f>
        <v>457000</v>
      </c>
      <c r="U127">
        <f>_xll.IMDP("STK","002380","누적거래량")</f>
        <v>1011</v>
      </c>
    </row>
    <row r="128" spans="3:21" x14ac:dyDescent="0.3">
      <c r="C128">
        <v>123</v>
      </c>
      <c r="D128">
        <v>35250</v>
      </c>
      <c r="E128" t="s">
        <v>140</v>
      </c>
      <c r="F128" t="str">
        <f>ConvertStockCode(표.실시간[[#This Row],[코드]])</f>
        <v>N035250</v>
      </c>
      <c r="G128" s="4">
        <f>_xll.IMDP("STK",표.실시간[[#This Row],[nxt_code]],"현재가")</f>
        <v>17880</v>
      </c>
      <c r="H128" s="4">
        <f>_xll.IMDP("STK",표.실시간[[#This Row],[nxt_code]],"시가총액")/10^12</f>
        <v>3.82525614</v>
      </c>
      <c r="I128" t="str">
        <f>_xll.IMDP("","","전일대비부호")</f>
        <v>코드오류</v>
      </c>
      <c r="J128" s="5">
        <f>_xll.IMDP("STK",표.실시간[[#This Row],[nxt_code]],"전일대비")</f>
        <v>120</v>
      </c>
      <c r="K128">
        <f>_xll.IMDP("STK",표.실시간[[#This Row],[nxt_code]],"등락률")</f>
        <v>0.56000000000000005</v>
      </c>
      <c r="L128" s="4">
        <f>_xll.IMDP("STK",표.실시간[[#This Row],[nxt_code]],"누적거래량")</f>
        <v>14390</v>
      </c>
      <c r="M128" s="4">
        <f>_xll.IMDP("STK",표.실시간[[#This Row],[nxt_code]],"누적거래대금")</f>
        <v>253495170</v>
      </c>
      <c r="N128" s="4">
        <f>_xll.IMDP("STK",표.실시간[[#This Row],[nxt_code]],"가중평균가")</f>
        <v>17845.841557</v>
      </c>
      <c r="O128" s="4">
        <f>_xll.IMDP("STK",표.실시간[[#This Row],[nxt_code]],"시가")</f>
        <v>17880</v>
      </c>
      <c r="P128" s="4">
        <f>_xll.IMDP("STK",표.실시간[[#This Row],[nxt_code]],"고가")</f>
        <v>18010</v>
      </c>
      <c r="Q128" s="4">
        <f>_xll.IMDP("STK",표.실시간[[#This Row],[nxt_code]],"저가")</f>
        <v>17780</v>
      </c>
      <c r="R128">
        <f>_xll.IMDP("STK",표.실시간[[#This Row],[nxt_code]],"세션명")</f>
        <v>0</v>
      </c>
      <c r="S128">
        <f>_xll.IMDP("STK",표.실시간[[#This Row],[nxt_code]],"체결시간")</f>
        <v>0</v>
      </c>
      <c r="T128" s="4">
        <f>_xll.IMDP("STK","035250","현재가")</f>
        <v>17880</v>
      </c>
      <c r="U128">
        <f>_xll.IMDP("STK","035250","누적거래량")</f>
        <v>14300</v>
      </c>
    </row>
    <row r="129" spans="3:21" x14ac:dyDescent="0.3">
      <c r="C129">
        <v>124</v>
      </c>
      <c r="D129">
        <v>214150</v>
      </c>
      <c r="E129" t="s">
        <v>141</v>
      </c>
      <c r="F129" t="str">
        <f>ConvertStockCode(표.실시간[[#This Row],[코드]])</f>
        <v>N214150</v>
      </c>
      <c r="G129" s="4">
        <f>_xll.IMDP("STK",표.실시간[[#This Row],[nxt_code]],"현재가")</f>
        <v>59900</v>
      </c>
      <c r="H129" s="4">
        <f>_xll.IMDP("STK",표.실시간[[#This Row],[nxt_code]],"시가총액")/10^12</f>
        <v>3.9237889740999998</v>
      </c>
      <c r="I129" t="str">
        <f>_xll.IMDP("","","전일대비부호")</f>
        <v>코드오류</v>
      </c>
      <c r="J129" s="5">
        <f>_xll.IMDP("STK",표.실시간[[#This Row],[nxt_code]],"전일대비")</f>
        <v>700</v>
      </c>
      <c r="K129">
        <f>_xll.IMDP("STK",표.실시간[[#This Row],[nxt_code]],"등락률")</f>
        <v>1.18</v>
      </c>
      <c r="L129" s="4">
        <f>_xll.IMDP("STK",표.실시간[[#This Row],[nxt_code]],"누적거래량")</f>
        <v>10154</v>
      </c>
      <c r="M129" s="4">
        <f>_xll.IMDP("STK",표.실시간[[#This Row],[nxt_code]],"누적거래대금")</f>
        <v>607708500</v>
      </c>
      <c r="N129" s="4">
        <f>_xll.IMDP("STK",표.실시간[[#This Row],[nxt_code]],"가중평균가")</f>
        <v>59849.172740000002</v>
      </c>
      <c r="O129" s="4">
        <f>_xll.IMDP("STK",표.실시간[[#This Row],[nxt_code]],"시가")</f>
        <v>60900</v>
      </c>
      <c r="P129" s="4">
        <f>_xll.IMDP("STK",표.실시간[[#This Row],[nxt_code]],"고가")</f>
        <v>61000</v>
      </c>
      <c r="Q129" s="4">
        <f>_xll.IMDP("STK",표.실시간[[#This Row],[nxt_code]],"저가")</f>
        <v>59600</v>
      </c>
      <c r="R129">
        <f>_xll.IMDP("STK",표.실시간[[#This Row],[nxt_code]],"세션명")</f>
        <v>0</v>
      </c>
      <c r="S129">
        <f>_xll.IMDP("STK",표.실시간[[#This Row],[nxt_code]],"체결시간")</f>
        <v>0</v>
      </c>
      <c r="T129" s="4">
        <f>_xll.IMDP("STK","214150","현재가")</f>
        <v>59900</v>
      </c>
      <c r="U129">
        <f>_xll.IMDP("STK","214150","누적거래량")</f>
        <v>6134</v>
      </c>
    </row>
    <row r="130" spans="3:21" x14ac:dyDescent="0.3">
      <c r="C130">
        <v>125</v>
      </c>
      <c r="D130">
        <v>240810</v>
      </c>
      <c r="E130" t="s">
        <v>142</v>
      </c>
      <c r="F130" t="str">
        <f>ConvertStockCode(표.실시간[[#This Row],[코드]])</f>
        <v>N240810</v>
      </c>
      <c r="G130" s="4">
        <f>_xll.IMDP("STK",표.실시간[[#This Row],[nxt_code]],"현재가")</f>
        <v>76100</v>
      </c>
      <c r="H130" s="4">
        <f>_xll.IMDP("STK",표.실시간[[#This Row],[nxt_code]],"시가총액")/10^12</f>
        <v>3.7352848661000002</v>
      </c>
      <c r="I130" t="str">
        <f>_xll.IMDP("","","전일대비부호")</f>
        <v>코드오류</v>
      </c>
      <c r="J130" s="5">
        <f>_xll.IMDP("STK",표.실시간[[#This Row],[nxt_code]],"전일대비")</f>
        <v>0</v>
      </c>
      <c r="K130">
        <f>_xll.IMDP("STK",표.실시간[[#This Row],[nxt_code]],"등락률")</f>
        <v>-0.39</v>
      </c>
      <c r="L130" s="4">
        <f>_xll.IMDP("STK",표.실시간[[#This Row],[nxt_code]],"누적거래량")</f>
        <v>21097</v>
      </c>
      <c r="M130" s="4">
        <f>_xll.IMDP("STK",표.실시간[[#This Row],[nxt_code]],"누적거래대금")</f>
        <v>1611573000</v>
      </c>
      <c r="N130" s="4">
        <f>_xll.IMDP("STK",표.실시간[[#This Row],[nxt_code]],"가중평균가")</f>
        <v>76388.728254999995</v>
      </c>
      <c r="O130" s="4">
        <f>_xll.IMDP("STK",표.실시간[[#This Row],[nxt_code]],"시가")</f>
        <v>76300</v>
      </c>
      <c r="P130" s="4">
        <f>_xll.IMDP("STK",표.실시간[[#This Row],[nxt_code]],"고가")</f>
        <v>76700</v>
      </c>
      <c r="Q130" s="4">
        <f>_xll.IMDP("STK",표.실시간[[#This Row],[nxt_code]],"저가")</f>
        <v>76000</v>
      </c>
      <c r="R130">
        <f>_xll.IMDP("STK",표.실시간[[#This Row],[nxt_code]],"세션명")</f>
        <v>0</v>
      </c>
      <c r="S130">
        <f>_xll.IMDP("STK",표.실시간[[#This Row],[nxt_code]],"체결시간")</f>
        <v>0</v>
      </c>
      <c r="T130" s="4">
        <f>_xll.IMDP("STK","240810","현재가")</f>
        <v>76300</v>
      </c>
      <c r="U130">
        <f>_xll.IMDP("STK","240810","누적거래량")</f>
        <v>3609</v>
      </c>
    </row>
    <row r="131" spans="3:21" x14ac:dyDescent="0.3">
      <c r="C131">
        <v>126</v>
      </c>
      <c r="D131">
        <v>302440</v>
      </c>
      <c r="E131" t="s">
        <v>143</v>
      </c>
      <c r="F131" t="str">
        <f>ConvertStockCode(표.실시간[[#This Row],[코드]])</f>
        <v>N302440</v>
      </c>
      <c r="G131" s="4">
        <f>_xll.IMDP("STK",표.실시간[[#This Row],[nxt_code]],"현재가")</f>
        <v>49400</v>
      </c>
      <c r="H131" s="4">
        <f>_xll.IMDP("STK",표.실시간[[#This Row],[nxt_code]],"시가총액")/10^12</f>
        <v>3.8746742294000001</v>
      </c>
      <c r="I131" t="str">
        <f>_xll.IMDP("","","전일대비부호")</f>
        <v>코드오류</v>
      </c>
      <c r="J131" s="5">
        <f>_xll.IMDP("STK",표.실시간[[#This Row],[nxt_code]],"전일대비")</f>
        <v>150</v>
      </c>
      <c r="K131">
        <f>_xll.IMDP("STK",표.실시간[[#This Row],[nxt_code]],"등락률")</f>
        <v>0.3</v>
      </c>
      <c r="L131" s="4">
        <f>_xll.IMDP("STK",표.실시간[[#This Row],[nxt_code]],"누적거래량")</f>
        <v>8619</v>
      </c>
      <c r="M131" s="4">
        <f>_xll.IMDP("STK",표.실시간[[#This Row],[nxt_code]],"누적거래대금")</f>
        <v>425152500</v>
      </c>
      <c r="N131" s="4">
        <f>_xll.IMDP("STK",표.실시간[[#This Row],[nxt_code]],"가중평균가")</f>
        <v>49327.358161999997</v>
      </c>
      <c r="O131" s="4">
        <f>_xll.IMDP("STK",표.실시간[[#This Row],[nxt_code]],"시가")</f>
        <v>49400</v>
      </c>
      <c r="P131" s="4">
        <f>_xll.IMDP("STK",표.실시간[[#This Row],[nxt_code]],"고가")</f>
        <v>49550</v>
      </c>
      <c r="Q131" s="4">
        <f>_xll.IMDP("STK",표.실시간[[#This Row],[nxt_code]],"저가")</f>
        <v>49100</v>
      </c>
      <c r="R131">
        <f>_xll.IMDP("STK",표.실시간[[#This Row],[nxt_code]],"세션명")</f>
        <v>0</v>
      </c>
      <c r="S131">
        <f>_xll.IMDP("STK",표.실시간[[#This Row],[nxt_code]],"체결시간")</f>
        <v>0</v>
      </c>
      <c r="T131" s="4">
        <f>_xll.IMDP("STK","302440","현재가")</f>
        <v>49350</v>
      </c>
      <c r="U131">
        <f>_xll.IMDP("STK","302440","누적거래량")</f>
        <v>3078</v>
      </c>
    </row>
    <row r="132" spans="3:21" x14ac:dyDescent="0.3">
      <c r="C132">
        <v>127</v>
      </c>
      <c r="D132">
        <v>108490</v>
      </c>
      <c r="E132" t="s">
        <v>144</v>
      </c>
      <c r="F132" t="str">
        <f>ConvertStockCode(표.실시간[[#This Row],[코드]])</f>
        <v>N108490</v>
      </c>
      <c r="G132" s="4">
        <f>_xll.IMDP("STK",표.실시간[[#This Row],[nxt_code]],"현재가")</f>
        <v>245000</v>
      </c>
      <c r="H132" s="4">
        <f>_xll.IMDP("STK",표.실시간[[#This Row],[nxt_code]],"시가총액")/10^12</f>
        <v>3.5696715600000002</v>
      </c>
      <c r="I132" t="str">
        <f>_xll.IMDP("","","전일대비부호")</f>
        <v>코드오류</v>
      </c>
      <c r="J132" s="5">
        <f>_xll.IMDP("STK",표.실시간[[#This Row],[nxt_code]],"전일대비")</f>
        <v>-500</v>
      </c>
      <c r="K132">
        <f>_xll.IMDP("STK",표.실시간[[#This Row],[nxt_code]],"등락률")</f>
        <v>-0.2</v>
      </c>
      <c r="L132" s="4">
        <f>_xll.IMDP("STK",표.실시간[[#This Row],[nxt_code]],"누적거래량")</f>
        <v>28664</v>
      </c>
      <c r="M132" s="4">
        <f>_xll.IMDP("STK",표.실시간[[#This Row],[nxt_code]],"누적거래대금")</f>
        <v>7103541000</v>
      </c>
      <c r="N132" s="4">
        <f>_xll.IMDP("STK",표.실시간[[#This Row],[nxt_code]],"가중평균가")</f>
        <v>247820.99497599999</v>
      </c>
      <c r="O132" s="4">
        <f>_xll.IMDP("STK",표.실시간[[#This Row],[nxt_code]],"시가")</f>
        <v>248000</v>
      </c>
      <c r="P132" s="4">
        <f>_xll.IMDP("STK",표.실시간[[#This Row],[nxt_code]],"고가")</f>
        <v>249500</v>
      </c>
      <c r="Q132" s="4">
        <f>_xll.IMDP("STK",표.실시간[[#This Row],[nxt_code]],"저가")</f>
        <v>244500</v>
      </c>
      <c r="R132">
        <f>_xll.IMDP("STK",표.실시간[[#This Row],[nxt_code]],"세션명")</f>
        <v>0</v>
      </c>
      <c r="S132">
        <f>_xll.IMDP("STK",표.실시간[[#This Row],[nxt_code]],"체결시간")</f>
        <v>0</v>
      </c>
      <c r="T132" s="4">
        <f>_xll.IMDP("STK","108490","현재가")</f>
        <v>245000</v>
      </c>
      <c r="U132">
        <f>_xll.IMDP("STK","108490","누적거래량")</f>
        <v>6569</v>
      </c>
    </row>
    <row r="133" spans="3:21" x14ac:dyDescent="0.3">
      <c r="C133">
        <v>128</v>
      </c>
      <c r="D133">
        <v>11780</v>
      </c>
      <c r="E133" t="s">
        <v>145</v>
      </c>
      <c r="F133" t="str">
        <f>ConvertStockCode(표.실시간[[#This Row],[코드]])</f>
        <v>N011780</v>
      </c>
      <c r="G133" s="4">
        <f>_xll.IMDP("STK",표.실시간[[#This Row],[nxt_code]],"현재가")</f>
        <v>150400</v>
      </c>
      <c r="H133" s="4">
        <f>_xll.IMDP("STK",표.실시간[[#This Row],[nxt_code]],"시가총액")/10^12</f>
        <v>3.9151739968000001</v>
      </c>
      <c r="I133" t="str">
        <f>_xll.IMDP("","","전일대비부호")</f>
        <v>코드오류</v>
      </c>
      <c r="J133" s="5">
        <f>_xll.IMDP("STK",표.실시간[[#This Row],[nxt_code]],"전일대비")</f>
        <v>5200</v>
      </c>
      <c r="K133">
        <f>_xll.IMDP("STK",표.실시간[[#This Row],[nxt_code]],"등락률")</f>
        <v>3.58</v>
      </c>
      <c r="L133" s="4">
        <f>_xll.IMDP("STK",표.실시간[[#This Row],[nxt_code]],"누적거래량")</f>
        <v>8047</v>
      </c>
      <c r="M133" s="4">
        <f>_xll.IMDP("STK",표.실시간[[#This Row],[nxt_code]],"누적거래대금")</f>
        <v>1196498700</v>
      </c>
      <c r="N133" s="4">
        <f>_xll.IMDP("STK",표.실시간[[#This Row],[nxt_code]],"가중평균가")</f>
        <v>148688.79085399999</v>
      </c>
      <c r="O133" s="4">
        <f>_xll.IMDP("STK",표.실시간[[#This Row],[nxt_code]],"시가")</f>
        <v>145300</v>
      </c>
      <c r="P133" s="4">
        <f>_xll.IMDP("STK",표.실시간[[#This Row],[nxt_code]],"고가")</f>
        <v>151400</v>
      </c>
      <c r="Q133" s="4">
        <f>_xll.IMDP("STK",표.실시간[[#This Row],[nxt_code]],"저가")</f>
        <v>145300</v>
      </c>
      <c r="R133">
        <f>_xll.IMDP("STK",표.실시간[[#This Row],[nxt_code]],"세션명")</f>
        <v>0</v>
      </c>
      <c r="S133">
        <f>_xll.IMDP("STK",표.실시간[[#This Row],[nxt_code]],"체결시간")</f>
        <v>0</v>
      </c>
      <c r="T133" s="4">
        <f>_xll.IMDP("STK","011780","현재가")</f>
        <v>150900</v>
      </c>
      <c r="U133">
        <f>_xll.IMDP("STK","011780","누적거래량")</f>
        <v>15811</v>
      </c>
    </row>
    <row r="134" spans="3:21" x14ac:dyDescent="0.3">
      <c r="C134">
        <v>129</v>
      </c>
      <c r="D134">
        <v>36460</v>
      </c>
      <c r="E134" t="s">
        <v>146</v>
      </c>
      <c r="F134" t="str">
        <f>ConvertStockCode(표.실시간[[#This Row],[코드]])</f>
        <v>N036460</v>
      </c>
      <c r="G134" s="4">
        <f>_xll.IMDP("STK",표.실시간[[#This Row],[nxt_code]],"현재가")</f>
        <v>40800</v>
      </c>
      <c r="H134" s="4">
        <f>_xll.IMDP("STK",표.실시간[[#This Row],[nxt_code]],"시가총액")/10^12</f>
        <v>3.7663704</v>
      </c>
      <c r="I134" t="str">
        <f>_xll.IMDP("","","전일대비부호")</f>
        <v>코드오류</v>
      </c>
      <c r="J134" s="5">
        <f>_xll.IMDP("STK",표.실시간[[#This Row],[nxt_code]],"전일대비")</f>
        <v>-450</v>
      </c>
      <c r="K134">
        <f>_xll.IMDP("STK",표.실시간[[#This Row],[nxt_code]],"등락률")</f>
        <v>-1.0900000000000001</v>
      </c>
      <c r="L134" s="4">
        <f>_xll.IMDP("STK",표.실시간[[#This Row],[nxt_code]],"누적거래량")</f>
        <v>91246</v>
      </c>
      <c r="M134" s="4">
        <f>_xll.IMDP("STK",표.실시간[[#This Row],[nxt_code]],"누적거래대금")</f>
        <v>3756543000</v>
      </c>
      <c r="N134" s="4">
        <f>_xll.IMDP("STK",표.실시간[[#This Row],[nxt_code]],"가중평균가")</f>
        <v>41169.399207000002</v>
      </c>
      <c r="O134" s="4">
        <f>_xll.IMDP("STK",표.실시간[[#This Row],[nxt_code]],"시가")</f>
        <v>41250</v>
      </c>
      <c r="P134" s="4">
        <f>_xll.IMDP("STK",표.실시간[[#This Row],[nxt_code]],"고가")</f>
        <v>41700</v>
      </c>
      <c r="Q134" s="4">
        <f>_xll.IMDP("STK",표.실시간[[#This Row],[nxt_code]],"저가")</f>
        <v>40750</v>
      </c>
      <c r="R134">
        <f>_xll.IMDP("STK",표.실시간[[#This Row],[nxt_code]],"세션명")</f>
        <v>0</v>
      </c>
      <c r="S134">
        <f>_xll.IMDP("STK",표.실시간[[#This Row],[nxt_code]],"체결시간")</f>
        <v>0</v>
      </c>
      <c r="T134" s="4">
        <f>_xll.IMDP("STK","036460","현재가")</f>
        <v>40750</v>
      </c>
      <c r="U134">
        <f>_xll.IMDP("STK","036460","누적거래량")</f>
        <v>22396</v>
      </c>
    </row>
    <row r="135" spans="3:21" x14ac:dyDescent="0.3">
      <c r="C135">
        <v>130</v>
      </c>
      <c r="D135">
        <v>111770</v>
      </c>
      <c r="E135" t="s">
        <v>147</v>
      </c>
      <c r="F135" t="str">
        <f>ConvertStockCode(표.실시간[[#This Row],[코드]])</f>
        <v>N111770</v>
      </c>
      <c r="G135" s="4">
        <f>_xll.IMDP("STK",표.실시간[[#This Row],[nxt_code]],"현재가")</f>
        <v>85200</v>
      </c>
      <c r="H135" s="4">
        <f>_xll.IMDP("STK",표.실시간[[#This Row],[nxt_code]],"시가총액")/10^12</f>
        <v>3.7753370735999998</v>
      </c>
      <c r="I135" t="str">
        <f>_xll.IMDP("","","전일대비부호")</f>
        <v>코드오류</v>
      </c>
      <c r="J135" s="5">
        <f>_xll.IMDP("STK",표.실시간[[#This Row],[nxt_code]],"전일대비")</f>
        <v>-200</v>
      </c>
      <c r="K135">
        <f>_xll.IMDP("STK",표.실시간[[#This Row],[nxt_code]],"등락률")</f>
        <v>-0.23</v>
      </c>
      <c r="L135" s="4">
        <f>_xll.IMDP("STK",표.실시간[[#This Row],[nxt_code]],"누적거래량")</f>
        <v>432</v>
      </c>
      <c r="M135" s="4">
        <f>_xll.IMDP("STK",표.실시간[[#This Row],[nxt_code]],"누적거래대금")</f>
        <v>36618900</v>
      </c>
      <c r="N135" s="4">
        <f>_xll.IMDP("STK",표.실시간[[#This Row],[nxt_code]],"가중평균가")</f>
        <v>84765.972221999997</v>
      </c>
      <c r="O135" s="4">
        <f>_xll.IMDP("STK",표.실시간[[#This Row],[nxt_code]],"시가")</f>
        <v>85400</v>
      </c>
      <c r="P135" s="4">
        <f>_xll.IMDP("STK",표.실시간[[#This Row],[nxt_code]],"고가")</f>
        <v>85400</v>
      </c>
      <c r="Q135" s="4">
        <f>_xll.IMDP("STK",표.실시간[[#This Row],[nxt_code]],"저가")</f>
        <v>84700</v>
      </c>
      <c r="R135">
        <f>_xll.IMDP("STK",표.실시간[[#This Row],[nxt_code]],"세션명")</f>
        <v>0</v>
      </c>
      <c r="S135">
        <f>_xll.IMDP("STK",표.실시간[[#This Row],[nxt_code]],"체결시간")</f>
        <v>0</v>
      </c>
      <c r="T135" s="4">
        <f>_xll.IMDP("STK","111770","현재가")</f>
        <v>85300</v>
      </c>
      <c r="U135">
        <f>_xll.IMDP("STK","111770","누적거래량")</f>
        <v>370</v>
      </c>
    </row>
    <row r="136" spans="3:21" x14ac:dyDescent="0.3">
      <c r="C136">
        <v>131</v>
      </c>
      <c r="D136">
        <v>39030</v>
      </c>
      <c r="E136" t="s">
        <v>148</v>
      </c>
      <c r="F136" t="str">
        <f>ConvertStockCode(표.실시간[[#This Row],[코드]])</f>
        <v>N039030</v>
      </c>
      <c r="G136" s="4">
        <f>_xll.IMDP("STK",표.실시간[[#This Row],[nxt_code]],"현재가")</f>
        <v>297000</v>
      </c>
      <c r="H136" s="4">
        <f>_xll.IMDP("STK",표.실시간[[#This Row],[nxt_code]],"시가총액")/10^12</f>
        <v>3.6589063500000001</v>
      </c>
      <c r="I136" t="str">
        <f>_xll.IMDP("","","전일대비부호")</f>
        <v>코드오류</v>
      </c>
      <c r="J136" s="5">
        <f>_xll.IMDP("STK",표.실시간[[#This Row],[nxt_code]],"전일대비")</f>
        <v>-2500</v>
      </c>
      <c r="K136">
        <f>_xll.IMDP("STK",표.실시간[[#This Row],[nxt_code]],"등락률")</f>
        <v>-0.83</v>
      </c>
      <c r="L136" s="4">
        <f>_xll.IMDP("STK",표.실시간[[#This Row],[nxt_code]],"누적거래량")</f>
        <v>7303</v>
      </c>
      <c r="M136" s="4">
        <f>_xll.IMDP("STK",표.실시간[[#This Row],[nxt_code]],"누적거래대금")</f>
        <v>2184230000</v>
      </c>
      <c r="N136" s="4">
        <f>_xll.IMDP("STK",표.실시간[[#This Row],[nxt_code]],"가중평균가")</f>
        <v>299086.67670800001</v>
      </c>
      <c r="O136" s="4">
        <f>_xll.IMDP("STK",표.실시간[[#This Row],[nxt_code]],"시가")</f>
        <v>303500</v>
      </c>
      <c r="P136" s="4">
        <f>_xll.IMDP("STK",표.실시간[[#This Row],[nxt_code]],"고가")</f>
        <v>303500</v>
      </c>
      <c r="Q136" s="4">
        <f>_xll.IMDP("STK",표.실시간[[#This Row],[nxt_code]],"저가")</f>
        <v>297000</v>
      </c>
      <c r="R136">
        <f>_xll.IMDP("STK",표.실시간[[#This Row],[nxt_code]],"세션명")</f>
        <v>0</v>
      </c>
      <c r="S136">
        <f>_xll.IMDP("STK",표.실시간[[#This Row],[nxt_code]],"체결시간")</f>
        <v>0</v>
      </c>
      <c r="T136" s="4">
        <f>_xll.IMDP("STK","039030","현재가")</f>
        <v>297500</v>
      </c>
      <c r="U136">
        <f>_xll.IMDP("STK","039030","누적거래량")</f>
        <v>1228</v>
      </c>
    </row>
    <row r="137" spans="3:21" x14ac:dyDescent="0.3">
      <c r="C137">
        <v>132</v>
      </c>
      <c r="D137">
        <v>17800</v>
      </c>
      <c r="E137" t="s">
        <v>149</v>
      </c>
      <c r="F137" t="str">
        <f>ConvertStockCode(표.실시간[[#This Row],[코드]])</f>
        <v>N017800</v>
      </c>
      <c r="G137" s="4">
        <f>_xll.IMDP("STK",표.실시간[[#This Row],[nxt_code]],"현재가")</f>
        <v>93500</v>
      </c>
      <c r="H137" s="4">
        <f>_xll.IMDP("STK",표.실시간[[#This Row],[nxt_code]],"시가총액")/10^12</f>
        <v>3.6551379974999998</v>
      </c>
      <c r="I137" t="str">
        <f>_xll.IMDP("","","전일대비부호")</f>
        <v>코드오류</v>
      </c>
      <c r="J137" s="5">
        <f>_xll.IMDP("STK",표.실시간[[#This Row],[nxt_code]],"전일대비")</f>
        <v>200</v>
      </c>
      <c r="K137">
        <f>_xll.IMDP("STK",표.실시간[[#This Row],[nxt_code]],"등락률")</f>
        <v>0.21</v>
      </c>
      <c r="L137" s="4">
        <f>_xll.IMDP("STK",표.실시간[[#This Row],[nxt_code]],"누적거래량")</f>
        <v>8559</v>
      </c>
      <c r="M137" s="4">
        <f>_xll.IMDP("STK",표.실시간[[#This Row],[nxt_code]],"누적거래대금")</f>
        <v>801911900</v>
      </c>
      <c r="N137" s="4">
        <f>_xll.IMDP("STK",표.실시간[[#This Row],[nxt_code]],"가중평균가")</f>
        <v>93692.242083999998</v>
      </c>
      <c r="O137" s="4">
        <f>_xll.IMDP("STK",표.실시간[[#This Row],[nxt_code]],"시가")</f>
        <v>93500</v>
      </c>
      <c r="P137" s="4">
        <f>_xll.IMDP("STK",표.실시간[[#This Row],[nxt_code]],"고가")</f>
        <v>94100</v>
      </c>
      <c r="Q137" s="4">
        <f>_xll.IMDP("STK",표.실시간[[#This Row],[nxt_code]],"저가")</f>
        <v>93200</v>
      </c>
      <c r="R137">
        <f>_xll.IMDP("STK",표.실시간[[#This Row],[nxt_code]],"세션명")</f>
        <v>0</v>
      </c>
      <c r="S137">
        <f>_xll.IMDP("STK",표.실시간[[#This Row],[nxt_code]],"체결시간")</f>
        <v>0</v>
      </c>
      <c r="T137" s="4">
        <f>_xll.IMDP("STK","017800","현재가")</f>
        <v>93400</v>
      </c>
      <c r="U137">
        <f>_xll.IMDP("STK","017800","누적거래량")</f>
        <v>2757</v>
      </c>
    </row>
    <row r="138" spans="3:21" x14ac:dyDescent="0.3">
      <c r="C138">
        <v>133</v>
      </c>
      <c r="D138">
        <v>347850</v>
      </c>
      <c r="E138" t="s">
        <v>150</v>
      </c>
      <c r="F138" t="str">
        <f>ConvertStockCode(표.실시간[[#This Row],[코드]])</f>
        <v>N347850</v>
      </c>
      <c r="G138" s="4">
        <f>_xll.IMDP("STK",표.실시간[[#This Row],[nxt_code]],"현재가")</f>
        <v>79600</v>
      </c>
      <c r="H138" s="4">
        <f>_xll.IMDP("STK",표.실시간[[#This Row],[nxt_code]],"시가총액")/10^12</f>
        <v>3.4654202280000002</v>
      </c>
      <c r="I138" t="str">
        <f>_xll.IMDP("","","전일대비부호")</f>
        <v>코드오류</v>
      </c>
      <c r="J138" s="5">
        <f>_xll.IMDP("STK",표.실시간[[#This Row],[nxt_code]],"전일대비")</f>
        <v>200</v>
      </c>
      <c r="K138">
        <f>_xll.IMDP("STK",표.실시간[[#This Row],[nxt_code]],"등락률")</f>
        <v>0.38</v>
      </c>
      <c r="L138" s="4">
        <f>_xll.IMDP("STK",표.실시간[[#This Row],[nxt_code]],"누적거래량")</f>
        <v>74600</v>
      </c>
      <c r="M138" s="4">
        <f>_xll.IMDP("STK",표.실시간[[#This Row],[nxt_code]],"누적거래대금")</f>
        <v>5933712400</v>
      </c>
      <c r="N138" s="4">
        <f>_xll.IMDP("STK",표.실시간[[#This Row],[nxt_code]],"가중평균가")</f>
        <v>79540.380697000001</v>
      </c>
      <c r="O138" s="4">
        <f>_xll.IMDP("STK",표.실시간[[#This Row],[nxt_code]],"시가")</f>
        <v>80100</v>
      </c>
      <c r="P138" s="4">
        <f>_xll.IMDP("STK",표.실시간[[#This Row],[nxt_code]],"고가")</f>
        <v>80100</v>
      </c>
      <c r="Q138" s="4">
        <f>_xll.IMDP("STK",표.실시간[[#This Row],[nxt_code]],"저가")</f>
        <v>78700</v>
      </c>
      <c r="R138">
        <f>_xll.IMDP("STK",표.실시간[[#This Row],[nxt_code]],"세션명")</f>
        <v>0</v>
      </c>
      <c r="S138">
        <f>_xll.IMDP("STK",표.실시간[[#This Row],[nxt_code]],"체결시간")</f>
        <v>0</v>
      </c>
      <c r="T138" s="4">
        <f>_xll.IMDP("STK","347850","현재가")</f>
        <v>79600</v>
      </c>
      <c r="U138">
        <f>_xll.IMDP("STK","347850","누적거래량")</f>
        <v>11694</v>
      </c>
    </row>
    <row r="139" spans="3:21" x14ac:dyDescent="0.3">
      <c r="C139">
        <v>134</v>
      </c>
      <c r="D139">
        <v>204320</v>
      </c>
      <c r="E139" t="s">
        <v>151</v>
      </c>
      <c r="F139" t="str">
        <f>ConvertStockCode(표.실시간[[#This Row],[코드]])</f>
        <v>N204320</v>
      </c>
      <c r="G139" s="4">
        <f>_xll.IMDP("STK",표.실시간[[#This Row],[nxt_code]],"현재가")</f>
        <v>66000</v>
      </c>
      <c r="H139" s="4">
        <f>_xll.IMDP("STK",표.실시간[[#This Row],[nxt_code]],"시가총액")/10^12</f>
        <v>3.09916992</v>
      </c>
      <c r="I139" t="str">
        <f>_xll.IMDP("","","전일대비부호")</f>
        <v>코드오류</v>
      </c>
      <c r="J139" s="5">
        <f>_xll.IMDP("STK",표.실시간[[#This Row],[nxt_code]],"전일대비")</f>
        <v>-1900</v>
      </c>
      <c r="K139">
        <f>_xll.IMDP("STK",표.실시간[[#This Row],[nxt_code]],"등락률")</f>
        <v>-2.8</v>
      </c>
      <c r="L139" s="4">
        <f>_xll.IMDP("STK",표.실시간[[#This Row],[nxt_code]],"누적거래량")</f>
        <v>348275</v>
      </c>
      <c r="M139" s="4">
        <f>_xll.IMDP("STK",표.실시간[[#This Row],[nxt_code]],"누적거래대금")</f>
        <v>23681370200</v>
      </c>
      <c r="N139" s="4">
        <f>_xll.IMDP("STK",표.실시간[[#This Row],[nxt_code]],"가중평균가")</f>
        <v>67995.986516000004</v>
      </c>
      <c r="O139" s="4">
        <f>_xll.IMDP("STK",표.실시간[[#This Row],[nxt_code]],"시가")</f>
        <v>67900</v>
      </c>
      <c r="P139" s="4">
        <f>_xll.IMDP("STK",표.실시간[[#This Row],[nxt_code]],"고가")</f>
        <v>69500</v>
      </c>
      <c r="Q139" s="4">
        <f>_xll.IMDP("STK",표.실시간[[#This Row],[nxt_code]],"저가")</f>
        <v>65700</v>
      </c>
      <c r="R139">
        <f>_xll.IMDP("STK",표.실시간[[#This Row],[nxt_code]],"세션명")</f>
        <v>0</v>
      </c>
      <c r="S139">
        <f>_xll.IMDP("STK",표.실시간[[#This Row],[nxt_code]],"체결시간")</f>
        <v>0</v>
      </c>
      <c r="T139" s="4">
        <f>_xll.IMDP("STK","204320","현재가")</f>
        <v>65900</v>
      </c>
      <c r="U139">
        <f>_xll.IMDP("STK","204320","누적거래량")</f>
        <v>65227</v>
      </c>
    </row>
    <row r="140" spans="3:21" x14ac:dyDescent="0.3">
      <c r="C140">
        <v>135</v>
      </c>
      <c r="D140">
        <v>31210</v>
      </c>
      <c r="E140" t="s">
        <v>152</v>
      </c>
      <c r="F140" t="str">
        <f>ConvertStockCode(표.실시간[[#This Row],[코드]])</f>
        <v>N031210</v>
      </c>
      <c r="G140" s="4">
        <f>_xll.IMDP("STK",표.실시간[[#This Row],[nxt_code]],"현재가")</f>
        <v>49450</v>
      </c>
      <c r="H140" s="4">
        <f>_xll.IMDP("STK",표.실시간[[#This Row],[nxt_code]],"시가총액")/10^12</f>
        <v>3.4526780211000001</v>
      </c>
      <c r="I140" t="str">
        <f>_xll.IMDP("","","전일대비부호")</f>
        <v>코드오류</v>
      </c>
      <c r="J140" s="5">
        <f>_xll.IMDP("STK",표.실시간[[#This Row],[nxt_code]],"전일대비")</f>
        <v>-50</v>
      </c>
      <c r="K140">
        <f>_xll.IMDP("STK",표.실시간[[#This Row],[nxt_code]],"등락률")</f>
        <v>-0.1</v>
      </c>
      <c r="L140" s="4">
        <f>_xll.IMDP("STK",표.실시간[[#This Row],[nxt_code]],"누적거래량")</f>
        <v>141</v>
      </c>
      <c r="M140" s="4">
        <f>_xll.IMDP("STK",표.실시간[[#This Row],[nxt_code]],"누적거래대금")</f>
        <v>6986500</v>
      </c>
      <c r="N140" s="4">
        <f>_xll.IMDP("STK",표.실시간[[#This Row],[nxt_code]],"가중평균가")</f>
        <v>49549.645389999998</v>
      </c>
      <c r="O140" s="4">
        <f>_xll.IMDP("STK",표.실시간[[#This Row],[nxt_code]],"시가")</f>
        <v>49300</v>
      </c>
      <c r="P140" s="4">
        <f>_xll.IMDP("STK",표.실시간[[#This Row],[nxt_code]],"고가")</f>
        <v>49750</v>
      </c>
      <c r="Q140" s="4">
        <f>_xll.IMDP("STK",표.실시간[[#This Row],[nxt_code]],"저가")</f>
        <v>49300</v>
      </c>
      <c r="R140">
        <f>_xll.IMDP("STK",표.실시간[[#This Row],[nxt_code]],"세션명")</f>
        <v>0</v>
      </c>
      <c r="S140">
        <f>_xll.IMDP("STK",표.실시간[[#This Row],[nxt_code]],"체결시간")</f>
        <v>0</v>
      </c>
      <c r="T140" s="4">
        <f>_xll.IMDP("STK","031210","현재가")</f>
        <v>49250</v>
      </c>
      <c r="U140">
        <f>_xll.IMDP("STK","031210","누적거래량")</f>
        <v>779</v>
      </c>
    </row>
    <row r="141" spans="3:21" x14ac:dyDescent="0.3">
      <c r="C141">
        <v>136</v>
      </c>
      <c r="D141">
        <v>103140</v>
      </c>
      <c r="E141" t="s">
        <v>153</v>
      </c>
      <c r="F141" t="str">
        <f>ConvertStockCode(표.실시간[[#This Row],[코드]])</f>
        <v>N103140</v>
      </c>
      <c r="G141" s="4">
        <f>_xll.IMDP("STK",표.실시간[[#This Row],[nxt_code]],"현재가")</f>
        <v>119900</v>
      </c>
      <c r="H141" s="4">
        <f>_xll.IMDP("STK",표.실시간[[#This Row],[nxt_code]],"시가총액")/10^12</f>
        <v>3.3601109322</v>
      </c>
      <c r="I141" t="str">
        <f>_xll.IMDP("","","전일대비부호")</f>
        <v>코드오류</v>
      </c>
      <c r="J141" s="5">
        <f>_xll.IMDP("STK",표.실시간[[#This Row],[nxt_code]],"전일대비")</f>
        <v>800</v>
      </c>
      <c r="K141">
        <f>_xll.IMDP("STK",표.실시간[[#This Row],[nxt_code]],"등락률")</f>
        <v>0.67</v>
      </c>
      <c r="L141" s="4">
        <f>_xll.IMDP("STK",표.실시간[[#This Row],[nxt_code]],"누적거래량")</f>
        <v>20315</v>
      </c>
      <c r="M141" s="4">
        <f>_xll.IMDP("STK",표.실시간[[#This Row],[nxt_code]],"누적거래대금")</f>
        <v>2425769900</v>
      </c>
      <c r="N141" s="4">
        <f>_xll.IMDP("STK",표.실시간[[#This Row],[nxt_code]],"가중평균가")</f>
        <v>119407.821807</v>
      </c>
      <c r="O141" s="4">
        <f>_xll.IMDP("STK",표.실시간[[#This Row],[nxt_code]],"시가")</f>
        <v>119100</v>
      </c>
      <c r="P141" s="4">
        <f>_xll.IMDP("STK",표.실시간[[#This Row],[nxt_code]],"고가")</f>
        <v>120000</v>
      </c>
      <c r="Q141" s="4">
        <f>_xll.IMDP("STK",표.실시간[[#This Row],[nxt_code]],"저가")</f>
        <v>119000</v>
      </c>
      <c r="R141">
        <f>_xll.IMDP("STK",표.실시간[[#This Row],[nxt_code]],"세션명")</f>
        <v>0</v>
      </c>
      <c r="S141">
        <f>_xll.IMDP("STK",표.실시간[[#This Row],[nxt_code]],"체결시간")</f>
        <v>0</v>
      </c>
      <c r="T141" s="4">
        <f>_xll.IMDP("STK","103140","현재가")</f>
        <v>119900</v>
      </c>
      <c r="U141">
        <f>_xll.IMDP("STK","103140","누적거래량")</f>
        <v>4301</v>
      </c>
    </row>
    <row r="142" spans="3:21" x14ac:dyDescent="0.3">
      <c r="C142">
        <v>137</v>
      </c>
      <c r="D142">
        <v>18880</v>
      </c>
      <c r="E142" t="s">
        <v>154</v>
      </c>
      <c r="F142" t="str">
        <f>ConvertStockCode(표.실시간[[#This Row],[코드]])</f>
        <v>N018880</v>
      </c>
      <c r="G142" s="4">
        <f>_xll.IMDP("STK",표.실시간[[#This Row],[nxt_code]],"현재가")</f>
        <v>3340</v>
      </c>
      <c r="H142" s="4">
        <f>_xll.IMDP("STK",표.실시간[[#This Row],[nxt_code]],"시가총액")/10^12</f>
        <v>3.4277169236799998</v>
      </c>
      <c r="I142" t="str">
        <f>_xll.IMDP("","","전일대비부호")</f>
        <v>코드오류</v>
      </c>
      <c r="J142" s="5">
        <f>_xll.IMDP("STK",표.실시간[[#This Row],[nxt_code]],"전일대비")</f>
        <v>-55</v>
      </c>
      <c r="K142">
        <f>_xll.IMDP("STK",표.실시간[[#This Row],[nxt_code]],"등락률")</f>
        <v>-1.76</v>
      </c>
      <c r="L142" s="4">
        <f>_xll.IMDP("STK",표.실시간[[#This Row],[nxt_code]],"누적거래량")</f>
        <v>4488020</v>
      </c>
      <c r="M142" s="4">
        <f>_xll.IMDP("STK",표.실시간[[#This Row],[nxt_code]],"누적거래대금")</f>
        <v>15535848765</v>
      </c>
      <c r="N142" s="4">
        <f>_xll.IMDP("STK",표.실시간[[#This Row],[nxt_code]],"가중평균가")</f>
        <v>3461.6141149999999</v>
      </c>
      <c r="O142" s="4">
        <f>_xll.IMDP("STK",표.실시간[[#This Row],[nxt_code]],"시가")</f>
        <v>3385</v>
      </c>
      <c r="P142" s="4">
        <f>_xll.IMDP("STK",표.실시간[[#This Row],[nxt_code]],"고가")</f>
        <v>3510</v>
      </c>
      <c r="Q142" s="4">
        <f>_xll.IMDP("STK",표.실시간[[#This Row],[nxt_code]],"저가")</f>
        <v>3315</v>
      </c>
      <c r="R142">
        <f>_xll.IMDP("STK",표.실시간[[#This Row],[nxt_code]],"세션명")</f>
        <v>0</v>
      </c>
      <c r="S142">
        <f>_xll.IMDP("STK",표.실시간[[#This Row],[nxt_code]],"체결시간")</f>
        <v>0</v>
      </c>
      <c r="T142" s="4">
        <f>_xll.IMDP("STK","018880","현재가")</f>
        <v>3340</v>
      </c>
      <c r="U142">
        <f>_xll.IMDP("STK","018880","누적거래량")</f>
        <v>1039102</v>
      </c>
    </row>
    <row r="143" spans="3:21" x14ac:dyDescent="0.3">
      <c r="C143">
        <v>138</v>
      </c>
      <c r="D143" t="s">
        <v>712</v>
      </c>
      <c r="E143" t="s">
        <v>155</v>
      </c>
      <c r="F143" t="str">
        <f>ConvertStockCode(표.실시간[[#This Row],[코드]])</f>
        <v>N0009K0</v>
      </c>
      <c r="G143" s="4">
        <f>_xll.IMDP("STK",표.실시간[[#This Row],[nxt_code]],"현재가")</f>
        <v>51000</v>
      </c>
      <c r="H143" s="4">
        <f>_xll.IMDP("STK",표.실시간[[#This Row],[nxt_code]],"시가총액")/10^12</f>
        <v>3.2982292110000002</v>
      </c>
      <c r="I143" t="str">
        <f>_xll.IMDP("","","전일대비부호")</f>
        <v>코드오류</v>
      </c>
      <c r="J143" s="5">
        <f>_xll.IMDP("STK",표.실시간[[#This Row],[nxt_code]],"전일대비")</f>
        <v>0</v>
      </c>
      <c r="K143">
        <f>_xll.IMDP("STK",표.실시간[[#This Row],[nxt_code]],"등락률")</f>
        <v>0</v>
      </c>
      <c r="L143" s="4">
        <f>_xll.IMDP("STK",표.실시간[[#This Row],[nxt_code]],"누적거래량")</f>
        <v>38245</v>
      </c>
      <c r="M143" s="4">
        <f>_xll.IMDP("STK",표.실시간[[#This Row],[nxt_code]],"누적거래대금")</f>
        <v>1964177600</v>
      </c>
      <c r="N143" s="4">
        <f>_xll.IMDP("STK",표.실시간[[#This Row],[nxt_code]],"가중평균가")</f>
        <v>51357.761799</v>
      </c>
      <c r="O143" s="4">
        <f>_xll.IMDP("STK",표.실시간[[#This Row],[nxt_code]],"시가")</f>
        <v>51300</v>
      </c>
      <c r="P143" s="4">
        <f>_xll.IMDP("STK",표.실시간[[#This Row],[nxt_code]],"고가")</f>
        <v>52000</v>
      </c>
      <c r="Q143" s="4">
        <f>_xll.IMDP("STK",표.실시간[[#This Row],[nxt_code]],"저가")</f>
        <v>50900</v>
      </c>
      <c r="R143">
        <f>_xll.IMDP("STK",표.실시간[[#This Row],[nxt_code]],"세션명")</f>
        <v>0</v>
      </c>
      <c r="S143">
        <f>_xll.IMDP("STK",표.실시간[[#This Row],[nxt_code]],"체결시간")</f>
        <v>0</v>
      </c>
      <c r="T143" s="4">
        <f>_xll.IMDP("STK","0009K0","현재가")</f>
        <v>51000</v>
      </c>
      <c r="U143">
        <f>_xll.IMDP("STK","0009K0","누적거래량")</f>
        <v>2969</v>
      </c>
    </row>
    <row r="144" spans="3:21" x14ac:dyDescent="0.3">
      <c r="C144">
        <v>139</v>
      </c>
      <c r="D144">
        <v>5850</v>
      </c>
      <c r="E144" t="s">
        <v>156</v>
      </c>
      <c r="F144" t="str">
        <f>ConvertStockCode(표.실시간[[#This Row],[코드]])</f>
        <v>N005850</v>
      </c>
      <c r="G144" s="4">
        <f>_xll.IMDP("STK",표.실시간[[#This Row],[nxt_code]],"현재가")</f>
        <v>59800</v>
      </c>
      <c r="H144" s="4">
        <f>_xll.IMDP("STK",표.실시간[[#This Row],[nxt_code]],"시가총액")/10^12</f>
        <v>2.7776214960000001</v>
      </c>
      <c r="I144" t="str">
        <f>_xll.IMDP("","","전일대비부호")</f>
        <v>코드오류</v>
      </c>
      <c r="J144" s="5">
        <f>_xll.IMDP("STK",표.실시간[[#This Row],[nxt_code]],"전일대비")</f>
        <v>-2000</v>
      </c>
      <c r="K144">
        <f>_xll.IMDP("STK",표.실시간[[#This Row],[nxt_code]],"등락률")</f>
        <v>-3.24</v>
      </c>
      <c r="L144" s="4">
        <f>_xll.IMDP("STK",표.실시간[[#This Row],[nxt_code]],"누적거래량")</f>
        <v>95716</v>
      </c>
      <c r="M144" s="4">
        <f>_xll.IMDP("STK",표.실시간[[#This Row],[nxt_code]],"누적거래대금")</f>
        <v>5858722550</v>
      </c>
      <c r="N144" s="4">
        <f>_xll.IMDP("STK",표.실시간[[#This Row],[nxt_code]],"가중평균가")</f>
        <v>61209.437815999998</v>
      </c>
      <c r="O144" s="4">
        <f>_xll.IMDP("STK",표.실시간[[#This Row],[nxt_code]],"시가")</f>
        <v>61800</v>
      </c>
      <c r="P144" s="4">
        <f>_xll.IMDP("STK",표.실시간[[#This Row],[nxt_code]],"고가")</f>
        <v>62700</v>
      </c>
      <c r="Q144" s="4">
        <f>_xll.IMDP("STK",표.실시간[[#This Row],[nxt_code]],"저가")</f>
        <v>59500</v>
      </c>
      <c r="R144">
        <f>_xll.IMDP("STK",표.실시간[[#This Row],[nxt_code]],"세션명")</f>
        <v>0</v>
      </c>
      <c r="S144">
        <f>_xll.IMDP("STK",표.실시간[[#This Row],[nxt_code]],"체결시간")</f>
        <v>0</v>
      </c>
      <c r="T144" s="4">
        <f>_xll.IMDP("STK","005850","현재가")</f>
        <v>59800</v>
      </c>
      <c r="U144">
        <f>_xll.IMDP("STK","005850","누적거래량")</f>
        <v>18323</v>
      </c>
    </row>
    <row r="145" spans="3:21" x14ac:dyDescent="0.3">
      <c r="C145">
        <v>140</v>
      </c>
      <c r="D145">
        <v>310210</v>
      </c>
      <c r="E145" t="s">
        <v>157</v>
      </c>
      <c r="F145" t="str">
        <f>ConvertStockCode(표.실시간[[#This Row],[코드]])</f>
        <v>N310210</v>
      </c>
      <c r="G145" s="4">
        <f>_xll.IMDP("STK",표.실시간[[#This Row],[nxt_code]],"현재가")</f>
        <v>179900</v>
      </c>
      <c r="H145" s="4">
        <f>_xll.IMDP("STK",표.실시간[[#This Row],[nxt_code]],"시가총액")/10^12</f>
        <v>3.3089944279000001</v>
      </c>
      <c r="I145" t="str">
        <f>_xll.IMDP("","","전일대비부호")</f>
        <v>코드오류</v>
      </c>
      <c r="J145" s="5">
        <f>_xll.IMDP("STK",표.실시간[[#This Row],[nxt_code]],"전일대비")</f>
        <v>3800</v>
      </c>
      <c r="K145">
        <f>_xll.IMDP("STK",표.실시간[[#This Row],[nxt_code]],"등락률")</f>
        <v>1.93</v>
      </c>
      <c r="L145" s="4">
        <f>_xll.IMDP("STK",표.실시간[[#This Row],[nxt_code]],"누적거래량")</f>
        <v>5997</v>
      </c>
      <c r="M145" s="4">
        <f>_xll.IMDP("STK",표.실시간[[#This Row],[nxt_code]],"누적거래대금")</f>
        <v>1070800950</v>
      </c>
      <c r="N145" s="4">
        <f>_xll.IMDP("STK",표.실시간[[#This Row],[nxt_code]],"가중평균가")</f>
        <v>178554.981642</v>
      </c>
      <c r="O145" s="4">
        <f>_xll.IMDP("STK",표.실시간[[#This Row],[nxt_code]],"시가")</f>
        <v>178100</v>
      </c>
      <c r="P145" s="4">
        <f>_xll.IMDP("STK",표.실시간[[#This Row],[nxt_code]],"고가")</f>
        <v>181000</v>
      </c>
      <c r="Q145" s="4">
        <f>_xll.IMDP("STK",표.실시간[[#This Row],[nxt_code]],"저가")</f>
        <v>176600</v>
      </c>
      <c r="R145">
        <f>_xll.IMDP("STK",표.실시간[[#This Row],[nxt_code]],"세션명")</f>
        <v>0</v>
      </c>
      <c r="S145">
        <f>_xll.IMDP("STK",표.실시간[[#This Row],[nxt_code]],"체결시간")</f>
        <v>0</v>
      </c>
      <c r="T145" s="4">
        <f>_xll.IMDP("STK","310210","현재가")</f>
        <v>180100</v>
      </c>
      <c r="U145">
        <f>_xll.IMDP("STK","310210","누적거래량")</f>
        <v>1258</v>
      </c>
    </row>
    <row r="146" spans="3:21" x14ac:dyDescent="0.3">
      <c r="C146">
        <v>141</v>
      </c>
      <c r="D146">
        <v>30530</v>
      </c>
      <c r="E146" t="s">
        <v>158</v>
      </c>
      <c r="F146" t="str">
        <f>ConvertStockCode(표.실시간[[#This Row],[코드]])</f>
        <v>N030530</v>
      </c>
      <c r="G146" s="4">
        <f>_xll.IMDP("STK",표.실시간[[#This Row],[nxt_code]],"현재가")</f>
        <v>39650</v>
      </c>
      <c r="H146" s="4">
        <f>_xll.IMDP("STK",표.실시간[[#This Row],[nxt_code]],"시가총액")/10^12</f>
        <v>3.0624859466499998</v>
      </c>
      <c r="I146" t="str">
        <f>_xll.IMDP("","","전일대비부호")</f>
        <v>코드오류</v>
      </c>
      <c r="J146" s="5">
        <f>_xll.IMDP("STK",표.실시간[[#This Row],[nxt_code]],"전일대비")</f>
        <v>-400</v>
      </c>
      <c r="K146">
        <f>_xll.IMDP("STK",표.실시간[[#This Row],[nxt_code]],"등락률")</f>
        <v>-1</v>
      </c>
      <c r="L146" s="4">
        <f>_xll.IMDP("STK",표.실시간[[#This Row],[nxt_code]],"누적거래량")</f>
        <v>276594</v>
      </c>
      <c r="M146" s="4">
        <f>_xll.IMDP("STK",표.실시간[[#This Row],[nxt_code]],"누적거래대금")</f>
        <v>11099355500</v>
      </c>
      <c r="N146" s="4">
        <f>_xll.IMDP("STK",표.실시간[[#This Row],[nxt_code]],"가중평균가")</f>
        <v>40128.692235000002</v>
      </c>
      <c r="O146" s="4">
        <f>_xll.IMDP("STK",표.실시간[[#This Row],[nxt_code]],"시가")</f>
        <v>40350</v>
      </c>
      <c r="P146" s="4">
        <f>_xll.IMDP("STK",표.실시간[[#This Row],[nxt_code]],"고가")</f>
        <v>41500</v>
      </c>
      <c r="Q146" s="4">
        <f>_xll.IMDP("STK",표.실시간[[#This Row],[nxt_code]],"저가")</f>
        <v>39500</v>
      </c>
      <c r="R146">
        <f>_xll.IMDP("STK",표.실시간[[#This Row],[nxt_code]],"세션명")</f>
        <v>0</v>
      </c>
      <c r="S146">
        <f>_xll.IMDP("STK",표.실시간[[#This Row],[nxt_code]],"체결시간")</f>
        <v>0</v>
      </c>
      <c r="T146" s="4">
        <f>_xll.IMDP("STK","030530","현재가")</f>
        <v>39650</v>
      </c>
      <c r="U146">
        <f>_xll.IMDP("STK","030530","누적거래량")</f>
        <v>49971</v>
      </c>
    </row>
    <row r="147" spans="3:21" x14ac:dyDescent="0.3">
      <c r="C147">
        <v>142</v>
      </c>
      <c r="D147">
        <v>97950</v>
      </c>
      <c r="E147" t="s">
        <v>159</v>
      </c>
      <c r="F147" t="str">
        <f>ConvertStockCode(표.실시간[[#This Row],[코드]])</f>
        <v>N097950</v>
      </c>
      <c r="G147" s="4">
        <f>_xll.IMDP("STK",표.실시간[[#This Row],[nxt_code]],"현재가")</f>
        <v>214500</v>
      </c>
      <c r="H147" s="4">
        <f>_xll.IMDP("STK",표.실시간[[#This Row],[nxt_code]],"시가총액")/10^12</f>
        <v>3.2291228969999999</v>
      </c>
      <c r="I147" t="str">
        <f>_xll.IMDP("","","전일대비부호")</f>
        <v>코드오류</v>
      </c>
      <c r="J147" s="5">
        <f>_xll.IMDP("STK",표.실시간[[#This Row],[nxt_code]],"전일대비")</f>
        <v>-1000</v>
      </c>
      <c r="K147">
        <f>_xll.IMDP("STK",표.실시간[[#This Row],[nxt_code]],"등락률")</f>
        <v>-0.46</v>
      </c>
      <c r="L147" s="4">
        <f>_xll.IMDP("STK",표.실시간[[#This Row],[nxt_code]],"누적거래량")</f>
        <v>2982</v>
      </c>
      <c r="M147" s="4">
        <f>_xll.IMDP("STK",표.실시간[[#This Row],[nxt_code]],"누적거래대금")</f>
        <v>672042500</v>
      </c>
      <c r="N147" s="4">
        <f>_xll.IMDP("STK",표.실시간[[#This Row],[nxt_code]],"가중평균가")</f>
        <v>215224.01073099999</v>
      </c>
      <c r="O147" s="4">
        <f>_xll.IMDP("STK",표.실시간[[#This Row],[nxt_code]],"시가")</f>
        <v>215500</v>
      </c>
      <c r="P147" s="4">
        <f>_xll.IMDP("STK",표.실시간[[#This Row],[nxt_code]],"고가")</f>
        <v>219000</v>
      </c>
      <c r="Q147" s="4">
        <f>_xll.IMDP("STK",표.실시간[[#This Row],[nxt_code]],"저가")</f>
        <v>214500</v>
      </c>
      <c r="R147">
        <f>_xll.IMDP("STK",표.실시간[[#This Row],[nxt_code]],"세션명")</f>
        <v>0</v>
      </c>
      <c r="S147">
        <f>_xll.IMDP("STK",표.실시간[[#This Row],[nxt_code]],"체결시간")</f>
        <v>0</v>
      </c>
      <c r="T147" s="4">
        <f>_xll.IMDP("STK","097950","현재가")</f>
        <v>214500</v>
      </c>
      <c r="U147">
        <f>_xll.IMDP("STK","097950","누적거래량")</f>
        <v>583</v>
      </c>
    </row>
    <row r="148" spans="3:21" x14ac:dyDescent="0.3">
      <c r="C148">
        <v>143</v>
      </c>
      <c r="D148">
        <v>71970</v>
      </c>
      <c r="E148" t="s">
        <v>160</v>
      </c>
      <c r="F148" t="str">
        <f>ConvertStockCode(표.실시간[[#This Row],[코드]])</f>
        <v>N071970</v>
      </c>
      <c r="G148" s="4">
        <f>_xll.IMDP("STK",표.실시간[[#This Row],[nxt_code]],"현재가")</f>
        <v>91800</v>
      </c>
      <c r="H148" s="4">
        <f>_xll.IMDP("STK",표.실시간[[#This Row],[nxt_code]],"시가총액")/10^12</f>
        <v>3.1139932410000002</v>
      </c>
      <c r="I148" t="str">
        <f>_xll.IMDP("","","전일대비부호")</f>
        <v>코드오류</v>
      </c>
      <c r="J148" s="5">
        <f>_xll.IMDP("STK",표.실시간[[#This Row],[nxt_code]],"전일대비")</f>
        <v>1800</v>
      </c>
      <c r="K148">
        <f>_xll.IMDP("STK",표.실시간[[#This Row],[nxt_code]],"등락률")</f>
        <v>2</v>
      </c>
      <c r="L148" s="4">
        <f>_xll.IMDP("STK",표.실시간[[#This Row],[nxt_code]],"누적거래량")</f>
        <v>23190</v>
      </c>
      <c r="M148" s="4">
        <f>_xll.IMDP("STK",표.실시간[[#This Row],[nxt_code]],"누적거래대금")</f>
        <v>2118788800</v>
      </c>
      <c r="N148" s="4">
        <f>_xll.IMDP("STK",표.실시간[[#This Row],[nxt_code]],"가중평균가")</f>
        <v>91327.103447999994</v>
      </c>
      <c r="O148" s="4">
        <f>_xll.IMDP("STK",표.실시간[[#This Row],[nxt_code]],"시가")</f>
        <v>90700</v>
      </c>
      <c r="P148" s="4">
        <f>_xll.IMDP("STK",표.실시간[[#This Row],[nxt_code]],"고가")</f>
        <v>92600</v>
      </c>
      <c r="Q148" s="4">
        <f>_xll.IMDP("STK",표.실시간[[#This Row],[nxt_code]],"저가")</f>
        <v>90500</v>
      </c>
      <c r="R148">
        <f>_xll.IMDP("STK",표.실시간[[#This Row],[nxt_code]],"세션명")</f>
        <v>0</v>
      </c>
      <c r="S148">
        <f>_xll.IMDP("STK",표.실시간[[#This Row],[nxt_code]],"체결시간")</f>
        <v>0</v>
      </c>
      <c r="T148" s="4">
        <f>_xll.IMDP("STK","071970","현재가")</f>
        <v>91400</v>
      </c>
      <c r="U148">
        <f>_xll.IMDP("STK","071970","누적거래량")</f>
        <v>8990</v>
      </c>
    </row>
    <row r="149" spans="3:21" x14ac:dyDescent="0.3">
      <c r="C149">
        <v>144</v>
      </c>
      <c r="D149">
        <v>11170</v>
      </c>
      <c r="E149" t="s">
        <v>161</v>
      </c>
      <c r="F149" t="str">
        <f>ConvertStockCode(표.실시간[[#This Row],[코드]])</f>
        <v>N011170</v>
      </c>
      <c r="G149" s="4">
        <f>_xll.IMDP("STK",표.실시간[[#This Row],[nxt_code]],"현재가")</f>
        <v>79400</v>
      </c>
      <c r="H149" s="4">
        <f>_xll.IMDP("STK",표.실시간[[#This Row],[nxt_code]],"시가총액")/10^12</f>
        <v>3.3963682685999999</v>
      </c>
      <c r="I149" t="str">
        <f>_xll.IMDP("","","전일대비부호")</f>
        <v>코드오류</v>
      </c>
      <c r="J149" s="5">
        <f>_xll.IMDP("STK",표.실시간[[#This Row],[nxt_code]],"전일대비")</f>
        <v>2400</v>
      </c>
      <c r="K149">
        <f>_xll.IMDP("STK",표.실시간[[#This Row],[nxt_code]],"등락률")</f>
        <v>3.12</v>
      </c>
      <c r="L149" s="4">
        <f>_xll.IMDP("STK",표.실시간[[#This Row],[nxt_code]],"누적거래량")</f>
        <v>34603</v>
      </c>
      <c r="M149" s="4">
        <f>_xll.IMDP("STK",표.실시간[[#This Row],[nxt_code]],"누적거래대금")</f>
        <v>2714362600</v>
      </c>
      <c r="N149" s="4">
        <f>_xll.IMDP("STK",표.실시간[[#This Row],[nxt_code]],"가중평균가")</f>
        <v>78442.984712000005</v>
      </c>
      <c r="O149" s="4">
        <f>_xll.IMDP("STK",표.실시간[[#This Row],[nxt_code]],"시가")</f>
        <v>77200</v>
      </c>
      <c r="P149" s="4">
        <f>_xll.IMDP("STK",표.실시간[[#This Row],[nxt_code]],"고가")</f>
        <v>80000</v>
      </c>
      <c r="Q149" s="4">
        <f>_xll.IMDP("STK",표.실시간[[#This Row],[nxt_code]],"저가")</f>
        <v>77200</v>
      </c>
      <c r="R149">
        <f>_xll.IMDP("STK",표.실시간[[#This Row],[nxt_code]],"세션명")</f>
        <v>0</v>
      </c>
      <c r="S149">
        <f>_xll.IMDP("STK",표.실시간[[#This Row],[nxt_code]],"체결시간")</f>
        <v>0</v>
      </c>
      <c r="T149" s="4">
        <f>_xll.IMDP("STK","011170","현재가")</f>
        <v>79500</v>
      </c>
      <c r="U149">
        <f>_xll.IMDP("STK","011170","누적거래량")</f>
        <v>21789</v>
      </c>
    </row>
    <row r="150" spans="3:21" x14ac:dyDescent="0.3">
      <c r="C150">
        <v>145</v>
      </c>
      <c r="D150">
        <v>4990</v>
      </c>
      <c r="E150" t="s">
        <v>162</v>
      </c>
      <c r="F150" t="str">
        <f>ConvertStockCode(표.실시간[[#This Row],[코드]])</f>
        <v>N004990</v>
      </c>
      <c r="G150" s="4">
        <f>_xll.IMDP("STK",표.실시간[[#This Row],[nxt_code]],"현재가")</f>
        <v>29650</v>
      </c>
      <c r="H150" s="4">
        <f>_xll.IMDP("STK",표.실시간[[#This Row],[nxt_code]],"시가총액")/10^12</f>
        <v>3.1105588770499999</v>
      </c>
      <c r="I150" t="str">
        <f>_xll.IMDP("","","전일대비부호")</f>
        <v>코드오류</v>
      </c>
      <c r="J150" s="5">
        <f>_xll.IMDP("STK",표.실시간[[#This Row],[nxt_code]],"전일대비")</f>
        <v>750</v>
      </c>
      <c r="K150">
        <f>_xll.IMDP("STK",표.실시간[[#This Row],[nxt_code]],"등락률")</f>
        <v>2.6</v>
      </c>
      <c r="L150" s="4">
        <f>_xll.IMDP("STK",표.실시간[[#This Row],[nxt_code]],"누적거래량")</f>
        <v>35218</v>
      </c>
      <c r="M150" s="4">
        <f>_xll.IMDP("STK",표.실시간[[#This Row],[nxt_code]],"누적거래대금")</f>
        <v>1034061900</v>
      </c>
      <c r="N150" s="4">
        <f>_xll.IMDP("STK",표.실시간[[#This Row],[nxt_code]],"가중평균가")</f>
        <v>29361.743995000001</v>
      </c>
      <c r="O150" s="4">
        <f>_xll.IMDP("STK",표.실시간[[#This Row],[nxt_code]],"시가")</f>
        <v>29050</v>
      </c>
      <c r="P150" s="4">
        <f>_xll.IMDP("STK",표.실시간[[#This Row],[nxt_code]],"고가")</f>
        <v>29850</v>
      </c>
      <c r="Q150" s="4">
        <f>_xll.IMDP("STK",표.실시간[[#This Row],[nxt_code]],"저가")</f>
        <v>29000</v>
      </c>
      <c r="R150">
        <f>_xll.IMDP("STK",표.실시간[[#This Row],[nxt_code]],"세션명")</f>
        <v>0</v>
      </c>
      <c r="S150">
        <f>_xll.IMDP("STK",표.실시간[[#This Row],[nxt_code]],"체결시간")</f>
        <v>0</v>
      </c>
      <c r="T150" s="4">
        <f>_xll.IMDP("STK","004990","현재가")</f>
        <v>29750</v>
      </c>
      <c r="U150">
        <f>_xll.IMDP("STK","004990","누적거래량")</f>
        <v>19781</v>
      </c>
    </row>
    <row r="151" spans="3:21" x14ac:dyDescent="0.3">
      <c r="C151">
        <v>146</v>
      </c>
      <c r="D151">
        <v>140410</v>
      </c>
      <c r="E151" t="s">
        <v>163</v>
      </c>
      <c r="F151" t="str">
        <f>ConvertStockCode(표.실시간[[#This Row],[코드]])</f>
        <v>N140410</v>
      </c>
      <c r="G151" s="4">
        <f>_xll.IMDP("STK",표.실시간[[#This Row],[nxt_code]],"현재가")</f>
        <v>109400</v>
      </c>
      <c r="H151" s="4">
        <f>_xll.IMDP("STK",표.실시간[[#This Row],[nxt_code]],"시가총액")/10^12</f>
        <v>3.3218121915999999</v>
      </c>
      <c r="I151" t="str">
        <f>_xll.IMDP("","","전일대비부호")</f>
        <v>코드오류</v>
      </c>
      <c r="J151" s="5">
        <f>_xll.IMDP("STK",표.실시간[[#This Row],[nxt_code]],"전일대비")</f>
        <v>1100</v>
      </c>
      <c r="K151">
        <f>_xll.IMDP("STK",표.실시간[[#This Row],[nxt_code]],"등락률")</f>
        <v>1.02</v>
      </c>
      <c r="L151" s="4">
        <f>_xll.IMDP("STK",표.실시간[[#This Row],[nxt_code]],"누적거래량")</f>
        <v>36492</v>
      </c>
      <c r="M151" s="4">
        <f>_xll.IMDP("STK",표.실시간[[#This Row],[nxt_code]],"누적거래대금")</f>
        <v>4018148100</v>
      </c>
      <c r="N151" s="4">
        <f>_xll.IMDP("STK",표.실시간[[#This Row],[nxt_code]],"가중평균가")</f>
        <v>110110.38309800001</v>
      </c>
      <c r="O151" s="4">
        <f>_xll.IMDP("STK",표.실시간[[#This Row],[nxt_code]],"시가")</f>
        <v>108500</v>
      </c>
      <c r="P151" s="4">
        <f>_xll.IMDP("STK",표.실시간[[#This Row],[nxt_code]],"고가")</f>
        <v>112000</v>
      </c>
      <c r="Q151" s="4">
        <f>_xll.IMDP("STK",표.실시간[[#This Row],[nxt_code]],"저가")</f>
        <v>107100</v>
      </c>
      <c r="R151">
        <f>_xll.IMDP("STK",표.실시간[[#This Row],[nxt_code]],"세션명")</f>
        <v>0</v>
      </c>
      <c r="S151">
        <f>_xll.IMDP("STK",표.실시간[[#This Row],[nxt_code]],"체결시간")</f>
        <v>0</v>
      </c>
      <c r="T151" s="4">
        <f>_xll.IMDP("STK","140410","현재가")</f>
        <v>109400</v>
      </c>
      <c r="U151">
        <f>_xll.IMDP("STK","140410","누적거래량")</f>
        <v>2750</v>
      </c>
    </row>
    <row r="152" spans="3:21" x14ac:dyDescent="0.3">
      <c r="C152">
        <v>147</v>
      </c>
      <c r="D152">
        <v>14680</v>
      </c>
      <c r="E152" t="s">
        <v>164</v>
      </c>
      <c r="F152" t="str">
        <f>ConvertStockCode(표.실시간[[#This Row],[코드]])</f>
        <v>N014680</v>
      </c>
      <c r="G152" s="4">
        <f>_xll.IMDP("STK",표.실시간[[#This Row],[nxt_code]],"현재가")</f>
        <v>282000</v>
      </c>
      <c r="H152" s="4">
        <f>_xll.IMDP("STK",표.실시간[[#This Row],[nxt_code]],"시가총액")/10^12</f>
        <v>3.1965249899999999</v>
      </c>
      <c r="I152" t="str">
        <f>_xll.IMDP("","","전일대비부호")</f>
        <v>코드오류</v>
      </c>
      <c r="J152" s="5">
        <f>_xll.IMDP("STK",표.실시간[[#This Row],[nxt_code]],"전일대비")</f>
        <v>6500</v>
      </c>
      <c r="K152">
        <f>_xll.IMDP("STK",표.실시간[[#This Row],[nxt_code]],"등락률")</f>
        <v>2.17</v>
      </c>
      <c r="L152" s="4">
        <f>_xll.IMDP("STK",표.실시간[[#This Row],[nxt_code]],"누적거래량")</f>
        <v>6759</v>
      </c>
      <c r="M152" s="4">
        <f>_xll.IMDP("STK",표.실시간[[#This Row],[nxt_code]],"누적거래대금")</f>
        <v>1920132000</v>
      </c>
      <c r="N152" s="4">
        <f>_xll.IMDP("STK",표.실시간[[#This Row],[nxt_code]],"가중평균가")</f>
        <v>284085.21970700001</v>
      </c>
      <c r="O152" s="4">
        <f>_xll.IMDP("STK",표.실시간[[#This Row],[nxt_code]],"시가")</f>
        <v>278000</v>
      </c>
      <c r="P152" s="4">
        <f>_xll.IMDP("STK",표.실시간[[#This Row],[nxt_code]],"고가")</f>
        <v>289000</v>
      </c>
      <c r="Q152" s="4">
        <f>_xll.IMDP("STK",표.실시간[[#This Row],[nxt_code]],"저가")</f>
        <v>278000</v>
      </c>
      <c r="R152">
        <f>_xll.IMDP("STK",표.실시간[[#This Row],[nxt_code]],"세션명")</f>
        <v>0</v>
      </c>
      <c r="S152">
        <f>_xll.IMDP("STK",표.실시간[[#This Row],[nxt_code]],"체결시간")</f>
        <v>0</v>
      </c>
      <c r="T152" s="4">
        <f>_xll.IMDP("STK","014680","현재가")</f>
        <v>282000</v>
      </c>
      <c r="U152">
        <f>_xll.IMDP("STK","014680","누적거래량")</f>
        <v>6857</v>
      </c>
    </row>
    <row r="153" spans="3:21" x14ac:dyDescent="0.3">
      <c r="C153">
        <v>148</v>
      </c>
      <c r="D153">
        <v>12750</v>
      </c>
      <c r="E153" t="s">
        <v>165</v>
      </c>
      <c r="F153" t="str">
        <f>ConvertStockCode(표.실시간[[#This Row],[코드]])</f>
        <v>N012750</v>
      </c>
      <c r="G153" s="4">
        <f>_xll.IMDP("STK",표.실시간[[#This Row],[nxt_code]],"현재가")</f>
        <v>77900</v>
      </c>
      <c r="H153" s="4">
        <f>_xll.IMDP("STK",표.실시간[[#This Row],[nxt_code]],"시가총액")/10^12</f>
        <v>2.9601359662000002</v>
      </c>
      <c r="I153" t="str">
        <f>_xll.IMDP("","","전일대비부호")</f>
        <v>코드오류</v>
      </c>
      <c r="J153" s="5">
        <f>_xll.IMDP("STK",표.실시간[[#This Row],[nxt_code]],"전일대비")</f>
        <v>-600</v>
      </c>
      <c r="K153">
        <f>_xll.IMDP("STK",표.실시간[[#This Row],[nxt_code]],"등락률")</f>
        <v>-0.76</v>
      </c>
      <c r="L153" s="4">
        <f>_xll.IMDP("STK",표.실시간[[#This Row],[nxt_code]],"누적거래량")</f>
        <v>263</v>
      </c>
      <c r="M153" s="4">
        <f>_xll.IMDP("STK",표.실시간[[#This Row],[nxt_code]],"누적거래대금")</f>
        <v>20589700</v>
      </c>
      <c r="N153" s="4">
        <f>_xll.IMDP("STK",표.실시간[[#This Row],[nxt_code]],"가중평균가")</f>
        <v>78287.832699999999</v>
      </c>
      <c r="O153" s="4">
        <f>_xll.IMDP("STK",표.실시간[[#This Row],[nxt_code]],"시가")</f>
        <v>78600</v>
      </c>
      <c r="P153" s="4">
        <f>_xll.IMDP("STK",표.실시간[[#This Row],[nxt_code]],"고가")</f>
        <v>78600</v>
      </c>
      <c r="Q153" s="4">
        <f>_xll.IMDP("STK",표.실시간[[#This Row],[nxt_code]],"저가")</f>
        <v>77900</v>
      </c>
      <c r="R153">
        <f>_xll.IMDP("STK",표.실시간[[#This Row],[nxt_code]],"세션명")</f>
        <v>0</v>
      </c>
      <c r="S153">
        <f>_xll.IMDP("STK",표.실시간[[#This Row],[nxt_code]],"체결시간")</f>
        <v>0</v>
      </c>
      <c r="T153" s="4">
        <f>_xll.IMDP("STK","012750","현재가")</f>
        <v>77600</v>
      </c>
      <c r="U153">
        <f>_xll.IMDP("STK","012750","누적거래량")</f>
        <v>810</v>
      </c>
    </row>
    <row r="154" spans="3:21" x14ac:dyDescent="0.3">
      <c r="C154">
        <v>149</v>
      </c>
      <c r="D154">
        <v>103590</v>
      </c>
      <c r="E154" t="s">
        <v>166</v>
      </c>
      <c r="F154" t="str">
        <f>ConvertStockCode(표.실시간[[#This Row],[코드]])</f>
        <v>N103590</v>
      </c>
      <c r="G154" s="4">
        <f>_xll.IMDP("STK",표.실시간[[#This Row],[nxt_code]],"현재가")</f>
        <v>60500</v>
      </c>
      <c r="H154" s="4">
        <f>_xll.IMDP("STK",표.실시간[[#This Row],[nxt_code]],"시가총액")/10^12</f>
        <v>2.8849660949999998</v>
      </c>
      <c r="I154" t="str">
        <f>_xll.IMDP("","","전일대비부호")</f>
        <v>코드오류</v>
      </c>
      <c r="J154" s="5">
        <f>_xll.IMDP("STK",표.실시간[[#This Row],[nxt_code]],"전일대비")</f>
        <v>-600</v>
      </c>
      <c r="K154">
        <f>_xll.IMDP("STK",표.실시간[[#This Row],[nxt_code]],"등락률")</f>
        <v>-0.98</v>
      </c>
      <c r="L154" s="4">
        <f>_xll.IMDP("STK",표.실시간[[#This Row],[nxt_code]],"누적거래량")</f>
        <v>33838</v>
      </c>
      <c r="M154" s="4">
        <f>_xll.IMDP("STK",표.실시간[[#This Row],[nxt_code]],"누적거래대금")</f>
        <v>2096043300</v>
      </c>
      <c r="N154" s="4">
        <f>_xll.IMDP("STK",표.실시간[[#This Row],[nxt_code]],"가중평균가")</f>
        <v>61194.771108000001</v>
      </c>
      <c r="O154" s="4">
        <f>_xll.IMDP("STK",표.실시간[[#This Row],[nxt_code]],"시가")</f>
        <v>61200</v>
      </c>
      <c r="P154" s="4">
        <f>_xll.IMDP("STK",표.실시간[[#This Row],[nxt_code]],"고가")</f>
        <v>61600</v>
      </c>
      <c r="Q154" s="4">
        <f>_xll.IMDP("STK",표.실시간[[#This Row],[nxt_code]],"저가")</f>
        <v>60200</v>
      </c>
      <c r="R154">
        <f>_xll.IMDP("STK",표.실시간[[#This Row],[nxt_code]],"세션명")</f>
        <v>0</v>
      </c>
      <c r="S154">
        <f>_xll.IMDP("STK",표.실시간[[#This Row],[nxt_code]],"체결시간")</f>
        <v>0</v>
      </c>
      <c r="T154" s="4">
        <f>_xll.IMDP("STK","103590","현재가")</f>
        <v>60400</v>
      </c>
      <c r="U154">
        <f>_xll.IMDP("STK","103590","누적거래량")</f>
        <v>11769</v>
      </c>
    </row>
    <row r="155" spans="3:21" x14ac:dyDescent="0.3">
      <c r="C155">
        <v>150</v>
      </c>
      <c r="D155">
        <v>12510</v>
      </c>
      <c r="E155" t="s">
        <v>167</v>
      </c>
      <c r="F155" t="str">
        <f>ConvertStockCode(표.실시간[[#This Row],[코드]])</f>
        <v>N012510</v>
      </c>
      <c r="G155" s="4">
        <f>_xll.IMDP("STK",표.실시간[[#This Row],[nxt_code]],"현재가")</f>
        <v>96800</v>
      </c>
      <c r="H155" s="4">
        <f>_xll.IMDP("STK",표.실시간[[#This Row],[nxt_code]],"시가총액")/10^12</f>
        <v>2.9410534911999999</v>
      </c>
      <c r="I155" t="str">
        <f>_xll.IMDP("","","전일대비부호")</f>
        <v>코드오류</v>
      </c>
      <c r="J155" s="5">
        <f>_xll.IMDP("STK",표.실시간[[#This Row],[nxt_code]],"전일대비")</f>
        <v>-400</v>
      </c>
      <c r="K155">
        <f>_xll.IMDP("STK",표.실시간[[#This Row],[nxt_code]],"등락률")</f>
        <v>-0.41</v>
      </c>
      <c r="L155" s="4">
        <f>_xll.IMDP("STK",표.실시간[[#This Row],[nxt_code]],"누적거래량")</f>
        <v>1845</v>
      </c>
      <c r="M155" s="4">
        <f>_xll.IMDP("STK",표.실시간[[#This Row],[nxt_code]],"누적거래대금")</f>
        <v>178388200</v>
      </c>
      <c r="N155" s="4">
        <f>_xll.IMDP("STK",표.실시간[[#This Row],[nxt_code]],"가중평균가")</f>
        <v>96687.371274000005</v>
      </c>
      <c r="O155" s="4">
        <f>_xll.IMDP("STK",표.실시간[[#This Row],[nxt_code]],"시가")</f>
        <v>97500</v>
      </c>
      <c r="P155" s="4">
        <f>_xll.IMDP("STK",표.실시간[[#This Row],[nxt_code]],"고가")</f>
        <v>97500</v>
      </c>
      <c r="Q155" s="4">
        <f>_xll.IMDP("STK",표.실시간[[#This Row],[nxt_code]],"저가")</f>
        <v>96400</v>
      </c>
      <c r="R155">
        <f>_xll.IMDP("STK",표.실시간[[#This Row],[nxt_code]],"세션명")</f>
        <v>0</v>
      </c>
      <c r="S155">
        <f>_xll.IMDP("STK",표.실시간[[#This Row],[nxt_code]],"체결시간")</f>
        <v>0</v>
      </c>
      <c r="T155" s="4">
        <f>_xll.IMDP("STK","012510","현재가")</f>
        <v>96500</v>
      </c>
      <c r="U155">
        <f>_xll.IMDP("STK","012510","누적거래량")</f>
        <v>106</v>
      </c>
    </row>
    <row r="156" spans="3:21" x14ac:dyDescent="0.3">
      <c r="C156">
        <v>151</v>
      </c>
      <c r="D156">
        <v>257720</v>
      </c>
      <c r="E156" t="s">
        <v>168</v>
      </c>
      <c r="F156" t="str">
        <f>ConvertStockCode(표.실시간[[#This Row],[코드]])</f>
        <v>N257720</v>
      </c>
      <c r="G156" s="4">
        <f>_xll.IMDP("STK",표.실시간[[#This Row],[nxt_code]],"현재가")</f>
        <v>48500</v>
      </c>
      <c r="H156" s="4">
        <f>_xll.IMDP("STK",표.실시간[[#This Row],[nxt_code]],"시가총액")/10^12</f>
        <v>2.9668375380000001</v>
      </c>
      <c r="I156" t="str">
        <f>_xll.IMDP("","","전일대비부호")</f>
        <v>코드오류</v>
      </c>
      <c r="J156" s="5">
        <f>_xll.IMDP("STK",표.실시간[[#This Row],[nxt_code]],"전일대비")</f>
        <v>-200</v>
      </c>
      <c r="K156">
        <f>_xll.IMDP("STK",표.실시간[[#This Row],[nxt_code]],"등락률")</f>
        <v>-0.21</v>
      </c>
      <c r="L156" s="4">
        <f>_xll.IMDP("STK",표.실시간[[#This Row],[nxt_code]],"누적거래량")</f>
        <v>97805</v>
      </c>
      <c r="M156" s="4">
        <f>_xll.IMDP("STK",표.실시간[[#This Row],[nxt_code]],"누적거래대금")</f>
        <v>4763777200</v>
      </c>
      <c r="N156" s="4">
        <f>_xll.IMDP("STK",표.실시간[[#This Row],[nxt_code]],"가중평균가")</f>
        <v>48636.771282000002</v>
      </c>
      <c r="O156" s="4">
        <f>_xll.IMDP("STK",표.실시간[[#This Row],[nxt_code]],"시가")</f>
        <v>49000</v>
      </c>
      <c r="P156" s="4">
        <f>_xll.IMDP("STK",표.실시간[[#This Row],[nxt_code]],"고가")</f>
        <v>49200</v>
      </c>
      <c r="Q156" s="4">
        <f>_xll.IMDP("STK",표.실시간[[#This Row],[nxt_code]],"저가")</f>
        <v>48250</v>
      </c>
      <c r="R156">
        <f>_xll.IMDP("STK",표.실시간[[#This Row],[nxt_code]],"세션명")</f>
        <v>0</v>
      </c>
      <c r="S156">
        <f>_xll.IMDP("STK",표.실시간[[#This Row],[nxt_code]],"체결시간")</f>
        <v>0</v>
      </c>
      <c r="T156" s="4">
        <f>_xll.IMDP("STK","257720","현재가")</f>
        <v>48750</v>
      </c>
      <c r="U156">
        <f>_xll.IMDP("STK","257720","누적거래량")</f>
        <v>15865</v>
      </c>
    </row>
    <row r="157" spans="3:21" x14ac:dyDescent="0.3">
      <c r="C157">
        <v>152</v>
      </c>
      <c r="D157">
        <v>403870</v>
      </c>
      <c r="E157" t="s">
        <v>169</v>
      </c>
      <c r="F157" t="str">
        <f>ConvertStockCode(표.실시간[[#This Row],[코드]])</f>
        <v>N403870</v>
      </c>
      <c r="G157" s="4">
        <f>_xll.IMDP("STK",표.실시간[[#This Row],[nxt_code]],"현재가")</f>
        <v>33250</v>
      </c>
      <c r="H157" s="4">
        <f>_xll.IMDP("STK",표.실시간[[#This Row],[nxt_code]],"시가총액")/10^12</f>
        <v>2.7929707399999999</v>
      </c>
      <c r="I157" t="str">
        <f>_xll.IMDP("","","전일대비부호")</f>
        <v>코드오류</v>
      </c>
      <c r="J157" s="5">
        <f>_xll.IMDP("STK",표.실시간[[#This Row],[nxt_code]],"전일대비")</f>
        <v>0</v>
      </c>
      <c r="K157">
        <f>_xll.IMDP("STK",표.실시간[[#This Row],[nxt_code]],"등락률")</f>
        <v>0</v>
      </c>
      <c r="L157" s="4">
        <f>_xll.IMDP("STK",표.실시간[[#This Row],[nxt_code]],"누적거래량")</f>
        <v>80821</v>
      </c>
      <c r="M157" s="4">
        <f>_xll.IMDP("STK",표.실시간[[#This Row],[nxt_code]],"누적거래대금")</f>
        <v>2698138200</v>
      </c>
      <c r="N157" s="4">
        <f>_xll.IMDP("STK",표.실시간[[#This Row],[nxt_code]],"가중평균가")</f>
        <v>33384.122938</v>
      </c>
      <c r="O157" s="4">
        <f>_xll.IMDP("STK",표.실시간[[#This Row],[nxt_code]],"시가")</f>
        <v>33650</v>
      </c>
      <c r="P157" s="4">
        <f>_xll.IMDP("STK",표.실시간[[#This Row],[nxt_code]],"고가")</f>
        <v>33650</v>
      </c>
      <c r="Q157" s="4">
        <f>_xll.IMDP("STK",표.실시간[[#This Row],[nxt_code]],"저가")</f>
        <v>33200</v>
      </c>
      <c r="R157">
        <f>_xll.IMDP("STK",표.실시간[[#This Row],[nxt_code]],"세션명")</f>
        <v>0</v>
      </c>
      <c r="S157">
        <f>_xll.IMDP("STK",표.실시간[[#This Row],[nxt_code]],"체결시간")</f>
        <v>0</v>
      </c>
      <c r="T157" s="4">
        <f>_xll.IMDP("STK","403870","현재가")</f>
        <v>33250</v>
      </c>
      <c r="U157">
        <f>_xll.IMDP("STK","403870","누적거래량")</f>
        <v>16010</v>
      </c>
    </row>
    <row r="158" spans="3:21" x14ac:dyDescent="0.3">
      <c r="C158">
        <v>153</v>
      </c>
      <c r="D158">
        <v>145020</v>
      </c>
      <c r="E158" t="s">
        <v>170</v>
      </c>
      <c r="F158" t="str">
        <f>ConvertStockCode(표.실시간[[#This Row],[코드]])</f>
        <v>N145020</v>
      </c>
      <c r="G158" s="4">
        <f>_xll.IMDP("STK",표.실시간[[#This Row],[nxt_code]],"현재가")</f>
        <v>259500</v>
      </c>
      <c r="H158" s="4">
        <f>_xll.IMDP("STK",표.실시간[[#This Row],[nxt_code]],"시가총액")/10^12</f>
        <v>3.1928965635000002</v>
      </c>
      <c r="I158" t="str">
        <f>_xll.IMDP("","","전일대비부호")</f>
        <v>코드오류</v>
      </c>
      <c r="J158" s="5">
        <f>_xll.IMDP("STK",표.실시간[[#This Row],[nxt_code]],"전일대비")</f>
        <v>4500</v>
      </c>
      <c r="K158">
        <f>_xll.IMDP("STK",표.실시간[[#This Row],[nxt_code]],"등락률")</f>
        <v>1.76</v>
      </c>
      <c r="L158" s="4">
        <f>_xll.IMDP("STK",표.실시간[[#This Row],[nxt_code]],"누적거래량")</f>
        <v>6758</v>
      </c>
      <c r="M158" s="4">
        <f>_xll.IMDP("STK",표.실시간[[#This Row],[nxt_code]],"누적거래대금")</f>
        <v>1760597500</v>
      </c>
      <c r="N158" s="4">
        <f>_xll.IMDP("STK",표.실시간[[#This Row],[nxt_code]],"가중평균가")</f>
        <v>260520.494229</v>
      </c>
      <c r="O158" s="4">
        <f>_xll.IMDP("STK",표.실시간[[#This Row],[nxt_code]],"시가")</f>
        <v>258500</v>
      </c>
      <c r="P158" s="4">
        <f>_xll.IMDP("STK",표.실시간[[#This Row],[nxt_code]],"고가")</f>
        <v>262000</v>
      </c>
      <c r="Q158" s="4">
        <f>_xll.IMDP("STK",표.실시간[[#This Row],[nxt_code]],"저가")</f>
        <v>258000</v>
      </c>
      <c r="R158">
        <f>_xll.IMDP("STK",표.실시간[[#This Row],[nxt_code]],"세션명")</f>
        <v>0</v>
      </c>
      <c r="S158">
        <f>_xll.IMDP("STK",표.실시간[[#This Row],[nxt_code]],"체결시간")</f>
        <v>0</v>
      </c>
      <c r="T158" s="4">
        <f>_xll.IMDP("STK","145020","현재가")</f>
        <v>260000</v>
      </c>
      <c r="U158">
        <f>_xll.IMDP("STK","145020","누적거래량")</f>
        <v>3425</v>
      </c>
    </row>
    <row r="159" spans="3:21" x14ac:dyDescent="0.3">
      <c r="C159">
        <v>154</v>
      </c>
      <c r="D159">
        <v>457190</v>
      </c>
      <c r="E159" t="s">
        <v>171</v>
      </c>
      <c r="F159" t="str">
        <f>ConvertStockCode(표.실시간[[#This Row],[코드]])</f>
        <v>N457190</v>
      </c>
      <c r="G159" s="4">
        <f>_xll.IMDP("STK",표.실시간[[#This Row],[nxt_code]],"현재가")</f>
        <v>97200</v>
      </c>
      <c r="H159" s="4">
        <f>_xll.IMDP("STK",표.실시간[[#This Row],[nxt_code]],"시가총액")/10^12</f>
        <v>2.9362448159999999</v>
      </c>
      <c r="I159" t="str">
        <f>_xll.IMDP("","","전일대비부호")</f>
        <v>코드오류</v>
      </c>
      <c r="J159" s="5">
        <f>_xll.IMDP("STK",표.실시간[[#This Row],[nxt_code]],"전일대비")</f>
        <v>-5200</v>
      </c>
      <c r="K159">
        <f>_xll.IMDP("STK",표.실시간[[#This Row],[nxt_code]],"등락률")</f>
        <v>-4.99</v>
      </c>
      <c r="L159" s="4">
        <f>_xll.IMDP("STK",표.실시간[[#This Row],[nxt_code]],"누적거래량")</f>
        <v>530574</v>
      </c>
      <c r="M159" s="4">
        <f>_xll.IMDP("STK",표.실시간[[#This Row],[nxt_code]],"누적거래대금")</f>
        <v>52948425900</v>
      </c>
      <c r="N159" s="4">
        <f>_xll.IMDP("STK",표.실시간[[#This Row],[nxt_code]],"가중평균가")</f>
        <v>99793.482415000006</v>
      </c>
      <c r="O159" s="4">
        <f>_xll.IMDP("STK",표.실시간[[#This Row],[nxt_code]],"시가")</f>
        <v>103500</v>
      </c>
      <c r="P159" s="4">
        <f>_xll.IMDP("STK",표.실시간[[#This Row],[nxt_code]],"고가")</f>
        <v>103500</v>
      </c>
      <c r="Q159" s="4">
        <f>_xll.IMDP("STK",표.실시간[[#This Row],[nxt_code]],"저가")</f>
        <v>97100</v>
      </c>
      <c r="R159">
        <f>_xll.IMDP("STK",표.실시간[[#This Row],[nxt_code]],"세션명")</f>
        <v>0</v>
      </c>
      <c r="S159">
        <f>_xll.IMDP("STK",표.실시간[[#This Row],[nxt_code]],"체결시간")</f>
        <v>0</v>
      </c>
      <c r="T159" s="4">
        <f>_xll.IMDP("STK","457190","현재가")</f>
        <v>97100</v>
      </c>
      <c r="U159">
        <f>_xll.IMDP("STK","457190","누적거래량")</f>
        <v>82762</v>
      </c>
    </row>
    <row r="160" spans="3:21" x14ac:dyDescent="0.3">
      <c r="C160">
        <v>155</v>
      </c>
      <c r="D160">
        <v>4170</v>
      </c>
      <c r="E160" t="s">
        <v>172</v>
      </c>
      <c r="F160" t="str">
        <f>ConvertStockCode(표.실시간[[#This Row],[코드]])</f>
        <v>N004170</v>
      </c>
      <c r="G160" s="4">
        <f>_xll.IMDP("STK",표.실시간[[#This Row],[nxt_code]],"현재가")</f>
        <v>287500</v>
      </c>
      <c r="H160" s="4">
        <f>_xll.IMDP("STK",표.실시간[[#This Row],[nxt_code]],"시가총액")/10^12</f>
        <v>2.7729895375</v>
      </c>
      <c r="I160" t="str">
        <f>_xll.IMDP("","","전일대비부호")</f>
        <v>코드오류</v>
      </c>
      <c r="J160" s="5">
        <f>_xll.IMDP("STK",표.실시간[[#This Row],[nxt_code]],"전일대비")</f>
        <v>1000</v>
      </c>
      <c r="K160">
        <f>_xll.IMDP("STK",표.실시간[[#This Row],[nxt_code]],"등락률")</f>
        <v>0.35</v>
      </c>
      <c r="L160" s="4">
        <f>_xll.IMDP("STK",표.실시간[[#This Row],[nxt_code]],"누적거래량")</f>
        <v>359</v>
      </c>
      <c r="M160" s="4">
        <f>_xll.IMDP("STK",표.실시간[[#This Row],[nxt_code]],"누적거래대금")</f>
        <v>103244000</v>
      </c>
      <c r="N160" s="4">
        <f>_xll.IMDP("STK",표.실시간[[#This Row],[nxt_code]],"가중평균가")</f>
        <v>287587.74373300001</v>
      </c>
      <c r="O160" s="4">
        <f>_xll.IMDP("STK",표.실시간[[#This Row],[nxt_code]],"시가")</f>
        <v>292000</v>
      </c>
      <c r="P160" s="4">
        <f>_xll.IMDP("STK",표.실시간[[#This Row],[nxt_code]],"고가")</f>
        <v>292000</v>
      </c>
      <c r="Q160" s="4">
        <f>_xll.IMDP("STK",표.실시간[[#This Row],[nxt_code]],"저가")</f>
        <v>287000</v>
      </c>
      <c r="R160">
        <f>_xll.IMDP("STK",표.실시간[[#This Row],[nxt_code]],"세션명")</f>
        <v>0</v>
      </c>
      <c r="S160">
        <f>_xll.IMDP("STK",표.실시간[[#This Row],[nxt_code]],"체결시간")</f>
        <v>0</v>
      </c>
      <c r="T160" s="4">
        <f>_xll.IMDP("STK","004170","현재가")</f>
        <v>286000</v>
      </c>
      <c r="U160">
        <f>_xll.IMDP("STK","004170","누적거래량")</f>
        <v>594</v>
      </c>
    </row>
    <row r="161" spans="3:21" x14ac:dyDescent="0.3">
      <c r="C161">
        <v>156</v>
      </c>
      <c r="D161">
        <v>88350</v>
      </c>
      <c r="E161" t="s">
        <v>173</v>
      </c>
      <c r="F161" t="str">
        <f>ConvertStockCode(표.실시간[[#This Row],[코드]])</f>
        <v>N088350</v>
      </c>
      <c r="G161" s="4">
        <f>_xll.IMDP("STK",표.실시간[[#This Row],[nxt_code]],"현재가")</f>
        <v>3255</v>
      </c>
      <c r="H161" s="4">
        <f>_xll.IMDP("STK",표.실시간[[#This Row],[nxt_code]],"시가총액")/10^12</f>
        <v>2.8270651500000001</v>
      </c>
      <c r="I161" t="str">
        <f>_xll.IMDP("","","전일대비부호")</f>
        <v>코드오류</v>
      </c>
      <c r="J161" s="5">
        <f>_xll.IMDP("STK",표.실시간[[#This Row],[nxt_code]],"전일대비")</f>
        <v>50</v>
      </c>
      <c r="K161">
        <f>_xll.IMDP("STK",표.실시간[[#This Row],[nxt_code]],"등락률")</f>
        <v>1.56</v>
      </c>
      <c r="L161" s="4">
        <f>_xll.IMDP("STK",표.실시간[[#This Row],[nxt_code]],"누적거래량")</f>
        <v>385441</v>
      </c>
      <c r="M161" s="4">
        <f>_xll.IMDP("STK",표.실시간[[#This Row],[nxt_code]],"누적거래대금")</f>
        <v>1324283780</v>
      </c>
      <c r="N161" s="4">
        <f>_xll.IMDP("STK",표.실시간[[#This Row],[nxt_code]],"가중평균가")</f>
        <v>3252.4818930000001</v>
      </c>
      <c r="O161" s="4">
        <f>_xll.IMDP("STK",표.실시간[[#This Row],[nxt_code]],"시가")</f>
        <v>3220</v>
      </c>
      <c r="P161" s="4">
        <f>_xll.IMDP("STK",표.실시간[[#This Row],[nxt_code]],"고가")</f>
        <v>3270</v>
      </c>
      <c r="Q161" s="4">
        <f>_xll.IMDP("STK",표.실시간[[#This Row],[nxt_code]],"저가")</f>
        <v>3220</v>
      </c>
      <c r="R161">
        <f>_xll.IMDP("STK",표.실시간[[#This Row],[nxt_code]],"세션명")</f>
        <v>0</v>
      </c>
      <c r="S161">
        <f>_xll.IMDP("STK",표.실시간[[#This Row],[nxt_code]],"체결시간")</f>
        <v>0</v>
      </c>
      <c r="T161" s="4">
        <f>_xll.IMDP("STK","088350","현재가")</f>
        <v>3255</v>
      </c>
      <c r="U161">
        <f>_xll.IMDP("STK","088350","누적거래량")</f>
        <v>90143</v>
      </c>
    </row>
    <row r="162" spans="3:21" x14ac:dyDescent="0.3">
      <c r="C162">
        <v>157</v>
      </c>
      <c r="D162">
        <v>263750</v>
      </c>
      <c r="E162" t="s">
        <v>174</v>
      </c>
      <c r="F162" t="str">
        <f>ConvertStockCode(표.실시간[[#This Row],[코드]])</f>
        <v>N263750</v>
      </c>
      <c r="G162" s="4">
        <f>_xll.IMDP("STK",표.실시간[[#This Row],[nxt_code]],"현재가")</f>
        <v>43550</v>
      </c>
      <c r="H162" s="4">
        <f>_xll.IMDP("STK",표.실시간[[#This Row],[nxt_code]],"시가총액")/10^12</f>
        <v>2.79799408525</v>
      </c>
      <c r="I162" t="str">
        <f>_xll.IMDP("","","전일대비부호")</f>
        <v>코드오류</v>
      </c>
      <c r="J162" s="5">
        <f>_xll.IMDP("STK",표.실시간[[#This Row],[nxt_code]],"전일대비")</f>
        <v>650</v>
      </c>
      <c r="K162">
        <f>_xll.IMDP("STK",표.실시간[[#This Row],[nxt_code]],"등락률")</f>
        <v>1.4</v>
      </c>
      <c r="L162" s="4">
        <f>_xll.IMDP("STK",표.실시간[[#This Row],[nxt_code]],"누적거래량")</f>
        <v>29535</v>
      </c>
      <c r="M162" s="4">
        <f>_xll.IMDP("STK",표.실시간[[#This Row],[nxt_code]],"누적거래대금")</f>
        <v>1276360750</v>
      </c>
      <c r="N162" s="4">
        <f>_xll.IMDP("STK",표.실시간[[#This Row],[nxt_code]],"가중평균가")</f>
        <v>43546.961232000001</v>
      </c>
      <c r="O162" s="4">
        <f>_xll.IMDP("STK",표.실시간[[#This Row],[nxt_code]],"시가")</f>
        <v>43300</v>
      </c>
      <c r="P162" s="4">
        <f>_xll.IMDP("STK",표.실시간[[#This Row],[nxt_code]],"고가")</f>
        <v>43800</v>
      </c>
      <c r="Q162" s="4">
        <f>_xll.IMDP("STK",표.실시간[[#This Row],[nxt_code]],"저가")</f>
        <v>43150</v>
      </c>
      <c r="R162">
        <f>_xll.IMDP("STK",표.실시간[[#This Row],[nxt_code]],"세션명")</f>
        <v>0</v>
      </c>
      <c r="S162">
        <f>_xll.IMDP("STK",표.실시간[[#This Row],[nxt_code]],"체결시간")</f>
        <v>0</v>
      </c>
      <c r="T162" s="4">
        <f>_xll.IMDP("STK","263750","현재가")</f>
        <v>43550</v>
      </c>
      <c r="U162">
        <f>_xll.IMDP("STK","263750","누적거래량")</f>
        <v>5825</v>
      </c>
    </row>
    <row r="163" spans="3:21" x14ac:dyDescent="0.3">
      <c r="C163">
        <v>158</v>
      </c>
      <c r="D163">
        <v>1430</v>
      </c>
      <c r="E163" t="s">
        <v>175</v>
      </c>
      <c r="F163" t="str">
        <f>ConvertStockCode(표.실시간[[#This Row],[코드]])</f>
        <v>N001430</v>
      </c>
      <c r="G163" s="4">
        <f>_xll.IMDP("STK",표.실시간[[#This Row],[nxt_code]],"현재가")</f>
        <v>74400</v>
      </c>
      <c r="H163" s="4">
        <f>_xll.IMDP("STK",표.실시간[[#This Row],[nxt_code]],"시가총액")/10^12</f>
        <v>2.6681416536000002</v>
      </c>
      <c r="I163" t="str">
        <f>_xll.IMDP("","","전일대비부호")</f>
        <v>코드오류</v>
      </c>
      <c r="J163" s="5">
        <f>_xll.IMDP("STK",표.실시간[[#This Row],[nxt_code]],"전일대비")</f>
        <v>1100</v>
      </c>
      <c r="K163">
        <f>_xll.IMDP("STK",표.실시간[[#This Row],[nxt_code]],"등락률")</f>
        <v>1.5</v>
      </c>
      <c r="L163" s="4">
        <f>_xll.IMDP("STK",표.실시간[[#This Row],[nxt_code]],"누적거래량")</f>
        <v>54550</v>
      </c>
      <c r="M163" s="4">
        <f>_xll.IMDP("STK",표.실시간[[#This Row],[nxt_code]],"누적거래대금")</f>
        <v>4098379200</v>
      </c>
      <c r="N163" s="4">
        <f>_xll.IMDP("STK",표.실시간[[#This Row],[nxt_code]],"가중평균가")</f>
        <v>75130.691109000007</v>
      </c>
      <c r="O163" s="4">
        <f>_xll.IMDP("STK",표.실시간[[#This Row],[nxt_code]],"시가")</f>
        <v>74100</v>
      </c>
      <c r="P163" s="4">
        <f>_xll.IMDP("STK",표.실시간[[#This Row],[nxt_code]],"고가")</f>
        <v>76000</v>
      </c>
      <c r="Q163" s="4">
        <f>_xll.IMDP("STK",표.실시간[[#This Row],[nxt_code]],"저가")</f>
        <v>73400</v>
      </c>
      <c r="R163">
        <f>_xll.IMDP("STK",표.실시간[[#This Row],[nxt_code]],"세션명")</f>
        <v>0</v>
      </c>
      <c r="S163">
        <f>_xll.IMDP("STK",표.실시간[[#This Row],[nxt_code]],"체결시간")</f>
        <v>0</v>
      </c>
      <c r="T163" s="4">
        <f>_xll.IMDP("STK","001430","현재가")</f>
        <v>74300</v>
      </c>
      <c r="U163">
        <f>_xll.IMDP("STK","001430","누적거래량")</f>
        <v>8189</v>
      </c>
    </row>
    <row r="164" spans="3:21" x14ac:dyDescent="0.3">
      <c r="C164">
        <v>159</v>
      </c>
      <c r="D164">
        <v>11210</v>
      </c>
      <c r="E164" t="s">
        <v>176</v>
      </c>
      <c r="F164" t="str">
        <f>ConvertStockCode(표.실시간[[#This Row],[코드]])</f>
        <v>N011210</v>
      </c>
      <c r="G164" s="4">
        <f>_xll.IMDP("STK",표.실시간[[#This Row],[nxt_code]],"현재가")</f>
        <v>88200</v>
      </c>
      <c r="H164" s="4">
        <f>_xll.IMDP("STK",표.실시간[[#This Row],[nxt_code]],"시가총액")/10^12</f>
        <v>2.3986063205999999</v>
      </c>
      <c r="I164" t="str">
        <f>_xll.IMDP("","","전일대비부호")</f>
        <v>코드오류</v>
      </c>
      <c r="J164" s="5">
        <f>_xll.IMDP("STK",표.실시간[[#This Row],[nxt_code]],"전일대비")</f>
        <v>-1300</v>
      </c>
      <c r="K164">
        <f>_xll.IMDP("STK",표.실시간[[#This Row],[nxt_code]],"등락률")</f>
        <v>-1.45</v>
      </c>
      <c r="L164" s="4">
        <f>_xll.IMDP("STK",표.실시간[[#This Row],[nxt_code]],"누적거래량")</f>
        <v>58226</v>
      </c>
      <c r="M164" s="4">
        <f>_xll.IMDP("STK",표.실시간[[#This Row],[nxt_code]],"누적거래대금")</f>
        <v>5204817600</v>
      </c>
      <c r="N164" s="4">
        <f>_xll.IMDP("STK",표.실시간[[#This Row],[nxt_code]],"가중평균가")</f>
        <v>89389.922028000001</v>
      </c>
      <c r="O164" s="4">
        <f>_xll.IMDP("STK",표.실시간[[#This Row],[nxt_code]],"시가")</f>
        <v>91300</v>
      </c>
      <c r="P164" s="4">
        <f>_xll.IMDP("STK",표.실시간[[#This Row],[nxt_code]],"고가")</f>
        <v>91400</v>
      </c>
      <c r="Q164" s="4">
        <f>_xll.IMDP("STK",표.실시간[[#This Row],[nxt_code]],"저가")</f>
        <v>88100</v>
      </c>
      <c r="R164">
        <f>_xll.IMDP("STK",표.실시간[[#This Row],[nxt_code]],"세션명")</f>
        <v>0</v>
      </c>
      <c r="S164">
        <f>_xll.IMDP("STK",표.실시간[[#This Row],[nxt_code]],"체결시간")</f>
        <v>0</v>
      </c>
      <c r="T164" s="4">
        <f>_xll.IMDP("STK","011210","현재가")</f>
        <v>88100</v>
      </c>
      <c r="U164">
        <f>_xll.IMDP("STK","011210","누적거래량")</f>
        <v>10222</v>
      </c>
    </row>
    <row r="165" spans="3:21" x14ac:dyDescent="0.3">
      <c r="C165">
        <v>160</v>
      </c>
      <c r="D165">
        <v>8930</v>
      </c>
      <c r="E165" t="s">
        <v>177</v>
      </c>
      <c r="F165" t="str">
        <f>ConvertStockCode(표.실시간[[#This Row],[코드]])</f>
        <v>N008930</v>
      </c>
      <c r="G165" s="4">
        <f>_xll.IMDP("STK",표.실시간[[#This Row],[nxt_code]],"현재가")</f>
        <v>39000</v>
      </c>
      <c r="H165" s="4">
        <f>_xll.IMDP("STK",표.실시간[[#This Row],[nxt_code]],"시가총액")/10^12</f>
        <v>2.6672704500000002</v>
      </c>
      <c r="I165" t="str">
        <f>_xll.IMDP("","","전일대비부호")</f>
        <v>코드오류</v>
      </c>
      <c r="J165" s="5">
        <f>_xll.IMDP("STK",표.실시간[[#This Row],[nxt_code]],"전일대비")</f>
        <v>-100</v>
      </c>
      <c r="K165">
        <f>_xll.IMDP("STK",표.실시간[[#This Row],[nxt_code]],"등락률")</f>
        <v>-0.26</v>
      </c>
      <c r="L165" s="4">
        <f>_xll.IMDP("STK",표.실시간[[#This Row],[nxt_code]],"누적거래량")</f>
        <v>4562</v>
      </c>
      <c r="M165" s="4">
        <f>_xll.IMDP("STK",표.실시간[[#This Row],[nxt_code]],"누적거래대금")</f>
        <v>177910900</v>
      </c>
      <c r="N165" s="4">
        <f>_xll.IMDP("STK",표.실시간[[#This Row],[nxt_code]],"가중평균가")</f>
        <v>38998.443664999999</v>
      </c>
      <c r="O165" s="4">
        <f>_xll.IMDP("STK",표.실시간[[#This Row],[nxt_code]],"시가")</f>
        <v>39000</v>
      </c>
      <c r="P165" s="4">
        <f>_xll.IMDP("STK",표.실시간[[#This Row],[nxt_code]],"고가")</f>
        <v>39150</v>
      </c>
      <c r="Q165" s="4">
        <f>_xll.IMDP("STK",표.실시간[[#This Row],[nxt_code]],"저가")</f>
        <v>38850</v>
      </c>
      <c r="R165">
        <f>_xll.IMDP("STK",표.실시간[[#This Row],[nxt_code]],"세션명")</f>
        <v>0</v>
      </c>
      <c r="S165">
        <f>_xll.IMDP("STK",표.실시간[[#This Row],[nxt_code]],"체결시간")</f>
        <v>0</v>
      </c>
      <c r="T165" s="4">
        <f>_xll.IMDP("STK","008930","현재가")</f>
        <v>39000</v>
      </c>
      <c r="U165">
        <f>_xll.IMDP("STK","008930","누적거래량")</f>
        <v>3757</v>
      </c>
    </row>
    <row r="166" spans="3:21" x14ac:dyDescent="0.3">
      <c r="C166">
        <v>161</v>
      </c>
      <c r="D166">
        <v>51600</v>
      </c>
      <c r="E166" t="s">
        <v>178</v>
      </c>
      <c r="F166" t="str">
        <f>ConvertStockCode(표.실시간[[#This Row],[코드]])</f>
        <v>N051600</v>
      </c>
      <c r="G166" s="4">
        <f>_xll.IMDP("STK",표.실시간[[#This Row],[nxt_code]],"현재가")</f>
        <v>57500</v>
      </c>
      <c r="H166" s="4">
        <f>_xll.IMDP("STK",표.실시간[[#This Row],[nxt_code]],"시가총액")/10^12</f>
        <v>2.5874999999999999</v>
      </c>
      <c r="I166" t="str">
        <f>_xll.IMDP("","","전일대비부호")</f>
        <v>코드오류</v>
      </c>
      <c r="J166" s="5">
        <f>_xll.IMDP("STK",표.실시간[[#This Row],[nxt_code]],"전일대비")</f>
        <v>-300</v>
      </c>
      <c r="K166">
        <f>_xll.IMDP("STK",표.실시간[[#This Row],[nxt_code]],"등락률")</f>
        <v>-0.52</v>
      </c>
      <c r="L166" s="4">
        <f>_xll.IMDP("STK",표.실시간[[#This Row],[nxt_code]],"누적거래량")</f>
        <v>38171</v>
      </c>
      <c r="M166" s="4">
        <f>_xll.IMDP("STK",표.실시간[[#This Row],[nxt_code]],"누적거래대금")</f>
        <v>2213998700</v>
      </c>
      <c r="N166" s="4">
        <f>_xll.IMDP("STK",표.실시간[[#This Row],[nxt_code]],"가중평균가")</f>
        <v>58002.114170000001</v>
      </c>
      <c r="O166" s="4">
        <f>_xll.IMDP("STK",표.실시간[[#This Row],[nxt_code]],"시가")</f>
        <v>58100</v>
      </c>
      <c r="P166" s="4">
        <f>_xll.IMDP("STK",표.실시간[[#This Row],[nxt_code]],"고가")</f>
        <v>58300</v>
      </c>
      <c r="Q166" s="4">
        <f>_xll.IMDP("STK",표.실시간[[#This Row],[nxt_code]],"저가")</f>
        <v>57400</v>
      </c>
      <c r="R166">
        <f>_xll.IMDP("STK",표.실시간[[#This Row],[nxt_code]],"세션명")</f>
        <v>0</v>
      </c>
      <c r="S166">
        <f>_xll.IMDP("STK",표.실시간[[#This Row],[nxt_code]],"체결시간")</f>
        <v>0</v>
      </c>
      <c r="T166" s="4">
        <f>_xll.IMDP("STK","051600","현재가")</f>
        <v>57500</v>
      </c>
      <c r="U166">
        <f>_xll.IMDP("STK","051600","누적거래량")</f>
        <v>4331</v>
      </c>
    </row>
    <row r="167" spans="3:21" x14ac:dyDescent="0.3">
      <c r="C167">
        <v>162</v>
      </c>
      <c r="D167">
        <v>357780</v>
      </c>
      <c r="E167" t="s">
        <v>179</v>
      </c>
      <c r="F167" t="str">
        <f>ConvertStockCode(표.실시간[[#This Row],[코드]])</f>
        <v>N357780</v>
      </c>
      <c r="G167" s="4">
        <f>_xll.IMDP("STK",표.실시간[[#This Row],[nxt_code]],"현재가")</f>
        <v>323500</v>
      </c>
      <c r="H167" s="4">
        <f>_xll.IMDP("STK",표.실시간[[#This Row],[nxt_code]],"시가총액")/10^12</f>
        <v>2.516366101</v>
      </c>
      <c r="I167" t="str">
        <f>_xll.IMDP("","","전일대비부호")</f>
        <v>코드오류</v>
      </c>
      <c r="J167" s="5">
        <f>_xll.IMDP("STK",표.실시간[[#This Row],[nxt_code]],"전일대비")</f>
        <v>-1500</v>
      </c>
      <c r="K167">
        <f>_xll.IMDP("STK",표.실시간[[#This Row],[nxt_code]],"등락률")</f>
        <v>-0.46</v>
      </c>
      <c r="L167" s="4">
        <f>_xll.IMDP("STK",표.실시간[[#This Row],[nxt_code]],"누적거래량")</f>
        <v>1888</v>
      </c>
      <c r="M167" s="4">
        <f>_xll.IMDP("STK",표.실시간[[#This Row],[nxt_code]],"누적거래대금")</f>
        <v>616477500</v>
      </c>
      <c r="N167" s="4">
        <f>_xll.IMDP("STK",표.실시간[[#This Row],[nxt_code]],"가중평균가")</f>
        <v>326524.09957600001</v>
      </c>
      <c r="O167" s="4">
        <f>_xll.IMDP("STK",표.실시간[[#This Row],[nxt_code]],"시가")</f>
        <v>326500</v>
      </c>
      <c r="P167" s="4">
        <f>_xll.IMDP("STK",표.실시간[[#This Row],[nxt_code]],"고가")</f>
        <v>332500</v>
      </c>
      <c r="Q167" s="4">
        <f>_xll.IMDP("STK",표.실시간[[#This Row],[nxt_code]],"저가")</f>
        <v>323500</v>
      </c>
      <c r="R167">
        <f>_xll.IMDP("STK",표.실시간[[#This Row],[nxt_code]],"세션명")</f>
        <v>0</v>
      </c>
      <c r="S167">
        <f>_xll.IMDP("STK",표.실시간[[#This Row],[nxt_code]],"체결시간")</f>
        <v>0</v>
      </c>
      <c r="T167" s="4">
        <f>_xll.IMDP("STK","357780","현재가")</f>
        <v>323500</v>
      </c>
      <c r="U167">
        <f>_xll.IMDP("STK","357780","누적거래량")</f>
        <v>931</v>
      </c>
    </row>
    <row r="168" spans="3:21" x14ac:dyDescent="0.3">
      <c r="C168">
        <v>163</v>
      </c>
      <c r="D168">
        <v>68760</v>
      </c>
      <c r="E168" t="s">
        <v>180</v>
      </c>
      <c r="F168" t="str">
        <f>ConvertStockCode(표.실시간[[#This Row],[코드]])</f>
        <v>N068760</v>
      </c>
      <c r="G168" s="4">
        <f>_xll.IMDP("STK",표.실시간[[#This Row],[nxt_code]],"현재가")</f>
        <v>61100</v>
      </c>
      <c r="H168" s="4">
        <f>_xll.IMDP("STK",표.실시간[[#This Row],[nxt_code]],"시가총액")/10^12</f>
        <v>2.6689653120000001</v>
      </c>
      <c r="I168" t="str">
        <f>_xll.IMDP("","","전일대비부호")</f>
        <v>코드오류</v>
      </c>
      <c r="J168" s="5">
        <f>_xll.IMDP("STK",표.실시간[[#This Row],[nxt_code]],"전일대비")</f>
        <v>100</v>
      </c>
      <c r="K168">
        <f>_xll.IMDP("STK",표.실시간[[#This Row],[nxt_code]],"등락률")</f>
        <v>0.16</v>
      </c>
      <c r="L168" s="4">
        <f>_xll.IMDP("STK",표.실시간[[#This Row],[nxt_code]],"누적거래량")</f>
        <v>5727</v>
      </c>
      <c r="M168" s="4">
        <f>_xll.IMDP("STK",표.실시간[[#This Row],[nxt_code]],"누적거래대금")</f>
        <v>351348100</v>
      </c>
      <c r="N168" s="4">
        <f>_xll.IMDP("STK",표.실시간[[#This Row],[nxt_code]],"가중평균가")</f>
        <v>61349.415051999997</v>
      </c>
      <c r="O168" s="4">
        <f>_xll.IMDP("STK",표.실시간[[#This Row],[nxt_code]],"시가")</f>
        <v>61200</v>
      </c>
      <c r="P168" s="4">
        <f>_xll.IMDP("STK",표.실시간[[#This Row],[nxt_code]],"고가")</f>
        <v>61600</v>
      </c>
      <c r="Q168" s="4">
        <f>_xll.IMDP("STK",표.실시간[[#This Row],[nxt_code]],"저가")</f>
        <v>61000</v>
      </c>
      <c r="R168">
        <f>_xll.IMDP("STK",표.실시간[[#This Row],[nxt_code]],"세션명")</f>
        <v>0</v>
      </c>
      <c r="S168">
        <f>_xll.IMDP("STK",표.실시간[[#This Row],[nxt_code]],"체결시간")</f>
        <v>0</v>
      </c>
      <c r="T168" s="4">
        <f>_xll.IMDP("STK","068760","현재가")</f>
        <v>61100</v>
      </c>
      <c r="U168">
        <f>_xll.IMDP("STK","068760","누적거래량")</f>
        <v>1424</v>
      </c>
    </row>
    <row r="169" spans="3:21" x14ac:dyDescent="0.3">
      <c r="C169">
        <v>164</v>
      </c>
      <c r="D169">
        <v>439260</v>
      </c>
      <c r="E169" t="s">
        <v>181</v>
      </c>
      <c r="F169" t="str">
        <f>ConvertStockCode(표.실시간[[#This Row],[코드]])</f>
        <v>N439260</v>
      </c>
      <c r="G169" s="4">
        <f>_xll.IMDP("STK",표.실시간[[#This Row],[nxt_code]],"현재가")</f>
        <v>70600</v>
      </c>
      <c r="H169" s="4">
        <f>_xll.IMDP("STK",표.실시간[[#This Row],[nxt_code]],"시가총액")/10^12</f>
        <v>2.7199576271999999</v>
      </c>
      <c r="I169" t="str">
        <f>_xll.IMDP("","","전일대비부호")</f>
        <v>코드오류</v>
      </c>
      <c r="J169" s="5">
        <f>_xll.IMDP("STK",표.실시간[[#This Row],[nxt_code]],"전일대비")</f>
        <v>400</v>
      </c>
      <c r="K169">
        <f>_xll.IMDP("STK",표.실시간[[#This Row],[nxt_code]],"등락률")</f>
        <v>0.56999999999999995</v>
      </c>
      <c r="L169" s="4">
        <f>_xll.IMDP("STK",표.실시간[[#This Row],[nxt_code]],"누적거래량")</f>
        <v>37780</v>
      </c>
      <c r="M169" s="4">
        <f>_xll.IMDP("STK",표.실시간[[#This Row],[nxt_code]],"누적거래대금")</f>
        <v>2695851600</v>
      </c>
      <c r="N169" s="4">
        <f>_xll.IMDP("STK",표.실시간[[#This Row],[nxt_code]],"가중평균가")</f>
        <v>71356.580201000004</v>
      </c>
      <c r="O169" s="4">
        <f>_xll.IMDP("STK",표.실시간[[#This Row],[nxt_code]],"시가")</f>
        <v>71500</v>
      </c>
      <c r="P169" s="4">
        <f>_xll.IMDP("STK",표.실시간[[#This Row],[nxt_code]],"고가")</f>
        <v>72000</v>
      </c>
      <c r="Q169" s="4">
        <f>_xll.IMDP("STK",표.실시간[[#This Row],[nxt_code]],"저가")</f>
        <v>70600</v>
      </c>
      <c r="R169">
        <f>_xll.IMDP("STK",표.실시간[[#This Row],[nxt_code]],"세션명")</f>
        <v>0</v>
      </c>
      <c r="S169">
        <f>_xll.IMDP("STK",표.실시간[[#This Row],[nxt_code]],"체결시간")</f>
        <v>0</v>
      </c>
      <c r="T169" s="4">
        <f>_xll.IMDP("STK","439260","현재가")</f>
        <v>70700</v>
      </c>
      <c r="U169">
        <f>_xll.IMDP("STK","439260","누적거래량")</f>
        <v>3598</v>
      </c>
    </row>
    <row r="170" spans="3:21" x14ac:dyDescent="0.3">
      <c r="C170">
        <v>165</v>
      </c>
      <c r="D170">
        <v>489790</v>
      </c>
      <c r="E170" t="s">
        <v>182</v>
      </c>
      <c r="F170" t="str">
        <f>ConvertStockCode(표.실시간[[#This Row],[코드]])</f>
        <v>N489790</v>
      </c>
      <c r="G170" s="4">
        <f>_xll.IMDP("STK",표.실시간[[#This Row],[nxt_code]],"현재가")</f>
        <v>55100</v>
      </c>
      <c r="H170" s="4">
        <f>_xll.IMDP("STK",표.실시간[[#This Row],[nxt_code]],"시가총액")/10^12</f>
        <v>2.7819102889999998</v>
      </c>
      <c r="I170" t="str">
        <f>_xll.IMDP("","","전일대비부호")</f>
        <v>코드오류</v>
      </c>
      <c r="J170" s="5">
        <f>_xll.IMDP("STK",표.실시간[[#This Row],[nxt_code]],"전일대비")</f>
        <v>600</v>
      </c>
      <c r="K170">
        <f>_xll.IMDP("STK",표.실시간[[#This Row],[nxt_code]],"등락률")</f>
        <v>1.29</v>
      </c>
      <c r="L170" s="4">
        <f>_xll.IMDP("STK",표.실시간[[#This Row],[nxt_code]],"누적거래량")</f>
        <v>85416</v>
      </c>
      <c r="M170" s="4">
        <f>_xll.IMDP("STK",표.실시간[[#This Row],[nxt_code]],"누적거래대금")</f>
        <v>4656851050</v>
      </c>
      <c r="N170" s="4">
        <f>_xll.IMDP("STK",표.실시간[[#This Row],[nxt_code]],"가중평균가")</f>
        <v>54506.894634999997</v>
      </c>
      <c r="O170" s="4">
        <f>_xll.IMDP("STK",표.실시간[[#This Row],[nxt_code]],"시가")</f>
        <v>54500</v>
      </c>
      <c r="P170" s="4">
        <f>_xll.IMDP("STK",표.실시간[[#This Row],[nxt_code]],"고가")</f>
        <v>55300</v>
      </c>
      <c r="Q170" s="4">
        <f>_xll.IMDP("STK",표.실시간[[#This Row],[nxt_code]],"저가")</f>
        <v>53900</v>
      </c>
      <c r="R170">
        <f>_xll.IMDP("STK",표.실시간[[#This Row],[nxt_code]],"세션명")</f>
        <v>0</v>
      </c>
      <c r="S170">
        <f>_xll.IMDP("STK",표.실시간[[#This Row],[nxt_code]],"체결시간")</f>
        <v>0</v>
      </c>
      <c r="T170" s="4">
        <f>_xll.IMDP("STK","489790","현재가")</f>
        <v>55100</v>
      </c>
      <c r="U170">
        <f>_xll.IMDP("STK","489790","누적거래량")</f>
        <v>33728</v>
      </c>
    </row>
    <row r="171" spans="3:21" x14ac:dyDescent="0.3">
      <c r="C171">
        <v>166</v>
      </c>
      <c r="D171">
        <v>240</v>
      </c>
      <c r="E171" t="s">
        <v>183</v>
      </c>
      <c r="F171" t="str">
        <f>ConvertStockCode(표.실시간[[#This Row],[코드]])</f>
        <v>N000240</v>
      </c>
      <c r="G171" s="4">
        <f>_xll.IMDP("STK",표.실시간[[#This Row],[nxt_code]],"현재가")</f>
        <v>27000</v>
      </c>
      <c r="H171" s="4">
        <f>_xll.IMDP("STK",표.실시간[[#This Row],[nxt_code]],"시가총액")/10^12</f>
        <v>2.5632514799999999</v>
      </c>
      <c r="I171" t="str">
        <f>_xll.IMDP("","","전일대비부호")</f>
        <v>코드오류</v>
      </c>
      <c r="J171" s="5">
        <f>_xll.IMDP("STK",표.실시간[[#This Row],[nxt_code]],"전일대비")</f>
        <v>-50</v>
      </c>
      <c r="K171">
        <f>_xll.IMDP("STK",표.실시간[[#This Row],[nxt_code]],"등락률")</f>
        <v>-0.18</v>
      </c>
      <c r="L171" s="4">
        <f>_xll.IMDP("STK",표.실시간[[#This Row],[nxt_code]],"누적거래량")</f>
        <v>1160</v>
      </c>
      <c r="M171" s="4">
        <f>_xll.IMDP("STK",표.실시간[[#This Row],[nxt_code]],"누적거래대금")</f>
        <v>31344650</v>
      </c>
      <c r="N171" s="4">
        <f>_xll.IMDP("STK",표.실시간[[#This Row],[nxt_code]],"가중평균가")</f>
        <v>27021.25</v>
      </c>
      <c r="O171" s="4">
        <f>_xll.IMDP("STK",표.실시간[[#This Row],[nxt_code]],"시가")</f>
        <v>27050</v>
      </c>
      <c r="P171" s="4">
        <f>_xll.IMDP("STK",표.실시간[[#This Row],[nxt_code]],"고가")</f>
        <v>27100</v>
      </c>
      <c r="Q171" s="4">
        <f>_xll.IMDP("STK",표.실시간[[#This Row],[nxt_code]],"저가")</f>
        <v>26800</v>
      </c>
      <c r="R171">
        <f>_xll.IMDP("STK",표.실시간[[#This Row],[nxt_code]],"세션명")</f>
        <v>0</v>
      </c>
      <c r="S171">
        <f>_xll.IMDP("STK",표.실시간[[#This Row],[nxt_code]],"체결시간")</f>
        <v>0</v>
      </c>
      <c r="T171" s="4">
        <f>_xll.IMDP("STK","000240","현재가")</f>
        <v>26950</v>
      </c>
      <c r="U171">
        <f>_xll.IMDP("STK","000240","누적거래량")</f>
        <v>1702</v>
      </c>
    </row>
    <row r="172" spans="3:21" x14ac:dyDescent="0.3">
      <c r="C172">
        <v>167</v>
      </c>
      <c r="D172">
        <v>26960</v>
      </c>
      <c r="E172" t="s">
        <v>184</v>
      </c>
      <c r="F172" t="str">
        <f>ConvertStockCode(표.실시간[[#This Row],[코드]])</f>
        <v>N026960</v>
      </c>
      <c r="G172" s="4">
        <f>_xll.IMDP("STK",표.실시간[[#This Row],[nxt_code]],"현재가")</f>
        <v>26300</v>
      </c>
      <c r="H172" s="4">
        <f>_xll.IMDP("STK",표.실시간[[#This Row],[nxt_code]],"시가총액")/10^12</f>
        <v>2.6221100000000002</v>
      </c>
      <c r="I172" t="str">
        <f>_xll.IMDP("","","전일대비부호")</f>
        <v>코드오류</v>
      </c>
      <c r="J172" s="5">
        <f>_xll.IMDP("STK",표.실시간[[#This Row],[nxt_code]],"전일대비")</f>
        <v>250</v>
      </c>
      <c r="K172">
        <f>_xll.IMDP("STK",표.실시간[[#This Row],[nxt_code]],"등락률")</f>
        <v>0.96</v>
      </c>
      <c r="L172" s="4">
        <f>_xll.IMDP("STK",표.실시간[[#This Row],[nxt_code]],"누적거래량")</f>
        <v>11047</v>
      </c>
      <c r="M172" s="4">
        <f>_xll.IMDP("STK",표.실시간[[#This Row],[nxt_code]],"누적거래대금")</f>
        <v>287507100</v>
      </c>
      <c r="N172" s="4">
        <f>_xll.IMDP("STK",표.실시간[[#This Row],[nxt_code]],"가중평균가")</f>
        <v>26025.807912</v>
      </c>
      <c r="O172" s="4">
        <f>_xll.IMDP("STK",표.실시간[[#This Row],[nxt_code]],"시가")</f>
        <v>26300</v>
      </c>
      <c r="P172" s="4">
        <f>_xll.IMDP("STK",표.실시간[[#This Row],[nxt_code]],"고가")</f>
        <v>26350</v>
      </c>
      <c r="Q172" s="4">
        <f>_xll.IMDP("STK",표.실시간[[#This Row],[nxt_code]],"저가")</f>
        <v>25900</v>
      </c>
      <c r="R172">
        <f>_xll.IMDP("STK",표.실시간[[#This Row],[nxt_code]],"세션명")</f>
        <v>0</v>
      </c>
      <c r="S172">
        <f>_xll.IMDP("STK",표.실시간[[#This Row],[nxt_code]],"체결시간")</f>
        <v>0</v>
      </c>
      <c r="T172" s="4">
        <f>_xll.IMDP("STK","026960","현재가")</f>
        <v>26250</v>
      </c>
      <c r="U172">
        <f>_xll.IMDP("STK","026960","누적거래량")</f>
        <v>1452</v>
      </c>
    </row>
    <row r="173" spans="3:21" x14ac:dyDescent="0.3">
      <c r="C173">
        <v>168</v>
      </c>
      <c r="D173">
        <v>9970</v>
      </c>
      <c r="E173" t="s">
        <v>185</v>
      </c>
      <c r="F173" t="str">
        <f>ConvertStockCode(표.실시간[[#This Row],[코드]])</f>
        <v>N009970</v>
      </c>
      <c r="G173" s="4">
        <f>_xll.IMDP("STK",표.실시간[[#This Row],[nxt_code]],"현재가")</f>
        <v>194300</v>
      </c>
      <c r="H173" s="4">
        <f>_xll.IMDP("STK",표.실시간[[#This Row],[nxt_code]],"시가총액")/10^12</f>
        <v>2.6229017491</v>
      </c>
      <c r="I173" t="str">
        <f>_xll.IMDP("","","전일대비부호")</f>
        <v>코드오류</v>
      </c>
      <c r="J173" s="5">
        <f>_xll.IMDP("STK",표.실시간[[#This Row],[nxt_code]],"전일대비")</f>
        <v>-100</v>
      </c>
      <c r="K173">
        <f>_xll.IMDP("STK",표.실시간[[#This Row],[nxt_code]],"등락률")</f>
        <v>-0.05</v>
      </c>
      <c r="L173" s="4">
        <f>_xll.IMDP("STK",표.실시간[[#This Row],[nxt_code]],"누적거래량")</f>
        <v>34</v>
      </c>
      <c r="M173" s="4">
        <f>_xll.IMDP("STK",표.실시간[[#This Row],[nxt_code]],"누적거래대금")</f>
        <v>6609500</v>
      </c>
      <c r="N173" s="4">
        <f>_xll.IMDP("STK",표.실시간[[#This Row],[nxt_code]],"가중평균가")</f>
        <v>194397.05882400001</v>
      </c>
      <c r="O173" s="4">
        <f>_xll.IMDP("STK",표.실시간[[#This Row],[nxt_code]],"시가")</f>
        <v>195000</v>
      </c>
      <c r="P173" s="4">
        <f>_xll.IMDP("STK",표.실시간[[#This Row],[nxt_code]],"고가")</f>
        <v>195000</v>
      </c>
      <c r="Q173" s="4">
        <f>_xll.IMDP("STK",표.실시간[[#This Row],[nxt_code]],"저가")</f>
        <v>194200</v>
      </c>
      <c r="R173">
        <f>_xll.IMDP("STK",표.실시간[[#This Row],[nxt_code]],"세션명")</f>
        <v>0</v>
      </c>
      <c r="S173">
        <f>_xll.IMDP("STK",표.실시간[[#This Row],[nxt_code]],"체결시간")</f>
        <v>0</v>
      </c>
      <c r="T173" s="4">
        <f>_xll.IMDP("STK","009970","현재가")</f>
        <v>196300</v>
      </c>
      <c r="U173">
        <f>_xll.IMDP("STK","009970","누적거래량")</f>
        <v>70</v>
      </c>
    </row>
    <row r="174" spans="3:21" x14ac:dyDescent="0.3">
      <c r="C174">
        <v>169</v>
      </c>
      <c r="D174">
        <v>4800</v>
      </c>
      <c r="E174" t="s">
        <v>186</v>
      </c>
      <c r="F174" t="str">
        <f>ConvertStockCode(표.실시간[[#This Row],[코드]])</f>
        <v>N004800</v>
      </c>
      <c r="G174" s="4">
        <f>_xll.IMDP("STK",표.실시간[[#This Row],[nxt_code]],"현재가")</f>
        <v>152500</v>
      </c>
      <c r="H174" s="4">
        <f>_xll.IMDP("STK",표.실시간[[#This Row],[nxt_code]],"시가총액")/10^12</f>
        <v>2.5529120674999999</v>
      </c>
      <c r="I174" t="str">
        <f>_xll.IMDP("","","전일대비부호")</f>
        <v>코드오류</v>
      </c>
      <c r="J174" s="5">
        <f>_xll.IMDP("STK",표.실시간[[#This Row],[nxt_code]],"전일대비")</f>
        <v>1000</v>
      </c>
      <c r="K174">
        <f>_xll.IMDP("STK",표.실시간[[#This Row],[nxt_code]],"등락률")</f>
        <v>0.66</v>
      </c>
      <c r="L174" s="4">
        <f>_xll.IMDP("STK",표.실시간[[#This Row],[nxt_code]],"누적거래량")</f>
        <v>2034</v>
      </c>
      <c r="M174" s="4">
        <f>_xll.IMDP("STK",표.실시간[[#This Row],[nxt_code]],"누적거래대금")</f>
        <v>311528500</v>
      </c>
      <c r="N174" s="4">
        <f>_xll.IMDP("STK",표.실시간[[#This Row],[nxt_code]],"가중평균가")</f>
        <v>153160.521141</v>
      </c>
      <c r="O174" s="4">
        <f>_xll.IMDP("STK",표.실시간[[#This Row],[nxt_code]],"시가")</f>
        <v>151600</v>
      </c>
      <c r="P174" s="4">
        <f>_xll.IMDP("STK",표.실시간[[#This Row],[nxt_code]],"고가")</f>
        <v>154000</v>
      </c>
      <c r="Q174" s="4">
        <f>_xll.IMDP("STK",표.실시간[[#This Row],[nxt_code]],"저가")</f>
        <v>151600</v>
      </c>
      <c r="R174">
        <f>_xll.IMDP("STK",표.실시간[[#This Row],[nxt_code]],"세션명")</f>
        <v>0</v>
      </c>
      <c r="S174">
        <f>_xll.IMDP("STK",표.실시간[[#This Row],[nxt_code]],"체결시간")</f>
        <v>0</v>
      </c>
      <c r="T174" s="4">
        <f>_xll.IMDP("STK","004800","현재가")</f>
        <v>153000</v>
      </c>
      <c r="U174">
        <f>_xll.IMDP("STK","004800","누적거래량")</f>
        <v>539</v>
      </c>
    </row>
    <row r="175" spans="3:21" x14ac:dyDescent="0.3">
      <c r="C175">
        <v>170</v>
      </c>
      <c r="D175">
        <v>383220</v>
      </c>
      <c r="E175" t="s">
        <v>187</v>
      </c>
      <c r="F175" t="str">
        <f>ConvertStockCode(표.실시간[[#This Row],[코드]])</f>
        <v>N383220</v>
      </c>
      <c r="G175" s="4">
        <f>_xll.IMDP("STK",표.실시간[[#This Row],[nxt_code]],"현재가")</f>
        <v>66400</v>
      </c>
      <c r="H175" s="4">
        <f>_xll.IMDP("STK",표.실시간[[#This Row],[nxt_code]],"시가총액")/10^12</f>
        <v>2.54358978</v>
      </c>
      <c r="I175" t="str">
        <f>_xll.IMDP("","","전일대비부호")</f>
        <v>코드오류</v>
      </c>
      <c r="J175" s="5">
        <f>_xll.IMDP("STK",표.실시간[[#This Row],[nxt_code]],"전일대비")</f>
        <v>400</v>
      </c>
      <c r="K175">
        <f>_xll.IMDP("STK",표.실시간[[#This Row],[nxt_code]],"등락률")</f>
        <v>0.61</v>
      </c>
      <c r="L175" s="4">
        <f>_xll.IMDP("STK",표.실시간[[#This Row],[nxt_code]],"누적거래량")</f>
        <v>1264</v>
      </c>
      <c r="M175" s="4">
        <f>_xll.IMDP("STK",표.실시간[[#This Row],[nxt_code]],"누적거래대금")</f>
        <v>83562500</v>
      </c>
      <c r="N175" s="4">
        <f>_xll.IMDP("STK",표.실시간[[#This Row],[nxt_code]],"가중평균가")</f>
        <v>66109.572784999997</v>
      </c>
      <c r="O175" s="4">
        <f>_xll.IMDP("STK",표.실시간[[#This Row],[nxt_code]],"시가")</f>
        <v>66100</v>
      </c>
      <c r="P175" s="4">
        <f>_xll.IMDP("STK",표.실시간[[#This Row],[nxt_code]],"고가")</f>
        <v>66400</v>
      </c>
      <c r="Q175" s="4">
        <f>_xll.IMDP("STK",표.실시간[[#This Row],[nxt_code]],"저가")</f>
        <v>65800</v>
      </c>
      <c r="R175">
        <f>_xll.IMDP("STK",표.실시간[[#This Row],[nxt_code]],"세션명")</f>
        <v>0</v>
      </c>
      <c r="S175">
        <f>_xll.IMDP("STK",표.실시간[[#This Row],[nxt_code]],"체결시간")</f>
        <v>0</v>
      </c>
      <c r="T175" s="4">
        <f>_xll.IMDP("STK","383220","현재가")</f>
        <v>66300</v>
      </c>
      <c r="U175">
        <f>_xll.IMDP("STK","383220","누적거래량")</f>
        <v>681</v>
      </c>
    </row>
    <row r="176" spans="3:21" x14ac:dyDescent="0.3">
      <c r="C176">
        <v>171</v>
      </c>
      <c r="D176">
        <v>353200</v>
      </c>
      <c r="E176" t="s">
        <v>188</v>
      </c>
      <c r="F176" t="str">
        <f>ConvertStockCode(표.실시간[[#This Row],[코드]])</f>
        <v>N353200</v>
      </c>
      <c r="G176" s="4">
        <f>_xll.IMDP("STK",표.실시간[[#This Row],[nxt_code]],"현재가")</f>
        <v>49700</v>
      </c>
      <c r="H176" s="4">
        <f>_xll.IMDP("STK",표.실시간[[#This Row],[nxt_code]],"시가총액")/10^12</f>
        <v>2.4560211724999998</v>
      </c>
      <c r="I176" t="str">
        <f>_xll.IMDP("","","전일대비부호")</f>
        <v>코드오류</v>
      </c>
      <c r="J176" s="5">
        <f>_xll.IMDP("STK",표.실시간[[#This Row],[nxt_code]],"전일대비")</f>
        <v>-700</v>
      </c>
      <c r="K176">
        <f>_xll.IMDP("STK",표.실시간[[#This Row],[nxt_code]],"등락률")</f>
        <v>-1.39</v>
      </c>
      <c r="L176" s="4">
        <f>_xll.IMDP("STK",표.실시간[[#This Row],[nxt_code]],"누적거래량")</f>
        <v>73749</v>
      </c>
      <c r="M176" s="4">
        <f>_xll.IMDP("STK",표.실시간[[#This Row],[nxt_code]],"누적거래대금")</f>
        <v>3680448850</v>
      </c>
      <c r="N176" s="4">
        <f>_xll.IMDP("STK",표.실시간[[#This Row],[nxt_code]],"가중평균가")</f>
        <v>49905.067864999997</v>
      </c>
      <c r="O176" s="4">
        <f>_xll.IMDP("STK",표.실시간[[#This Row],[nxt_code]],"시가")</f>
        <v>50000</v>
      </c>
      <c r="P176" s="4">
        <f>_xll.IMDP("STK",표.실시간[[#This Row],[nxt_code]],"고가")</f>
        <v>50600</v>
      </c>
      <c r="Q176" s="4">
        <f>_xll.IMDP("STK",표.실시간[[#This Row],[nxt_code]],"저가")</f>
        <v>49700</v>
      </c>
      <c r="R176">
        <f>_xll.IMDP("STK",표.실시간[[#This Row],[nxt_code]],"세션명")</f>
        <v>0</v>
      </c>
      <c r="S176">
        <f>_xll.IMDP("STK",표.실시간[[#This Row],[nxt_code]],"체결시간")</f>
        <v>0</v>
      </c>
      <c r="T176" s="4">
        <f>_xll.IMDP("STK","353200","현재가")</f>
        <v>49700</v>
      </c>
      <c r="U176">
        <f>_xll.IMDP("STK","353200","누적거래량")</f>
        <v>17821</v>
      </c>
    </row>
    <row r="177" spans="3:21" x14ac:dyDescent="0.3">
      <c r="C177">
        <v>172</v>
      </c>
      <c r="D177">
        <v>41510</v>
      </c>
      <c r="E177" t="s">
        <v>189</v>
      </c>
      <c r="F177" t="str">
        <f>ConvertStockCode(표.실시간[[#This Row],[코드]])</f>
        <v>N041510</v>
      </c>
      <c r="G177" s="4">
        <f>_xll.IMDP("STK",표.실시간[[#This Row],[nxt_code]],"현재가")</f>
        <v>108100</v>
      </c>
      <c r="H177" s="4">
        <f>_xll.IMDP("STK",표.실시간[[#This Row],[nxt_code]],"시가총액")/10^12</f>
        <v>2.4749159889999999</v>
      </c>
      <c r="I177" t="str">
        <f>_xll.IMDP("","","전일대비부호")</f>
        <v>코드오류</v>
      </c>
      <c r="J177" s="5">
        <f>_xll.IMDP("STK",표.실시간[[#This Row],[nxt_code]],"전일대비")</f>
        <v>0</v>
      </c>
      <c r="K177">
        <f>_xll.IMDP("STK",표.실시간[[#This Row],[nxt_code]],"등락률")</f>
        <v>0</v>
      </c>
      <c r="L177" s="4">
        <f>_xll.IMDP("STK",표.실시간[[#This Row],[nxt_code]],"누적거래량")</f>
        <v>7512</v>
      </c>
      <c r="M177" s="4">
        <f>_xll.IMDP("STK",표.실시간[[#This Row],[nxt_code]],"누적거래대금")</f>
        <v>816462600</v>
      </c>
      <c r="N177" s="4">
        <f>_xll.IMDP("STK",표.실시간[[#This Row],[nxt_code]],"가중평균가")</f>
        <v>108687.779553</v>
      </c>
      <c r="O177" s="4">
        <f>_xll.IMDP("STK",표.실시간[[#This Row],[nxt_code]],"시가")</f>
        <v>109000</v>
      </c>
      <c r="P177" s="4">
        <f>_xll.IMDP("STK",표.실시간[[#This Row],[nxt_code]],"고가")</f>
        <v>109300</v>
      </c>
      <c r="Q177" s="4">
        <f>_xll.IMDP("STK",표.실시간[[#This Row],[nxt_code]],"저가")</f>
        <v>108100</v>
      </c>
      <c r="R177">
        <f>_xll.IMDP("STK",표.실시간[[#This Row],[nxt_code]],"세션명")</f>
        <v>0</v>
      </c>
      <c r="S177">
        <f>_xll.IMDP("STK",표.실시간[[#This Row],[nxt_code]],"체결시간")</f>
        <v>0</v>
      </c>
      <c r="T177" s="4">
        <f>_xll.IMDP("STK","041510","현재가")</f>
        <v>107900</v>
      </c>
      <c r="U177">
        <f>_xll.IMDP("STK","041510","누적거래량")</f>
        <v>6515</v>
      </c>
    </row>
    <row r="178" spans="3:21" x14ac:dyDescent="0.3">
      <c r="C178">
        <v>173</v>
      </c>
      <c r="D178">
        <v>58610</v>
      </c>
      <c r="E178" t="s">
        <v>190</v>
      </c>
      <c r="F178" t="str">
        <f>ConvertStockCode(표.실시간[[#This Row],[코드]])</f>
        <v>N058610</v>
      </c>
      <c r="G178" s="4">
        <f>_xll.IMDP("STK",표.실시간[[#This Row],[nxt_code]],"현재가")</f>
        <v>103700</v>
      </c>
      <c r="H178" s="4">
        <f>_xll.IMDP("STK",표.실시간[[#This Row],[nxt_code]],"시가총액")/10^12</f>
        <v>2.2997922320000002</v>
      </c>
      <c r="I178" t="str">
        <f>_xll.IMDP("","","전일대비부호")</f>
        <v>코드오류</v>
      </c>
      <c r="J178" s="5">
        <f>_xll.IMDP("STK",표.실시간[[#This Row],[nxt_code]],"전일대비")</f>
        <v>-1400</v>
      </c>
      <c r="K178">
        <f>_xll.IMDP("STK",표.실시간[[#This Row],[nxt_code]],"등락률")</f>
        <v>-1.89</v>
      </c>
      <c r="L178" s="4">
        <f>_xll.IMDP("STK",표.실시간[[#This Row],[nxt_code]],"누적거래량")</f>
        <v>158359</v>
      </c>
      <c r="M178" s="4">
        <f>_xll.IMDP("STK",표.실시간[[#This Row],[nxt_code]],"누적거래대금")</f>
        <v>16666243250</v>
      </c>
      <c r="N178" s="4">
        <f>_xll.IMDP("STK",표.실시간[[#This Row],[nxt_code]],"가중평균가")</f>
        <v>105243.423171</v>
      </c>
      <c r="O178" s="4">
        <f>_xll.IMDP("STK",표.실시간[[#This Row],[nxt_code]],"시가")</f>
        <v>106500</v>
      </c>
      <c r="P178" s="4">
        <f>_xll.IMDP("STK",표.실시간[[#This Row],[nxt_code]],"고가")</f>
        <v>107700</v>
      </c>
      <c r="Q178" s="4">
        <f>_xll.IMDP("STK",표.실시간[[#This Row],[nxt_code]],"저가")</f>
        <v>102500</v>
      </c>
      <c r="R178">
        <f>_xll.IMDP("STK",표.실시간[[#This Row],[nxt_code]],"세션명")</f>
        <v>0</v>
      </c>
      <c r="S178">
        <f>_xll.IMDP("STK",표.실시간[[#This Row],[nxt_code]],"체결시간")</f>
        <v>0</v>
      </c>
      <c r="T178" s="4">
        <f>_xll.IMDP("STK","058610","현재가")</f>
        <v>104400</v>
      </c>
      <c r="U178">
        <f>_xll.IMDP("STK","058610","누적거래량")</f>
        <v>16662</v>
      </c>
    </row>
    <row r="179" spans="3:21" x14ac:dyDescent="0.3">
      <c r="C179">
        <v>174</v>
      </c>
      <c r="D179">
        <v>4370</v>
      </c>
      <c r="E179" t="s">
        <v>191</v>
      </c>
      <c r="F179" t="str">
        <f>ConvertStockCode(표.실시간[[#This Row],[코드]])</f>
        <v>N004370</v>
      </c>
      <c r="G179" s="4">
        <f>_xll.IMDP("STK",표.실시간[[#This Row],[nxt_code]],"현재가")</f>
        <v>409500</v>
      </c>
      <c r="H179" s="4">
        <f>_xll.IMDP("STK",표.실시간[[#This Row],[nxt_code]],"시가총액")/10^12</f>
        <v>2.4908418989999999</v>
      </c>
      <c r="I179" t="str">
        <f>_xll.IMDP("","","전일대비부호")</f>
        <v>코드오류</v>
      </c>
      <c r="J179" s="5">
        <f>_xll.IMDP("STK",표.실시간[[#This Row],[nxt_code]],"전일대비")</f>
        <v>-500</v>
      </c>
      <c r="K179">
        <f>_xll.IMDP("STK",표.실시간[[#This Row],[nxt_code]],"등락률")</f>
        <v>-0.12</v>
      </c>
      <c r="L179" s="4">
        <f>_xll.IMDP("STK",표.실시간[[#This Row],[nxt_code]],"누적거래량")</f>
        <v>1179</v>
      </c>
      <c r="M179" s="4">
        <f>_xll.IMDP("STK",표.실시간[[#This Row],[nxt_code]],"누적거래대금")</f>
        <v>484260000</v>
      </c>
      <c r="N179" s="4">
        <f>_xll.IMDP("STK",표.실시간[[#This Row],[nxt_code]],"가중평균가")</f>
        <v>410737.91348599998</v>
      </c>
      <c r="O179" s="4">
        <f>_xll.IMDP("STK",표.실시간[[#This Row],[nxt_code]],"시가")</f>
        <v>410000</v>
      </c>
      <c r="P179" s="4">
        <f>_xll.IMDP("STK",표.실시간[[#This Row],[nxt_code]],"고가")</f>
        <v>417000</v>
      </c>
      <c r="Q179" s="4">
        <f>_xll.IMDP("STK",표.실시간[[#This Row],[nxt_code]],"저가")</f>
        <v>407500</v>
      </c>
      <c r="R179">
        <f>_xll.IMDP("STK",표.실시간[[#This Row],[nxt_code]],"세션명")</f>
        <v>0</v>
      </c>
      <c r="S179">
        <f>_xll.IMDP("STK",표.실시간[[#This Row],[nxt_code]],"체결시간")</f>
        <v>0</v>
      </c>
      <c r="T179" s="4">
        <f>_xll.IMDP("STK","004370","현재가")</f>
        <v>409000</v>
      </c>
      <c r="U179">
        <f>_xll.IMDP("STK","004370","누적거래량")</f>
        <v>578</v>
      </c>
    </row>
    <row r="180" spans="3:21" x14ac:dyDescent="0.3">
      <c r="C180">
        <v>175</v>
      </c>
      <c r="D180">
        <v>1450</v>
      </c>
      <c r="E180" t="s">
        <v>192</v>
      </c>
      <c r="F180" t="str">
        <f>ConvertStockCode(표.실시간[[#This Row],[코드]])</f>
        <v>N001450</v>
      </c>
      <c r="G180" s="4">
        <f>_xll.IMDP("STK",표.실시간[[#This Row],[nxt_code]],"현재가")</f>
        <v>27750</v>
      </c>
      <c r="H180" s="4">
        <f>_xll.IMDP("STK",표.실시간[[#This Row],[nxt_code]],"시가총액")/10^12</f>
        <v>2.4808500000000002</v>
      </c>
      <c r="I180" t="str">
        <f>_xll.IMDP("","","전일대비부호")</f>
        <v>코드오류</v>
      </c>
      <c r="J180" s="5">
        <f>_xll.IMDP("STK",표.실시간[[#This Row],[nxt_code]],"전일대비")</f>
        <v>0</v>
      </c>
      <c r="K180">
        <f>_xll.IMDP("STK",표.실시간[[#This Row],[nxt_code]],"등락률")</f>
        <v>0</v>
      </c>
      <c r="L180" s="4">
        <f>_xll.IMDP("STK",표.실시간[[#This Row],[nxt_code]],"누적거래량")</f>
        <v>10811</v>
      </c>
      <c r="M180" s="4">
        <f>_xll.IMDP("STK",표.실시간[[#This Row],[nxt_code]],"누적거래대금")</f>
        <v>300623100</v>
      </c>
      <c r="N180" s="4">
        <f>_xll.IMDP("STK",표.실시간[[#This Row],[nxt_code]],"가중평균가")</f>
        <v>27807.150125</v>
      </c>
      <c r="O180" s="4">
        <f>_xll.IMDP("STK",표.실시간[[#This Row],[nxt_code]],"시가")</f>
        <v>27950</v>
      </c>
      <c r="P180" s="4">
        <f>_xll.IMDP("STK",표.실시간[[#This Row],[nxt_code]],"고가")</f>
        <v>27950</v>
      </c>
      <c r="Q180" s="4">
        <f>_xll.IMDP("STK",표.실시간[[#This Row],[nxt_code]],"저가")</f>
        <v>27500</v>
      </c>
      <c r="R180">
        <f>_xll.IMDP("STK",표.실시간[[#This Row],[nxt_code]],"세션명")</f>
        <v>0</v>
      </c>
      <c r="S180">
        <f>_xll.IMDP("STK",표.실시간[[#This Row],[nxt_code]],"체결시간")</f>
        <v>0</v>
      </c>
      <c r="T180" s="4">
        <f>_xll.IMDP("STK","001450","현재가")</f>
        <v>27750</v>
      </c>
      <c r="U180">
        <f>_xll.IMDP("STK","001450","누적거래량")</f>
        <v>14331</v>
      </c>
    </row>
    <row r="181" spans="3:21" x14ac:dyDescent="0.3">
      <c r="C181">
        <v>176</v>
      </c>
      <c r="D181">
        <v>1720</v>
      </c>
      <c r="E181" t="s">
        <v>193</v>
      </c>
      <c r="F181" t="str">
        <f>ConvertStockCode(표.실시간[[#This Row],[코드]])</f>
        <v>N001720</v>
      </c>
      <c r="G181" s="4">
        <f>_xll.IMDP("STK",표.실시간[[#This Row],[nxt_code]],"현재가")</f>
        <v>157300</v>
      </c>
      <c r="H181" s="4">
        <f>_xll.IMDP("STK",표.실시간[[#This Row],[nxt_code]],"시가총액")/10^12</f>
        <v>2.5860120000000002</v>
      </c>
      <c r="I181" t="str">
        <f>_xll.IMDP("","","전일대비부호")</f>
        <v>코드오류</v>
      </c>
      <c r="J181" s="5">
        <f>_xll.IMDP("STK",표.실시간[[#This Row],[nxt_code]],"전일대비")</f>
        <v>10600</v>
      </c>
      <c r="K181">
        <f>_xll.IMDP("STK",표.실시간[[#This Row],[nxt_code]],"등락률")</f>
        <v>7.23</v>
      </c>
      <c r="L181" s="4">
        <f>_xll.IMDP("STK",표.실시간[[#This Row],[nxt_code]],"누적거래량")</f>
        <v>7348</v>
      </c>
      <c r="M181" s="4">
        <f>_xll.IMDP("STK",표.실시간[[#This Row],[nxt_code]],"누적거래대금")</f>
        <v>1119253300</v>
      </c>
      <c r="N181" s="4">
        <f>_xll.IMDP("STK",표.실시간[[#This Row],[nxt_code]],"가중평균가")</f>
        <v>152320.808383</v>
      </c>
      <c r="O181" s="4">
        <f>_xll.IMDP("STK",표.실시간[[#This Row],[nxt_code]],"시가")</f>
        <v>151500</v>
      </c>
      <c r="P181" s="4">
        <f>_xll.IMDP("STK",표.실시간[[#This Row],[nxt_code]],"고가")</f>
        <v>157900</v>
      </c>
      <c r="Q181" s="4">
        <f>_xll.IMDP("STK",표.실시간[[#This Row],[nxt_code]],"저가")</f>
        <v>150300</v>
      </c>
      <c r="R181">
        <f>_xll.IMDP("STK",표.실시간[[#This Row],[nxt_code]],"세션명")</f>
        <v>0</v>
      </c>
      <c r="S181">
        <f>_xll.IMDP("STK",표.실시간[[#This Row],[nxt_code]],"체결시간")</f>
        <v>0</v>
      </c>
      <c r="T181" s="4">
        <f>_xll.IMDP("STK","001720","현재가")</f>
        <v>157300</v>
      </c>
      <c r="U181">
        <f>_xll.IMDP("STK","001720","누적거래량")</f>
        <v>1435</v>
      </c>
    </row>
    <row r="182" spans="3:21" x14ac:dyDescent="0.3">
      <c r="C182">
        <v>177</v>
      </c>
      <c r="D182">
        <v>237690</v>
      </c>
      <c r="E182" t="s">
        <v>194</v>
      </c>
      <c r="F182" t="str">
        <f>ConvertStockCode(표.실시간[[#This Row],[코드]])</f>
        <v>N237690</v>
      </c>
      <c r="G182" s="4">
        <f>_xll.IMDP("STK",표.실시간[[#This Row],[nxt_code]],"현재가")</f>
        <v>120100</v>
      </c>
      <c r="H182" s="4">
        <f>_xll.IMDP("STK",표.실시간[[#This Row],[nxt_code]],"시가총액")/10^12</f>
        <v>2.4862722484000002</v>
      </c>
      <c r="I182" t="str">
        <f>_xll.IMDP("","","전일대비부호")</f>
        <v>코드오류</v>
      </c>
      <c r="J182" s="5">
        <f>_xll.IMDP("STK",표.실시간[[#This Row],[nxt_code]],"전일대비")</f>
        <v>0</v>
      </c>
      <c r="K182">
        <f>_xll.IMDP("STK",표.실시간[[#This Row],[nxt_code]],"등락률")</f>
        <v>0</v>
      </c>
      <c r="L182" s="4">
        <f>_xll.IMDP("STK",표.실시간[[#This Row],[nxt_code]],"누적거래량")</f>
        <v>3974</v>
      </c>
      <c r="M182" s="4">
        <f>_xll.IMDP("STK",표.실시간[[#This Row],[nxt_code]],"누적거래대금")</f>
        <v>477832900</v>
      </c>
      <c r="N182" s="4">
        <f>_xll.IMDP("STK",표.실시간[[#This Row],[nxt_code]],"가중평균가")</f>
        <v>120239.783593</v>
      </c>
      <c r="O182" s="4">
        <f>_xll.IMDP("STK",표.실시간[[#This Row],[nxt_code]],"시가")</f>
        <v>120100</v>
      </c>
      <c r="P182" s="4">
        <f>_xll.IMDP("STK",표.실시간[[#This Row],[nxt_code]],"고가")</f>
        <v>120800</v>
      </c>
      <c r="Q182" s="4">
        <f>_xll.IMDP("STK",표.실시간[[#This Row],[nxt_code]],"저가")</f>
        <v>120000</v>
      </c>
      <c r="R182">
        <f>_xll.IMDP("STK",표.실시간[[#This Row],[nxt_code]],"세션명")</f>
        <v>0</v>
      </c>
      <c r="S182">
        <f>_xll.IMDP("STK",표.실시간[[#This Row],[nxt_code]],"체결시간")</f>
        <v>0</v>
      </c>
      <c r="T182" s="4">
        <f>_xll.IMDP("STK","237690","현재가")</f>
        <v>120100</v>
      </c>
      <c r="U182">
        <f>_xll.IMDP("STK","237690","누적거래량")</f>
        <v>735</v>
      </c>
    </row>
    <row r="183" spans="3:21" x14ac:dyDescent="0.3">
      <c r="C183">
        <v>178</v>
      </c>
      <c r="D183">
        <v>336260</v>
      </c>
      <c r="E183" t="s">
        <v>195</v>
      </c>
      <c r="F183" t="str">
        <f>ConvertStockCode(표.실시간[[#This Row],[코드]])</f>
        <v>N336260</v>
      </c>
      <c r="G183" s="4">
        <f>_xll.IMDP("STK",표.실시간[[#This Row],[nxt_code]],"현재가")</f>
        <v>37150</v>
      </c>
      <c r="H183" s="4">
        <f>_xll.IMDP("STK",표.실시간[[#This Row],[nxt_code]],"시가총액")/10^12</f>
        <v>2.4330919208999999</v>
      </c>
      <c r="I183" t="str">
        <f>_xll.IMDP("","","전일대비부호")</f>
        <v>코드오류</v>
      </c>
      <c r="J183" s="5">
        <f>_xll.IMDP("STK",표.실시간[[#This Row],[nxt_code]],"전일대비")</f>
        <v>-850</v>
      </c>
      <c r="K183">
        <f>_xll.IMDP("STK",표.실시간[[#This Row],[nxt_code]],"등락률")</f>
        <v>-2.2400000000000002</v>
      </c>
      <c r="L183" s="4">
        <f>_xll.IMDP("STK",표.실시간[[#This Row],[nxt_code]],"누적거래량")</f>
        <v>111373</v>
      </c>
      <c r="M183" s="4">
        <f>_xll.IMDP("STK",표.실시간[[#This Row],[nxt_code]],"누적거래대금")</f>
        <v>4235256450</v>
      </c>
      <c r="N183" s="4">
        <f>_xll.IMDP("STK",표.실시간[[#This Row],[nxt_code]],"가중평균가")</f>
        <v>38027.676815999999</v>
      </c>
      <c r="O183" s="4">
        <f>_xll.IMDP("STK",표.실시간[[#This Row],[nxt_code]],"시가")</f>
        <v>38400</v>
      </c>
      <c r="P183" s="4">
        <f>_xll.IMDP("STK",표.실시간[[#This Row],[nxt_code]],"고가")</f>
        <v>38850</v>
      </c>
      <c r="Q183" s="4">
        <f>_xll.IMDP("STK",표.실시간[[#This Row],[nxt_code]],"저가")</f>
        <v>37100</v>
      </c>
      <c r="R183">
        <f>_xll.IMDP("STK",표.실시간[[#This Row],[nxt_code]],"세션명")</f>
        <v>0</v>
      </c>
      <c r="S183">
        <f>_xll.IMDP("STK",표.실시간[[#This Row],[nxt_code]],"체결시간")</f>
        <v>0</v>
      </c>
      <c r="T183" s="4">
        <f>_xll.IMDP("STK","336260","현재가")</f>
        <v>37100</v>
      </c>
      <c r="U183">
        <f>_xll.IMDP("STK","336260","누적거래량")</f>
        <v>28951</v>
      </c>
    </row>
    <row r="184" spans="3:21" x14ac:dyDescent="0.3">
      <c r="C184">
        <v>179</v>
      </c>
      <c r="D184">
        <v>30000</v>
      </c>
      <c r="E184" t="s">
        <v>196</v>
      </c>
      <c r="F184" t="str">
        <f>ConvertStockCode(표.실시간[[#This Row],[코드]])</f>
        <v>N030000</v>
      </c>
      <c r="G184" s="4">
        <f>_xll.IMDP("STK",표.실시간[[#This Row],[nxt_code]],"현재가")</f>
        <v>20900</v>
      </c>
      <c r="H184" s="4">
        <f>_xll.IMDP("STK",표.실시간[[#This Row],[nxt_code]],"시가총액")/10^12</f>
        <v>2.4043616024999999</v>
      </c>
      <c r="I184" t="str">
        <f>_xll.IMDP("","","전일대비부호")</f>
        <v>코드오류</v>
      </c>
      <c r="J184" s="5">
        <f>_xll.IMDP("STK",표.실시간[[#This Row],[nxt_code]],"전일대비")</f>
        <v>50</v>
      </c>
      <c r="K184">
        <f>_xll.IMDP("STK",표.실시간[[#This Row],[nxt_code]],"등락률")</f>
        <v>0.24</v>
      </c>
      <c r="L184" s="4">
        <f>_xll.IMDP("STK",표.실시간[[#This Row],[nxt_code]],"누적거래량")</f>
        <v>4635</v>
      </c>
      <c r="M184" s="4">
        <f>_xll.IMDP("STK",표.실시간[[#This Row],[nxt_code]],"누적거래대금")</f>
        <v>96804350</v>
      </c>
      <c r="N184" s="4">
        <f>_xll.IMDP("STK",표.실시간[[#This Row],[nxt_code]],"가중평균가")</f>
        <v>20885.512406000002</v>
      </c>
      <c r="O184" s="4">
        <f>_xll.IMDP("STK",표.실시간[[#This Row],[nxt_code]],"시가")</f>
        <v>20850</v>
      </c>
      <c r="P184" s="4">
        <f>_xll.IMDP("STK",표.실시간[[#This Row],[nxt_code]],"고가")</f>
        <v>20900</v>
      </c>
      <c r="Q184" s="4">
        <f>_xll.IMDP("STK",표.실시간[[#This Row],[nxt_code]],"저가")</f>
        <v>20800</v>
      </c>
      <c r="R184">
        <f>_xll.IMDP("STK",표.실시간[[#This Row],[nxt_code]],"세션명")</f>
        <v>0</v>
      </c>
      <c r="S184">
        <f>_xll.IMDP("STK",표.실시간[[#This Row],[nxt_code]],"체결시간")</f>
        <v>0</v>
      </c>
      <c r="T184" s="4">
        <f>_xll.IMDP("STK","030000","현재가")</f>
        <v>20900</v>
      </c>
      <c r="U184">
        <f>_xll.IMDP("STK","030000","누적거래량")</f>
        <v>3385</v>
      </c>
    </row>
    <row r="185" spans="3:21" x14ac:dyDescent="0.3">
      <c r="C185">
        <v>180</v>
      </c>
      <c r="D185">
        <v>35900</v>
      </c>
      <c r="E185" t="s">
        <v>197</v>
      </c>
      <c r="F185" t="str">
        <f>ConvertStockCode(표.실시간[[#This Row],[코드]])</f>
        <v>N035900</v>
      </c>
      <c r="G185" s="4">
        <f>_xll.IMDP("STK",표.실시간[[#This Row],[nxt_code]],"현재가")</f>
        <v>68600</v>
      </c>
      <c r="H185" s="4">
        <f>_xll.IMDP("STK",표.실시간[[#This Row],[nxt_code]],"시가총액")/10^12</f>
        <v>2.4375289512</v>
      </c>
      <c r="I185" t="str">
        <f>_xll.IMDP("","","전일대비부호")</f>
        <v>코드오류</v>
      </c>
      <c r="J185" s="5">
        <f>_xll.IMDP("STK",표.실시간[[#This Row],[nxt_code]],"전일대비")</f>
        <v>550</v>
      </c>
      <c r="K185">
        <f>_xll.IMDP("STK",표.실시간[[#This Row],[nxt_code]],"등락률")</f>
        <v>0.88</v>
      </c>
      <c r="L185" s="4">
        <f>_xll.IMDP("STK",표.실시간[[#This Row],[nxt_code]],"누적거래량")</f>
        <v>30467</v>
      </c>
      <c r="M185" s="4">
        <f>_xll.IMDP("STK",표.실시간[[#This Row],[nxt_code]],"누적거래대금")</f>
        <v>2080105250</v>
      </c>
      <c r="N185" s="4">
        <f>_xll.IMDP("STK",표.실시간[[#This Row],[nxt_code]],"가중평균가")</f>
        <v>68274.042407000001</v>
      </c>
      <c r="O185" s="4">
        <f>_xll.IMDP("STK",표.실시간[[#This Row],[nxt_code]],"시가")</f>
        <v>68300</v>
      </c>
      <c r="P185" s="4">
        <f>_xll.IMDP("STK",표.실시간[[#This Row],[nxt_code]],"고가")</f>
        <v>68800</v>
      </c>
      <c r="Q185" s="4">
        <f>_xll.IMDP("STK",표.실시간[[#This Row],[nxt_code]],"저가")</f>
        <v>67800</v>
      </c>
      <c r="R185">
        <f>_xll.IMDP("STK",표.실시간[[#This Row],[nxt_code]],"세션명")</f>
        <v>0</v>
      </c>
      <c r="S185">
        <f>_xll.IMDP("STK",표.실시간[[#This Row],[nxt_code]],"체결시간")</f>
        <v>0</v>
      </c>
      <c r="T185" s="4">
        <f>_xll.IMDP("STK","035900","현재가")</f>
        <v>68500</v>
      </c>
      <c r="U185">
        <f>_xll.IMDP("STK","035900","누적거래량")</f>
        <v>15161</v>
      </c>
    </row>
    <row r="186" spans="3:21" x14ac:dyDescent="0.3">
      <c r="C186">
        <v>181</v>
      </c>
      <c r="D186">
        <v>226950</v>
      </c>
      <c r="E186" t="s">
        <v>198</v>
      </c>
      <c r="F186" t="str">
        <f>ConvertStockCode(표.실시간[[#This Row],[코드]])</f>
        <v>N226950</v>
      </c>
      <c r="G186" s="4">
        <f>_xll.IMDP("STK",표.실시간[[#This Row],[nxt_code]],"현재가")</f>
        <v>118600</v>
      </c>
      <c r="H186" s="4">
        <f>_xll.IMDP("STK",표.실시간[[#This Row],[nxt_code]],"시가총액")/10^12</f>
        <v>2.3945201238</v>
      </c>
      <c r="I186" t="str">
        <f>_xll.IMDP("","","전일대비부호")</f>
        <v>코드오류</v>
      </c>
      <c r="J186" s="5">
        <f>_xll.IMDP("STK",표.실시간[[#This Row],[nxt_code]],"전일대비")</f>
        <v>0</v>
      </c>
      <c r="K186">
        <f>_xll.IMDP("STK",표.실시간[[#This Row],[nxt_code]],"등락률")</f>
        <v>-0.25</v>
      </c>
      <c r="L186" s="4">
        <f>_xll.IMDP("STK",표.실시간[[#This Row],[nxt_code]],"누적거래량")</f>
        <v>27257</v>
      </c>
      <c r="M186" s="4">
        <f>_xll.IMDP("STK",표.실시간[[#This Row],[nxt_code]],"누적거래대금")</f>
        <v>3251038100</v>
      </c>
      <c r="N186" s="4">
        <f>_xll.IMDP("STK",표.실시간[[#This Row],[nxt_code]],"가중평균가")</f>
        <v>118976.857174</v>
      </c>
      <c r="O186" s="4">
        <f>_xll.IMDP("STK",표.실시간[[#This Row],[nxt_code]],"시가")</f>
        <v>118800</v>
      </c>
      <c r="P186" s="4">
        <f>_xll.IMDP("STK",표.실시간[[#This Row],[nxt_code]],"고가")</f>
        <v>120300</v>
      </c>
      <c r="Q186" s="4">
        <f>_xll.IMDP("STK",표.실시간[[#This Row],[nxt_code]],"저가")</f>
        <v>117700</v>
      </c>
      <c r="R186">
        <f>_xll.IMDP("STK",표.실시간[[#This Row],[nxt_code]],"세션명")</f>
        <v>0</v>
      </c>
      <c r="S186">
        <f>_xll.IMDP("STK",표.실시간[[#This Row],[nxt_code]],"체결시간")</f>
        <v>0</v>
      </c>
      <c r="T186" s="4">
        <f>_xll.IMDP("STK","226950","현재가")</f>
        <v>118500</v>
      </c>
      <c r="U186">
        <f>_xll.IMDP("STK","226950","누적거래량")</f>
        <v>8461</v>
      </c>
    </row>
    <row r="187" spans="3:21" x14ac:dyDescent="0.3">
      <c r="C187">
        <v>182</v>
      </c>
      <c r="D187">
        <v>9420</v>
      </c>
      <c r="E187" t="s">
        <v>199</v>
      </c>
      <c r="F187" t="str">
        <f>ConvertStockCode(표.실시간[[#This Row],[코드]])</f>
        <v>N009420</v>
      </c>
      <c r="G187" s="4">
        <f>_xll.IMDP("STK",표.실시간[[#This Row],[nxt_code]],"현재가")</f>
        <v>48150</v>
      </c>
      <c r="H187" s="4">
        <f>_xll.IMDP("STK",표.실시간[[#This Row],[nxt_code]],"시가총액")/10^12</f>
        <v>2.5153867196999999</v>
      </c>
      <c r="I187" t="str">
        <f>_xll.IMDP("","","전일대비부호")</f>
        <v>코드오류</v>
      </c>
      <c r="J187" s="5">
        <f>_xll.IMDP("STK",표.실시간[[#This Row],[nxt_code]],"전일대비")</f>
        <v>250</v>
      </c>
      <c r="K187">
        <f>_xll.IMDP("STK",표.실시간[[#This Row],[nxt_code]],"등락률")</f>
        <v>0.52</v>
      </c>
      <c r="L187" s="4">
        <f>_xll.IMDP("STK",표.실시간[[#This Row],[nxt_code]],"누적거래량")</f>
        <v>26126</v>
      </c>
      <c r="M187" s="4">
        <f>_xll.IMDP("STK",표.실시간[[#This Row],[nxt_code]],"누적거래대금")</f>
        <v>1247177200</v>
      </c>
      <c r="N187" s="4">
        <f>_xll.IMDP("STK",표.실시간[[#This Row],[nxt_code]],"가중평균가")</f>
        <v>47737.012937</v>
      </c>
      <c r="O187" s="4">
        <f>_xll.IMDP("STK",표.실시간[[#This Row],[nxt_code]],"시가")</f>
        <v>47600</v>
      </c>
      <c r="P187" s="4">
        <f>_xll.IMDP("STK",표.실시간[[#This Row],[nxt_code]],"고가")</f>
        <v>48300</v>
      </c>
      <c r="Q187" s="4">
        <f>_xll.IMDP("STK",표.실시간[[#This Row],[nxt_code]],"저가")</f>
        <v>47450</v>
      </c>
      <c r="R187">
        <f>_xll.IMDP("STK",표.실시간[[#This Row],[nxt_code]],"세션명")</f>
        <v>0</v>
      </c>
      <c r="S187">
        <f>_xll.IMDP("STK",표.실시간[[#This Row],[nxt_code]],"체결시간")</f>
        <v>0</v>
      </c>
      <c r="T187" s="4">
        <f>_xll.IMDP("STK","009420","현재가")</f>
        <v>48200</v>
      </c>
      <c r="U187">
        <f>_xll.IMDP("STK","009420","누적거래량")</f>
        <v>10604</v>
      </c>
    </row>
    <row r="188" spans="3:21" x14ac:dyDescent="0.3">
      <c r="C188">
        <v>183</v>
      </c>
      <c r="D188">
        <v>28670</v>
      </c>
      <c r="E188" t="s">
        <v>200</v>
      </c>
      <c r="F188" t="str">
        <f>ConvertStockCode(표.실시간[[#This Row],[코드]])</f>
        <v>N028670</v>
      </c>
      <c r="G188" s="4">
        <f>_xll.IMDP("STK",표.실시간[[#This Row],[nxt_code]],"현재가")</f>
        <v>4395</v>
      </c>
      <c r="H188" s="4">
        <f>_xll.IMDP("STK",표.실시간[[#This Row],[nxt_code]],"시가총액")/10^12</f>
        <v>2.3494330052399999</v>
      </c>
      <c r="I188" t="str">
        <f>_xll.IMDP("","","전일대비부호")</f>
        <v>코드오류</v>
      </c>
      <c r="J188" s="5">
        <f>_xll.IMDP("STK",표.실시간[[#This Row],[nxt_code]],"전일대비")</f>
        <v>-80</v>
      </c>
      <c r="K188">
        <f>_xll.IMDP("STK",표.실시간[[#This Row],[nxt_code]],"등락률")</f>
        <v>-1.79</v>
      </c>
      <c r="L188" s="4">
        <f>_xll.IMDP("STK",표.실시간[[#This Row],[nxt_code]],"누적거래량")</f>
        <v>229536</v>
      </c>
      <c r="M188" s="4">
        <f>_xll.IMDP("STK",표.실시간[[#This Row],[nxt_code]],"누적거래대금")</f>
        <v>1024301390</v>
      </c>
      <c r="N188" s="4">
        <f>_xll.IMDP("STK",표.실시간[[#This Row],[nxt_code]],"가중평균가")</f>
        <v>4458.6574220000002</v>
      </c>
      <c r="O188" s="4">
        <f>_xll.IMDP("STK",표.실시간[[#This Row],[nxt_code]],"시가")</f>
        <v>4500</v>
      </c>
      <c r="P188" s="4">
        <f>_xll.IMDP("STK",표.실시간[[#This Row],[nxt_code]],"고가")</f>
        <v>4535</v>
      </c>
      <c r="Q188" s="4">
        <f>_xll.IMDP("STK",표.실시간[[#This Row],[nxt_code]],"저가")</f>
        <v>4370</v>
      </c>
      <c r="R188">
        <f>_xll.IMDP("STK",표.실시간[[#This Row],[nxt_code]],"세션명")</f>
        <v>0</v>
      </c>
      <c r="S188">
        <f>_xll.IMDP("STK",표.실시간[[#This Row],[nxt_code]],"체결시간")</f>
        <v>0</v>
      </c>
      <c r="T188" s="4">
        <f>_xll.IMDP("STK","028670","현재가")</f>
        <v>4395</v>
      </c>
      <c r="U188">
        <f>_xll.IMDP("STK","028670","누적거래량")</f>
        <v>135060</v>
      </c>
    </row>
    <row r="189" spans="3:21" x14ac:dyDescent="0.3">
      <c r="C189">
        <v>184</v>
      </c>
      <c r="D189">
        <v>81660</v>
      </c>
      <c r="E189" t="s">
        <v>201</v>
      </c>
      <c r="F189" t="str">
        <f>ConvertStockCode(표.실시간[[#This Row],[코드]])</f>
        <v>N081660</v>
      </c>
      <c r="G189" s="4">
        <f>_xll.IMDP("STK",표.실시간[[#This Row],[nxt_code]],"현재가")</f>
        <v>45250</v>
      </c>
      <c r="H189" s="4">
        <f>_xll.IMDP("STK",표.실시간[[#This Row],[nxt_code]],"시가총액")/10^12</f>
        <v>2.4024057600000002</v>
      </c>
      <c r="I189" t="str">
        <f>_xll.IMDP("","","전일대비부호")</f>
        <v>코드오류</v>
      </c>
      <c r="J189" s="5">
        <f>_xll.IMDP("STK",표.실시간[[#This Row],[nxt_code]],"전일대비")</f>
        <v>-350</v>
      </c>
      <c r="K189">
        <f>_xll.IMDP("STK",표.실시간[[#This Row],[nxt_code]],"등락률")</f>
        <v>-0.77</v>
      </c>
      <c r="L189" s="4">
        <f>_xll.IMDP("STK",표.실시간[[#This Row],[nxt_code]],"누적거래량")</f>
        <v>279</v>
      </c>
      <c r="M189" s="4">
        <f>_xll.IMDP("STK",표.실시간[[#This Row],[nxt_code]],"누적거래대금")</f>
        <v>12600650</v>
      </c>
      <c r="N189" s="4">
        <f>_xll.IMDP("STK",표.실시간[[#This Row],[nxt_code]],"가중평균가")</f>
        <v>45163.620071999998</v>
      </c>
      <c r="O189" s="4">
        <f>_xll.IMDP("STK",표.실시간[[#This Row],[nxt_code]],"시가")</f>
        <v>45200</v>
      </c>
      <c r="P189" s="4">
        <f>_xll.IMDP("STK",표.실시간[[#This Row],[nxt_code]],"고가")</f>
        <v>45250</v>
      </c>
      <c r="Q189" s="4">
        <f>_xll.IMDP("STK",표.실시간[[#This Row],[nxt_code]],"저가")</f>
        <v>45050</v>
      </c>
      <c r="R189">
        <f>_xll.IMDP("STK",표.실시간[[#This Row],[nxt_code]],"세션명")</f>
        <v>0</v>
      </c>
      <c r="S189">
        <f>_xll.IMDP("STK",표.실시간[[#This Row],[nxt_code]],"체결시간")</f>
        <v>0</v>
      </c>
      <c r="T189" s="4">
        <f>_xll.IMDP("STK","081660","현재가")</f>
        <v>45550</v>
      </c>
      <c r="U189">
        <f>_xll.IMDP("STK","081660","누적거래량")</f>
        <v>787</v>
      </c>
    </row>
    <row r="190" spans="3:21" x14ac:dyDescent="0.3">
      <c r="C190">
        <v>185</v>
      </c>
      <c r="D190">
        <v>160190</v>
      </c>
      <c r="E190" t="s">
        <v>202</v>
      </c>
      <c r="F190" t="str">
        <f>ConvertStockCode(표.실시간[[#This Row],[코드]])</f>
        <v>N160190</v>
      </c>
      <c r="G190" s="4">
        <f>_xll.IMDP("STK",표.실시간[[#This Row],[nxt_code]],"현재가")</f>
        <v>69900</v>
      </c>
      <c r="H190" s="4">
        <f>_xll.IMDP("STK",표.실시간[[#This Row],[nxt_code]],"시가총액")/10^12</f>
        <v>2.1590712000000001</v>
      </c>
      <c r="I190" t="str">
        <f>_xll.IMDP("","","전일대비부호")</f>
        <v>코드오류</v>
      </c>
      <c r="J190" s="5">
        <f>_xll.IMDP("STK",표.실시간[[#This Row],[nxt_code]],"전일대비")</f>
        <v>600</v>
      </c>
      <c r="K190">
        <f>_xll.IMDP("STK",표.실시간[[#This Row],[nxt_code]],"등락률")</f>
        <v>0.87</v>
      </c>
      <c r="L190" s="4">
        <f>_xll.IMDP("STK",표.실시간[[#This Row],[nxt_code]],"누적거래량")</f>
        <v>146584</v>
      </c>
      <c r="M190" s="4">
        <f>_xll.IMDP("STK",표.실시간[[#This Row],[nxt_code]],"누적거래대금")</f>
        <v>10486216000</v>
      </c>
      <c r="N190" s="4">
        <f>_xll.IMDP("STK",표.실시간[[#This Row],[nxt_code]],"가중평균가")</f>
        <v>71534.320212999999</v>
      </c>
      <c r="O190" s="4">
        <f>_xll.IMDP("STK",표.실시간[[#This Row],[nxt_code]],"시가")</f>
        <v>70000</v>
      </c>
      <c r="P190" s="4">
        <f>_xll.IMDP("STK",표.실시간[[#This Row],[nxt_code]],"고가")</f>
        <v>73900</v>
      </c>
      <c r="Q190" s="4">
        <f>_xll.IMDP("STK",표.실시간[[#This Row],[nxt_code]],"저가")</f>
        <v>69900</v>
      </c>
      <c r="R190">
        <f>_xll.IMDP("STK",표.실시간[[#This Row],[nxt_code]],"세션명")</f>
        <v>0</v>
      </c>
      <c r="S190">
        <f>_xll.IMDP("STK",표.실시간[[#This Row],[nxt_code]],"체결시간")</f>
        <v>0</v>
      </c>
      <c r="T190" s="4">
        <f>_xll.IMDP("STK","160190","현재가")</f>
        <v>69800</v>
      </c>
      <c r="U190">
        <f>_xll.IMDP("STK","160190","누적거래량")</f>
        <v>10846</v>
      </c>
    </row>
    <row r="191" spans="3:21" x14ac:dyDescent="0.3">
      <c r="C191">
        <v>186</v>
      </c>
      <c r="D191">
        <v>139480</v>
      </c>
      <c r="E191" t="s">
        <v>203</v>
      </c>
      <c r="F191" t="str">
        <f>ConvertStockCode(표.실시간[[#This Row],[코드]])</f>
        <v>N139480</v>
      </c>
      <c r="G191" s="4">
        <f>_xll.IMDP("STK",표.실시간[[#This Row],[nxt_code]],"현재가")</f>
        <v>86300</v>
      </c>
      <c r="H191" s="4">
        <f>_xll.IMDP("STK",표.실시간[[#This Row],[nxt_code]],"시가총액")/10^12</f>
        <v>2.373240434</v>
      </c>
      <c r="I191" t="str">
        <f>_xll.IMDP("","","전일대비부호")</f>
        <v>코드오류</v>
      </c>
      <c r="J191" s="5">
        <f>_xll.IMDP("STK",표.실시간[[#This Row],[nxt_code]],"전일대비")</f>
        <v>300</v>
      </c>
      <c r="K191">
        <f>_xll.IMDP("STK",표.실시간[[#This Row],[nxt_code]],"등락률")</f>
        <v>0.35</v>
      </c>
      <c r="L191" s="4">
        <f>_xll.IMDP("STK",표.실시간[[#This Row],[nxt_code]],"누적거래량")</f>
        <v>9955</v>
      </c>
      <c r="M191" s="4">
        <f>_xll.IMDP("STK",표.실시간[[#This Row],[nxt_code]],"누적거래대금")</f>
        <v>860768100</v>
      </c>
      <c r="N191" s="4">
        <f>_xll.IMDP("STK",표.실시간[[#This Row],[nxt_code]],"가중평균가")</f>
        <v>86465.906579999995</v>
      </c>
      <c r="O191" s="4">
        <f>_xll.IMDP("STK",표.실시간[[#This Row],[nxt_code]],"시가")</f>
        <v>86000</v>
      </c>
      <c r="P191" s="4">
        <f>_xll.IMDP("STK",표.실시간[[#This Row],[nxt_code]],"고가")</f>
        <v>86700</v>
      </c>
      <c r="Q191" s="4">
        <f>_xll.IMDP("STK",표.실시간[[#This Row],[nxt_code]],"저가")</f>
        <v>86000</v>
      </c>
      <c r="R191">
        <f>_xll.IMDP("STK",표.실시간[[#This Row],[nxt_code]],"세션명")</f>
        <v>0</v>
      </c>
      <c r="S191">
        <f>_xll.IMDP("STK",표.실시간[[#This Row],[nxt_code]],"체결시간")</f>
        <v>0</v>
      </c>
      <c r="T191" s="4">
        <f>_xll.IMDP("STK","139480","현재가")</f>
        <v>86100</v>
      </c>
      <c r="U191">
        <f>_xll.IMDP("STK","139480","누적거래량")</f>
        <v>1978</v>
      </c>
    </row>
    <row r="192" spans="3:21" x14ac:dyDescent="0.3">
      <c r="C192">
        <v>187</v>
      </c>
      <c r="D192">
        <v>437730</v>
      </c>
      <c r="E192" t="s">
        <v>204</v>
      </c>
      <c r="F192" t="str">
        <f>ConvertStockCode(표.실시간[[#This Row],[코드]])</f>
        <v>N437730</v>
      </c>
      <c r="G192" s="4">
        <f>_xll.IMDP("STK",표.실시간[[#This Row],[nxt_code]],"현재가")</f>
        <v>66000</v>
      </c>
      <c r="H192" s="4">
        <f>_xll.IMDP("STK",표.실시간[[#This Row],[nxt_code]],"시가총액")/10^12</f>
        <v>2.0926994219999999</v>
      </c>
      <c r="I192" t="str">
        <f>_xll.IMDP("","","전일대비부호")</f>
        <v>코드오류</v>
      </c>
      <c r="J192" s="5">
        <f>_xll.IMDP("STK",표.실시간[[#This Row],[nxt_code]],"전일대비")</f>
        <v>-800</v>
      </c>
      <c r="K192">
        <f>_xll.IMDP("STK",표.실시간[[#This Row],[nxt_code]],"등락률")</f>
        <v>-1.2</v>
      </c>
      <c r="L192" s="4">
        <f>_xll.IMDP("STK",표.실시간[[#This Row],[nxt_code]],"누적거래량")</f>
        <v>75722</v>
      </c>
      <c r="M192" s="4">
        <f>_xll.IMDP("STK",표.실시간[[#This Row],[nxt_code]],"누적거래대금")</f>
        <v>5042331700</v>
      </c>
      <c r="N192" s="4">
        <f>_xll.IMDP("STK",표.실시간[[#This Row],[nxt_code]],"가중평균가")</f>
        <v>66590.134854999997</v>
      </c>
      <c r="O192" s="4">
        <f>_xll.IMDP("STK",표.실시간[[#This Row],[nxt_code]],"시가")</f>
        <v>67400</v>
      </c>
      <c r="P192" s="4">
        <f>_xll.IMDP("STK",표.실시간[[#This Row],[nxt_code]],"고가")</f>
        <v>68200</v>
      </c>
      <c r="Q192" s="4">
        <f>_xll.IMDP("STK",표.실시간[[#This Row],[nxt_code]],"저가")</f>
        <v>65100</v>
      </c>
      <c r="R192">
        <f>_xll.IMDP("STK",표.실시간[[#This Row],[nxt_code]],"세션명")</f>
        <v>0</v>
      </c>
      <c r="S192">
        <f>_xll.IMDP("STK",표.실시간[[#This Row],[nxt_code]],"체결시간")</f>
        <v>0</v>
      </c>
      <c r="T192" s="4">
        <f>_xll.IMDP("STK","437730","현재가")</f>
        <v>66200</v>
      </c>
      <c r="U192">
        <f>_xll.IMDP("STK","437730","누적거래량")</f>
        <v>16961</v>
      </c>
    </row>
    <row r="193" spans="3:21" x14ac:dyDescent="0.3">
      <c r="C193">
        <v>188</v>
      </c>
      <c r="D193">
        <v>139130</v>
      </c>
      <c r="E193" t="s">
        <v>205</v>
      </c>
      <c r="F193" t="str">
        <f>ConvertStockCode(표.실시간[[#This Row],[코드]])</f>
        <v>N139130</v>
      </c>
      <c r="G193" s="4">
        <f>_xll.IMDP("STK",표.실시간[[#This Row],[nxt_code]],"현재가")</f>
        <v>14340</v>
      </c>
      <c r="H193" s="4">
        <f>_xll.IMDP("STK",표.실시간[[#This Row],[nxt_code]],"시가총액")/10^12</f>
        <v>2.3033565202199999</v>
      </c>
      <c r="I193" t="str">
        <f>_xll.IMDP("","","전일대비부호")</f>
        <v>코드오류</v>
      </c>
      <c r="J193" s="5">
        <f>_xll.IMDP("STK",표.실시간[[#This Row],[nxt_code]],"전일대비")</f>
        <v>-10</v>
      </c>
      <c r="K193">
        <f>_xll.IMDP("STK",표.실시간[[#This Row],[nxt_code]],"등락률")</f>
        <v>-7.0000000000000007E-2</v>
      </c>
      <c r="L193" s="4">
        <f>_xll.IMDP("STK",표.실시간[[#This Row],[nxt_code]],"누적거래량")</f>
        <v>4467</v>
      </c>
      <c r="M193" s="4">
        <f>_xll.IMDP("STK",표.실시간[[#This Row],[nxt_code]],"누적거래대금")</f>
        <v>64106430</v>
      </c>
      <c r="N193" s="4">
        <f>_xll.IMDP("STK",표.실시간[[#This Row],[nxt_code]],"가중평균가")</f>
        <v>14351.114842000001</v>
      </c>
      <c r="O193" s="4">
        <f>_xll.IMDP("STK",표.실시간[[#This Row],[nxt_code]],"시가")</f>
        <v>14300</v>
      </c>
      <c r="P193" s="4">
        <f>_xll.IMDP("STK",표.실시간[[#This Row],[nxt_code]],"고가")</f>
        <v>14420</v>
      </c>
      <c r="Q193" s="4">
        <f>_xll.IMDP("STK",표.실시간[[#This Row],[nxt_code]],"저가")</f>
        <v>14300</v>
      </c>
      <c r="R193">
        <f>_xll.IMDP("STK",표.실시간[[#This Row],[nxt_code]],"세션명")</f>
        <v>0</v>
      </c>
      <c r="S193">
        <f>_xll.IMDP("STK",표.실시간[[#This Row],[nxt_code]],"체결시간")</f>
        <v>0</v>
      </c>
      <c r="T193" s="4">
        <f>_xll.IMDP("STK","139130","현재가")</f>
        <v>14380</v>
      </c>
      <c r="U193">
        <f>_xll.IMDP("STK","139130","누적거래량")</f>
        <v>6985</v>
      </c>
    </row>
    <row r="194" spans="3:21" x14ac:dyDescent="0.3">
      <c r="C194">
        <v>189</v>
      </c>
      <c r="D194">
        <v>120</v>
      </c>
      <c r="E194" t="s">
        <v>206</v>
      </c>
      <c r="F194" t="str">
        <f>ConvertStockCode(표.실시간[[#This Row],[코드]])</f>
        <v>N000120</v>
      </c>
      <c r="G194" s="4">
        <f>_xll.IMDP("STK",표.실시간[[#This Row],[nxt_code]],"현재가")</f>
        <v>100100</v>
      </c>
      <c r="H194" s="4">
        <f>_xll.IMDP("STK",표.실시간[[#This Row],[nxt_code]],"시가총액")/10^12</f>
        <v>2.2835156344</v>
      </c>
      <c r="I194" t="str">
        <f>_xll.IMDP("","","전일대비부호")</f>
        <v>코드오류</v>
      </c>
      <c r="J194" s="5">
        <f>_xll.IMDP("STK",표.실시간[[#This Row],[nxt_code]],"전일대비")</f>
        <v>-200</v>
      </c>
      <c r="K194">
        <f>_xll.IMDP("STK",표.실시간[[#This Row],[nxt_code]],"등락률")</f>
        <v>-0.2</v>
      </c>
      <c r="L194" s="4">
        <f>_xll.IMDP("STK",표.실시간[[#This Row],[nxt_code]],"누적거래량")</f>
        <v>2867</v>
      </c>
      <c r="M194" s="4">
        <f>_xll.IMDP("STK",표.실시간[[#This Row],[nxt_code]],"누적거래대금")</f>
        <v>287573300</v>
      </c>
      <c r="N194" s="4">
        <f>_xll.IMDP("STK",표.실시간[[#This Row],[nxt_code]],"가중평균가")</f>
        <v>100304.604116</v>
      </c>
      <c r="O194" s="4">
        <f>_xll.IMDP("STK",표.실시간[[#This Row],[nxt_code]],"시가")</f>
        <v>102700</v>
      </c>
      <c r="P194" s="4">
        <f>_xll.IMDP("STK",표.실시간[[#This Row],[nxt_code]],"고가")</f>
        <v>102700</v>
      </c>
      <c r="Q194" s="4">
        <f>_xll.IMDP("STK",표.실시간[[#This Row],[nxt_code]],"저가")</f>
        <v>99700</v>
      </c>
      <c r="R194">
        <f>_xll.IMDP("STK",표.실시간[[#This Row],[nxt_code]],"세션명")</f>
        <v>0</v>
      </c>
      <c r="S194">
        <f>_xll.IMDP("STK",표.실시간[[#This Row],[nxt_code]],"체결시간")</f>
        <v>0</v>
      </c>
      <c r="T194" s="4">
        <f>_xll.IMDP("STK","000120","현재가")</f>
        <v>99900</v>
      </c>
      <c r="U194">
        <f>_xll.IMDP("STK","000120","누적거래량")</f>
        <v>2336</v>
      </c>
    </row>
    <row r="195" spans="3:21" x14ac:dyDescent="0.3">
      <c r="C195">
        <v>190</v>
      </c>
      <c r="D195">
        <v>97230</v>
      </c>
      <c r="E195" t="s">
        <v>207</v>
      </c>
      <c r="F195" t="str">
        <f>ConvertStockCode(표.실시간[[#This Row],[코드]])</f>
        <v>N097230</v>
      </c>
      <c r="G195" s="4">
        <f>_xll.IMDP("STK",표.실시간[[#This Row],[nxt_code]],"현재가")</f>
        <v>23850</v>
      </c>
      <c r="H195" s="4">
        <f>_xll.IMDP("STK",표.실시간[[#This Row],[nxt_code]],"시가총액")/10^12</f>
        <v>2.1535439543999999</v>
      </c>
      <c r="I195" t="str">
        <f>_xll.IMDP("","","전일대비부호")</f>
        <v>코드오류</v>
      </c>
      <c r="J195" s="5">
        <f>_xll.IMDP("STK",표.실시간[[#This Row],[nxt_code]],"전일대비")</f>
        <v>100</v>
      </c>
      <c r="K195">
        <f>_xll.IMDP("STK",표.실시간[[#This Row],[nxt_code]],"등락률")</f>
        <v>0.42</v>
      </c>
      <c r="L195" s="4">
        <f>_xll.IMDP("STK",표.실시간[[#This Row],[nxt_code]],"누적거래량")</f>
        <v>94818</v>
      </c>
      <c r="M195" s="4">
        <f>_xll.IMDP("STK",표.실시간[[#This Row],[nxt_code]],"누적거래대금")</f>
        <v>2258429900</v>
      </c>
      <c r="N195" s="4">
        <f>_xll.IMDP("STK",표.실시간[[#This Row],[nxt_code]],"가중평균가")</f>
        <v>23818.577696</v>
      </c>
      <c r="O195" s="4">
        <f>_xll.IMDP("STK",표.실시간[[#This Row],[nxt_code]],"시가")</f>
        <v>23950</v>
      </c>
      <c r="P195" s="4">
        <f>_xll.IMDP("STK",표.실시간[[#This Row],[nxt_code]],"고가")</f>
        <v>24050</v>
      </c>
      <c r="Q195" s="4">
        <f>_xll.IMDP("STK",표.실시간[[#This Row],[nxt_code]],"저가")</f>
        <v>23500</v>
      </c>
      <c r="R195">
        <f>_xll.IMDP("STK",표.실시간[[#This Row],[nxt_code]],"세션명")</f>
        <v>0</v>
      </c>
      <c r="S195">
        <f>_xll.IMDP("STK",표.실시간[[#This Row],[nxt_code]],"체결시간")</f>
        <v>0</v>
      </c>
      <c r="T195" s="4">
        <f>_xll.IMDP("STK","097230","현재가")</f>
        <v>24050</v>
      </c>
      <c r="U195">
        <f>_xll.IMDP("STK","097230","누적거래량")</f>
        <v>33221</v>
      </c>
    </row>
    <row r="196" spans="3:21" x14ac:dyDescent="0.3">
      <c r="C196">
        <v>191</v>
      </c>
      <c r="D196">
        <v>3690</v>
      </c>
      <c r="E196" t="s">
        <v>208</v>
      </c>
      <c r="F196" t="str">
        <f>ConvertStockCode(표.실시간[[#This Row],[코드]])</f>
        <v>N003690</v>
      </c>
      <c r="G196" s="4">
        <f>_xll.IMDP("STK",표.실시간[[#This Row],[nxt_code]],"현재가")</f>
        <v>11080</v>
      </c>
      <c r="H196" s="4">
        <f>_xll.IMDP("STK",표.실시간[[#This Row],[nxt_code]],"시가총액")/10^12</f>
        <v>2.1586170234800002</v>
      </c>
      <c r="I196" t="str">
        <f>_xll.IMDP("","","전일대비부호")</f>
        <v>코드오류</v>
      </c>
      <c r="J196" s="5">
        <f>_xll.IMDP("STK",표.실시간[[#This Row],[nxt_code]],"전일대비")</f>
        <v>0</v>
      </c>
      <c r="K196">
        <f>_xll.IMDP("STK",표.실시간[[#This Row],[nxt_code]],"등락률")</f>
        <v>0</v>
      </c>
      <c r="L196" s="4">
        <f>_xll.IMDP("STK",표.실시간[[#This Row],[nxt_code]],"누적거래량")</f>
        <v>1995</v>
      </c>
      <c r="M196" s="4">
        <f>_xll.IMDP("STK",표.실시간[[#This Row],[nxt_code]],"누적거래대금")</f>
        <v>22072280</v>
      </c>
      <c r="N196" s="4">
        <f>_xll.IMDP("STK",표.실시간[[#This Row],[nxt_code]],"가중평균가")</f>
        <v>11063.799499000001</v>
      </c>
      <c r="O196" s="4">
        <f>_xll.IMDP("STK",표.실시간[[#This Row],[nxt_code]],"시가")</f>
        <v>11110</v>
      </c>
      <c r="P196" s="4">
        <f>_xll.IMDP("STK",표.실시간[[#This Row],[nxt_code]],"고가")</f>
        <v>11120</v>
      </c>
      <c r="Q196" s="4">
        <f>_xll.IMDP("STK",표.실시간[[#This Row],[nxt_code]],"저가")</f>
        <v>11040</v>
      </c>
      <c r="R196">
        <f>_xll.IMDP("STK",표.실시간[[#This Row],[nxt_code]],"세션명")</f>
        <v>0</v>
      </c>
      <c r="S196">
        <f>_xll.IMDP("STK",표.실시간[[#This Row],[nxt_code]],"체결시간")</f>
        <v>0</v>
      </c>
      <c r="T196" s="4">
        <f>_xll.IMDP("STK","003690","현재가")</f>
        <v>11080</v>
      </c>
      <c r="U196">
        <f>_xll.IMDP("STK","003690","누적거래량")</f>
        <v>3550</v>
      </c>
    </row>
    <row r="197" spans="3:21" x14ac:dyDescent="0.3">
      <c r="C197">
        <v>192</v>
      </c>
      <c r="D197">
        <v>475830</v>
      </c>
      <c r="E197" t="s">
        <v>209</v>
      </c>
      <c r="F197" t="str">
        <f>ConvertStockCode(표.실시간[[#This Row],[코드]])</f>
        <v>N475830</v>
      </c>
      <c r="G197" s="4">
        <f>_xll.IMDP("STK",표.실시간[[#This Row],[nxt_code]],"현재가")</f>
        <v>107800</v>
      </c>
      <c r="H197" s="4">
        <f>_xll.IMDP("STK",표.실시간[[#This Row],[nxt_code]],"시가총액")/10^12</f>
        <v>2.2888492704000001</v>
      </c>
      <c r="I197" t="str">
        <f>_xll.IMDP("","","전일대비부호")</f>
        <v>코드오류</v>
      </c>
      <c r="J197" s="5">
        <f>_xll.IMDP("STK",표.실시간[[#This Row],[nxt_code]],"전일대비")</f>
        <v>2900</v>
      </c>
      <c r="K197">
        <f>_xll.IMDP("STK",표.실시간[[#This Row],[nxt_code]],"등락률")</f>
        <v>2.76</v>
      </c>
      <c r="L197" s="4">
        <f>_xll.IMDP("STK",표.실시간[[#This Row],[nxt_code]],"누적거래량")</f>
        <v>35261</v>
      </c>
      <c r="M197" s="4">
        <f>_xll.IMDP("STK",표.실시간[[#This Row],[nxt_code]],"누적거래대금")</f>
        <v>3785599600</v>
      </c>
      <c r="N197" s="4">
        <f>_xll.IMDP("STK",표.실시간[[#This Row],[nxt_code]],"가중평균가")</f>
        <v>107359.39423200001</v>
      </c>
      <c r="O197" s="4">
        <f>_xll.IMDP("STK",표.실시간[[#This Row],[nxt_code]],"시가")</f>
        <v>107200</v>
      </c>
      <c r="P197" s="4">
        <f>_xll.IMDP("STK",표.실시간[[#This Row],[nxt_code]],"고가")</f>
        <v>108600</v>
      </c>
      <c r="Q197" s="4">
        <f>_xll.IMDP("STK",표.실시간[[#This Row],[nxt_code]],"저가")</f>
        <v>105400</v>
      </c>
      <c r="R197">
        <f>_xll.IMDP("STK",표.실시간[[#This Row],[nxt_code]],"세션명")</f>
        <v>0</v>
      </c>
      <c r="S197">
        <f>_xll.IMDP("STK",표.실시간[[#This Row],[nxt_code]],"체결시간")</f>
        <v>0</v>
      </c>
      <c r="T197" s="4">
        <f>_xll.IMDP("STK","475830","현재가")</f>
        <v>107600</v>
      </c>
      <c r="U197">
        <f>_xll.IMDP("STK","475830","누적거래량")</f>
        <v>6685</v>
      </c>
    </row>
    <row r="198" spans="3:21" x14ac:dyDescent="0.3">
      <c r="C198">
        <v>193</v>
      </c>
      <c r="D198">
        <v>95340</v>
      </c>
      <c r="E198" t="s">
        <v>210</v>
      </c>
      <c r="F198" t="str">
        <f>ConvertStockCode(표.실시간[[#This Row],[코드]])</f>
        <v>N095340</v>
      </c>
      <c r="G198" s="4">
        <f>_xll.IMDP("STK",표.실시간[[#This Row],[nxt_code]],"현재가")</f>
        <v>102700</v>
      </c>
      <c r="H198" s="4">
        <f>_xll.IMDP("STK",표.실시간[[#This Row],[nxt_code]],"시가총액")/10^12</f>
        <v>2.1769378565999999</v>
      </c>
      <c r="I198" t="str">
        <f>_xll.IMDP("","","전일대비부호")</f>
        <v>코드오류</v>
      </c>
      <c r="J198" s="5">
        <f>_xll.IMDP("STK",표.실시간[[#This Row],[nxt_code]],"전일대비")</f>
        <v>-3600</v>
      </c>
      <c r="K198">
        <f>_xll.IMDP("STK",표.실시간[[#This Row],[nxt_code]],"등락률")</f>
        <v>-3.39</v>
      </c>
      <c r="L198" s="4">
        <f>_xll.IMDP("STK",표.실시간[[#This Row],[nxt_code]],"누적거래량")</f>
        <v>12497</v>
      </c>
      <c r="M198" s="4">
        <f>_xll.IMDP("STK",표.실시간[[#This Row],[nxt_code]],"누적거래대금")</f>
        <v>1318037500</v>
      </c>
      <c r="N198" s="4">
        <f>_xll.IMDP("STK",표.실시간[[#This Row],[nxt_code]],"가중평균가")</f>
        <v>105468.312395</v>
      </c>
      <c r="O198" s="4">
        <f>_xll.IMDP("STK",표.실시간[[#This Row],[nxt_code]],"시가")</f>
        <v>107300</v>
      </c>
      <c r="P198" s="4">
        <f>_xll.IMDP("STK",표.실시간[[#This Row],[nxt_code]],"고가")</f>
        <v>110000</v>
      </c>
      <c r="Q198" s="4">
        <f>_xll.IMDP("STK",표.실시간[[#This Row],[nxt_code]],"저가")</f>
        <v>102300</v>
      </c>
      <c r="R198">
        <f>_xll.IMDP("STK",표.실시간[[#This Row],[nxt_code]],"세션명")</f>
        <v>0</v>
      </c>
      <c r="S198">
        <f>_xll.IMDP("STK",표.실시간[[#This Row],[nxt_code]],"체결시간")</f>
        <v>0</v>
      </c>
      <c r="T198" s="4">
        <f>_xll.IMDP("STK","095340","현재가")</f>
        <v>102600</v>
      </c>
      <c r="U198">
        <f>_xll.IMDP("STK","095340","누적거래량")</f>
        <v>13140</v>
      </c>
    </row>
    <row r="199" spans="3:21" x14ac:dyDescent="0.3">
      <c r="C199">
        <v>194</v>
      </c>
      <c r="D199">
        <v>10060</v>
      </c>
      <c r="E199" t="s">
        <v>211</v>
      </c>
      <c r="F199" t="str">
        <f>ConvertStockCode(표.실시간[[#This Row],[코드]])</f>
        <v>N010060</v>
      </c>
      <c r="G199" s="4">
        <f>_xll.IMDP("STK",표.실시간[[#This Row],[nxt_code]],"현재가")</f>
        <v>122300</v>
      </c>
      <c r="H199" s="4">
        <f>_xll.IMDP("STK",표.실시간[[#This Row],[nxt_code]],"시가총액")/10^12</f>
        <v>2.2833693735999998</v>
      </c>
      <c r="I199" t="str">
        <f>_xll.IMDP("","","전일대비부호")</f>
        <v>코드오류</v>
      </c>
      <c r="J199" s="5">
        <f>_xll.IMDP("STK",표.실시간[[#This Row],[nxt_code]],"전일대비")</f>
        <v>7000</v>
      </c>
      <c r="K199">
        <f>_xll.IMDP("STK",표.실시간[[#This Row],[nxt_code]],"등락률")</f>
        <v>6.07</v>
      </c>
      <c r="L199" s="4">
        <f>_xll.IMDP("STK",표.실시간[[#This Row],[nxt_code]],"누적거래량")</f>
        <v>22837</v>
      </c>
      <c r="M199" s="4">
        <f>_xll.IMDP("STK",표.실시간[[#This Row],[nxt_code]],"누적거래대금")</f>
        <v>2711180400</v>
      </c>
      <c r="N199" s="4">
        <f>_xll.IMDP("STK",표.실시간[[#This Row],[nxt_code]],"가중평균가")</f>
        <v>118718.76341</v>
      </c>
      <c r="O199" s="4">
        <f>_xll.IMDP("STK",표.실시간[[#This Row],[nxt_code]],"시가")</f>
        <v>115500</v>
      </c>
      <c r="P199" s="4">
        <f>_xll.IMDP("STK",표.실시간[[#This Row],[nxt_code]],"고가")</f>
        <v>122400</v>
      </c>
      <c r="Q199" s="4">
        <f>_xll.IMDP("STK",표.실시간[[#This Row],[nxt_code]],"저가")</f>
        <v>115000</v>
      </c>
      <c r="R199">
        <f>_xll.IMDP("STK",표.실시간[[#This Row],[nxt_code]],"세션명")</f>
        <v>0</v>
      </c>
      <c r="S199">
        <f>_xll.IMDP("STK",표.실시간[[#This Row],[nxt_code]],"체결시간")</f>
        <v>0</v>
      </c>
      <c r="T199" s="4">
        <f>_xll.IMDP("STK","010060","현재가")</f>
        <v>122200</v>
      </c>
      <c r="U199">
        <f>_xll.IMDP("STK","010060","누적거래량")</f>
        <v>19570</v>
      </c>
    </row>
    <row r="200" spans="3:21" x14ac:dyDescent="0.3">
      <c r="C200">
        <v>195</v>
      </c>
      <c r="D200">
        <v>23530</v>
      </c>
      <c r="E200" t="s">
        <v>212</v>
      </c>
      <c r="F200" t="str">
        <f>ConvertStockCode(표.실시간[[#This Row],[코드]])</f>
        <v>N023530</v>
      </c>
      <c r="G200" s="4">
        <f>_xll.IMDP("STK",표.실시간[[#This Row],[nxt_code]],"현재가")</f>
        <v>77300</v>
      </c>
      <c r="H200" s="4">
        <f>_xll.IMDP("STK",표.실시간[[#This Row],[nxt_code]],"시가총액")/10^12</f>
        <v>2.1867207615000002</v>
      </c>
      <c r="I200" t="str">
        <f>_xll.IMDP("","","전일대비부호")</f>
        <v>코드오류</v>
      </c>
      <c r="J200" s="5">
        <f>_xll.IMDP("STK",표.실시간[[#This Row],[nxt_code]],"전일대비")</f>
        <v>200</v>
      </c>
      <c r="K200">
        <f>_xll.IMDP("STK",표.실시간[[#This Row],[nxt_code]],"등락률")</f>
        <v>0.26</v>
      </c>
      <c r="L200" s="4">
        <f>_xll.IMDP("STK",표.실시간[[#This Row],[nxt_code]],"누적거래량")</f>
        <v>2105</v>
      </c>
      <c r="M200" s="4">
        <f>_xll.IMDP("STK",표.실시간[[#This Row],[nxt_code]],"누적거래대금")</f>
        <v>163264700</v>
      </c>
      <c r="N200" s="4">
        <f>_xll.IMDP("STK",표.실시간[[#This Row],[nxt_code]],"가중평균가")</f>
        <v>77560.427553000001</v>
      </c>
      <c r="O200" s="4">
        <f>_xll.IMDP("STK",표.실시간[[#This Row],[nxt_code]],"시가")</f>
        <v>77200</v>
      </c>
      <c r="P200" s="4">
        <f>_xll.IMDP("STK",표.실시간[[#This Row],[nxt_code]],"고가")</f>
        <v>77900</v>
      </c>
      <c r="Q200" s="4">
        <f>_xll.IMDP("STK",표.실시간[[#This Row],[nxt_code]],"저가")</f>
        <v>77100</v>
      </c>
      <c r="R200">
        <f>_xll.IMDP("STK",표.실시간[[#This Row],[nxt_code]],"세션명")</f>
        <v>0</v>
      </c>
      <c r="S200">
        <f>_xll.IMDP("STK",표.실시간[[#This Row],[nxt_code]],"체결시간")</f>
        <v>0</v>
      </c>
      <c r="T200" s="4">
        <f>_xll.IMDP("STK","023530","현재가")</f>
        <v>78000</v>
      </c>
      <c r="U200">
        <f>_xll.IMDP("STK","023530","누적거래량")</f>
        <v>1525</v>
      </c>
    </row>
    <row r="201" spans="3:21" x14ac:dyDescent="0.3">
      <c r="C201">
        <v>196</v>
      </c>
      <c r="D201">
        <v>5290</v>
      </c>
      <c r="E201" t="s">
        <v>213</v>
      </c>
      <c r="F201" t="str">
        <f>ConvertStockCode(표.실시간[[#This Row],[코드]])</f>
        <v>N005290</v>
      </c>
      <c r="G201" s="4">
        <f>_xll.IMDP("STK",표.실시간[[#This Row],[nxt_code]],"현재가")</f>
        <v>40250</v>
      </c>
      <c r="H201" s="4">
        <f>_xll.IMDP("STK",표.실시간[[#This Row],[nxt_code]],"시가총액")/10^12</f>
        <v>2.0694333834999998</v>
      </c>
      <c r="I201" t="str">
        <f>_xll.IMDP("","","전일대비부호")</f>
        <v>코드오류</v>
      </c>
      <c r="J201" s="5">
        <f>_xll.IMDP("STK",표.실시간[[#This Row],[nxt_code]],"전일대비")</f>
        <v>-200</v>
      </c>
      <c r="K201">
        <f>_xll.IMDP("STK",표.실시간[[#This Row],[nxt_code]],"등락률")</f>
        <v>-0.49</v>
      </c>
      <c r="L201" s="4">
        <f>_xll.IMDP("STK",표.실시간[[#This Row],[nxt_code]],"누적거래량")</f>
        <v>44872</v>
      </c>
      <c r="M201" s="4">
        <f>_xll.IMDP("STK",표.실시간[[#This Row],[nxt_code]],"누적거래대금")</f>
        <v>1824415700</v>
      </c>
      <c r="N201" s="4">
        <f>_xll.IMDP("STK",표.실시간[[#This Row],[nxt_code]],"가중평균가")</f>
        <v>40658.221162000002</v>
      </c>
      <c r="O201" s="4">
        <f>_xll.IMDP("STK",표.실시간[[#This Row],[nxt_code]],"시가")</f>
        <v>40400</v>
      </c>
      <c r="P201" s="4">
        <f>_xll.IMDP("STK",표.실시간[[#This Row],[nxt_code]],"고가")</f>
        <v>40900</v>
      </c>
      <c r="Q201" s="4">
        <f>_xll.IMDP("STK",표.실시간[[#This Row],[nxt_code]],"저가")</f>
        <v>40250</v>
      </c>
      <c r="R201">
        <f>_xll.IMDP("STK",표.실시간[[#This Row],[nxt_code]],"세션명")</f>
        <v>0</v>
      </c>
      <c r="S201">
        <f>_xll.IMDP("STK",표.실시간[[#This Row],[nxt_code]],"체결시간")</f>
        <v>0</v>
      </c>
      <c r="T201" s="4">
        <f>_xll.IMDP("STK","005290","현재가")</f>
        <v>40200</v>
      </c>
      <c r="U201">
        <f>_xll.IMDP("STK","005290","누적거래량")</f>
        <v>9484</v>
      </c>
    </row>
    <row r="202" spans="3:21" x14ac:dyDescent="0.3">
      <c r="C202">
        <v>197</v>
      </c>
      <c r="D202">
        <v>98460</v>
      </c>
      <c r="E202" t="s">
        <v>214</v>
      </c>
      <c r="F202" t="str">
        <f>ConvertStockCode(표.실시간[[#This Row],[코드]])</f>
        <v>N098460</v>
      </c>
      <c r="G202" s="4">
        <f>_xll.IMDP("STK",표.실시간[[#This Row],[nxt_code]],"현재가")</f>
        <v>28650</v>
      </c>
      <c r="H202" s="4">
        <f>_xll.IMDP("STK",표.실시간[[#This Row],[nxt_code]],"시가총액")/10^12</f>
        <v>1.9669587307500001</v>
      </c>
      <c r="I202" t="str">
        <f>_xll.IMDP("","","전일대비부호")</f>
        <v>코드오류</v>
      </c>
      <c r="J202" s="5">
        <f>_xll.IMDP("STK",표.실시간[[#This Row],[nxt_code]],"전일대비")</f>
        <v>-450</v>
      </c>
      <c r="K202">
        <f>_xll.IMDP("STK",표.실시간[[#This Row],[nxt_code]],"등락률")</f>
        <v>-1.38</v>
      </c>
      <c r="L202" s="4">
        <f>_xll.IMDP("STK",표.실시간[[#This Row],[nxt_code]],"누적거래량")</f>
        <v>659491</v>
      </c>
      <c r="M202" s="4">
        <f>_xll.IMDP("STK",표.실시간[[#This Row],[nxt_code]],"누적거래대금")</f>
        <v>19200932400</v>
      </c>
      <c r="N202" s="4">
        <f>_xll.IMDP("STK",표.실시간[[#This Row],[nxt_code]],"가중평균가")</f>
        <v>29114.775485999999</v>
      </c>
      <c r="O202" s="4">
        <f>_xll.IMDP("STK",표.실시간[[#This Row],[nxt_code]],"시가")</f>
        <v>29050</v>
      </c>
      <c r="P202" s="4">
        <f>_xll.IMDP("STK",표.실시간[[#This Row],[nxt_code]],"고가")</f>
        <v>29550</v>
      </c>
      <c r="Q202" s="4">
        <f>_xll.IMDP("STK",표.실시간[[#This Row],[nxt_code]],"저가")</f>
        <v>28600</v>
      </c>
      <c r="R202">
        <f>_xll.IMDP("STK",표.실시간[[#This Row],[nxt_code]],"세션명")</f>
        <v>0</v>
      </c>
      <c r="S202">
        <f>_xll.IMDP("STK",표.실시간[[#This Row],[nxt_code]],"체결시간")</f>
        <v>0</v>
      </c>
      <c r="T202" s="4">
        <f>_xll.IMDP("STK","098460","현재가")</f>
        <v>28575</v>
      </c>
      <c r="U202">
        <f>_xll.IMDP("STK","098460","누적거래량")</f>
        <v>77650</v>
      </c>
    </row>
    <row r="203" spans="3:21" x14ac:dyDescent="0.3">
      <c r="C203">
        <v>198</v>
      </c>
      <c r="D203">
        <v>69960</v>
      </c>
      <c r="E203" t="s">
        <v>215</v>
      </c>
      <c r="F203" t="str">
        <f>ConvertStockCode(표.실시간[[#This Row],[코드]])</f>
        <v>N069960</v>
      </c>
      <c r="G203" s="4">
        <f>_xll.IMDP("STK",표.실시간[[#This Row],[nxt_code]],"현재가")</f>
        <v>91000</v>
      </c>
      <c r="H203" s="4">
        <f>_xll.IMDP("STK",표.실시간[[#This Row],[nxt_code]],"시가총액")/10^12</f>
        <v>2.059221983</v>
      </c>
      <c r="I203" t="str">
        <f>_xll.IMDP("","","전일대비부호")</f>
        <v>코드오류</v>
      </c>
      <c r="J203" s="5">
        <f>_xll.IMDP("STK",표.실시간[[#This Row],[nxt_code]],"전일대비")</f>
        <v>0</v>
      </c>
      <c r="K203">
        <f>_xll.IMDP("STK",표.실시간[[#This Row],[nxt_code]],"등락률")</f>
        <v>0</v>
      </c>
      <c r="L203" s="4">
        <f>_xll.IMDP("STK",표.실시간[[#This Row],[nxt_code]],"누적거래량")</f>
        <v>1297</v>
      </c>
      <c r="M203" s="4">
        <f>_xll.IMDP("STK",표.실시간[[#This Row],[nxt_code]],"누적거래대금")</f>
        <v>118443900</v>
      </c>
      <c r="N203" s="4">
        <f>_xll.IMDP("STK",표.실시간[[#This Row],[nxt_code]],"가중평균가")</f>
        <v>91321.434078999999</v>
      </c>
      <c r="O203" s="4">
        <f>_xll.IMDP("STK",표.실시간[[#This Row],[nxt_code]],"시가")</f>
        <v>91100</v>
      </c>
      <c r="P203" s="4">
        <f>_xll.IMDP("STK",표.실시간[[#This Row],[nxt_code]],"고가")</f>
        <v>91700</v>
      </c>
      <c r="Q203" s="4">
        <f>_xll.IMDP("STK",표.실시간[[#This Row],[nxt_code]],"저가")</f>
        <v>91000</v>
      </c>
      <c r="R203">
        <f>_xll.IMDP("STK",표.실시간[[#This Row],[nxt_code]],"세션명")</f>
        <v>0</v>
      </c>
      <c r="S203">
        <f>_xll.IMDP("STK",표.실시간[[#This Row],[nxt_code]],"체결시간")</f>
        <v>0</v>
      </c>
      <c r="T203" s="4">
        <f>_xll.IMDP("STK","069960","현재가")</f>
        <v>90600</v>
      </c>
      <c r="U203">
        <f>_xll.IMDP("STK","069960","누적거래량")</f>
        <v>612</v>
      </c>
    </row>
    <row r="204" spans="3:21" x14ac:dyDescent="0.3">
      <c r="C204">
        <v>199</v>
      </c>
      <c r="D204">
        <v>445680</v>
      </c>
      <c r="E204" t="s">
        <v>216</v>
      </c>
      <c r="F204" t="str">
        <f>ConvertStockCode(표.실시간[[#This Row],[코드]])</f>
        <v>N445680</v>
      </c>
      <c r="G204" s="4">
        <f>_xll.IMDP("STK",표.실시간[[#This Row],[nxt_code]],"현재가")</f>
        <v>127900</v>
      </c>
      <c r="H204" s="4">
        <f>_xll.IMDP("STK",표.실시간[[#This Row],[nxt_code]],"시가총액")/10^12</f>
        <v>2.1896266406999998</v>
      </c>
      <c r="I204" t="str">
        <f>_xll.IMDP("","","전일대비부호")</f>
        <v>코드오류</v>
      </c>
      <c r="J204" s="5">
        <f>_xll.IMDP("STK",표.실시간[[#This Row],[nxt_code]],"전일대비")</f>
        <v>3900</v>
      </c>
      <c r="K204">
        <f>_xll.IMDP("STK",표.실시간[[#This Row],[nxt_code]],"등락률")</f>
        <v>3.15</v>
      </c>
      <c r="L204" s="4">
        <f>_xll.IMDP("STK",표.실시간[[#This Row],[nxt_code]],"누적거래량")</f>
        <v>10404</v>
      </c>
      <c r="M204" s="4">
        <f>_xll.IMDP("STK",표.실시간[[#This Row],[nxt_code]],"누적거래대금")</f>
        <v>1309446300</v>
      </c>
      <c r="N204" s="4">
        <f>_xll.IMDP("STK",표.실시간[[#This Row],[nxt_code]],"가중평균가")</f>
        <v>125859.89042700001</v>
      </c>
      <c r="O204" s="4">
        <f>_xll.IMDP("STK",표.실시간[[#This Row],[nxt_code]],"시가")</f>
        <v>127200</v>
      </c>
      <c r="P204" s="4">
        <f>_xll.IMDP("STK",표.실시간[[#This Row],[nxt_code]],"고가")</f>
        <v>128100</v>
      </c>
      <c r="Q204" s="4">
        <f>_xll.IMDP("STK",표.실시간[[#This Row],[nxt_code]],"저가")</f>
        <v>124800</v>
      </c>
      <c r="R204">
        <f>_xll.IMDP("STK",표.실시간[[#This Row],[nxt_code]],"세션명")</f>
        <v>0</v>
      </c>
      <c r="S204">
        <f>_xll.IMDP("STK",표.실시간[[#This Row],[nxt_code]],"체결시간")</f>
        <v>0</v>
      </c>
      <c r="T204" s="4">
        <f>_xll.IMDP("STK","445680","현재가")</f>
        <v>127900</v>
      </c>
      <c r="U204">
        <f>_xll.IMDP("STK","445680","누적거래량")</f>
        <v>3503</v>
      </c>
    </row>
    <row r="205" spans="3:21" x14ac:dyDescent="0.3">
      <c r="C205">
        <v>200</v>
      </c>
      <c r="D205">
        <v>192820</v>
      </c>
      <c r="E205" t="s">
        <v>217</v>
      </c>
      <c r="F205" t="str">
        <f>ConvertStockCode(표.실시간[[#This Row],[코드]])</f>
        <v>N192820</v>
      </c>
      <c r="G205" s="4">
        <f>_xll.IMDP("STK",표.실시간[[#This Row],[nxt_code]],"현재가")</f>
        <v>194700</v>
      </c>
      <c r="H205" s="4">
        <f>_xll.IMDP("STK",표.실시간[[#This Row],[nxt_code]],"시가총액")/10^12</f>
        <v>2.2097494022999999</v>
      </c>
      <c r="I205" t="str">
        <f>_xll.IMDP("","","전일대비부호")</f>
        <v>코드오류</v>
      </c>
      <c r="J205" s="5">
        <f>_xll.IMDP("STK",표.실시간[[#This Row],[nxt_code]],"전일대비")</f>
        <v>1700</v>
      </c>
      <c r="K205">
        <f>_xll.IMDP("STK",표.실시간[[#This Row],[nxt_code]],"등락률")</f>
        <v>0.88</v>
      </c>
      <c r="L205" s="4">
        <f>_xll.IMDP("STK",표.실시간[[#This Row],[nxt_code]],"누적거래량")</f>
        <v>6159</v>
      </c>
      <c r="M205" s="4">
        <f>_xll.IMDP("STK",표.실시간[[#This Row],[nxt_code]],"누적거래대금")</f>
        <v>1203932300</v>
      </c>
      <c r="N205" s="4">
        <f>_xll.IMDP("STK",표.실시간[[#This Row],[nxt_code]],"가중평균가")</f>
        <v>195158.42113800001</v>
      </c>
      <c r="O205" s="4">
        <f>_xll.IMDP("STK",표.실시간[[#This Row],[nxt_code]],"시가")</f>
        <v>193400</v>
      </c>
      <c r="P205" s="4">
        <f>_xll.IMDP("STK",표.실시간[[#This Row],[nxt_code]],"고가")</f>
        <v>195900</v>
      </c>
      <c r="Q205" s="4">
        <f>_xll.IMDP("STK",표.실시간[[#This Row],[nxt_code]],"저가")</f>
        <v>193400</v>
      </c>
      <c r="R205">
        <f>_xll.IMDP("STK",표.실시간[[#This Row],[nxt_code]],"세션명")</f>
        <v>0</v>
      </c>
      <c r="S205">
        <f>_xll.IMDP("STK",표.실시간[[#This Row],[nxt_code]],"체결시간")</f>
        <v>0</v>
      </c>
      <c r="T205" s="4">
        <f>_xll.IMDP("STK","192820","현재가")</f>
        <v>194700</v>
      </c>
      <c r="U205">
        <f>_xll.IMDP("STK","192820","누적거래량")</f>
        <v>2440</v>
      </c>
    </row>
    <row r="206" spans="3:21" x14ac:dyDescent="0.3">
      <c r="C206">
        <v>201</v>
      </c>
      <c r="D206">
        <v>18670</v>
      </c>
      <c r="E206" t="s">
        <v>218</v>
      </c>
      <c r="F206" t="str">
        <f>ConvertStockCode(표.실시간[[#This Row],[코드]])</f>
        <v>N018670</v>
      </c>
      <c r="G206" s="4">
        <f>_xll.IMDP("STK",표.실시간[[#This Row],[nxt_code]],"현재가")</f>
        <v>229500</v>
      </c>
      <c r="H206" s="4">
        <f>_xll.IMDP("STK",표.실시간[[#This Row],[nxt_code]],"시가총액")/10^12</f>
        <v>2.1217834980000001</v>
      </c>
      <c r="I206" t="str">
        <f>_xll.IMDP("","","전일대비부호")</f>
        <v>코드오류</v>
      </c>
      <c r="J206" s="5">
        <f>_xll.IMDP("STK",표.실시간[[#This Row],[nxt_code]],"전일대비")</f>
        <v>2000</v>
      </c>
      <c r="K206">
        <f>_xll.IMDP("STK",표.실시간[[#This Row],[nxt_code]],"등락률")</f>
        <v>0.88</v>
      </c>
      <c r="L206" s="4">
        <f>_xll.IMDP("STK",표.실시간[[#This Row],[nxt_code]],"누적거래량")</f>
        <v>911</v>
      </c>
      <c r="M206" s="4">
        <f>_xll.IMDP("STK",표.실시간[[#This Row],[nxt_code]],"누적거래대금")</f>
        <v>209240000</v>
      </c>
      <c r="N206" s="4">
        <f>_xll.IMDP("STK",표.실시간[[#This Row],[nxt_code]],"가중평균가")</f>
        <v>229681.668496</v>
      </c>
      <c r="O206" s="4">
        <f>_xll.IMDP("STK",표.실시간[[#This Row],[nxt_code]],"시가")</f>
        <v>230500</v>
      </c>
      <c r="P206" s="4">
        <f>_xll.IMDP("STK",표.실시간[[#This Row],[nxt_code]],"고가")</f>
        <v>230500</v>
      </c>
      <c r="Q206" s="4">
        <f>_xll.IMDP("STK",표.실시간[[#This Row],[nxt_code]],"저가")</f>
        <v>229000</v>
      </c>
      <c r="R206">
        <f>_xll.IMDP("STK",표.실시간[[#This Row],[nxt_code]],"세션명")</f>
        <v>0</v>
      </c>
      <c r="S206">
        <f>_xll.IMDP("STK",표.실시간[[#This Row],[nxt_code]],"체결시간")</f>
        <v>0</v>
      </c>
      <c r="T206" s="4">
        <f>_xll.IMDP("STK","018670","현재가")</f>
        <v>229500</v>
      </c>
      <c r="U206">
        <f>_xll.IMDP("STK","018670","누적거래량")</f>
        <v>66</v>
      </c>
    </row>
    <row r="207" spans="3:21" x14ac:dyDescent="0.3">
      <c r="C207">
        <v>202</v>
      </c>
      <c r="D207">
        <v>2790</v>
      </c>
      <c r="E207" t="s">
        <v>219</v>
      </c>
      <c r="F207" t="str">
        <f>ConvertStockCode(표.실시간[[#This Row],[코드]])</f>
        <v>N002790</v>
      </c>
      <c r="G207" s="4">
        <f>_xll.IMDP("STK",표.실시간[[#This Row],[nxt_code]],"현재가")</f>
        <v>26800</v>
      </c>
      <c r="H207" s="4">
        <f>_xll.IMDP("STK",표.실시간[[#This Row],[nxt_code]],"시가총액")/10^12</f>
        <v>2.1294792239999998</v>
      </c>
      <c r="I207" t="str">
        <f>_xll.IMDP("","","전일대비부호")</f>
        <v>코드오류</v>
      </c>
      <c r="J207" s="5">
        <f>_xll.IMDP("STK",표.실시간[[#This Row],[nxt_code]],"전일대비")</f>
        <v>200</v>
      </c>
      <c r="K207">
        <f>_xll.IMDP("STK",표.실시간[[#This Row],[nxt_code]],"등락률")</f>
        <v>0.75</v>
      </c>
      <c r="L207" s="4">
        <f>_xll.IMDP("STK",표.실시간[[#This Row],[nxt_code]],"누적거래량")</f>
        <v>11915</v>
      </c>
      <c r="M207" s="4">
        <f>_xll.IMDP("STK",표.실시간[[#This Row],[nxt_code]],"누적거래대금")</f>
        <v>319676000</v>
      </c>
      <c r="N207" s="4">
        <f>_xll.IMDP("STK",표.실시간[[#This Row],[nxt_code]],"가중평균가")</f>
        <v>26829.710448999998</v>
      </c>
      <c r="O207" s="4">
        <f>_xll.IMDP("STK",표.실시간[[#This Row],[nxt_code]],"시가")</f>
        <v>26650</v>
      </c>
      <c r="P207" s="4">
        <f>_xll.IMDP("STK",표.실시간[[#This Row],[nxt_code]],"고가")</f>
        <v>26950</v>
      </c>
      <c r="Q207" s="4">
        <f>_xll.IMDP("STK",표.실시간[[#This Row],[nxt_code]],"저가")</f>
        <v>26650</v>
      </c>
      <c r="R207">
        <f>_xll.IMDP("STK",표.실시간[[#This Row],[nxt_code]],"세션명")</f>
        <v>0</v>
      </c>
      <c r="S207">
        <f>_xll.IMDP("STK",표.실시간[[#This Row],[nxt_code]],"체결시간")</f>
        <v>0</v>
      </c>
      <c r="T207" s="4">
        <f>_xll.IMDP("STK","002790","현재가")</f>
        <v>26950</v>
      </c>
      <c r="U207">
        <f>_xll.IMDP("STK","002790","누적거래량")</f>
        <v>1487</v>
      </c>
    </row>
    <row r="208" spans="3:21" x14ac:dyDescent="0.3">
      <c r="C208">
        <v>203</v>
      </c>
      <c r="D208">
        <v>47040</v>
      </c>
      <c r="E208" t="s">
        <v>220</v>
      </c>
      <c r="F208" t="str">
        <f>ConvertStockCode(표.실시간[[#This Row],[코드]])</f>
        <v>N047040</v>
      </c>
      <c r="G208" s="4">
        <f>_xll.IMDP("STK",표.실시간[[#This Row],[nxt_code]],"현재가")</f>
        <v>5130</v>
      </c>
      <c r="H208" s="4">
        <f>_xll.IMDP("STK",표.실시간[[#This Row],[nxt_code]],"시가총액")/10^12</f>
        <v>2.1321441329400002</v>
      </c>
      <c r="I208" t="str">
        <f>_xll.IMDP("","","전일대비부호")</f>
        <v>코드오류</v>
      </c>
      <c r="J208" s="5">
        <f>_xll.IMDP("STK",표.실시간[[#This Row],[nxt_code]],"전일대비")</f>
        <v>160</v>
      </c>
      <c r="K208">
        <f>_xll.IMDP("STK",표.실시간[[#This Row],[nxt_code]],"등락률")</f>
        <v>3.22</v>
      </c>
      <c r="L208" s="4">
        <f>_xll.IMDP("STK",표.실시간[[#This Row],[nxt_code]],"누적거래량")</f>
        <v>1236318</v>
      </c>
      <c r="M208" s="4">
        <f>_xll.IMDP("STK",표.실시간[[#This Row],[nxt_code]],"누적거래대금")</f>
        <v>6281889530</v>
      </c>
      <c r="N208" s="4">
        <f>_xll.IMDP("STK",표.실시간[[#This Row],[nxt_code]],"가중평균가")</f>
        <v>5081.127614</v>
      </c>
      <c r="O208" s="4">
        <f>_xll.IMDP("STK",표.실시간[[#This Row],[nxt_code]],"시가")</f>
        <v>5000</v>
      </c>
      <c r="P208" s="4">
        <f>_xll.IMDP("STK",표.실시간[[#This Row],[nxt_code]],"고가")</f>
        <v>5140</v>
      </c>
      <c r="Q208" s="4">
        <f>_xll.IMDP("STK",표.실시간[[#This Row],[nxt_code]],"저가")</f>
        <v>4970</v>
      </c>
      <c r="R208">
        <f>_xll.IMDP("STK",표.실시간[[#This Row],[nxt_code]],"세션명")</f>
        <v>0</v>
      </c>
      <c r="S208">
        <f>_xll.IMDP("STK",표.실시간[[#This Row],[nxt_code]],"체결시간")</f>
        <v>0</v>
      </c>
      <c r="T208" s="4">
        <f>_xll.IMDP("STK","047040","현재가")</f>
        <v>5120</v>
      </c>
      <c r="U208">
        <f>_xll.IMDP("STK","047040","누적거래량")</f>
        <v>181796</v>
      </c>
    </row>
    <row r="209" spans="3:21" x14ac:dyDescent="0.3">
      <c r="C209">
        <v>204</v>
      </c>
      <c r="D209">
        <v>476830</v>
      </c>
      <c r="E209" t="s">
        <v>221</v>
      </c>
      <c r="F209" t="str">
        <f>ConvertStockCode(표.실시간[[#This Row],[코드]])</f>
        <v>N476830</v>
      </c>
      <c r="G209" s="4">
        <f>_xll.IMDP("STK",표.실시간[[#This Row],[nxt_code]],"현재가")</f>
        <v>140400</v>
      </c>
      <c r="H209" s="4">
        <f>_xll.IMDP("STK",표.실시간[[#This Row],[nxt_code]],"시가총액")/10^12</f>
        <v>1.9563114168</v>
      </c>
      <c r="I209" t="str">
        <f>_xll.IMDP("","","전일대비부호")</f>
        <v>코드오류</v>
      </c>
      <c r="J209" s="5">
        <f>_xll.IMDP("STK",표.실시간[[#This Row],[nxt_code]],"전일대비")</f>
        <v>2200</v>
      </c>
      <c r="K209">
        <f>_xll.IMDP("STK",표.실시간[[#This Row],[nxt_code]],"등락률")</f>
        <v>1.67</v>
      </c>
      <c r="L209" s="4">
        <f>_xll.IMDP("STK",표.실시간[[#This Row],[nxt_code]],"누적거래량")</f>
        <v>31224</v>
      </c>
      <c r="M209" s="4">
        <f>_xll.IMDP("STK",표.실시간[[#This Row],[nxt_code]],"누적거래대금")</f>
        <v>4369660300</v>
      </c>
      <c r="N209" s="4">
        <f>_xll.IMDP("STK",표.실시간[[#This Row],[nxt_code]],"가중평균가")</f>
        <v>139945.56430999999</v>
      </c>
      <c r="O209" s="4">
        <f>_xll.IMDP("STK",표.실시간[[#This Row],[nxt_code]],"시가")</f>
        <v>138700</v>
      </c>
      <c r="P209" s="4">
        <f>_xll.IMDP("STK",표.실시간[[#This Row],[nxt_code]],"고가")</f>
        <v>140400</v>
      </c>
      <c r="Q209" s="4">
        <f>_xll.IMDP("STK",표.실시간[[#This Row],[nxt_code]],"저가")</f>
        <v>138500</v>
      </c>
      <c r="R209">
        <f>_xll.IMDP("STK",표.실시간[[#This Row],[nxt_code]],"세션명")</f>
        <v>0</v>
      </c>
      <c r="S209">
        <f>_xll.IMDP("STK",표.실시간[[#This Row],[nxt_code]],"체결시간")</f>
        <v>0</v>
      </c>
      <c r="T209" s="4">
        <f>_xll.IMDP("STK","476830","현재가")</f>
        <v>140500</v>
      </c>
      <c r="U209">
        <f>_xll.IMDP("STK","476830","누적거래량")</f>
        <v>6860</v>
      </c>
    </row>
    <row r="210" spans="3:21" x14ac:dyDescent="0.3">
      <c r="C210">
        <v>205</v>
      </c>
      <c r="D210">
        <v>282330</v>
      </c>
      <c r="E210" t="s">
        <v>222</v>
      </c>
      <c r="F210" t="str">
        <f>ConvertStockCode(표.실시간[[#This Row],[코드]])</f>
        <v>N282330</v>
      </c>
      <c r="G210" s="4">
        <f>_xll.IMDP("STK",표.실시간[[#This Row],[nxt_code]],"현재가")</f>
        <v>120000</v>
      </c>
      <c r="H210" s="4">
        <f>_xll.IMDP("STK",표.실시간[[#This Row],[nxt_code]],"시가총액")/10^12</f>
        <v>2.0740687200000001</v>
      </c>
      <c r="I210" t="str">
        <f>_xll.IMDP("","","전일대비부호")</f>
        <v>코드오류</v>
      </c>
      <c r="J210" s="5">
        <f>_xll.IMDP("STK",표.실시간[[#This Row],[nxt_code]],"전일대비")</f>
        <v>400</v>
      </c>
      <c r="K210">
        <f>_xll.IMDP("STK",표.실시간[[#This Row],[nxt_code]],"등락률")</f>
        <v>0.33</v>
      </c>
      <c r="L210" s="4">
        <f>_xll.IMDP("STK",표.실시간[[#This Row],[nxt_code]],"누적거래량")</f>
        <v>1091</v>
      </c>
      <c r="M210" s="4">
        <f>_xll.IMDP("STK",표.실시간[[#This Row],[nxt_code]],"누적거래대금")</f>
        <v>131522100</v>
      </c>
      <c r="N210" s="4">
        <f>_xll.IMDP("STK",표.실시간[[#This Row],[nxt_code]],"가중평균가")</f>
        <v>120551.87901</v>
      </c>
      <c r="O210" s="4">
        <f>_xll.IMDP("STK",표.실시간[[#This Row],[nxt_code]],"시가")</f>
        <v>121000</v>
      </c>
      <c r="P210" s="4">
        <f>_xll.IMDP("STK",표.실시간[[#This Row],[nxt_code]],"고가")</f>
        <v>121400</v>
      </c>
      <c r="Q210" s="4">
        <f>_xll.IMDP("STK",표.실시간[[#This Row],[nxt_code]],"저가")</f>
        <v>120000</v>
      </c>
      <c r="R210">
        <f>_xll.IMDP("STK",표.실시간[[#This Row],[nxt_code]],"세션명")</f>
        <v>0</v>
      </c>
      <c r="S210">
        <f>_xll.IMDP("STK",표.실시간[[#This Row],[nxt_code]],"체결시간")</f>
        <v>0</v>
      </c>
      <c r="T210" s="4">
        <f>_xll.IMDP("STK","282330","현재가")</f>
        <v>119200</v>
      </c>
      <c r="U210">
        <f>_xll.IMDP("STK","282330","누적거래량")</f>
        <v>601</v>
      </c>
    </row>
    <row r="211" spans="3:21" x14ac:dyDescent="0.3">
      <c r="C211">
        <v>206</v>
      </c>
      <c r="D211">
        <v>361610</v>
      </c>
      <c r="E211" t="s">
        <v>223</v>
      </c>
      <c r="F211" t="str">
        <f>ConvertStockCode(표.실시간[[#This Row],[코드]])</f>
        <v>N361610</v>
      </c>
      <c r="G211" s="4">
        <f>_xll.IMDP("STK",표.실시간[[#This Row],[nxt_code]],"현재가")</f>
        <v>26500</v>
      </c>
      <c r="H211" s="4">
        <f>_xll.IMDP("STK",표.실시간[[#This Row],[nxt_code]],"시가총액")/10^12</f>
        <v>2.1673581500000001</v>
      </c>
      <c r="I211" t="str">
        <f>_xll.IMDP("","","전일대비부호")</f>
        <v>코드오류</v>
      </c>
      <c r="J211" s="5">
        <f>_xll.IMDP("STK",표.실시간[[#This Row],[nxt_code]],"전일대비")</f>
        <v>-100</v>
      </c>
      <c r="K211">
        <f>_xll.IMDP("STK",표.실시간[[#This Row],[nxt_code]],"등락률")</f>
        <v>-0.19</v>
      </c>
      <c r="L211" s="4">
        <f>_xll.IMDP("STK",표.실시간[[#This Row],[nxt_code]],"누적거래량")</f>
        <v>68845</v>
      </c>
      <c r="M211" s="4">
        <f>_xll.IMDP("STK",표.실시간[[#This Row],[nxt_code]],"누적거래대금")</f>
        <v>1851344800</v>
      </c>
      <c r="N211" s="4">
        <f>_xll.IMDP("STK",표.실시간[[#This Row],[nxt_code]],"가중평균가")</f>
        <v>26891.492483000002</v>
      </c>
      <c r="O211" s="4">
        <f>_xll.IMDP("STK",표.실시간[[#This Row],[nxt_code]],"시가")</f>
        <v>26800</v>
      </c>
      <c r="P211" s="4">
        <f>_xll.IMDP("STK",표.실시간[[#This Row],[nxt_code]],"고가")</f>
        <v>27200</v>
      </c>
      <c r="Q211" s="4">
        <f>_xll.IMDP("STK",표.실시간[[#This Row],[nxt_code]],"저가")</f>
        <v>26450</v>
      </c>
      <c r="R211">
        <f>_xll.IMDP("STK",표.실시간[[#This Row],[nxt_code]],"세션명")</f>
        <v>0</v>
      </c>
      <c r="S211">
        <f>_xll.IMDP("STK",표.실시간[[#This Row],[nxt_code]],"체결시간")</f>
        <v>0</v>
      </c>
      <c r="T211" s="4">
        <f>_xll.IMDP("STK","361610","현재가")</f>
        <v>26550</v>
      </c>
      <c r="U211">
        <f>_xll.IMDP("STK","361610","누적거래량")</f>
        <v>16624</v>
      </c>
    </row>
    <row r="212" spans="3:21" x14ac:dyDescent="0.3">
      <c r="C212">
        <v>207</v>
      </c>
      <c r="D212">
        <v>83650</v>
      </c>
      <c r="E212" t="s">
        <v>224</v>
      </c>
      <c r="F212" t="str">
        <f>ConvertStockCode(표.실시간[[#This Row],[코드]])</f>
        <v>N083650</v>
      </c>
      <c r="G212" s="4">
        <f>_xll.IMDP("STK",표.실시간[[#This Row],[nxt_code]],"현재가")</f>
        <v>61600</v>
      </c>
      <c r="H212" s="4">
        <f>_xll.IMDP("STK",표.실시간[[#This Row],[nxt_code]],"시가총액")/10^12</f>
        <v>1.9061735</v>
      </c>
      <c r="I212" t="str">
        <f>_xll.IMDP("","","전일대비부호")</f>
        <v>코드오류</v>
      </c>
      <c r="J212" s="5">
        <f>_xll.IMDP("STK",표.실시간[[#This Row],[nxt_code]],"전일대비")</f>
        <v>-1200</v>
      </c>
      <c r="K212">
        <f>_xll.IMDP("STK",표.실시간[[#This Row],[nxt_code]],"등락률")</f>
        <v>-1.91</v>
      </c>
      <c r="L212" s="4">
        <f>_xll.IMDP("STK",표.실시간[[#This Row],[nxt_code]],"누적거래량")</f>
        <v>123742</v>
      </c>
      <c r="M212" s="4">
        <f>_xll.IMDP("STK",표.실시간[[#This Row],[nxt_code]],"누적거래대금")</f>
        <v>7811484000</v>
      </c>
      <c r="N212" s="4">
        <f>_xll.IMDP("STK",표.실시간[[#This Row],[nxt_code]],"가중평균가")</f>
        <v>63127.159296999998</v>
      </c>
      <c r="O212" s="4">
        <f>_xll.IMDP("STK",표.실시간[[#This Row],[nxt_code]],"시가")</f>
        <v>63400</v>
      </c>
      <c r="P212" s="4">
        <f>_xll.IMDP("STK",표.실시간[[#This Row],[nxt_code]],"고가")</f>
        <v>63900</v>
      </c>
      <c r="Q212" s="4">
        <f>_xll.IMDP("STK",표.실시간[[#This Row],[nxt_code]],"저가")</f>
        <v>61300</v>
      </c>
      <c r="R212">
        <f>_xll.IMDP("STK",표.실시간[[#This Row],[nxt_code]],"세션명")</f>
        <v>0</v>
      </c>
      <c r="S212">
        <f>_xll.IMDP("STK",표.실시간[[#This Row],[nxt_code]],"체결시간")</f>
        <v>0</v>
      </c>
      <c r="T212" s="4">
        <f>_xll.IMDP("STK","083650","현재가")</f>
        <v>61500</v>
      </c>
      <c r="U212">
        <f>_xll.IMDP("STK","083650","누적거래량")</f>
        <v>26477</v>
      </c>
    </row>
    <row r="213" spans="3:21" x14ac:dyDescent="0.3">
      <c r="C213">
        <v>208</v>
      </c>
      <c r="D213">
        <v>267270</v>
      </c>
      <c r="E213" t="s">
        <v>225</v>
      </c>
      <c r="F213" t="str">
        <f>ConvertStockCode(표.실시간[[#This Row],[코드]])</f>
        <v>N267270</v>
      </c>
      <c r="G213" s="4">
        <f>_xll.IMDP("STK",표.실시간[[#This Row],[nxt_code]],"현재가")</f>
        <v>120000</v>
      </c>
      <c r="H213" s="4">
        <f>_xll.IMDP("STK",표.실시간[[#This Row],[nxt_code]],"시가총액")/10^12</f>
        <v>2.0829135600000002</v>
      </c>
      <c r="I213" t="str">
        <f>_xll.IMDP("","","전일대비부호")</f>
        <v>코드오류</v>
      </c>
      <c r="J213" s="5">
        <f>_xll.IMDP("STK",표.실시간[[#This Row],[nxt_code]],"전일대비")</f>
        <v>5400</v>
      </c>
      <c r="K213">
        <f>_xll.IMDP("STK",표.실시간[[#This Row],[nxt_code]],"등락률")</f>
        <v>4.62</v>
      </c>
      <c r="L213" s="4">
        <f>_xll.IMDP("STK",표.실시간[[#This Row],[nxt_code]],"누적거래량")</f>
        <v>88729</v>
      </c>
      <c r="M213" s="4">
        <f>_xll.IMDP("STK",표.실시간[[#This Row],[nxt_code]],"누적거래대금")</f>
        <v>10563368700</v>
      </c>
      <c r="N213" s="4">
        <f>_xll.IMDP("STK",표.실시간[[#This Row],[nxt_code]],"가중평균가")</f>
        <v>119052.042737</v>
      </c>
      <c r="O213" s="4">
        <f>_xll.IMDP("STK",표.실시간[[#This Row],[nxt_code]],"시가")</f>
        <v>116000</v>
      </c>
      <c r="P213" s="4">
        <f>_xll.IMDP("STK",표.실시간[[#This Row],[nxt_code]],"고가")</f>
        <v>121100</v>
      </c>
      <c r="Q213" s="4">
        <f>_xll.IMDP("STK",표.실시간[[#This Row],[nxt_code]],"저가")</f>
        <v>115600</v>
      </c>
      <c r="R213">
        <f>_xll.IMDP("STK",표.실시간[[#This Row],[nxt_code]],"세션명")</f>
        <v>0</v>
      </c>
      <c r="S213">
        <f>_xll.IMDP("STK",표.실시간[[#This Row],[nxt_code]],"체결시간")</f>
        <v>0</v>
      </c>
      <c r="T213" s="4">
        <f>_xll.IMDP("STK","267270","현재가")</f>
        <v>120100</v>
      </c>
      <c r="U213">
        <f>_xll.IMDP("STK","267270","누적거래량")</f>
        <v>17186</v>
      </c>
    </row>
    <row r="214" spans="3:21" x14ac:dyDescent="0.3">
      <c r="C214">
        <v>209</v>
      </c>
      <c r="D214">
        <v>462870</v>
      </c>
      <c r="E214" t="s">
        <v>226</v>
      </c>
      <c r="F214" t="str">
        <f>ConvertStockCode(표.실시간[[#This Row],[코드]])</f>
        <v>N462870</v>
      </c>
      <c r="G214" s="4">
        <f>_xll.IMDP("STK",표.실시간[[#This Row],[nxt_code]],"현재가")</f>
        <v>34200</v>
      </c>
      <c r="H214" s="4">
        <f>_xll.IMDP("STK",표.실시간[[#This Row],[nxt_code]],"시가총액")/10^12</f>
        <v>2.0164812479999998</v>
      </c>
      <c r="I214" t="str">
        <f>_xll.IMDP("","","전일대비부호")</f>
        <v>코드오류</v>
      </c>
      <c r="J214" s="5">
        <f>_xll.IMDP("STK",표.실시간[[#This Row],[nxt_code]],"전일대비")</f>
        <v>50</v>
      </c>
      <c r="K214">
        <f>_xll.IMDP("STK",표.실시간[[#This Row],[nxt_code]],"등락률")</f>
        <v>0.15</v>
      </c>
      <c r="L214" s="4">
        <f>_xll.IMDP("STK",표.실시간[[#This Row],[nxt_code]],"누적거래량")</f>
        <v>2729</v>
      </c>
      <c r="M214" s="4">
        <f>_xll.IMDP("STK",표.실시간[[#This Row],[nxt_code]],"누적거래대금")</f>
        <v>93446350</v>
      </c>
      <c r="N214" s="4">
        <f>_xll.IMDP("STK",표.실시간[[#This Row],[nxt_code]],"가중평균가")</f>
        <v>34241.975081999997</v>
      </c>
      <c r="O214" s="4">
        <f>_xll.IMDP("STK",표.실시간[[#This Row],[nxt_code]],"시가")</f>
        <v>34250</v>
      </c>
      <c r="P214" s="4">
        <f>_xll.IMDP("STK",표.실시간[[#This Row],[nxt_code]],"고가")</f>
        <v>34350</v>
      </c>
      <c r="Q214" s="4">
        <f>_xll.IMDP("STK",표.실시간[[#This Row],[nxt_code]],"저가")</f>
        <v>34100</v>
      </c>
      <c r="R214">
        <f>_xll.IMDP("STK",표.실시간[[#This Row],[nxt_code]],"세션명")</f>
        <v>0</v>
      </c>
      <c r="S214">
        <f>_xll.IMDP("STK",표.실시간[[#This Row],[nxt_code]],"체결시간")</f>
        <v>0</v>
      </c>
      <c r="T214" s="4">
        <f>_xll.IMDP("STK","462870","현재가")</f>
        <v>34200</v>
      </c>
      <c r="U214">
        <f>_xll.IMDP("STK","462870","누적거래량")</f>
        <v>207</v>
      </c>
    </row>
    <row r="215" spans="3:21" x14ac:dyDescent="0.3">
      <c r="C215">
        <v>210</v>
      </c>
      <c r="D215">
        <v>64760</v>
      </c>
      <c r="E215" t="s">
        <v>227</v>
      </c>
      <c r="F215" t="str">
        <f>ConvertStockCode(표.실시간[[#This Row],[코드]])</f>
        <v>N064760</v>
      </c>
      <c r="G215" s="4">
        <f>_xll.IMDP("STK",표.실시간[[#This Row],[nxt_code]],"현재가")</f>
        <v>172700</v>
      </c>
      <c r="H215" s="4">
        <f>_xll.IMDP("STK",표.실시간[[#This Row],[nxt_code]],"시가총액")/10^12</f>
        <v>1.9306851432000001</v>
      </c>
      <c r="I215" t="str">
        <f>_xll.IMDP("","","전일대비부호")</f>
        <v>코드오류</v>
      </c>
      <c r="J215" s="5">
        <f>_xll.IMDP("STK",표.실시간[[#This Row],[nxt_code]],"전일대비")</f>
        <v>-800</v>
      </c>
      <c r="K215">
        <f>_xll.IMDP("STK",표.실시간[[#This Row],[nxt_code]],"등락률")</f>
        <v>-0.46</v>
      </c>
      <c r="L215" s="4">
        <f>_xll.IMDP("STK",표.실시간[[#This Row],[nxt_code]],"누적거래량")</f>
        <v>2796</v>
      </c>
      <c r="M215" s="4">
        <f>_xll.IMDP("STK",표.실시간[[#This Row],[nxt_code]],"누적거래대금")</f>
        <v>487426400</v>
      </c>
      <c r="N215" s="4">
        <f>_xll.IMDP("STK",표.실시간[[#This Row],[nxt_code]],"가중평균가")</f>
        <v>174329.89985700001</v>
      </c>
      <c r="O215" s="4">
        <f>_xll.IMDP("STK",표.실시간[[#This Row],[nxt_code]],"시가")</f>
        <v>177100</v>
      </c>
      <c r="P215" s="4">
        <f>_xll.IMDP("STK",표.실시간[[#This Row],[nxt_code]],"고가")</f>
        <v>177100</v>
      </c>
      <c r="Q215" s="4">
        <f>_xll.IMDP("STK",표.실시간[[#This Row],[nxt_code]],"저가")</f>
        <v>172800</v>
      </c>
      <c r="R215">
        <f>_xll.IMDP("STK",표.실시간[[#This Row],[nxt_code]],"세션명")</f>
        <v>0</v>
      </c>
      <c r="S215">
        <f>_xll.IMDP("STK",표.실시간[[#This Row],[nxt_code]],"체결시간")</f>
        <v>0</v>
      </c>
      <c r="T215" s="4">
        <f>_xll.IMDP("STK","064760","현재가")</f>
        <v>174100</v>
      </c>
      <c r="U215">
        <f>_xll.IMDP("STK","064760","누적거래량")</f>
        <v>966</v>
      </c>
    </row>
    <row r="216" spans="3:21" x14ac:dyDescent="0.3">
      <c r="C216">
        <v>211</v>
      </c>
      <c r="D216">
        <v>466100</v>
      </c>
      <c r="E216" t="s">
        <v>228</v>
      </c>
      <c r="F216" t="str">
        <f>ConvertStockCode(표.실시간[[#This Row],[코드]])</f>
        <v>N466100</v>
      </c>
      <c r="G216" s="4">
        <f>_xll.IMDP("STK",표.실시간[[#This Row],[nxt_code]],"현재가")</f>
        <v>68600</v>
      </c>
      <c r="H216" s="4">
        <f>_xll.IMDP("STK",표.실시간[[#This Row],[nxt_code]],"시가총액")/10^12</f>
        <v>1.7144607354000001</v>
      </c>
      <c r="I216" t="str">
        <f>_xll.IMDP("","","전일대비부호")</f>
        <v>코드오류</v>
      </c>
      <c r="J216" s="5">
        <f>_xll.IMDP("STK",표.실시간[[#This Row],[nxt_code]],"전일대비")</f>
        <v>-1600</v>
      </c>
      <c r="K216">
        <f>_xll.IMDP("STK",표.실시간[[#This Row],[nxt_code]],"등락률")</f>
        <v>-2.2799999999999998</v>
      </c>
      <c r="L216" s="4">
        <f>_xll.IMDP("STK",표.실시간[[#This Row],[nxt_code]],"누적거래량")</f>
        <v>272812</v>
      </c>
      <c r="M216" s="4">
        <f>_xll.IMDP("STK",표.실시간[[#This Row],[nxt_code]],"누적거래대금")</f>
        <v>18945208050</v>
      </c>
      <c r="N216" s="4">
        <f>_xll.IMDP("STK",표.실시간[[#This Row],[nxt_code]],"가중평균가")</f>
        <v>69444.188855</v>
      </c>
      <c r="O216" s="4">
        <f>_xll.IMDP("STK",표.실시간[[#This Row],[nxt_code]],"시가")</f>
        <v>69800</v>
      </c>
      <c r="P216" s="4">
        <f>_xll.IMDP("STK",표.실시간[[#This Row],[nxt_code]],"고가")</f>
        <v>70700</v>
      </c>
      <c r="Q216" s="4">
        <f>_xll.IMDP("STK",표.실시간[[#This Row],[nxt_code]],"저가")</f>
        <v>68500</v>
      </c>
      <c r="R216">
        <f>_xll.IMDP("STK",표.실시간[[#This Row],[nxt_code]],"세션명")</f>
        <v>0</v>
      </c>
      <c r="S216">
        <f>_xll.IMDP("STK",표.실시간[[#This Row],[nxt_code]],"체결시간")</f>
        <v>0</v>
      </c>
      <c r="T216" s="4">
        <f>_xll.IMDP("STK","466100","현재가")</f>
        <v>68700</v>
      </c>
      <c r="U216">
        <f>_xll.IMDP("STK","466100","누적거래량")</f>
        <v>34002</v>
      </c>
    </row>
    <row r="217" spans="3:21" x14ac:dyDescent="0.3">
      <c r="C217">
        <v>212</v>
      </c>
      <c r="D217">
        <v>69620</v>
      </c>
      <c r="E217" t="s">
        <v>229</v>
      </c>
      <c r="F217" t="str">
        <f>ConvertStockCode(표.실시간[[#This Row],[코드]])</f>
        <v>N069620</v>
      </c>
      <c r="G217" s="4">
        <f>_xll.IMDP("STK",표.실시간[[#This Row],[nxt_code]],"현재가")</f>
        <v>164900</v>
      </c>
      <c r="H217" s="4">
        <f>_xll.IMDP("STK",표.실시간[[#This Row],[nxt_code]],"시가총액")/10^12</f>
        <v>1.9106262174999999</v>
      </c>
      <c r="I217" t="str">
        <f>_xll.IMDP("","","전일대비부호")</f>
        <v>코드오류</v>
      </c>
      <c r="J217" s="5">
        <f>_xll.IMDP("STK",표.실시간[[#This Row],[nxt_code]],"전일대비")</f>
        <v>300</v>
      </c>
      <c r="K217">
        <f>_xll.IMDP("STK",표.실시간[[#This Row],[nxt_code]],"등락률")</f>
        <v>0.18</v>
      </c>
      <c r="L217" s="4">
        <f>_xll.IMDP("STK",표.실시간[[#This Row],[nxt_code]],"누적거래량")</f>
        <v>580</v>
      </c>
      <c r="M217" s="4">
        <f>_xll.IMDP("STK",표.실시간[[#This Row],[nxt_code]],"누적거래대금")</f>
        <v>95501200</v>
      </c>
      <c r="N217" s="4">
        <f>_xll.IMDP("STK",표.실시간[[#This Row],[nxt_code]],"가중평균가")</f>
        <v>164657.24137900001</v>
      </c>
      <c r="O217" s="4">
        <f>_xll.IMDP("STK",표.실시간[[#This Row],[nxt_code]],"시가")</f>
        <v>164600</v>
      </c>
      <c r="P217" s="4">
        <f>_xll.IMDP("STK",표.실시간[[#This Row],[nxt_code]],"고가")</f>
        <v>165000</v>
      </c>
      <c r="Q217" s="4">
        <f>_xll.IMDP("STK",표.실시간[[#This Row],[nxt_code]],"저가")</f>
        <v>164100</v>
      </c>
      <c r="R217">
        <f>_xll.IMDP("STK",표.실시간[[#This Row],[nxt_code]],"세션명")</f>
        <v>0</v>
      </c>
      <c r="S217">
        <f>_xll.IMDP("STK",표.실시간[[#This Row],[nxt_code]],"체결시간")</f>
        <v>0</v>
      </c>
      <c r="T217" s="4">
        <f>_xll.IMDP("STK","069620","현재가")</f>
        <v>164600</v>
      </c>
      <c r="U217">
        <f>_xll.IMDP("STK","069620","누적거래량")</f>
        <v>294</v>
      </c>
    </row>
    <row r="218" spans="3:21" x14ac:dyDescent="0.3">
      <c r="C218">
        <v>213</v>
      </c>
      <c r="D218">
        <v>17960</v>
      </c>
      <c r="E218" t="s">
        <v>230</v>
      </c>
      <c r="F218" t="str">
        <f>ConvertStockCode(표.실시간[[#This Row],[코드]])</f>
        <v>N017960</v>
      </c>
      <c r="G218" s="4">
        <f>_xll.IMDP("STK",표.실시간[[#This Row],[nxt_code]],"현재가")</f>
        <v>35600</v>
      </c>
      <c r="H218" s="4">
        <f>_xll.IMDP("STK",표.실시간[[#This Row],[nxt_code]],"시가총액")/10^12</f>
        <v>1.8479408911999999</v>
      </c>
      <c r="I218" t="str">
        <f>_xll.IMDP("","","전일대비부호")</f>
        <v>코드오류</v>
      </c>
      <c r="J218" s="5">
        <f>_xll.IMDP("STK",표.실시간[[#This Row],[nxt_code]],"전일대비")</f>
        <v>750</v>
      </c>
      <c r="K218">
        <f>_xll.IMDP("STK",표.실시간[[#This Row],[nxt_code]],"등락률")</f>
        <v>2.15</v>
      </c>
      <c r="L218" s="4">
        <f>_xll.IMDP("STK",표.실시간[[#This Row],[nxt_code]],"누적거래량")</f>
        <v>19916</v>
      </c>
      <c r="M218" s="4">
        <f>_xll.IMDP("STK",표.실시간[[#This Row],[nxt_code]],"누적거래대금")</f>
        <v>702694950</v>
      </c>
      <c r="N218" s="4">
        <f>_xll.IMDP("STK",표.실시간[[#This Row],[nxt_code]],"가중평균가")</f>
        <v>35282.935830000002</v>
      </c>
      <c r="O218" s="4">
        <f>_xll.IMDP("STK",표.실시간[[#This Row],[nxt_code]],"시가")</f>
        <v>35100</v>
      </c>
      <c r="P218" s="4">
        <f>_xll.IMDP("STK",표.실시간[[#This Row],[nxt_code]],"고가")</f>
        <v>35700</v>
      </c>
      <c r="Q218" s="4">
        <f>_xll.IMDP("STK",표.실시간[[#This Row],[nxt_code]],"저가")</f>
        <v>35000</v>
      </c>
      <c r="R218">
        <f>_xll.IMDP("STK",표.실시간[[#This Row],[nxt_code]],"세션명")</f>
        <v>0</v>
      </c>
      <c r="S218">
        <f>_xll.IMDP("STK",표.실시간[[#This Row],[nxt_code]],"체결시간")</f>
        <v>0</v>
      </c>
      <c r="T218" s="4">
        <f>_xll.IMDP("STK","017960","현재가")</f>
        <v>35600</v>
      </c>
      <c r="U218">
        <f>_xll.IMDP("STK","017960","누적거래량")</f>
        <v>8435</v>
      </c>
    </row>
    <row r="219" spans="3:21" x14ac:dyDescent="0.3">
      <c r="C219">
        <v>214</v>
      </c>
      <c r="D219">
        <v>84370</v>
      </c>
      <c r="E219" t="s">
        <v>231</v>
      </c>
      <c r="F219" t="str">
        <f>ConvertStockCode(표.실시간[[#This Row],[코드]])</f>
        <v>N084370</v>
      </c>
      <c r="G219" s="4">
        <f>_xll.IMDP("STK",표.실시간[[#This Row],[nxt_code]],"현재가")</f>
        <v>75100</v>
      </c>
      <c r="H219" s="4">
        <f>_xll.IMDP("STK",표.실시간[[#This Row],[nxt_code]],"시가총액")/10^12</f>
        <v>1.7209947541999999</v>
      </c>
      <c r="I219" t="str">
        <f>_xll.IMDP("","","전일대비부호")</f>
        <v>코드오류</v>
      </c>
      <c r="J219" s="5">
        <f>_xll.IMDP("STK",표.실시간[[#This Row],[nxt_code]],"전일대비")</f>
        <v>-900</v>
      </c>
      <c r="K219">
        <f>_xll.IMDP("STK",표.실시간[[#This Row],[nxt_code]],"등락률")</f>
        <v>-1.18</v>
      </c>
      <c r="L219" s="4">
        <f>_xll.IMDP("STK",표.실시간[[#This Row],[nxt_code]],"누적거래량")</f>
        <v>8738</v>
      </c>
      <c r="M219" s="4">
        <f>_xll.IMDP("STK",표.실시간[[#This Row],[nxt_code]],"누적거래대금")</f>
        <v>665702800</v>
      </c>
      <c r="N219" s="4">
        <f>_xll.IMDP("STK",표.실시간[[#This Row],[nxt_code]],"가중평균가")</f>
        <v>76184.802014000001</v>
      </c>
      <c r="O219" s="4">
        <f>_xll.IMDP("STK",표.실시간[[#This Row],[nxt_code]],"시가")</f>
        <v>76100</v>
      </c>
      <c r="P219" s="4">
        <f>_xll.IMDP("STK",표.실시간[[#This Row],[nxt_code]],"고가")</f>
        <v>76600</v>
      </c>
      <c r="Q219" s="4">
        <f>_xll.IMDP("STK",표.실시간[[#This Row],[nxt_code]],"저가")</f>
        <v>75100</v>
      </c>
      <c r="R219">
        <f>_xll.IMDP("STK",표.실시간[[#This Row],[nxt_code]],"세션명")</f>
        <v>0</v>
      </c>
      <c r="S219">
        <f>_xll.IMDP("STK",표.실시간[[#This Row],[nxt_code]],"체결시간")</f>
        <v>0</v>
      </c>
      <c r="T219" s="4">
        <f>_xll.IMDP("STK","084370","현재가")</f>
        <v>74900</v>
      </c>
      <c r="U219">
        <f>_xll.IMDP("STK","084370","누적거래량")</f>
        <v>5403</v>
      </c>
    </row>
    <row r="220" spans="3:21" x14ac:dyDescent="0.3">
      <c r="C220">
        <v>215</v>
      </c>
      <c r="D220">
        <v>222800</v>
      </c>
      <c r="E220" t="s">
        <v>232</v>
      </c>
      <c r="F220" t="str">
        <f>ConvertStockCode(표.실시간[[#This Row],[코드]])</f>
        <v>N222800</v>
      </c>
      <c r="G220" s="4">
        <f>_xll.IMDP("STK",표.실시간[[#This Row],[nxt_code]],"현재가")</f>
        <v>48100</v>
      </c>
      <c r="H220" s="4">
        <f>_xll.IMDP("STK",표.실시간[[#This Row],[nxt_code]],"시가총액")/10^12</f>
        <v>1.7961606858000001</v>
      </c>
      <c r="I220" t="str">
        <f>_xll.IMDP("","","전일대비부호")</f>
        <v>코드오류</v>
      </c>
      <c r="J220" s="5">
        <f>_xll.IMDP("STK",표.실시간[[#This Row],[nxt_code]],"전일대비")</f>
        <v>-550</v>
      </c>
      <c r="K220">
        <f>_xll.IMDP("STK",표.실시간[[#This Row],[nxt_code]],"등락률")</f>
        <v>-1.1299999999999999</v>
      </c>
      <c r="L220" s="4">
        <f>_xll.IMDP("STK",표.실시간[[#This Row],[nxt_code]],"누적거래량")</f>
        <v>50645</v>
      </c>
      <c r="M220" s="4">
        <f>_xll.IMDP("STK",표.실시간[[#This Row],[nxt_code]],"누적거래대금")</f>
        <v>2477201800</v>
      </c>
      <c r="N220" s="4">
        <f>_xll.IMDP("STK",표.실시간[[#This Row],[nxt_code]],"가중평균가")</f>
        <v>48913.057558</v>
      </c>
      <c r="O220" s="4">
        <f>_xll.IMDP("STK",표.실시간[[#This Row],[nxt_code]],"시가")</f>
        <v>49150</v>
      </c>
      <c r="P220" s="4">
        <f>_xll.IMDP("STK",표.실시간[[#This Row],[nxt_code]],"고가")</f>
        <v>49200</v>
      </c>
      <c r="Q220" s="4">
        <f>_xll.IMDP("STK",표.실시간[[#This Row],[nxt_code]],"저가")</f>
        <v>48100</v>
      </c>
      <c r="R220">
        <f>_xll.IMDP("STK",표.실시간[[#This Row],[nxt_code]],"세션명")</f>
        <v>0</v>
      </c>
      <c r="S220">
        <f>_xll.IMDP("STK",표.실시간[[#This Row],[nxt_code]],"체결시간")</f>
        <v>0</v>
      </c>
      <c r="T220" s="4">
        <f>_xll.IMDP("STK","222800","현재가")</f>
        <v>48100</v>
      </c>
      <c r="U220">
        <f>_xll.IMDP("STK","222800","누적거래량")</f>
        <v>9703</v>
      </c>
    </row>
    <row r="221" spans="3:21" x14ac:dyDescent="0.3">
      <c r="C221">
        <v>216</v>
      </c>
      <c r="D221">
        <v>458870</v>
      </c>
      <c r="E221" t="s">
        <v>233</v>
      </c>
      <c r="F221" t="str">
        <f>ConvertStockCode(표.실시간[[#This Row],[코드]])</f>
        <v>N458870</v>
      </c>
      <c r="G221" s="4">
        <f>_xll.IMDP("STK",표.실시간[[#This Row],[nxt_code]],"현재가")</f>
        <v>159900</v>
      </c>
      <c r="H221" s="4">
        <f>_xll.IMDP("STK",표.실시간[[#This Row],[nxt_code]],"시가총액")/10^12</f>
        <v>2.0252742119999998</v>
      </c>
      <c r="I221" t="str">
        <f>_xll.IMDP("","","전일대비부호")</f>
        <v>코드오류</v>
      </c>
      <c r="J221" s="5">
        <f>_xll.IMDP("STK",표.실시간[[#This Row],[nxt_code]],"전일대비")</f>
        <v>-900</v>
      </c>
      <c r="K221">
        <f>_xll.IMDP("STK",표.실시간[[#This Row],[nxt_code]],"등락률")</f>
        <v>-0.56000000000000005</v>
      </c>
      <c r="L221" s="4">
        <f>_xll.IMDP("STK",표.실시간[[#This Row],[nxt_code]],"누적거래량")</f>
        <v>10736</v>
      </c>
      <c r="M221" s="4">
        <f>_xll.IMDP("STK",표.실시간[[#This Row],[nxt_code]],"누적거래대금")</f>
        <v>1696951700</v>
      </c>
      <c r="N221" s="4">
        <f>_xll.IMDP("STK",표.실시간[[#This Row],[nxt_code]],"가중평균가")</f>
        <v>158061.820045</v>
      </c>
      <c r="O221" s="4">
        <f>_xll.IMDP("STK",표.실시간[[#This Row],[nxt_code]],"시가")</f>
        <v>160900</v>
      </c>
      <c r="P221" s="4">
        <f>_xll.IMDP("STK",표.실시간[[#This Row],[nxt_code]],"고가")</f>
        <v>163200</v>
      </c>
      <c r="Q221" s="4">
        <f>_xll.IMDP("STK",표.실시간[[#This Row],[nxt_code]],"저가")</f>
        <v>156300</v>
      </c>
      <c r="R221">
        <f>_xll.IMDP("STK",표.실시간[[#This Row],[nxt_code]],"세션명")</f>
        <v>0</v>
      </c>
      <c r="S221">
        <f>_xll.IMDP("STK",표.실시간[[#This Row],[nxt_code]],"체결시간")</f>
        <v>0</v>
      </c>
      <c r="T221" s="4">
        <f>_xll.IMDP("STK","458870","현재가")</f>
        <v>159200</v>
      </c>
      <c r="U221">
        <f>_xll.IMDP("STK","458870","누적거래량")</f>
        <v>3821</v>
      </c>
    </row>
    <row r="222" spans="3:21" x14ac:dyDescent="0.3">
      <c r="C222">
        <v>217</v>
      </c>
      <c r="D222">
        <v>23590</v>
      </c>
      <c r="E222" t="s">
        <v>234</v>
      </c>
      <c r="F222" t="str">
        <f>ConvertStockCode(표.실시간[[#This Row],[코드]])</f>
        <v>N023590</v>
      </c>
      <c r="G222" s="4">
        <f>_xll.IMDP("STK",표.실시간[[#This Row],[nxt_code]],"현재가")</f>
        <v>40200</v>
      </c>
      <c r="H222" s="4">
        <f>_xll.IMDP("STK",표.실시간[[#This Row],[nxt_code]],"시가총액")/10^12</f>
        <v>1.8036380033999999</v>
      </c>
      <c r="I222" t="str">
        <f>_xll.IMDP("","","전일대비부호")</f>
        <v>코드오류</v>
      </c>
      <c r="J222" s="5">
        <f>_xll.IMDP("STK",표.실시간[[#This Row],[nxt_code]],"전일대비")</f>
        <v>350</v>
      </c>
      <c r="K222">
        <f>_xll.IMDP("STK",표.실시간[[#This Row],[nxt_code]],"등락률")</f>
        <v>0.88</v>
      </c>
      <c r="L222" s="4">
        <f>_xll.IMDP("STK",표.실시간[[#This Row],[nxt_code]],"누적거래량")</f>
        <v>1851</v>
      </c>
      <c r="M222" s="4">
        <f>_xll.IMDP("STK",표.실시간[[#This Row],[nxt_code]],"누적거래대금")</f>
        <v>74159450</v>
      </c>
      <c r="N222" s="4">
        <f>_xll.IMDP("STK",표.실시간[[#This Row],[nxt_code]],"가중평균가")</f>
        <v>40064.532684999998</v>
      </c>
      <c r="O222" s="4">
        <f>_xll.IMDP("STK",표.실시간[[#This Row],[nxt_code]],"시가")</f>
        <v>39850</v>
      </c>
      <c r="P222" s="4">
        <f>_xll.IMDP("STK",표.실시간[[#This Row],[nxt_code]],"고가")</f>
        <v>40600</v>
      </c>
      <c r="Q222" s="4">
        <f>_xll.IMDP("STK",표.실시간[[#This Row],[nxt_code]],"저가")</f>
        <v>39850</v>
      </c>
      <c r="R222">
        <f>_xll.IMDP("STK",표.실시간[[#This Row],[nxt_code]],"세션명")</f>
        <v>0</v>
      </c>
      <c r="S222">
        <f>_xll.IMDP("STK",표.실시간[[#This Row],[nxt_code]],"체결시간")</f>
        <v>0</v>
      </c>
      <c r="T222" s="4">
        <f>_xll.IMDP("STK","023590","현재가")</f>
        <v>40150</v>
      </c>
      <c r="U222">
        <f>_xll.IMDP("STK","023590","누적거래량")</f>
        <v>112</v>
      </c>
    </row>
    <row r="223" spans="3:21" x14ac:dyDescent="0.3">
      <c r="C223">
        <v>218</v>
      </c>
      <c r="D223">
        <v>32350</v>
      </c>
      <c r="E223" t="s">
        <v>235</v>
      </c>
      <c r="F223" t="str">
        <f>ConvertStockCode(표.실시간[[#This Row],[코드]])</f>
        <v>N032350</v>
      </c>
      <c r="G223" s="4">
        <f>_xll.IMDP("STK",표.실시간[[#This Row],[nxt_code]],"현재가")</f>
        <v>23600</v>
      </c>
      <c r="H223" s="4">
        <f>_xll.IMDP("STK",표.실시간[[#This Row],[nxt_code]],"시가총액")/10^12</f>
        <v>1.8771318224</v>
      </c>
      <c r="I223" t="str">
        <f>_xll.IMDP("","","전일대비부호")</f>
        <v>코드오류</v>
      </c>
      <c r="J223" s="5">
        <f>_xll.IMDP("STK",표.실시간[[#This Row],[nxt_code]],"전일대비")</f>
        <v>-150</v>
      </c>
      <c r="K223">
        <f>_xll.IMDP("STK",표.실시간[[#This Row],[nxt_code]],"등락률")</f>
        <v>-0.63</v>
      </c>
      <c r="L223" s="4">
        <f>_xll.IMDP("STK",표.실시간[[#This Row],[nxt_code]],"누적거래량")</f>
        <v>33216</v>
      </c>
      <c r="M223" s="4">
        <f>_xll.IMDP("STK",표.실시간[[#This Row],[nxt_code]],"누적거래대금")</f>
        <v>781970000</v>
      </c>
      <c r="N223" s="4">
        <f>_xll.IMDP("STK",표.실시간[[#This Row],[nxt_code]],"가중평균가")</f>
        <v>23541.967725999999</v>
      </c>
      <c r="O223" s="4">
        <f>_xll.IMDP("STK",표.실시간[[#This Row],[nxt_code]],"시가")</f>
        <v>23800</v>
      </c>
      <c r="P223" s="4">
        <f>_xll.IMDP("STK",표.실시간[[#This Row],[nxt_code]],"고가")</f>
        <v>23800</v>
      </c>
      <c r="Q223" s="4">
        <f>_xll.IMDP("STK",표.실시간[[#This Row],[nxt_code]],"저가")</f>
        <v>23350</v>
      </c>
      <c r="R223">
        <f>_xll.IMDP("STK",표.실시간[[#This Row],[nxt_code]],"세션명")</f>
        <v>0</v>
      </c>
      <c r="S223">
        <f>_xll.IMDP("STK",표.실시간[[#This Row],[nxt_code]],"체결시간")</f>
        <v>0</v>
      </c>
      <c r="T223" s="4">
        <f>_xll.IMDP("STK","032350","현재가")</f>
        <v>23600</v>
      </c>
      <c r="U223">
        <f>_xll.IMDP("STK","032350","누적거래량")</f>
        <v>9280</v>
      </c>
    </row>
    <row r="224" spans="3:21" x14ac:dyDescent="0.3">
      <c r="C224">
        <v>219</v>
      </c>
      <c r="D224">
        <v>73240</v>
      </c>
      <c r="E224" t="s">
        <v>236</v>
      </c>
      <c r="F224" t="str">
        <f>ConvertStockCode(표.실시간[[#This Row],[코드]])</f>
        <v>N073240</v>
      </c>
      <c r="G224" s="4">
        <f>_xll.IMDP("STK",표.실시간[[#This Row],[nxt_code]],"현재가")</f>
        <v>6260</v>
      </c>
      <c r="H224" s="4">
        <f>_xll.IMDP("STK",표.실시간[[#This Row],[nxt_code]],"시가총액")/10^12</f>
        <v>1.7982493966199999</v>
      </c>
      <c r="I224" t="str">
        <f>_xll.IMDP("","","전일대비부호")</f>
        <v>코드오류</v>
      </c>
      <c r="J224" s="5">
        <f>_xll.IMDP("STK",표.실시간[[#This Row],[nxt_code]],"전일대비")</f>
        <v>0</v>
      </c>
      <c r="K224">
        <f>_xll.IMDP("STK",표.실시간[[#This Row],[nxt_code]],"등락률")</f>
        <v>0</v>
      </c>
      <c r="L224" s="4">
        <f>_xll.IMDP("STK",표.실시간[[#This Row],[nxt_code]],"누적거래량")</f>
        <v>16832</v>
      </c>
      <c r="M224" s="4">
        <f>_xll.IMDP("STK",표.실시간[[#This Row],[nxt_code]],"누적거래대금")</f>
        <v>105677970</v>
      </c>
      <c r="N224" s="4">
        <f>_xll.IMDP("STK",표.실시간[[#This Row],[nxt_code]],"가중평균가")</f>
        <v>6278.3965070000004</v>
      </c>
      <c r="O224" s="4">
        <f>_xll.IMDP("STK",표.실시간[[#This Row],[nxt_code]],"시가")</f>
        <v>6280</v>
      </c>
      <c r="P224" s="4">
        <f>_xll.IMDP("STK",표.실시간[[#This Row],[nxt_code]],"고가")</f>
        <v>6320</v>
      </c>
      <c r="Q224" s="4">
        <f>_xll.IMDP("STK",표.실시간[[#This Row],[nxt_code]],"저가")</f>
        <v>6250</v>
      </c>
      <c r="R224">
        <f>_xll.IMDP("STK",표.실시간[[#This Row],[nxt_code]],"세션명")</f>
        <v>0</v>
      </c>
      <c r="S224">
        <f>_xll.IMDP("STK",표.실시간[[#This Row],[nxt_code]],"체결시간")</f>
        <v>0</v>
      </c>
      <c r="T224" s="4">
        <f>_xll.IMDP("STK","073240","현재가")</f>
        <v>6260</v>
      </c>
      <c r="U224">
        <f>_xll.IMDP("STK","073240","누적거래량")</f>
        <v>6819</v>
      </c>
    </row>
    <row r="225" spans="3:21" x14ac:dyDescent="0.3">
      <c r="C225">
        <v>220</v>
      </c>
      <c r="D225">
        <v>20150</v>
      </c>
      <c r="E225" t="s">
        <v>237</v>
      </c>
      <c r="F225" t="str">
        <f>ConvertStockCode(표.실시간[[#This Row],[코드]])</f>
        <v>N020150</v>
      </c>
      <c r="G225" s="4">
        <f>_xll.IMDP("STK",표.실시간[[#This Row],[nxt_code]],"현재가")</f>
        <v>41050</v>
      </c>
      <c r="H225" s="4">
        <f>_xll.IMDP("STK",표.실시간[[#This Row],[nxt_code]],"시가총액")/10^12</f>
        <v>2.1496022561500001</v>
      </c>
      <c r="I225" t="str">
        <f>_xll.IMDP("","","전일대비부호")</f>
        <v>코드오류</v>
      </c>
      <c r="J225" s="5">
        <f>_xll.IMDP("STK",표.실시간[[#This Row],[nxt_code]],"전일대비")</f>
        <v>-1250</v>
      </c>
      <c r="K225">
        <f>_xll.IMDP("STK",표.실시간[[#This Row],[nxt_code]],"등락률")</f>
        <v>-3.07</v>
      </c>
      <c r="L225" s="4">
        <f>_xll.IMDP("STK",표.실시간[[#This Row],[nxt_code]],"누적거래량")</f>
        <v>660583</v>
      </c>
      <c r="M225" s="4">
        <f>_xll.IMDP("STK",표.실시간[[#This Row],[nxt_code]],"누적거래대금")</f>
        <v>28024129100</v>
      </c>
      <c r="N225" s="4">
        <f>_xll.IMDP("STK",표.실시간[[#This Row],[nxt_code]],"가중평균가")</f>
        <v>42420.373764999997</v>
      </c>
      <c r="O225" s="4">
        <f>_xll.IMDP("STK",표.실시간[[#This Row],[nxt_code]],"시가")</f>
        <v>43950</v>
      </c>
      <c r="P225" s="4">
        <f>_xll.IMDP("STK",표.실시간[[#This Row],[nxt_code]],"고가")</f>
        <v>46700</v>
      </c>
      <c r="Q225" s="4">
        <f>_xll.IMDP("STK",표.실시간[[#This Row],[nxt_code]],"저가")</f>
        <v>41050</v>
      </c>
      <c r="R225">
        <f>_xll.IMDP("STK",표.실시간[[#This Row],[nxt_code]],"세션명")</f>
        <v>0</v>
      </c>
      <c r="S225">
        <f>_xll.IMDP("STK",표.실시간[[#This Row],[nxt_code]],"체결시간")</f>
        <v>0</v>
      </c>
      <c r="T225" s="4">
        <f>_xll.IMDP("STK","020150","현재가")</f>
        <v>41100</v>
      </c>
      <c r="U225">
        <f>_xll.IMDP("STK","020150","누적거래량")</f>
        <v>55545</v>
      </c>
    </row>
    <row r="226" spans="3:21" x14ac:dyDescent="0.3">
      <c r="C226">
        <v>221</v>
      </c>
      <c r="D226">
        <v>8770</v>
      </c>
      <c r="E226" t="s">
        <v>238</v>
      </c>
      <c r="F226" t="str">
        <f>ConvertStockCode(표.실시간[[#This Row],[코드]])</f>
        <v>N008770</v>
      </c>
      <c r="G226" s="4">
        <f>_xll.IMDP("STK",표.실시간[[#This Row],[nxt_code]],"현재가")</f>
        <v>45400</v>
      </c>
      <c r="H226" s="4">
        <f>_xll.IMDP("STK",표.실시간[[#This Row],[nxt_code]],"시가총액")/10^12</f>
        <v>1.7818646934</v>
      </c>
      <c r="I226" t="str">
        <f>_xll.IMDP("","","전일대비부호")</f>
        <v>코드오류</v>
      </c>
      <c r="J226" s="5">
        <f>_xll.IMDP("STK",표.실시간[[#This Row],[nxt_code]],"전일대비")</f>
        <v>-200</v>
      </c>
      <c r="K226">
        <f>_xll.IMDP("STK",표.실시간[[#This Row],[nxt_code]],"등락률")</f>
        <v>-0.44</v>
      </c>
      <c r="L226" s="4">
        <f>_xll.IMDP("STK",표.실시간[[#This Row],[nxt_code]],"누적거래량")</f>
        <v>8220</v>
      </c>
      <c r="M226" s="4">
        <f>_xll.IMDP("STK",표.실시간[[#This Row],[nxt_code]],"누적거래대금")</f>
        <v>374384500</v>
      </c>
      <c r="N226" s="4">
        <f>_xll.IMDP("STK",표.실시간[[#This Row],[nxt_code]],"가중평균가")</f>
        <v>45545.559610999997</v>
      </c>
      <c r="O226" s="4">
        <f>_xll.IMDP("STK",표.실시간[[#This Row],[nxt_code]],"시가")</f>
        <v>45750</v>
      </c>
      <c r="P226" s="4">
        <f>_xll.IMDP("STK",표.실시간[[#This Row],[nxt_code]],"고가")</f>
        <v>45750</v>
      </c>
      <c r="Q226" s="4">
        <f>_xll.IMDP("STK",표.실시간[[#This Row],[nxt_code]],"저가")</f>
        <v>45400</v>
      </c>
      <c r="R226">
        <f>_xll.IMDP("STK",표.실시간[[#This Row],[nxt_code]],"세션명")</f>
        <v>0</v>
      </c>
      <c r="S226">
        <f>_xll.IMDP("STK",표.실시간[[#This Row],[nxt_code]],"체결시간")</f>
        <v>0</v>
      </c>
      <c r="T226" s="4">
        <f>_xll.IMDP("STK","008770","현재가")</f>
        <v>45350</v>
      </c>
      <c r="U226">
        <f>_xll.IMDP("STK","008770","누적거래량")</f>
        <v>2824</v>
      </c>
    </row>
    <row r="227" spans="3:21" x14ac:dyDescent="0.3">
      <c r="C227">
        <v>222</v>
      </c>
      <c r="D227">
        <v>6040</v>
      </c>
      <c r="E227" t="s">
        <v>239</v>
      </c>
      <c r="F227" t="str">
        <f>ConvertStockCode(표.실시간[[#This Row],[코드]])</f>
        <v>N006040</v>
      </c>
      <c r="G227" s="4">
        <f>_xll.IMDP("STK",표.실시간[[#This Row],[nxt_code]],"현재가")</f>
        <v>41100</v>
      </c>
      <c r="H227" s="4">
        <f>_xll.IMDP("STK",표.실시간[[#This Row],[nxt_code]],"시가총액")/10^12</f>
        <v>1.8144822246000001</v>
      </c>
      <c r="I227" t="str">
        <f>_xll.IMDP("","","전일대비부호")</f>
        <v>코드오류</v>
      </c>
      <c r="J227" s="5">
        <f>_xll.IMDP("STK",표.실시간[[#This Row],[nxt_code]],"전일대비")</f>
        <v>300</v>
      </c>
      <c r="K227">
        <f>_xll.IMDP("STK",표.실시간[[#This Row],[nxt_code]],"등락률")</f>
        <v>0.74</v>
      </c>
      <c r="L227" s="4">
        <f>_xll.IMDP("STK",표.실시간[[#This Row],[nxt_code]],"누적거래량")</f>
        <v>1391</v>
      </c>
      <c r="M227" s="4">
        <f>_xll.IMDP("STK",표.실시간[[#This Row],[nxt_code]],"누적거래대금")</f>
        <v>57084600</v>
      </c>
      <c r="N227" s="4">
        <f>_xll.IMDP("STK",표.실시간[[#This Row],[nxt_code]],"가중평균가")</f>
        <v>41038.533429000003</v>
      </c>
      <c r="O227" s="4">
        <f>_xll.IMDP("STK",표.실시간[[#This Row],[nxt_code]],"시가")</f>
        <v>41000</v>
      </c>
      <c r="P227" s="4">
        <f>_xll.IMDP("STK",표.실시간[[#This Row],[nxt_code]],"고가")</f>
        <v>41150</v>
      </c>
      <c r="Q227" s="4">
        <f>_xll.IMDP("STK",표.실시간[[#This Row],[nxt_code]],"저가")</f>
        <v>40850</v>
      </c>
      <c r="R227">
        <f>_xll.IMDP("STK",표.실시간[[#This Row],[nxt_code]],"세션명")</f>
        <v>0</v>
      </c>
      <c r="S227">
        <f>_xll.IMDP("STK",표.실시간[[#This Row],[nxt_code]],"체결시간")</f>
        <v>0</v>
      </c>
      <c r="T227" s="4">
        <f>_xll.IMDP("STK","006040","현재가")</f>
        <v>40900</v>
      </c>
      <c r="U227">
        <f>_xll.IMDP("STK","006040","누적거래량")</f>
        <v>1989</v>
      </c>
    </row>
    <row r="228" spans="3:21" x14ac:dyDescent="0.3">
      <c r="C228">
        <v>223</v>
      </c>
      <c r="D228">
        <v>178320</v>
      </c>
      <c r="E228" t="s">
        <v>240</v>
      </c>
      <c r="F228" t="str">
        <f>ConvertStockCode(표.실시간[[#This Row],[코드]])</f>
        <v>N178320</v>
      </c>
      <c r="G228" s="4">
        <f>_xll.IMDP("STK",표.실시간[[#This Row],[nxt_code]],"현재가")</f>
        <v>31450</v>
      </c>
      <c r="H228" s="4">
        <f>_xll.IMDP("STK",표.실시간[[#This Row],[nxt_code]],"시가총액")/10^12</f>
        <v>1.75721462455</v>
      </c>
      <c r="I228" t="str">
        <f>_xll.IMDP("","","전일대비부호")</f>
        <v>코드오류</v>
      </c>
      <c r="J228" s="5">
        <f>_xll.IMDP("STK",표.실시간[[#This Row],[nxt_code]],"전일대비")</f>
        <v>-600</v>
      </c>
      <c r="K228">
        <f>_xll.IMDP("STK",표.실시간[[#This Row],[nxt_code]],"등락률")</f>
        <v>-1.87</v>
      </c>
      <c r="L228" s="4">
        <f>_xll.IMDP("STK",표.실시간[[#This Row],[nxt_code]],"누적거래량")</f>
        <v>314749</v>
      </c>
      <c r="M228" s="4">
        <f>_xll.IMDP("STK",표.실시간[[#This Row],[nxt_code]],"누적거래대금")</f>
        <v>10062221600</v>
      </c>
      <c r="N228" s="4">
        <f>_xll.IMDP("STK",표.실시간[[#This Row],[nxt_code]],"가중평균가")</f>
        <v>31969.034372999999</v>
      </c>
      <c r="O228" s="4">
        <f>_xll.IMDP("STK",표.실시간[[#This Row],[nxt_code]],"시가")</f>
        <v>31900</v>
      </c>
      <c r="P228" s="4">
        <f>_xll.IMDP("STK",표.실시간[[#This Row],[nxt_code]],"고가")</f>
        <v>32500</v>
      </c>
      <c r="Q228" s="4">
        <f>_xll.IMDP("STK",표.실시간[[#This Row],[nxt_code]],"저가")</f>
        <v>31350</v>
      </c>
      <c r="R228">
        <f>_xll.IMDP("STK",표.실시간[[#This Row],[nxt_code]],"세션명")</f>
        <v>0</v>
      </c>
      <c r="S228">
        <f>_xll.IMDP("STK",표.실시간[[#This Row],[nxt_code]],"체결시간")</f>
        <v>0</v>
      </c>
      <c r="T228" s="4">
        <f>_xll.IMDP("STK","178320","현재가")</f>
        <v>31400</v>
      </c>
      <c r="U228">
        <f>_xll.IMDP("STK","178320","누적거래량")</f>
        <v>46852</v>
      </c>
    </row>
    <row r="229" spans="3:21" x14ac:dyDescent="0.3">
      <c r="C229">
        <v>224</v>
      </c>
      <c r="D229">
        <v>6280</v>
      </c>
      <c r="E229" t="s">
        <v>241</v>
      </c>
      <c r="F229" t="str">
        <f>ConvertStockCode(표.실시간[[#This Row],[코드]])</f>
        <v>N006280</v>
      </c>
      <c r="G229" s="4">
        <f>_xll.IMDP("STK",표.실시간[[#This Row],[nxt_code]],"현재가")</f>
        <v>153800</v>
      </c>
      <c r="H229" s="4">
        <f>_xll.IMDP("STK",표.실시간[[#This Row],[nxt_code]],"시가총액")/10^12</f>
        <v>1.7973895444000001</v>
      </c>
      <c r="I229" t="str">
        <f>_xll.IMDP("","","전일대비부호")</f>
        <v>코드오류</v>
      </c>
      <c r="J229" s="5">
        <f>_xll.IMDP("STK",표.실시간[[#This Row],[nxt_code]],"전일대비")</f>
        <v>800</v>
      </c>
      <c r="K229">
        <f>_xll.IMDP("STK",표.실시간[[#This Row],[nxt_code]],"등락률")</f>
        <v>0.72</v>
      </c>
      <c r="L229" s="4">
        <f>_xll.IMDP("STK",표.실시간[[#This Row],[nxt_code]],"누적거래량")</f>
        <v>2694</v>
      </c>
      <c r="M229" s="4">
        <f>_xll.IMDP("STK",표.실시간[[#This Row],[nxt_code]],"누적거래대금")</f>
        <v>412086200</v>
      </c>
      <c r="N229" s="4">
        <f>_xll.IMDP("STK",표.실시간[[#This Row],[nxt_code]],"가중평균가")</f>
        <v>152964.439495</v>
      </c>
      <c r="O229" s="4">
        <f>_xll.IMDP("STK",표.실시간[[#This Row],[nxt_code]],"시가")</f>
        <v>152700</v>
      </c>
      <c r="P229" s="4">
        <f>_xll.IMDP("STK",표.실시간[[#This Row],[nxt_code]],"고가")</f>
        <v>153800</v>
      </c>
      <c r="Q229" s="4">
        <f>_xll.IMDP("STK",표.실시간[[#This Row],[nxt_code]],"저가")</f>
        <v>152000</v>
      </c>
      <c r="R229">
        <f>_xll.IMDP("STK",표.실시간[[#This Row],[nxt_code]],"세션명")</f>
        <v>0</v>
      </c>
      <c r="S229">
        <f>_xll.IMDP("STK",표.실시간[[#This Row],[nxt_code]],"체결시간")</f>
        <v>0</v>
      </c>
      <c r="T229" s="4">
        <f>_xll.IMDP("STK","006280","현재가")</f>
        <v>153700</v>
      </c>
      <c r="U229">
        <f>_xll.IMDP("STK","006280","누적거래량")</f>
        <v>442</v>
      </c>
    </row>
    <row r="230" spans="3:21" x14ac:dyDescent="0.3">
      <c r="C230">
        <v>225</v>
      </c>
      <c r="D230">
        <v>67310</v>
      </c>
      <c r="E230" t="s">
        <v>242</v>
      </c>
      <c r="F230" t="str">
        <f>ConvertStockCode(표.실시간[[#This Row],[코드]])</f>
        <v>N067310</v>
      </c>
      <c r="G230" s="4">
        <f>_xll.IMDP("STK",표.실시간[[#This Row],[nxt_code]],"현재가")</f>
        <v>25450</v>
      </c>
      <c r="H230" s="4">
        <f>_xll.IMDP("STK",표.실시간[[#This Row],[nxt_code]],"시가총액")/10^12</f>
        <v>1.68932394295</v>
      </c>
      <c r="I230" t="str">
        <f>_xll.IMDP("","","전일대비부호")</f>
        <v>코드오류</v>
      </c>
      <c r="J230" s="5">
        <f>_xll.IMDP("STK",표.실시간[[#This Row],[nxt_code]],"전일대비")</f>
        <v>-150</v>
      </c>
      <c r="K230">
        <f>_xll.IMDP("STK",표.실시간[[#This Row],[nxt_code]],"등락률")</f>
        <v>-0.59</v>
      </c>
      <c r="L230" s="4">
        <f>_xll.IMDP("STK",표.실시간[[#This Row],[nxt_code]],"누적거래량")</f>
        <v>68887</v>
      </c>
      <c r="M230" s="4">
        <f>_xll.IMDP("STK",표.실시간[[#This Row],[nxt_code]],"누적거래대금")</f>
        <v>1770236600</v>
      </c>
      <c r="N230" s="4">
        <f>_xll.IMDP("STK",표.실시간[[#This Row],[nxt_code]],"가중평균가")</f>
        <v>25697.687516999998</v>
      </c>
      <c r="O230" s="4">
        <f>_xll.IMDP("STK",표.실시간[[#This Row],[nxt_code]],"시가")</f>
        <v>25650</v>
      </c>
      <c r="P230" s="4">
        <f>_xll.IMDP("STK",표.실시간[[#This Row],[nxt_code]],"고가")</f>
        <v>25850</v>
      </c>
      <c r="Q230" s="4">
        <f>_xll.IMDP("STK",표.실시간[[#This Row],[nxt_code]],"저가")</f>
        <v>25450</v>
      </c>
      <c r="R230">
        <f>_xll.IMDP("STK",표.실시간[[#This Row],[nxt_code]],"세션명")</f>
        <v>0</v>
      </c>
      <c r="S230">
        <f>_xll.IMDP("STK",표.실시간[[#This Row],[nxt_code]],"체결시간")</f>
        <v>0</v>
      </c>
      <c r="T230" s="4">
        <f>_xll.IMDP("STK","067310","현재가")</f>
        <v>25450</v>
      </c>
      <c r="U230">
        <f>_xll.IMDP("STK","067310","누적거래량")</f>
        <v>16744</v>
      </c>
    </row>
    <row r="231" spans="3:21" x14ac:dyDescent="0.3">
      <c r="C231">
        <v>226</v>
      </c>
      <c r="D231">
        <v>298020</v>
      </c>
      <c r="E231" t="s">
        <v>243</v>
      </c>
      <c r="F231" t="str">
        <f>ConvertStockCode(표.실시간[[#This Row],[코드]])</f>
        <v>N298020</v>
      </c>
      <c r="G231" s="4">
        <f>_xll.IMDP("STK",표.실시간[[#This Row],[nxt_code]],"현재가")</f>
        <v>380000</v>
      </c>
      <c r="H231" s="4">
        <f>_xll.IMDP("STK",표.실시간[[#This Row],[nxt_code]],"시가총액")/10^12</f>
        <v>1.64451916</v>
      </c>
      <c r="I231" t="str">
        <f>_xll.IMDP("","","전일대비부호")</f>
        <v>코드오류</v>
      </c>
      <c r="J231" s="5">
        <f>_xll.IMDP("STK",표.실시간[[#This Row],[nxt_code]],"전일대비")</f>
        <v>-8500</v>
      </c>
      <c r="K231">
        <f>_xll.IMDP("STK",표.실시간[[#This Row],[nxt_code]],"등락률")</f>
        <v>-2.19</v>
      </c>
      <c r="L231" s="4">
        <f>_xll.IMDP("STK",표.실시간[[#This Row],[nxt_code]],"누적거래량")</f>
        <v>6660</v>
      </c>
      <c r="M231" s="4">
        <f>_xll.IMDP("STK",표.실시간[[#This Row],[nxt_code]],"누적거래대금")</f>
        <v>2566287500</v>
      </c>
      <c r="N231" s="4">
        <f>_xll.IMDP("STK",표.실시간[[#This Row],[nxt_code]],"가중평균가")</f>
        <v>385328.45345299999</v>
      </c>
      <c r="O231" s="4">
        <f>_xll.IMDP("STK",표.실시간[[#This Row],[nxt_code]],"시가")</f>
        <v>388500</v>
      </c>
      <c r="P231" s="4">
        <f>_xll.IMDP("STK",표.실시간[[#This Row],[nxt_code]],"고가")</f>
        <v>399000</v>
      </c>
      <c r="Q231" s="4">
        <f>_xll.IMDP("STK",표.실시간[[#This Row],[nxt_code]],"저가")</f>
        <v>376000</v>
      </c>
      <c r="R231">
        <f>_xll.IMDP("STK",표.실시간[[#This Row],[nxt_code]],"세션명")</f>
        <v>0</v>
      </c>
      <c r="S231">
        <f>_xll.IMDP("STK",표.실시간[[#This Row],[nxt_code]],"체결시간")</f>
        <v>0</v>
      </c>
      <c r="T231" s="4">
        <f>_xll.IMDP("STK","298020","현재가")</f>
        <v>379500</v>
      </c>
      <c r="U231">
        <f>_xll.IMDP("STK","298020","누적거래량")</f>
        <v>4000</v>
      </c>
    </row>
    <row r="232" spans="3:21" x14ac:dyDescent="0.3">
      <c r="C232">
        <v>227</v>
      </c>
      <c r="D232">
        <v>7070</v>
      </c>
      <c r="E232" t="s">
        <v>244</v>
      </c>
      <c r="F232" t="str">
        <f>ConvertStockCode(표.실시간[[#This Row],[코드]])</f>
        <v>N007070</v>
      </c>
      <c r="G232" s="4">
        <f>_xll.IMDP("STK",표.실시간[[#This Row],[nxt_code]],"현재가")</f>
        <v>21200</v>
      </c>
      <c r="H232" s="4">
        <f>_xll.IMDP("STK",표.실시간[[#This Row],[nxt_code]],"시가총액")/10^12</f>
        <v>1.772477198</v>
      </c>
      <c r="I232" t="str">
        <f>_xll.IMDP("","","전일대비부호")</f>
        <v>코드오류</v>
      </c>
      <c r="J232" s="5">
        <f>_xll.IMDP("STK",표.실시간[[#This Row],[nxt_code]],"전일대비")</f>
        <v>50</v>
      </c>
      <c r="K232">
        <f>_xll.IMDP("STK",표.실시간[[#This Row],[nxt_code]],"등락률")</f>
        <v>0.24</v>
      </c>
      <c r="L232" s="4">
        <f>_xll.IMDP("STK",표.실시간[[#This Row],[nxt_code]],"누적거래량")</f>
        <v>9705</v>
      </c>
      <c r="M232" s="4">
        <f>_xll.IMDP("STK",표.실시간[[#This Row],[nxt_code]],"누적거래대금")</f>
        <v>207619200</v>
      </c>
      <c r="N232" s="4">
        <f>_xll.IMDP("STK",표.실시간[[#This Row],[nxt_code]],"가중평균가")</f>
        <v>21393.013910000001</v>
      </c>
      <c r="O232" s="4">
        <f>_xll.IMDP("STK",표.실시간[[#This Row],[nxt_code]],"시가")</f>
        <v>21400</v>
      </c>
      <c r="P232" s="4">
        <f>_xll.IMDP("STK",표.실시간[[#This Row],[nxt_code]],"고가")</f>
        <v>21450</v>
      </c>
      <c r="Q232" s="4">
        <f>_xll.IMDP("STK",표.실시간[[#This Row],[nxt_code]],"저가")</f>
        <v>21200</v>
      </c>
      <c r="R232">
        <f>_xll.IMDP("STK",표.실시간[[#This Row],[nxt_code]],"세션명")</f>
        <v>0</v>
      </c>
      <c r="S232">
        <f>_xll.IMDP("STK",표.실시간[[#This Row],[nxt_code]],"체결시간")</f>
        <v>0</v>
      </c>
      <c r="T232" s="4">
        <f>_xll.IMDP("STK","007070","현재가")</f>
        <v>21200</v>
      </c>
      <c r="U232">
        <f>_xll.IMDP("STK","007070","누적거래량")</f>
        <v>1757</v>
      </c>
    </row>
    <row r="233" spans="3:21" x14ac:dyDescent="0.3">
      <c r="C233">
        <v>228</v>
      </c>
      <c r="D233">
        <v>483650</v>
      </c>
      <c r="E233" t="s">
        <v>245</v>
      </c>
      <c r="F233" t="str">
        <f>ConvertStockCode(표.실시간[[#This Row],[코드]])</f>
        <v>N483650</v>
      </c>
      <c r="G233" s="4">
        <f>_xll.IMDP("STK",표.실시간[[#This Row],[nxt_code]],"현재가")</f>
        <v>148000</v>
      </c>
      <c r="H233" s="4">
        <f>_xll.IMDP("STK",표.실시간[[#This Row],[nxt_code]],"시가총액")/10^12</f>
        <v>1.8341144199999999</v>
      </c>
      <c r="I233" t="str">
        <f>_xll.IMDP("","","전일대비부호")</f>
        <v>코드오류</v>
      </c>
      <c r="J233" s="5">
        <f>_xll.IMDP("STK",표.실시간[[#This Row],[nxt_code]],"전일대비")</f>
        <v>100</v>
      </c>
      <c r="K233">
        <f>_xll.IMDP("STK",표.실시간[[#This Row],[nxt_code]],"등락률")</f>
        <v>0.27</v>
      </c>
      <c r="L233" s="4">
        <f>_xll.IMDP("STK",표.실시간[[#This Row],[nxt_code]],"누적거래량")</f>
        <v>12444</v>
      </c>
      <c r="M233" s="4">
        <f>_xll.IMDP("STK",표.실시간[[#This Row],[nxt_code]],"누적거래대금")</f>
        <v>1854294900</v>
      </c>
      <c r="N233" s="4">
        <f>_xll.IMDP("STK",표.실시간[[#This Row],[nxt_code]],"가중평균가")</f>
        <v>148855.655455</v>
      </c>
      <c r="O233" s="4">
        <f>_xll.IMDP("STK",표.실시간[[#This Row],[nxt_code]],"시가")</f>
        <v>150000</v>
      </c>
      <c r="P233" s="4">
        <f>_xll.IMDP("STK",표.실시간[[#This Row],[nxt_code]],"고가")</f>
        <v>150000</v>
      </c>
      <c r="Q233" s="4">
        <f>_xll.IMDP("STK",표.실시간[[#This Row],[nxt_code]],"저가")</f>
        <v>147400</v>
      </c>
      <c r="R233">
        <f>_xll.IMDP("STK",표.실시간[[#This Row],[nxt_code]],"세션명")</f>
        <v>0</v>
      </c>
      <c r="S233">
        <f>_xll.IMDP("STK",표.실시간[[#This Row],[nxt_code]],"체결시간")</f>
        <v>0</v>
      </c>
      <c r="T233" s="4">
        <f>_xll.IMDP("STK","483650","현재가")</f>
        <v>148300</v>
      </c>
      <c r="U233">
        <f>_xll.IMDP("STK","483650","누적거래량")</f>
        <v>2817</v>
      </c>
    </row>
    <row r="234" spans="3:21" x14ac:dyDescent="0.3">
      <c r="C234">
        <v>229</v>
      </c>
      <c r="D234">
        <v>3570</v>
      </c>
      <c r="E234" t="s">
        <v>246</v>
      </c>
      <c r="F234" t="str">
        <f>ConvertStockCode(표.실시간[[#This Row],[코드]])</f>
        <v>N003570</v>
      </c>
      <c r="G234" s="4">
        <f>_xll.IMDP("STK",표.실시간[[#This Row],[nxt_code]],"현재가")</f>
        <v>50200</v>
      </c>
      <c r="H234" s="4">
        <f>_xll.IMDP("STK",표.실시간[[#This Row],[nxt_code]],"시가총액")/10^12</f>
        <v>1.6692853893999999</v>
      </c>
      <c r="I234" t="str">
        <f>_xll.IMDP("","","전일대비부호")</f>
        <v>코드오류</v>
      </c>
      <c r="J234" s="5">
        <f>_xll.IMDP("STK",표.실시간[[#This Row],[nxt_code]],"전일대비")</f>
        <v>350</v>
      </c>
      <c r="K234">
        <f>_xll.IMDP("STK",표.실시간[[#This Row],[nxt_code]],"등락률")</f>
        <v>0.7</v>
      </c>
      <c r="L234" s="4">
        <f>_xll.IMDP("STK",표.실시간[[#This Row],[nxt_code]],"누적거래량")</f>
        <v>3793</v>
      </c>
      <c r="M234" s="4">
        <f>_xll.IMDP("STK",표.실시간[[#This Row],[nxt_code]],"누적거래대금")</f>
        <v>190171850</v>
      </c>
      <c r="N234" s="4">
        <f>_xll.IMDP("STK",표.실시간[[#This Row],[nxt_code]],"가중평균가")</f>
        <v>50137.582389000003</v>
      </c>
      <c r="O234" s="4">
        <f>_xll.IMDP("STK",표.실시간[[#This Row],[nxt_code]],"시가")</f>
        <v>49900</v>
      </c>
      <c r="P234" s="4">
        <f>_xll.IMDP("STK",표.실시간[[#This Row],[nxt_code]],"고가")</f>
        <v>50400</v>
      </c>
      <c r="Q234" s="4">
        <f>_xll.IMDP("STK",표.실시간[[#This Row],[nxt_code]],"저가")</f>
        <v>49900</v>
      </c>
      <c r="R234">
        <f>_xll.IMDP("STK",표.실시간[[#This Row],[nxt_code]],"세션명")</f>
        <v>0</v>
      </c>
      <c r="S234">
        <f>_xll.IMDP("STK",표.실시간[[#This Row],[nxt_code]],"체결시간")</f>
        <v>0</v>
      </c>
      <c r="T234" s="4">
        <f>_xll.IMDP("STK","003570","현재가")</f>
        <v>50000</v>
      </c>
      <c r="U234">
        <f>_xll.IMDP("STK","003570","누적거래량")</f>
        <v>870</v>
      </c>
    </row>
    <row r="235" spans="3:21" x14ac:dyDescent="0.3">
      <c r="C235">
        <v>230</v>
      </c>
      <c r="D235">
        <v>375500</v>
      </c>
      <c r="E235" t="s">
        <v>247</v>
      </c>
      <c r="F235" t="str">
        <f>ConvertStockCode(표.실시간[[#This Row],[코드]])</f>
        <v>N375500</v>
      </c>
      <c r="G235" s="4">
        <f>_xll.IMDP("STK",표.실시간[[#This Row],[nxt_code]],"현재가")</f>
        <v>44275</v>
      </c>
      <c r="H235" s="4">
        <f>_xll.IMDP("STK",표.실시간[[#This Row],[nxt_code]],"시가총액")/10^12</f>
        <v>1.713160158325</v>
      </c>
      <c r="I235" t="str">
        <f>_xll.IMDP("","","전일대비부호")</f>
        <v>코드오류</v>
      </c>
      <c r="J235" s="5">
        <f>_xll.IMDP("STK",표.실시간[[#This Row],[nxt_code]],"전일대비")</f>
        <v>1200</v>
      </c>
      <c r="K235">
        <f>_xll.IMDP("STK",표.실시간[[#This Row],[nxt_code]],"등락률")</f>
        <v>2.73</v>
      </c>
      <c r="L235" s="4">
        <f>_xll.IMDP("STK",표.실시간[[#This Row],[nxt_code]],"누적거래량")</f>
        <v>86324</v>
      </c>
      <c r="M235" s="4">
        <f>_xll.IMDP("STK",표.실시간[[#This Row],[nxt_code]],"누적거래대금")</f>
        <v>3801033900</v>
      </c>
      <c r="N235" s="4">
        <f>_xll.IMDP("STK",표.실시간[[#This Row],[nxt_code]],"가중평균가")</f>
        <v>44031.159789999998</v>
      </c>
      <c r="O235" s="4">
        <f>_xll.IMDP("STK",표.실시간[[#This Row],[nxt_code]],"시가")</f>
        <v>43450</v>
      </c>
      <c r="P235" s="4">
        <f>_xll.IMDP("STK",표.실시간[[#This Row],[nxt_code]],"고가")</f>
        <v>45000</v>
      </c>
      <c r="Q235" s="4">
        <f>_xll.IMDP("STK",표.실시간[[#This Row],[nxt_code]],"저가")</f>
        <v>43100</v>
      </c>
      <c r="R235">
        <f>_xll.IMDP("STK",표.실시간[[#This Row],[nxt_code]],"세션명")</f>
        <v>0</v>
      </c>
      <c r="S235">
        <f>_xll.IMDP("STK",표.실시간[[#This Row],[nxt_code]],"체결시간")</f>
        <v>0</v>
      </c>
      <c r="T235" s="4">
        <f>_xll.IMDP("STK","375500","현재가")</f>
        <v>44300</v>
      </c>
      <c r="U235">
        <f>_xll.IMDP("STK","375500","누적거래량")</f>
        <v>12901</v>
      </c>
    </row>
    <row r="236" spans="3:21" x14ac:dyDescent="0.3">
      <c r="C236">
        <v>231</v>
      </c>
      <c r="D236">
        <v>39200</v>
      </c>
      <c r="E236" t="s">
        <v>248</v>
      </c>
      <c r="F236" t="str">
        <f>ConvertStockCode(표.실시간[[#This Row],[코드]])</f>
        <v>N039200</v>
      </c>
      <c r="G236" s="4">
        <f>_xll.IMDP("STK",표.실시간[[#This Row],[nxt_code]],"현재가")</f>
        <v>41400</v>
      </c>
      <c r="H236" s="4">
        <f>_xll.IMDP("STK",표.실시간[[#This Row],[nxt_code]],"시가총액")/10^12</f>
        <v>1.5838884864</v>
      </c>
      <c r="I236" t="str">
        <f>_xll.IMDP("","","전일대비부호")</f>
        <v>코드오류</v>
      </c>
      <c r="J236" s="5">
        <f>_xll.IMDP("STK",표.실시간[[#This Row],[nxt_code]],"전일대비")</f>
        <v>550</v>
      </c>
      <c r="K236">
        <f>_xll.IMDP("STK",표.실시간[[#This Row],[nxt_code]],"등락률")</f>
        <v>1.35</v>
      </c>
      <c r="L236" s="4">
        <f>_xll.IMDP("STK",표.실시간[[#This Row],[nxt_code]],"누적거래량")</f>
        <v>15730</v>
      </c>
      <c r="M236" s="4">
        <f>_xll.IMDP("STK",표.실시간[[#This Row],[nxt_code]],"누적거래대금")</f>
        <v>645411850</v>
      </c>
      <c r="N236" s="4">
        <f>_xll.IMDP("STK",표.실시간[[#This Row],[nxt_code]],"가중평균가")</f>
        <v>41030.632549000002</v>
      </c>
      <c r="O236" s="4">
        <f>_xll.IMDP("STK",표.실시간[[#This Row],[nxt_code]],"시가")</f>
        <v>40850</v>
      </c>
      <c r="P236" s="4">
        <f>_xll.IMDP("STK",표.실시간[[#This Row],[nxt_code]],"고가")</f>
        <v>41500</v>
      </c>
      <c r="Q236" s="4">
        <f>_xll.IMDP("STK",표.실시간[[#This Row],[nxt_code]],"저가")</f>
        <v>40750</v>
      </c>
      <c r="R236">
        <f>_xll.IMDP("STK",표.실시간[[#This Row],[nxt_code]],"세션명")</f>
        <v>0</v>
      </c>
      <c r="S236">
        <f>_xll.IMDP("STK",표.실시간[[#This Row],[nxt_code]],"체결시간")</f>
        <v>0</v>
      </c>
      <c r="T236" s="4">
        <f>_xll.IMDP("STK","039200","현재가")</f>
        <v>41400</v>
      </c>
      <c r="U236">
        <f>_xll.IMDP("STK","039200","누적거래량")</f>
        <v>3529</v>
      </c>
    </row>
    <row r="237" spans="3:21" x14ac:dyDescent="0.3">
      <c r="C237">
        <v>232</v>
      </c>
      <c r="D237">
        <v>112610</v>
      </c>
      <c r="E237" t="s">
        <v>249</v>
      </c>
      <c r="F237" t="str">
        <f>ConvertStockCode(표.실시간[[#This Row],[코드]])</f>
        <v>N112610</v>
      </c>
      <c r="G237" s="4">
        <f>_xll.IMDP("STK",표.실시간[[#This Row],[nxt_code]],"현재가")</f>
        <v>40850</v>
      </c>
      <c r="H237" s="4">
        <f>_xll.IMDP("STK",표.실시간[[#This Row],[nxt_code]],"시가총액")/10^12</f>
        <v>1.7205932423999999</v>
      </c>
      <c r="I237" t="str">
        <f>_xll.IMDP("","","전일대비부호")</f>
        <v>코드오류</v>
      </c>
      <c r="J237" s="5">
        <f>_xll.IMDP("STK",표.실시간[[#This Row],[nxt_code]],"전일대비")</f>
        <v>650</v>
      </c>
      <c r="K237">
        <f>_xll.IMDP("STK",표.실시간[[#This Row],[nxt_code]],"등락률")</f>
        <v>1.62</v>
      </c>
      <c r="L237" s="4">
        <f>_xll.IMDP("STK",표.실시간[[#This Row],[nxt_code]],"누적거래량")</f>
        <v>24100</v>
      </c>
      <c r="M237" s="4">
        <f>_xll.IMDP("STK",표.실시간[[#This Row],[nxt_code]],"누적거래대금")</f>
        <v>973475400</v>
      </c>
      <c r="N237" s="4">
        <f>_xll.IMDP("STK",표.실시간[[#This Row],[nxt_code]],"가중평균가")</f>
        <v>40393.170123999997</v>
      </c>
      <c r="O237" s="4">
        <f>_xll.IMDP("STK",표.실시간[[#This Row],[nxt_code]],"시가")</f>
        <v>40400</v>
      </c>
      <c r="P237" s="4">
        <f>_xll.IMDP("STK",표.실시간[[#This Row],[nxt_code]],"고가")</f>
        <v>40850</v>
      </c>
      <c r="Q237" s="4">
        <f>_xll.IMDP("STK",표.실시간[[#This Row],[nxt_code]],"저가")</f>
        <v>40100</v>
      </c>
      <c r="R237">
        <f>_xll.IMDP("STK",표.실시간[[#This Row],[nxt_code]],"세션명")</f>
        <v>0</v>
      </c>
      <c r="S237">
        <f>_xll.IMDP("STK",표.실시간[[#This Row],[nxt_code]],"체결시간")</f>
        <v>0</v>
      </c>
      <c r="T237" s="4">
        <f>_xll.IMDP("STK","112610","현재가")</f>
        <v>40800</v>
      </c>
      <c r="U237">
        <f>_xll.IMDP("STK","112610","누적거래량")</f>
        <v>14531</v>
      </c>
    </row>
    <row r="238" spans="3:21" x14ac:dyDescent="0.3">
      <c r="C238">
        <v>233</v>
      </c>
      <c r="D238">
        <v>140860</v>
      </c>
      <c r="E238" t="s">
        <v>250</v>
      </c>
      <c r="F238" t="str">
        <f>ConvertStockCode(표.실시간[[#This Row],[코드]])</f>
        <v>N140860</v>
      </c>
      <c r="G238" s="4">
        <f>_xll.IMDP("STK",표.실시간[[#This Row],[nxt_code]],"현재가")</f>
        <v>234500</v>
      </c>
      <c r="H238" s="4">
        <f>_xll.IMDP("STK",표.실시간[[#This Row],[nxt_code]],"시가총액")/10^12</f>
        <v>1.6406738565000001</v>
      </c>
      <c r="I238" t="str">
        <f>_xll.IMDP("","","전일대비부호")</f>
        <v>코드오류</v>
      </c>
      <c r="J238" s="5">
        <f>_xll.IMDP("STK",표.실시간[[#This Row],[nxt_code]],"전일대비")</f>
        <v>-1000</v>
      </c>
      <c r="K238">
        <f>_xll.IMDP("STK",표.실시간[[#This Row],[nxt_code]],"등락률")</f>
        <v>-0.42</v>
      </c>
      <c r="L238" s="4">
        <f>_xll.IMDP("STK",표.실시간[[#This Row],[nxt_code]],"누적거래량")</f>
        <v>993</v>
      </c>
      <c r="M238" s="4">
        <f>_xll.IMDP("STK",표.실시간[[#This Row],[nxt_code]],"누적거래대금")</f>
        <v>232834500</v>
      </c>
      <c r="N238" s="4">
        <f>_xll.IMDP("STK",표.실시간[[#This Row],[nxt_code]],"가중평균가")</f>
        <v>234475.830816</v>
      </c>
      <c r="O238" s="4">
        <f>_xll.IMDP("STK",표.실시간[[#This Row],[nxt_code]],"시가")</f>
        <v>235500</v>
      </c>
      <c r="P238" s="4">
        <f>_xll.IMDP("STK",표.실시간[[#This Row],[nxt_code]],"고가")</f>
        <v>235500</v>
      </c>
      <c r="Q238" s="4">
        <f>_xll.IMDP("STK",표.실시간[[#This Row],[nxt_code]],"저가")</f>
        <v>232000</v>
      </c>
      <c r="R238">
        <f>_xll.IMDP("STK",표.실시간[[#This Row],[nxt_code]],"세션명")</f>
        <v>0</v>
      </c>
      <c r="S238">
        <f>_xll.IMDP("STK",표.실시간[[#This Row],[nxt_code]],"체결시간")</f>
        <v>0</v>
      </c>
      <c r="T238" s="4">
        <f>_xll.IMDP("STK","140860","현재가")</f>
        <v>232000</v>
      </c>
      <c r="U238">
        <f>_xll.IMDP("STK","140860","누적거래량")</f>
        <v>409</v>
      </c>
    </row>
    <row r="239" spans="3:21" x14ac:dyDescent="0.3">
      <c r="C239">
        <v>234</v>
      </c>
      <c r="D239">
        <v>65350</v>
      </c>
      <c r="E239" t="s">
        <v>251</v>
      </c>
      <c r="F239" t="str">
        <f>ConvertStockCode(표.실시간[[#This Row],[코드]])</f>
        <v>N065350</v>
      </c>
      <c r="G239" s="4">
        <f>_xll.IMDP("STK",표.실시간[[#This Row],[nxt_code]],"현재가")</f>
        <v>59300</v>
      </c>
      <c r="H239" s="4">
        <f>_xll.IMDP("STK",표.실시간[[#This Row],[nxt_code]],"시가총액")/10^12</f>
        <v>1.6297981163999999</v>
      </c>
      <c r="I239" t="str">
        <f>_xll.IMDP("","","전일대비부호")</f>
        <v>코드오류</v>
      </c>
      <c r="J239" s="5">
        <f>_xll.IMDP("STK",표.실시간[[#This Row],[nxt_code]],"전일대비")</f>
        <v>-200</v>
      </c>
      <c r="K239">
        <f>_xll.IMDP("STK",표.실시간[[#This Row],[nxt_code]],"등락률")</f>
        <v>-0.34</v>
      </c>
      <c r="L239" s="4">
        <f>_xll.IMDP("STK",표.실시간[[#This Row],[nxt_code]],"누적거래량")</f>
        <v>45210</v>
      </c>
      <c r="M239" s="4">
        <f>_xll.IMDP("STK",표.실시간[[#This Row],[nxt_code]],"누적거래대금")</f>
        <v>2734965900</v>
      </c>
      <c r="N239" s="4">
        <f>_xll.IMDP("STK",표.실시간[[#This Row],[nxt_code]],"가중평균가")</f>
        <v>60342.553613999997</v>
      </c>
      <c r="O239" s="4">
        <f>_xll.IMDP("STK",표.실시간[[#This Row],[nxt_code]],"시가")</f>
        <v>60400</v>
      </c>
      <c r="P239" s="4">
        <f>_xll.IMDP("STK",표.실시간[[#This Row],[nxt_code]],"고가")</f>
        <v>60900</v>
      </c>
      <c r="Q239" s="4">
        <f>_xll.IMDP("STK",표.실시간[[#This Row],[nxt_code]],"저가")</f>
        <v>59300</v>
      </c>
      <c r="R239">
        <f>_xll.IMDP("STK",표.실시간[[#This Row],[nxt_code]],"세션명")</f>
        <v>0</v>
      </c>
      <c r="S239">
        <f>_xll.IMDP("STK",표.실시간[[#This Row],[nxt_code]],"체결시간")</f>
        <v>0</v>
      </c>
      <c r="T239" s="4">
        <f>_xll.IMDP("STK","065350","현재가")</f>
        <v>59500</v>
      </c>
      <c r="U239">
        <f>_xll.IMDP("STK","065350","누적거래량")</f>
        <v>13708</v>
      </c>
    </row>
    <row r="240" spans="3:21" x14ac:dyDescent="0.3">
      <c r="C240">
        <v>235</v>
      </c>
      <c r="D240">
        <v>6360</v>
      </c>
      <c r="E240" t="s">
        <v>252</v>
      </c>
      <c r="F240" t="str">
        <f>ConvertStockCode(표.실시간[[#This Row],[코드]])</f>
        <v>N006360</v>
      </c>
      <c r="G240" s="4">
        <f>_xll.IMDP("STK",표.실시간[[#This Row],[nxt_code]],"현재가")</f>
        <v>18840</v>
      </c>
      <c r="H240" s="4">
        <f>_xll.IMDP("STK",표.실시간[[#This Row],[nxt_code]],"시가총액")/10^12</f>
        <v>1.6123552716</v>
      </c>
      <c r="I240" t="str">
        <f>_xll.IMDP("","","전일대비부호")</f>
        <v>코드오류</v>
      </c>
      <c r="J240" s="5">
        <f>_xll.IMDP("STK",표.실시간[[#This Row],[nxt_code]],"전일대비")</f>
        <v>200</v>
      </c>
      <c r="K240">
        <f>_xll.IMDP("STK",표.실시간[[#This Row],[nxt_code]],"등락률")</f>
        <v>1.07</v>
      </c>
      <c r="L240" s="4">
        <f>_xll.IMDP("STK",표.실시간[[#This Row],[nxt_code]],"누적거래량")</f>
        <v>45305</v>
      </c>
      <c r="M240" s="4">
        <f>_xll.IMDP("STK",표.실시간[[#This Row],[nxt_code]],"누적거래대금")</f>
        <v>849398920</v>
      </c>
      <c r="N240" s="4">
        <f>_xll.IMDP("STK",표.실시간[[#This Row],[nxt_code]],"가중평균가")</f>
        <v>18748.458669</v>
      </c>
      <c r="O240" s="4">
        <f>_xll.IMDP("STK",표.실시간[[#This Row],[nxt_code]],"시가")</f>
        <v>18710</v>
      </c>
      <c r="P240" s="4">
        <f>_xll.IMDP("STK",표.실시간[[#This Row],[nxt_code]],"고가")</f>
        <v>18860</v>
      </c>
      <c r="Q240" s="4">
        <f>_xll.IMDP("STK",표.실시간[[#This Row],[nxt_code]],"저가")</f>
        <v>18660</v>
      </c>
      <c r="R240">
        <f>_xll.IMDP("STK",표.실시간[[#This Row],[nxt_code]],"세션명")</f>
        <v>0</v>
      </c>
      <c r="S240">
        <f>_xll.IMDP("STK",표.실시간[[#This Row],[nxt_code]],"체결시간")</f>
        <v>0</v>
      </c>
      <c r="T240" s="4">
        <f>_xll.IMDP("STK","006360","현재가")</f>
        <v>18840</v>
      </c>
      <c r="U240">
        <f>_xll.IMDP("STK","006360","누적거래량")</f>
        <v>21912</v>
      </c>
    </row>
    <row r="241" spans="3:21" x14ac:dyDescent="0.3">
      <c r="C241">
        <v>236</v>
      </c>
      <c r="D241">
        <v>85620</v>
      </c>
      <c r="E241" t="s">
        <v>253</v>
      </c>
      <c r="F241" t="str">
        <f>ConvertStockCode(표.실시간[[#This Row],[코드]])</f>
        <v>N085620</v>
      </c>
      <c r="G241" s="4">
        <f>_xll.IMDP("STK",표.실시간[[#This Row],[nxt_code]],"현재가")</f>
        <v>8990</v>
      </c>
      <c r="H241" s="4">
        <f>_xll.IMDP("STK",표.실시간[[#This Row],[nxt_code]],"시가총액")/10^12</f>
        <v>1.59137553911</v>
      </c>
      <c r="I241" t="str">
        <f>_xll.IMDP("","","전일대비부호")</f>
        <v>코드오류</v>
      </c>
      <c r="J241" s="5">
        <f>_xll.IMDP("STK",표.실시간[[#This Row],[nxt_code]],"전일대비")</f>
        <v>30</v>
      </c>
      <c r="K241">
        <f>_xll.IMDP("STK",표.실시간[[#This Row],[nxt_code]],"등락률")</f>
        <v>0.33</v>
      </c>
      <c r="L241" s="4">
        <f>_xll.IMDP("STK",표.실시간[[#This Row],[nxt_code]],"누적거래량")</f>
        <v>106</v>
      </c>
      <c r="M241" s="4">
        <f>_xll.IMDP("STK",표.실시간[[#This Row],[nxt_code]],"누적거래대금")</f>
        <v>961740</v>
      </c>
      <c r="N241" s="4">
        <f>_xll.IMDP("STK",표.실시간[[#This Row],[nxt_code]],"가중평균가")</f>
        <v>9073.0188679999992</v>
      </c>
      <c r="O241" s="4">
        <f>_xll.IMDP("STK",표.실시간[[#This Row],[nxt_code]],"시가")</f>
        <v>9090</v>
      </c>
      <c r="P241" s="4">
        <f>_xll.IMDP("STK",표.실시간[[#This Row],[nxt_code]],"고가")</f>
        <v>9090</v>
      </c>
      <c r="Q241" s="4">
        <f>_xll.IMDP("STK",표.실시간[[#This Row],[nxt_code]],"저가")</f>
        <v>8990</v>
      </c>
      <c r="R241">
        <f>_xll.IMDP("STK",표.실시간[[#This Row],[nxt_code]],"세션명")</f>
        <v>0</v>
      </c>
      <c r="S241">
        <f>_xll.IMDP("STK",표.실시간[[#This Row],[nxt_code]],"체결시간")</f>
        <v>0</v>
      </c>
      <c r="T241" s="4">
        <f>_xll.IMDP("STK","085620","현재가")</f>
        <v>8990</v>
      </c>
      <c r="U241">
        <f>_xll.IMDP("STK","085620","누적거래량")</f>
        <v>2503</v>
      </c>
    </row>
    <row r="242" spans="3:21" x14ac:dyDescent="0.3">
      <c r="C242">
        <v>237</v>
      </c>
      <c r="D242">
        <v>34230</v>
      </c>
      <c r="E242" t="s">
        <v>254</v>
      </c>
      <c r="F242" t="str">
        <f>ConvertStockCode(표.실시간[[#This Row],[코드]])</f>
        <v>N034230</v>
      </c>
      <c r="G242" s="4">
        <f>_xll.IMDP("STK",표.실시간[[#This Row],[nxt_code]],"현재가")</f>
        <v>17380</v>
      </c>
      <c r="H242" s="4">
        <f>_xll.IMDP("STK",표.실시간[[#This Row],[nxt_code]],"시가총액")/10^12</f>
        <v>1.60600861542</v>
      </c>
      <c r="I242" t="str">
        <f>_xll.IMDP("","","전일대비부호")</f>
        <v>코드오류</v>
      </c>
      <c r="J242" s="5">
        <f>_xll.IMDP("STK",표.실시간[[#This Row],[nxt_code]],"전일대비")</f>
        <v>150</v>
      </c>
      <c r="K242">
        <f>_xll.IMDP("STK",표.실시간[[#This Row],[nxt_code]],"등락률")</f>
        <v>0.87</v>
      </c>
      <c r="L242" s="4">
        <f>_xll.IMDP("STK",표.실시간[[#This Row],[nxt_code]],"누적거래량")</f>
        <v>7246</v>
      </c>
      <c r="M242" s="4">
        <f>_xll.IMDP("STK",표.실시간[[#This Row],[nxt_code]],"누적거래대금")</f>
        <v>125251670</v>
      </c>
      <c r="N242" s="4">
        <f>_xll.IMDP("STK",표.실시간[[#This Row],[nxt_code]],"가중평균가")</f>
        <v>17285.629313000001</v>
      </c>
      <c r="O242" s="4">
        <f>_xll.IMDP("STK",표.실시간[[#This Row],[nxt_code]],"시가")</f>
        <v>17350</v>
      </c>
      <c r="P242" s="4">
        <f>_xll.IMDP("STK",표.실시간[[#This Row],[nxt_code]],"고가")</f>
        <v>17380</v>
      </c>
      <c r="Q242" s="4">
        <f>_xll.IMDP("STK",표.실시간[[#This Row],[nxt_code]],"저가")</f>
        <v>17270</v>
      </c>
      <c r="R242">
        <f>_xll.IMDP("STK",표.실시간[[#This Row],[nxt_code]],"세션명")</f>
        <v>0</v>
      </c>
      <c r="S242">
        <f>_xll.IMDP("STK",표.실시간[[#This Row],[nxt_code]],"체결시간")</f>
        <v>0</v>
      </c>
      <c r="T242" s="4">
        <f>_xll.IMDP("STK","034230","현재가")</f>
        <v>17290</v>
      </c>
      <c r="U242">
        <f>_xll.IMDP("STK","034230","누적거래량")</f>
        <v>37256</v>
      </c>
    </row>
    <row r="243" spans="3:21" x14ac:dyDescent="0.3">
      <c r="C243">
        <v>238</v>
      </c>
      <c r="D243">
        <v>20560</v>
      </c>
      <c r="E243" t="s">
        <v>255</v>
      </c>
      <c r="F243" t="str">
        <f>ConvertStockCode(표.실시간[[#This Row],[코드]])</f>
        <v>N020560</v>
      </c>
      <c r="G243" s="4">
        <f>_xll.IMDP("STK",표.실시간[[#This Row],[nxt_code]],"현재가")</f>
        <v>7710</v>
      </c>
      <c r="H243" s="4">
        <f>_xll.IMDP("STK",표.실시간[[#This Row],[nxt_code]],"시가총액")/10^12</f>
        <v>1.58818838181</v>
      </c>
      <c r="I243" t="str">
        <f>_xll.IMDP("","","전일대비부호")</f>
        <v>코드오류</v>
      </c>
      <c r="J243" s="5">
        <f>_xll.IMDP("STK",표.실시간[[#This Row],[nxt_code]],"전일대비")</f>
        <v>-10</v>
      </c>
      <c r="K243">
        <f>_xll.IMDP("STK",표.실시간[[#This Row],[nxt_code]],"등락률")</f>
        <v>-0.13</v>
      </c>
      <c r="L243" s="4">
        <f>_xll.IMDP("STK",표.실시간[[#This Row],[nxt_code]],"누적거래량")</f>
        <v>5547</v>
      </c>
      <c r="M243" s="4">
        <f>_xll.IMDP("STK",표.실시간[[#This Row],[nxt_code]],"누적거래대금")</f>
        <v>42861520</v>
      </c>
      <c r="N243" s="4">
        <f>_xll.IMDP("STK",표.실시간[[#This Row],[nxt_code]],"가중평균가")</f>
        <v>7726.9731389999997</v>
      </c>
      <c r="O243" s="4">
        <f>_xll.IMDP("STK",표.실시간[[#This Row],[nxt_code]],"시가")</f>
        <v>7700</v>
      </c>
      <c r="P243" s="4">
        <f>_xll.IMDP("STK",표.실시간[[#This Row],[nxt_code]],"고가")</f>
        <v>7750</v>
      </c>
      <c r="Q243" s="4">
        <f>_xll.IMDP("STK",표.실시간[[#This Row],[nxt_code]],"저가")</f>
        <v>7700</v>
      </c>
      <c r="R243">
        <f>_xll.IMDP("STK",표.실시간[[#This Row],[nxt_code]],"세션명")</f>
        <v>0</v>
      </c>
      <c r="S243">
        <f>_xll.IMDP("STK",표.실시간[[#This Row],[nxt_code]],"체결시간")</f>
        <v>0</v>
      </c>
      <c r="T243" s="4">
        <f>_xll.IMDP("STK","020560","현재가")</f>
        <v>7710</v>
      </c>
      <c r="U243">
        <f>_xll.IMDP("STK","020560","누적거래량")</f>
        <v>322</v>
      </c>
    </row>
    <row r="244" spans="3:21" x14ac:dyDescent="0.3">
      <c r="C244">
        <v>239</v>
      </c>
      <c r="D244">
        <v>7310</v>
      </c>
      <c r="E244" t="s">
        <v>256</v>
      </c>
      <c r="F244" t="str">
        <f>ConvertStockCode(표.실시간[[#This Row],[코드]])</f>
        <v>N007310</v>
      </c>
      <c r="G244" s="4">
        <f>_xll.IMDP("STK",표.실시간[[#This Row],[nxt_code]],"현재가")</f>
        <v>389000</v>
      </c>
      <c r="H244" s="4">
        <f>_xll.IMDP("STK",표.실시간[[#This Row],[nxt_code]],"시가총액")/10^12</f>
        <v>1.5590458700000001</v>
      </c>
      <c r="I244" t="str">
        <f>_xll.IMDP("","","전일대비부호")</f>
        <v>코드오류</v>
      </c>
      <c r="J244" s="5">
        <f>_xll.IMDP("STK",표.실시간[[#This Row],[nxt_code]],"전일대비")</f>
        <v>500</v>
      </c>
      <c r="K244">
        <f>_xll.IMDP("STK",표.실시간[[#This Row],[nxt_code]],"등락률")</f>
        <v>0.39</v>
      </c>
      <c r="L244" s="4">
        <f>_xll.IMDP("STK",표.실시간[[#This Row],[nxt_code]],"누적거래량")</f>
        <v>298</v>
      </c>
      <c r="M244" s="4">
        <f>_xll.IMDP("STK",표.실시간[[#This Row],[nxt_code]],"누적거래대금")</f>
        <v>115328500</v>
      </c>
      <c r="N244" s="4">
        <f>_xll.IMDP("STK",표.실시간[[#This Row],[nxt_code]],"가중평균가")</f>
        <v>387008.38926199998</v>
      </c>
      <c r="O244" s="4">
        <f>_xll.IMDP("STK",표.실시간[[#This Row],[nxt_code]],"시가")</f>
        <v>388500</v>
      </c>
      <c r="P244" s="4">
        <f>_xll.IMDP("STK",표.실시간[[#This Row],[nxt_code]],"고가")</f>
        <v>388500</v>
      </c>
      <c r="Q244" s="4">
        <f>_xll.IMDP("STK",표.실시간[[#This Row],[nxt_code]],"저가")</f>
        <v>385500</v>
      </c>
      <c r="R244">
        <f>_xll.IMDP("STK",표.실시간[[#This Row],[nxt_code]],"세션명")</f>
        <v>0</v>
      </c>
      <c r="S244">
        <f>_xll.IMDP("STK",표.실시간[[#This Row],[nxt_code]],"체결시간")</f>
        <v>0</v>
      </c>
      <c r="T244" s="4">
        <f>_xll.IMDP("STK","007310","현재가")</f>
        <v>389000</v>
      </c>
      <c r="U244">
        <f>_xll.IMDP("STK","007310","누적거래량")</f>
        <v>118</v>
      </c>
    </row>
    <row r="245" spans="3:21" x14ac:dyDescent="0.3">
      <c r="C245">
        <v>240</v>
      </c>
      <c r="D245">
        <v>161890</v>
      </c>
      <c r="E245" t="s">
        <v>257</v>
      </c>
      <c r="F245" t="str">
        <f>ConvertStockCode(표.실시간[[#This Row],[코드]])</f>
        <v>N161890</v>
      </c>
      <c r="G245" s="4">
        <f>_xll.IMDP("STK",표.실시간[[#This Row],[nxt_code]],"현재가")</f>
        <v>66100</v>
      </c>
      <c r="H245" s="4">
        <f>_xll.IMDP("STK",표.실시간[[#This Row],[nxt_code]],"시가총액")/10^12</f>
        <v>1.5602955896999999</v>
      </c>
      <c r="I245" t="str">
        <f>_xll.IMDP("","","전일대비부호")</f>
        <v>코드오류</v>
      </c>
      <c r="J245" s="5">
        <f>_xll.IMDP("STK",표.실시간[[#This Row],[nxt_code]],"전일대비")</f>
        <v>-300</v>
      </c>
      <c r="K245">
        <f>_xll.IMDP("STK",표.실시간[[#This Row],[nxt_code]],"등락률")</f>
        <v>-0.45</v>
      </c>
      <c r="L245" s="4">
        <f>_xll.IMDP("STK",표.실시간[[#This Row],[nxt_code]],"누적거래량")</f>
        <v>39276</v>
      </c>
      <c r="M245" s="4">
        <f>_xll.IMDP("STK",표.실시간[[#This Row],[nxt_code]],"누적거래대금")</f>
        <v>2622967400</v>
      </c>
      <c r="N245" s="4">
        <f>_xll.IMDP("STK",표.실시간[[#This Row],[nxt_code]],"가중평균가")</f>
        <v>66782.956512999997</v>
      </c>
      <c r="O245" s="4">
        <f>_xll.IMDP("STK",표.실시간[[#This Row],[nxt_code]],"시가")</f>
        <v>67100</v>
      </c>
      <c r="P245" s="4">
        <f>_xll.IMDP("STK",표.실시간[[#This Row],[nxt_code]],"고가")</f>
        <v>67900</v>
      </c>
      <c r="Q245" s="4">
        <f>_xll.IMDP("STK",표.실시간[[#This Row],[nxt_code]],"저가")</f>
        <v>66100</v>
      </c>
      <c r="R245">
        <f>_xll.IMDP("STK",표.실시간[[#This Row],[nxt_code]],"세션명")</f>
        <v>0</v>
      </c>
      <c r="S245">
        <f>_xll.IMDP("STK",표.실시간[[#This Row],[nxt_code]],"체결시간")</f>
        <v>0</v>
      </c>
      <c r="T245" s="4">
        <f>_xll.IMDP("STK","161890","현재가")</f>
        <v>66200</v>
      </c>
      <c r="U245">
        <f>_xll.IMDP("STK","161890","누적거래량")</f>
        <v>11454</v>
      </c>
    </row>
    <row r="246" spans="3:21" x14ac:dyDescent="0.3">
      <c r="C246">
        <v>241</v>
      </c>
      <c r="D246">
        <v>77970</v>
      </c>
      <c r="E246" t="s">
        <v>258</v>
      </c>
      <c r="F246" t="str">
        <f>ConvertStockCode(표.실시간[[#This Row],[코드]])</f>
        <v>N077970</v>
      </c>
      <c r="G246" s="4">
        <f>_xll.IMDP("STK",표.실시간[[#This Row],[nxt_code]],"현재가")</f>
        <v>37600</v>
      </c>
      <c r="H246" s="4">
        <f>_xll.IMDP("STK",표.실시간[[#This Row],[nxt_code]],"시가총액")/10^12</f>
        <v>1.5095671688000001</v>
      </c>
      <c r="I246" t="str">
        <f>_xll.IMDP("","","전일대비부호")</f>
        <v>코드오류</v>
      </c>
      <c r="J246" s="5">
        <f>_xll.IMDP("STK",표.실시간[[#This Row],[nxt_code]],"전일대비")</f>
        <v>600</v>
      </c>
      <c r="K246">
        <f>_xll.IMDP("STK",표.실시간[[#This Row],[nxt_code]],"등락률")</f>
        <v>1.62</v>
      </c>
      <c r="L246" s="4">
        <f>_xll.IMDP("STK",표.실시간[[#This Row],[nxt_code]],"누적거래량")</f>
        <v>24034</v>
      </c>
      <c r="M246" s="4">
        <f>_xll.IMDP("STK",표.실시간[[#This Row],[nxt_code]],"누적거래대금")</f>
        <v>894461950</v>
      </c>
      <c r="N246" s="4">
        <f>_xll.IMDP("STK",표.실시간[[#This Row],[nxt_code]],"가중평균가")</f>
        <v>37216.524507000002</v>
      </c>
      <c r="O246" s="4">
        <f>_xll.IMDP("STK",표.실시간[[#This Row],[nxt_code]],"시가")</f>
        <v>37000</v>
      </c>
      <c r="P246" s="4">
        <f>_xll.IMDP("STK",표.실시간[[#This Row],[nxt_code]],"고가")</f>
        <v>37600</v>
      </c>
      <c r="Q246" s="4">
        <f>_xll.IMDP("STK",표.실시간[[#This Row],[nxt_code]],"저가")</f>
        <v>36900</v>
      </c>
      <c r="R246">
        <f>_xll.IMDP("STK",표.실시간[[#This Row],[nxt_code]],"세션명")</f>
        <v>0</v>
      </c>
      <c r="S246">
        <f>_xll.IMDP("STK",표.실시간[[#This Row],[nxt_code]],"체결시간")</f>
        <v>0</v>
      </c>
      <c r="T246" s="4">
        <f>_xll.IMDP("STK","077970","현재가")</f>
        <v>37250</v>
      </c>
      <c r="U246">
        <f>_xll.IMDP("STK","077970","누적거래량")</f>
        <v>10231</v>
      </c>
    </row>
    <row r="247" spans="3:21" x14ac:dyDescent="0.3">
      <c r="C247">
        <v>242</v>
      </c>
      <c r="D247">
        <v>89030</v>
      </c>
      <c r="E247" t="s">
        <v>259</v>
      </c>
      <c r="F247" t="str">
        <f>ConvertStockCode(표.실시간[[#This Row],[코드]])</f>
        <v>N089030</v>
      </c>
      <c r="G247" s="4">
        <f>_xll.IMDP("STK",표.실시간[[#This Row],[nxt_code]],"현재가")</f>
        <v>37350</v>
      </c>
      <c r="H247" s="4">
        <f>_xll.IMDP("STK",표.실시간[[#This Row],[nxt_code]],"시가총액")/10^12</f>
        <v>1.3839536407499999</v>
      </c>
      <c r="I247" t="str">
        <f>_xll.IMDP("","","전일대비부호")</f>
        <v>코드오류</v>
      </c>
      <c r="J247" s="5">
        <f>_xll.IMDP("STK",표.실시간[[#This Row],[nxt_code]],"전일대비")</f>
        <v>150</v>
      </c>
      <c r="K247">
        <f>_xll.IMDP("STK",표.실시간[[#This Row],[nxt_code]],"등락률")</f>
        <v>0.4</v>
      </c>
      <c r="L247" s="4">
        <f>_xll.IMDP("STK",표.실시간[[#This Row],[nxt_code]],"누적거래량")</f>
        <v>166342</v>
      </c>
      <c r="M247" s="4">
        <f>_xll.IMDP("STK",표.실시간[[#This Row],[nxt_code]],"누적거래대금")</f>
        <v>6243592800</v>
      </c>
      <c r="N247" s="4">
        <f>_xll.IMDP("STK",표.실시간[[#This Row],[nxt_code]],"가중평균가")</f>
        <v>37534.898883000002</v>
      </c>
      <c r="O247" s="4">
        <f>_xll.IMDP("STK",표.실시간[[#This Row],[nxt_code]],"시가")</f>
        <v>37700</v>
      </c>
      <c r="P247" s="4">
        <f>_xll.IMDP("STK",표.실시간[[#This Row],[nxt_code]],"고가")</f>
        <v>38000</v>
      </c>
      <c r="Q247" s="4">
        <f>_xll.IMDP("STK",표.실시간[[#This Row],[nxt_code]],"저가")</f>
        <v>37200</v>
      </c>
      <c r="R247">
        <f>_xll.IMDP("STK",표.실시간[[#This Row],[nxt_code]],"세션명")</f>
        <v>0</v>
      </c>
      <c r="S247">
        <f>_xll.IMDP("STK",표.실시간[[#This Row],[nxt_code]],"체결시간")</f>
        <v>0</v>
      </c>
      <c r="T247" s="4">
        <f>_xll.IMDP("STK","089030","현재가")</f>
        <v>37350</v>
      </c>
      <c r="U247">
        <f>_xll.IMDP("STK","089030","누적거래량")</f>
        <v>27081</v>
      </c>
    </row>
    <row r="248" spans="3:21" x14ac:dyDescent="0.3">
      <c r="C248">
        <v>243</v>
      </c>
      <c r="D248">
        <v>36930</v>
      </c>
      <c r="E248" t="s">
        <v>260</v>
      </c>
      <c r="F248" t="str">
        <f>ConvertStockCode(표.실시간[[#This Row],[코드]])</f>
        <v>N036930</v>
      </c>
      <c r="G248" s="4">
        <f>_xll.IMDP("STK",표.실시간[[#This Row],[nxt_code]],"현재가")</f>
        <v>31350</v>
      </c>
      <c r="H248" s="4">
        <f>_xll.IMDP("STK",표.실시간[[#This Row],[nxt_code]],"시가총액")/10^12</f>
        <v>1.48186186335</v>
      </c>
      <c r="I248" t="str">
        <f>_xll.IMDP("","","전일대비부호")</f>
        <v>코드오류</v>
      </c>
      <c r="J248" s="5">
        <f>_xll.IMDP("STK",표.실시간[[#This Row],[nxt_code]],"전일대비")</f>
        <v>0</v>
      </c>
      <c r="K248">
        <f>_xll.IMDP("STK",표.실시간[[#This Row],[nxt_code]],"등락률")</f>
        <v>0</v>
      </c>
      <c r="L248" s="4">
        <f>_xll.IMDP("STK",표.실시간[[#This Row],[nxt_code]],"누적거래량")</f>
        <v>46067</v>
      </c>
      <c r="M248" s="4">
        <f>_xll.IMDP("STK",표.실시간[[#This Row],[nxt_code]],"누적거래대금")</f>
        <v>1454759600</v>
      </c>
      <c r="N248" s="4">
        <f>_xll.IMDP("STK",표.실시간[[#This Row],[nxt_code]],"가중평균가")</f>
        <v>31579.212886000001</v>
      </c>
      <c r="O248" s="4">
        <f>_xll.IMDP("STK",표.실시간[[#This Row],[nxt_code]],"시가")</f>
        <v>31800</v>
      </c>
      <c r="P248" s="4">
        <f>_xll.IMDP("STK",표.실시간[[#This Row],[nxt_code]],"고가")</f>
        <v>31850</v>
      </c>
      <c r="Q248" s="4">
        <f>_xll.IMDP("STK",표.실시간[[#This Row],[nxt_code]],"저가")</f>
        <v>31350</v>
      </c>
      <c r="R248">
        <f>_xll.IMDP("STK",표.실시간[[#This Row],[nxt_code]],"세션명")</f>
        <v>0</v>
      </c>
      <c r="S248">
        <f>_xll.IMDP("STK",표.실시간[[#This Row],[nxt_code]],"체결시간")</f>
        <v>0</v>
      </c>
      <c r="T248" s="4">
        <f>_xll.IMDP("STK","036930","현재가")</f>
        <v>31350</v>
      </c>
      <c r="U248">
        <f>_xll.IMDP("STK","036930","누적거래량")</f>
        <v>10889</v>
      </c>
    </row>
    <row r="249" spans="3:21" x14ac:dyDescent="0.3">
      <c r="C249">
        <v>244</v>
      </c>
      <c r="D249">
        <v>500</v>
      </c>
      <c r="E249" t="s">
        <v>261</v>
      </c>
      <c r="F249" t="str">
        <f>ConvertStockCode(표.실시간[[#This Row],[코드]])</f>
        <v>N000500</v>
      </c>
      <c r="G249" s="4">
        <f>_xll.IMDP("STK",표.실시간[[#This Row],[nxt_code]],"현재가")</f>
        <v>88800</v>
      </c>
      <c r="H249" s="4">
        <f>_xll.IMDP("STK",표.실시간[[#This Row],[nxt_code]],"시가총액")/10^12</f>
        <v>1.469028612</v>
      </c>
      <c r="I249" t="str">
        <f>_xll.IMDP("","","전일대비부호")</f>
        <v>코드오류</v>
      </c>
      <c r="J249" s="5">
        <f>_xll.IMDP("STK",표.실시간[[#This Row],[nxt_code]],"전일대비")</f>
        <v>200</v>
      </c>
      <c r="K249">
        <f>_xll.IMDP("STK",표.실시간[[#This Row],[nxt_code]],"등락률")</f>
        <v>0.23</v>
      </c>
      <c r="L249" s="4">
        <f>_xll.IMDP("STK",표.실시간[[#This Row],[nxt_code]],"누적거래량")</f>
        <v>3049</v>
      </c>
      <c r="M249" s="4">
        <f>_xll.IMDP("STK",표.실시간[[#This Row],[nxt_code]],"누적거래대금")</f>
        <v>271644600</v>
      </c>
      <c r="N249" s="4">
        <f>_xll.IMDP("STK",표.실시간[[#This Row],[nxt_code]],"가중평균가")</f>
        <v>89093.014102999994</v>
      </c>
      <c r="O249" s="4">
        <f>_xll.IMDP("STK",표.실시간[[#This Row],[nxt_code]],"시가")</f>
        <v>88600</v>
      </c>
      <c r="P249" s="4">
        <f>_xll.IMDP("STK",표.실시간[[#This Row],[nxt_code]],"고가")</f>
        <v>89500</v>
      </c>
      <c r="Q249" s="4">
        <f>_xll.IMDP("STK",표.실시간[[#This Row],[nxt_code]],"저가")</f>
        <v>88600</v>
      </c>
      <c r="R249">
        <f>_xll.IMDP("STK",표.실시간[[#This Row],[nxt_code]],"세션명")</f>
        <v>0</v>
      </c>
      <c r="S249">
        <f>_xll.IMDP("STK",표.실시간[[#This Row],[nxt_code]],"체결시간")</f>
        <v>0</v>
      </c>
      <c r="T249" s="4">
        <f>_xll.IMDP("STK","000500","현재가")</f>
        <v>88000</v>
      </c>
      <c r="U249">
        <f>_xll.IMDP("STK","000500","누적거래량")</f>
        <v>1233</v>
      </c>
    </row>
    <row r="250" spans="3:21" x14ac:dyDescent="0.3">
      <c r="C250">
        <v>245</v>
      </c>
      <c r="D250">
        <v>7810</v>
      </c>
      <c r="E250" t="s">
        <v>262</v>
      </c>
      <c r="F250" t="str">
        <f>ConvertStockCode(표.실시간[[#This Row],[코드]])</f>
        <v>N007810</v>
      </c>
      <c r="G250" s="4">
        <f>_xll.IMDP("STK",표.실시간[[#This Row],[nxt_code]],"현재가")</f>
        <v>62400</v>
      </c>
      <c r="H250" s="4">
        <f>_xll.IMDP("STK",표.실시간[[#This Row],[nxt_code]],"시가총액")/10^12</f>
        <v>1.4739348623999999</v>
      </c>
      <c r="I250" t="str">
        <f>_xll.IMDP("","","전일대비부호")</f>
        <v>코드오류</v>
      </c>
      <c r="J250" s="5">
        <f>_xll.IMDP("STK",표.실시간[[#This Row],[nxt_code]],"전일대비")</f>
        <v>-1500</v>
      </c>
      <c r="K250">
        <f>_xll.IMDP("STK",표.실시간[[#This Row],[nxt_code]],"등락률")</f>
        <v>-2.35</v>
      </c>
      <c r="L250" s="4">
        <f>_xll.IMDP("STK",표.실시간[[#This Row],[nxt_code]],"누적거래량")</f>
        <v>37168</v>
      </c>
      <c r="M250" s="4">
        <f>_xll.IMDP("STK",표.실시간[[#This Row],[nxt_code]],"누적거래대금")</f>
        <v>2356509400</v>
      </c>
      <c r="N250" s="4">
        <f>_xll.IMDP("STK",표.실시간[[#This Row],[nxt_code]],"가중평균가")</f>
        <v>63401.565863000003</v>
      </c>
      <c r="O250" s="4">
        <f>_xll.IMDP("STK",표.실시간[[#This Row],[nxt_code]],"시가")</f>
        <v>65800</v>
      </c>
      <c r="P250" s="4">
        <f>_xll.IMDP("STK",표.실시간[[#This Row],[nxt_code]],"고가")</f>
        <v>66000</v>
      </c>
      <c r="Q250" s="4">
        <f>_xll.IMDP("STK",표.실시간[[#This Row],[nxt_code]],"저가")</f>
        <v>62200</v>
      </c>
      <c r="R250">
        <f>_xll.IMDP("STK",표.실시간[[#This Row],[nxt_code]],"세션명")</f>
        <v>0</v>
      </c>
      <c r="S250">
        <f>_xll.IMDP("STK",표.실시간[[#This Row],[nxt_code]],"체결시간")</f>
        <v>0</v>
      </c>
      <c r="T250" s="4">
        <f>_xll.IMDP("STK","007810","현재가")</f>
        <v>62100</v>
      </c>
      <c r="U250">
        <f>_xll.IMDP("STK","007810","누적거래량")</f>
        <v>10450</v>
      </c>
    </row>
    <row r="251" spans="3:21" x14ac:dyDescent="0.3">
      <c r="C251">
        <v>246</v>
      </c>
      <c r="D251">
        <v>7340</v>
      </c>
      <c r="E251" t="s">
        <v>263</v>
      </c>
      <c r="F251" t="str">
        <f>ConvertStockCode(표.실시간[[#This Row],[코드]])</f>
        <v>N007340</v>
      </c>
      <c r="G251" s="4">
        <f>_xll.IMDP("STK",표.실시간[[#This Row],[nxt_code]],"현재가")</f>
        <v>25550</v>
      </c>
      <c r="H251" s="4">
        <f>_xll.IMDP("STK",표.실시간[[#This Row],[nxt_code]],"시가총액")/10^12</f>
        <v>1.49495260075</v>
      </c>
      <c r="I251" t="str">
        <f>_xll.IMDP("","","전일대비부호")</f>
        <v>코드오류</v>
      </c>
      <c r="J251" s="5">
        <f>_xll.IMDP("STK",표.실시간[[#This Row],[nxt_code]],"전일대비")</f>
        <v>100</v>
      </c>
      <c r="K251">
        <f>_xll.IMDP("STK",표.실시간[[#This Row],[nxt_code]],"등락률")</f>
        <v>0.39</v>
      </c>
      <c r="L251" s="4">
        <f>_xll.IMDP("STK",표.실시간[[#This Row],[nxt_code]],"누적거래량")</f>
        <v>17419</v>
      </c>
      <c r="M251" s="4">
        <f>_xll.IMDP("STK",표.실시간[[#This Row],[nxt_code]],"누적거래대금")</f>
        <v>449509400</v>
      </c>
      <c r="N251" s="4">
        <f>_xll.IMDP("STK",표.실시간[[#This Row],[nxt_code]],"가중평균가")</f>
        <v>25805.694931000002</v>
      </c>
      <c r="O251" s="4">
        <f>_xll.IMDP("STK",표.실시간[[#This Row],[nxt_code]],"시가")</f>
        <v>25150</v>
      </c>
      <c r="P251" s="4">
        <f>_xll.IMDP("STK",표.실시간[[#This Row],[nxt_code]],"고가")</f>
        <v>26150</v>
      </c>
      <c r="Q251" s="4">
        <f>_xll.IMDP("STK",표.실시간[[#This Row],[nxt_code]],"저가")</f>
        <v>25150</v>
      </c>
      <c r="R251">
        <f>_xll.IMDP("STK",표.실시간[[#This Row],[nxt_code]],"세션명")</f>
        <v>0</v>
      </c>
      <c r="S251">
        <f>_xll.IMDP("STK",표.실시간[[#This Row],[nxt_code]],"체결시간")</f>
        <v>0</v>
      </c>
      <c r="T251" s="4">
        <f>_xll.IMDP("STK","007340","현재가")</f>
        <v>25500</v>
      </c>
      <c r="U251">
        <f>_xll.IMDP("STK","007340","누적거래량")</f>
        <v>3307</v>
      </c>
    </row>
    <row r="252" spans="3:21" x14ac:dyDescent="0.3">
      <c r="C252">
        <v>247</v>
      </c>
      <c r="D252">
        <v>5070</v>
      </c>
      <c r="E252" t="s">
        <v>264</v>
      </c>
      <c r="F252" t="str">
        <f>ConvertStockCode(표.실시간[[#This Row],[코드]])</f>
        <v>N005070</v>
      </c>
      <c r="G252" s="4">
        <f>_xll.IMDP("STK",표.실시간[[#This Row],[nxt_code]],"현재가")</f>
        <v>50400</v>
      </c>
      <c r="H252" s="4">
        <f>_xll.IMDP("STK",표.실시간[[#This Row],[nxt_code]],"시가총액")/10^12</f>
        <v>1.6385421024</v>
      </c>
      <c r="I252" t="str">
        <f>_xll.IMDP("","","전일대비부호")</f>
        <v>코드오류</v>
      </c>
      <c r="J252" s="5">
        <f>_xll.IMDP("STK",표.실시간[[#This Row],[nxt_code]],"전일대비")</f>
        <v>2500</v>
      </c>
      <c r="K252">
        <f>_xll.IMDP("STK",표.실시간[[#This Row],[nxt_code]],"등락률")</f>
        <v>5.22</v>
      </c>
      <c r="L252" s="4">
        <f>_xll.IMDP("STK",표.실시간[[#This Row],[nxt_code]],"누적거래량")</f>
        <v>615053</v>
      </c>
      <c r="M252" s="4">
        <f>_xll.IMDP("STK",표.실시간[[#This Row],[nxt_code]],"누적거래대금")</f>
        <v>31862540300</v>
      </c>
      <c r="N252" s="4">
        <f>_xll.IMDP("STK",표.실시간[[#This Row],[nxt_code]],"가중평균가")</f>
        <v>51804.544160999998</v>
      </c>
      <c r="O252" s="4">
        <f>_xll.IMDP("STK",표.실시간[[#This Row],[nxt_code]],"시가")</f>
        <v>48900</v>
      </c>
      <c r="P252" s="4">
        <f>_xll.IMDP("STK",표.실시간[[#This Row],[nxt_code]],"고가")</f>
        <v>53700</v>
      </c>
      <c r="Q252" s="4">
        <f>_xll.IMDP("STK",표.실시간[[#This Row],[nxt_code]],"저가")</f>
        <v>48550</v>
      </c>
      <c r="R252">
        <f>_xll.IMDP("STK",표.실시간[[#This Row],[nxt_code]],"세션명")</f>
        <v>0</v>
      </c>
      <c r="S252">
        <f>_xll.IMDP("STK",표.실시간[[#This Row],[nxt_code]],"체결시간")</f>
        <v>0</v>
      </c>
      <c r="T252" s="4">
        <f>_xll.IMDP("STK","005070","현재가")</f>
        <v>50300</v>
      </c>
      <c r="U252">
        <f>_xll.IMDP("STK","005070","누적거래량")</f>
        <v>77785</v>
      </c>
    </row>
    <row r="253" spans="3:21" x14ac:dyDescent="0.3">
      <c r="C253">
        <v>248</v>
      </c>
      <c r="D253">
        <v>60370</v>
      </c>
      <c r="E253" t="s">
        <v>265</v>
      </c>
      <c r="F253" t="str">
        <f>ConvertStockCode(표.실시간[[#This Row],[코드]])</f>
        <v>N060370</v>
      </c>
      <c r="G253" s="4">
        <f>_xll.IMDP("STK",표.실시간[[#This Row],[nxt_code]],"현재가")</f>
        <v>27100</v>
      </c>
      <c r="H253" s="4">
        <f>_xll.IMDP("STK",표.실시간[[#This Row],[nxt_code]],"시가총액")/10^12</f>
        <v>1.4156729433999999</v>
      </c>
      <c r="I253" t="str">
        <f>_xll.IMDP("","","전일대비부호")</f>
        <v>코드오류</v>
      </c>
      <c r="J253" s="5">
        <f>_xll.IMDP("STK",표.실시간[[#This Row],[nxt_code]],"전일대비")</f>
        <v>-200</v>
      </c>
      <c r="K253">
        <f>_xll.IMDP("STK",표.실시간[[#This Row],[nxt_code]],"등락률")</f>
        <v>-0.73</v>
      </c>
      <c r="L253" s="4">
        <f>_xll.IMDP("STK",표.실시간[[#This Row],[nxt_code]],"누적거래량")</f>
        <v>17414</v>
      </c>
      <c r="M253" s="4">
        <f>_xll.IMDP("STK",표.실시간[[#This Row],[nxt_code]],"누적거래대금")</f>
        <v>475604600</v>
      </c>
      <c r="N253" s="4">
        <f>_xll.IMDP("STK",표.실시간[[#This Row],[nxt_code]],"가중평균가")</f>
        <v>27311.622832000001</v>
      </c>
      <c r="O253" s="4">
        <f>_xll.IMDP("STK",표.실시간[[#This Row],[nxt_code]],"시가")</f>
        <v>27700</v>
      </c>
      <c r="P253" s="4">
        <f>_xll.IMDP("STK",표.실시간[[#This Row],[nxt_code]],"고가")</f>
        <v>27700</v>
      </c>
      <c r="Q253" s="4">
        <f>_xll.IMDP("STK",표.실시간[[#This Row],[nxt_code]],"저가")</f>
        <v>27100</v>
      </c>
      <c r="R253">
        <f>_xll.IMDP("STK",표.실시간[[#This Row],[nxt_code]],"세션명")</f>
        <v>0</v>
      </c>
      <c r="S253">
        <f>_xll.IMDP("STK",표.실시간[[#This Row],[nxt_code]],"체결시간")</f>
        <v>0</v>
      </c>
      <c r="T253" s="4">
        <f>_xll.IMDP("STK","060370","현재가")</f>
        <v>27100</v>
      </c>
      <c r="U253">
        <f>_xll.IMDP("STK","060370","누적거래량")</f>
        <v>7444</v>
      </c>
    </row>
    <row r="254" spans="3:21" x14ac:dyDescent="0.3">
      <c r="C254">
        <v>249</v>
      </c>
      <c r="D254">
        <v>101490</v>
      </c>
      <c r="E254" t="s">
        <v>266</v>
      </c>
      <c r="F254" t="str">
        <f>ConvertStockCode(표.실시간[[#This Row],[코드]])</f>
        <v>N101490</v>
      </c>
      <c r="G254" s="4">
        <f>_xll.IMDP("STK",표.실시간[[#This Row],[nxt_code]],"현재가")</f>
        <v>65200</v>
      </c>
      <c r="H254" s="4">
        <f>_xll.IMDP("STK",표.실시간[[#This Row],[nxt_code]],"시가총액")/10^12</f>
        <v>1.3910341107999999</v>
      </c>
      <c r="I254" t="str">
        <f>_xll.IMDP("","","전일대비부호")</f>
        <v>코드오류</v>
      </c>
      <c r="J254" s="5">
        <f>_xll.IMDP("STK",표.실시간[[#This Row],[nxt_code]],"전일대비")</f>
        <v>0</v>
      </c>
      <c r="K254">
        <f>_xll.IMDP("STK",표.실시간[[#This Row],[nxt_code]],"등락률")</f>
        <v>0</v>
      </c>
      <c r="L254" s="4">
        <f>_xll.IMDP("STK",표.실시간[[#This Row],[nxt_code]],"누적거래량")</f>
        <v>28650</v>
      </c>
      <c r="M254" s="4">
        <f>_xll.IMDP("STK",표.실시간[[#This Row],[nxt_code]],"누적거래대금")</f>
        <v>1876750200</v>
      </c>
      <c r="N254" s="4">
        <f>_xll.IMDP("STK",표.실시간[[#This Row],[nxt_code]],"가중평균가")</f>
        <v>65503.828837000001</v>
      </c>
      <c r="O254" s="4">
        <f>_xll.IMDP("STK",표.실시간[[#This Row],[nxt_code]],"시가")</f>
        <v>66200</v>
      </c>
      <c r="P254" s="4">
        <f>_xll.IMDP("STK",표.실시간[[#This Row],[nxt_code]],"고가")</f>
        <v>66200</v>
      </c>
      <c r="Q254" s="4">
        <f>_xll.IMDP("STK",표.실시간[[#This Row],[nxt_code]],"저가")</f>
        <v>64900</v>
      </c>
      <c r="R254">
        <f>_xll.IMDP("STK",표.실시간[[#This Row],[nxt_code]],"세션명")</f>
        <v>0</v>
      </c>
      <c r="S254">
        <f>_xll.IMDP("STK",표.실시간[[#This Row],[nxt_code]],"체결시간")</f>
        <v>0</v>
      </c>
      <c r="T254" s="4">
        <f>_xll.IMDP("STK","101490","현재가")</f>
        <v>65000</v>
      </c>
      <c r="U254">
        <f>_xll.IMDP("STK","101490","누적거래량")</f>
        <v>6293</v>
      </c>
    </row>
    <row r="255" spans="3:21" x14ac:dyDescent="0.3">
      <c r="C255">
        <v>250</v>
      </c>
      <c r="D255">
        <v>323280</v>
      </c>
      <c r="E255" t="s">
        <v>267</v>
      </c>
      <c r="F255" t="str">
        <f>ConvertStockCode(표.실시간[[#This Row],[코드]])</f>
        <v>N323280</v>
      </c>
      <c r="G255" s="4">
        <f>_xll.IMDP("STK",표.실시간[[#This Row],[nxt_code]],"현재가")</f>
        <v>48250</v>
      </c>
      <c r="H255" s="4">
        <f>_xll.IMDP("STK",표.실시간[[#This Row],[nxt_code]],"시가총액")/10^12</f>
        <v>1.4716602224999999</v>
      </c>
      <c r="I255" t="str">
        <f>_xll.IMDP("","","전일대비부호")</f>
        <v>코드오류</v>
      </c>
      <c r="J255" s="5">
        <f>_xll.IMDP("STK",표.실시간[[#This Row],[nxt_code]],"전일대비")</f>
        <v>-150</v>
      </c>
      <c r="K255">
        <f>_xll.IMDP("STK",표.실시간[[#This Row],[nxt_code]],"등락률")</f>
        <v>-0.31</v>
      </c>
      <c r="L255" s="4">
        <f>_xll.IMDP("STK",표.실시간[[#This Row],[nxt_code]],"누적거래량")</f>
        <v>118127</v>
      </c>
      <c r="M255" s="4">
        <f>_xll.IMDP("STK",표.실시간[[#This Row],[nxt_code]],"누적거래대금")</f>
        <v>5807356700</v>
      </c>
      <c r="N255" s="4">
        <f>_xll.IMDP("STK",표.실시간[[#This Row],[nxt_code]],"가중평균가")</f>
        <v>49161.97567</v>
      </c>
      <c r="O255" s="4">
        <f>_xll.IMDP("STK",표.실시간[[#This Row],[nxt_code]],"시가")</f>
        <v>49400</v>
      </c>
      <c r="P255" s="4">
        <f>_xll.IMDP("STK",표.실시간[[#This Row],[nxt_code]],"고가")</f>
        <v>50100</v>
      </c>
      <c r="Q255" s="4">
        <f>_xll.IMDP("STK",표.실시간[[#This Row],[nxt_code]],"저가")</f>
        <v>48000</v>
      </c>
      <c r="R255">
        <f>_xll.IMDP("STK",표.실시간[[#This Row],[nxt_code]],"세션명")</f>
        <v>0</v>
      </c>
      <c r="S255">
        <f>_xll.IMDP("STK",표.실시간[[#This Row],[nxt_code]],"체결시간")</f>
        <v>0</v>
      </c>
      <c r="T255" s="4">
        <f>_xll.IMDP("STK","323280","현재가")</f>
        <v>48150</v>
      </c>
      <c r="U255">
        <f>_xll.IMDP("STK","323280","누적거래량")</f>
        <v>21367</v>
      </c>
    </row>
    <row r="256" spans="3:21" x14ac:dyDescent="0.3">
      <c r="C256">
        <v>251</v>
      </c>
      <c r="D256">
        <v>484870</v>
      </c>
      <c r="E256" t="s">
        <v>268</v>
      </c>
      <c r="F256" t="str">
        <f>ConvertStockCode(표.실시간[[#This Row],[코드]])</f>
        <v>N484870</v>
      </c>
      <c r="G256" s="4">
        <f>_xll.IMDP("STK",표.실시간[[#This Row],[nxt_code]],"현재가")</f>
        <v>145900</v>
      </c>
      <c r="H256" s="4">
        <f>_xll.IMDP("STK",표.실시간[[#This Row],[nxt_code]],"시가총액")/10^12</f>
        <v>1.3355540100000001</v>
      </c>
      <c r="I256" t="str">
        <f>_xll.IMDP("","","전일대비부호")</f>
        <v>코드오류</v>
      </c>
      <c r="J256" s="5">
        <f>_xll.IMDP("STK",표.실시간[[#This Row],[nxt_code]],"전일대비")</f>
        <v>2600</v>
      </c>
      <c r="K256">
        <f>_xll.IMDP("STK",표.실시간[[#This Row],[nxt_code]],"등락률")</f>
        <v>1.81</v>
      </c>
      <c r="L256" s="4">
        <f>_xll.IMDP("STK",표.실시간[[#This Row],[nxt_code]],"누적거래량")</f>
        <v>1411</v>
      </c>
      <c r="M256" s="4">
        <f>_xll.IMDP("STK",표.실시간[[#This Row],[nxt_code]],"누적거래대금")</f>
        <v>205074700</v>
      </c>
      <c r="N256" s="4">
        <f>_xll.IMDP("STK",표.실시간[[#This Row],[nxt_code]],"가중평균가")</f>
        <v>145339.971651</v>
      </c>
      <c r="O256" s="4">
        <f>_xll.IMDP("STK",표.실시간[[#This Row],[nxt_code]],"시가")</f>
        <v>150000</v>
      </c>
      <c r="P256" s="4">
        <f>_xll.IMDP("STK",표.실시간[[#This Row],[nxt_code]],"고가")</f>
        <v>150000</v>
      </c>
      <c r="Q256" s="4">
        <f>_xll.IMDP("STK",표.실시간[[#This Row],[nxt_code]],"저가")</f>
        <v>144700</v>
      </c>
      <c r="R256">
        <f>_xll.IMDP("STK",표.실시간[[#This Row],[nxt_code]],"세션명")</f>
        <v>0</v>
      </c>
      <c r="S256">
        <f>_xll.IMDP("STK",표.실시간[[#This Row],[nxt_code]],"체결시간")</f>
        <v>0</v>
      </c>
      <c r="T256" s="4">
        <f>_xll.IMDP("STK","484870","현재가")</f>
        <v>146100</v>
      </c>
      <c r="U256">
        <f>_xll.IMDP("STK","484870","누적거래량")</f>
        <v>1225</v>
      </c>
    </row>
    <row r="257" spans="3:21" x14ac:dyDescent="0.3">
      <c r="C257">
        <v>252</v>
      </c>
      <c r="D257">
        <v>1120</v>
      </c>
      <c r="E257" t="s">
        <v>269</v>
      </c>
      <c r="F257" t="str">
        <f>ConvertStockCode(표.실시간[[#This Row],[코드]])</f>
        <v>N001120</v>
      </c>
      <c r="G257" s="4">
        <f>_xll.IMDP("STK",표.실시간[[#This Row],[nxt_code]],"현재가")</f>
        <v>35850</v>
      </c>
      <c r="H257" s="4">
        <f>_xll.IMDP("STK",표.실시간[[#This Row],[nxt_code]],"시가총액")/10^12</f>
        <v>1.3895459999999999</v>
      </c>
      <c r="I257" t="str">
        <f>_xll.IMDP("","","전일대비부호")</f>
        <v>코드오류</v>
      </c>
      <c r="J257" s="5">
        <f>_xll.IMDP("STK",표.실시간[[#This Row],[nxt_code]],"전일대비")</f>
        <v>0</v>
      </c>
      <c r="K257">
        <f>_xll.IMDP("STK",표.실시간[[#This Row],[nxt_code]],"등락률")</f>
        <v>0</v>
      </c>
      <c r="L257" s="4">
        <f>_xll.IMDP("STK",표.실시간[[#This Row],[nxt_code]],"누적거래량")</f>
        <v>5888</v>
      </c>
      <c r="M257" s="4">
        <f>_xll.IMDP("STK",표.실시간[[#This Row],[nxt_code]],"누적거래대금")</f>
        <v>212159200</v>
      </c>
      <c r="N257" s="4">
        <f>_xll.IMDP("STK",표.실시간[[#This Row],[nxt_code]],"가중평균가")</f>
        <v>36032.472825999997</v>
      </c>
      <c r="O257" s="4">
        <f>_xll.IMDP("STK",표.실시간[[#This Row],[nxt_code]],"시가")</f>
        <v>37000</v>
      </c>
      <c r="P257" s="4">
        <f>_xll.IMDP("STK",표.실시간[[#This Row],[nxt_code]],"고가")</f>
        <v>37000</v>
      </c>
      <c r="Q257" s="4">
        <f>_xll.IMDP("STK",표.실시간[[#This Row],[nxt_code]],"저가")</f>
        <v>35850</v>
      </c>
      <c r="R257">
        <f>_xll.IMDP("STK",표.실시간[[#This Row],[nxt_code]],"세션명")</f>
        <v>0</v>
      </c>
      <c r="S257">
        <f>_xll.IMDP("STK",표.실시간[[#This Row],[nxt_code]],"체결시간")</f>
        <v>0</v>
      </c>
      <c r="T257" s="4">
        <f>_xll.IMDP("STK","001120","현재가")</f>
        <v>35750</v>
      </c>
      <c r="U257">
        <f>_xll.IMDP("STK","001120","누적거래량")</f>
        <v>1855</v>
      </c>
    </row>
    <row r="258" spans="3:21" x14ac:dyDescent="0.3">
      <c r="C258">
        <v>253</v>
      </c>
      <c r="D258">
        <v>31980</v>
      </c>
      <c r="E258" t="s">
        <v>270</v>
      </c>
      <c r="F258" t="str">
        <f>ConvertStockCode(표.실시간[[#This Row],[코드]])</f>
        <v>N031980</v>
      </c>
      <c r="G258" s="4">
        <f>_xll.IMDP("STK",표.실시간[[#This Row],[nxt_code]],"현재가")</f>
        <v>60900</v>
      </c>
      <c r="H258" s="4">
        <f>_xll.IMDP("STK",표.실시간[[#This Row],[nxt_code]],"시가총액")/10^12</f>
        <v>1.3131498555000001</v>
      </c>
      <c r="I258" t="str">
        <f>_xll.IMDP("","","전일대비부호")</f>
        <v>코드오류</v>
      </c>
      <c r="J258" s="5">
        <f>_xll.IMDP("STK",표.실시간[[#This Row],[nxt_code]],"전일대비")</f>
        <v>-1800</v>
      </c>
      <c r="K258">
        <f>_xll.IMDP("STK",표.실시간[[#This Row],[nxt_code]],"등락률")</f>
        <v>-2.87</v>
      </c>
      <c r="L258" s="4">
        <f>_xll.IMDP("STK",표.실시간[[#This Row],[nxt_code]],"누적거래량")</f>
        <v>38688</v>
      </c>
      <c r="M258" s="4">
        <f>_xll.IMDP("STK",표.실시간[[#This Row],[nxt_code]],"누적거래대금")</f>
        <v>2394881400</v>
      </c>
      <c r="N258" s="4">
        <f>_xll.IMDP("STK",표.실시간[[#This Row],[nxt_code]],"가중평균가")</f>
        <v>61902.434864000003</v>
      </c>
      <c r="O258" s="4">
        <f>_xll.IMDP("STK",표.실시간[[#This Row],[nxt_code]],"시가")</f>
        <v>62700</v>
      </c>
      <c r="P258" s="4">
        <f>_xll.IMDP("STK",표.실시간[[#This Row],[nxt_code]],"고가")</f>
        <v>62800</v>
      </c>
      <c r="Q258" s="4">
        <f>_xll.IMDP("STK",표.실시간[[#This Row],[nxt_code]],"저가")</f>
        <v>60700</v>
      </c>
      <c r="R258">
        <f>_xll.IMDP("STK",표.실시간[[#This Row],[nxt_code]],"세션명")</f>
        <v>0</v>
      </c>
      <c r="S258">
        <f>_xll.IMDP("STK",표.실시간[[#This Row],[nxt_code]],"체결시간")</f>
        <v>0</v>
      </c>
      <c r="T258" s="4">
        <f>_xll.IMDP("STK","031980","현재가")</f>
        <v>60800</v>
      </c>
      <c r="U258">
        <f>_xll.IMDP("STK","031980","누적거래량")</f>
        <v>10400</v>
      </c>
    </row>
    <row r="259" spans="3:21" x14ac:dyDescent="0.3">
      <c r="C259">
        <v>254</v>
      </c>
      <c r="D259">
        <v>3540</v>
      </c>
      <c r="E259" t="s">
        <v>271</v>
      </c>
      <c r="F259" t="str">
        <f>ConvertStockCode(표.실시간[[#This Row],[코드]])</f>
        <v>N003540</v>
      </c>
      <c r="G259" s="4">
        <f>_xll.IMDP("STK",표.실시간[[#This Row],[nxt_code]],"현재가")</f>
        <v>28150</v>
      </c>
      <c r="H259" s="4">
        <f>_xll.IMDP("STK",표.실시간[[#This Row],[nxt_code]],"시가총액")/10^12</f>
        <v>1.42927121</v>
      </c>
      <c r="I259" t="str">
        <f>_xll.IMDP("","","전일대비부호")</f>
        <v>코드오류</v>
      </c>
      <c r="J259" s="5">
        <f>_xll.IMDP("STK",표.실시간[[#This Row],[nxt_code]],"전일대비")</f>
        <v>350</v>
      </c>
      <c r="K259">
        <f>_xll.IMDP("STK",표.실시간[[#This Row],[nxt_code]],"등락률")</f>
        <v>2.36</v>
      </c>
      <c r="L259" s="4">
        <f>_xll.IMDP("STK",표.실시간[[#This Row],[nxt_code]],"누적거래량")</f>
        <v>13531</v>
      </c>
      <c r="M259" s="4">
        <f>_xll.IMDP("STK",표.실시간[[#This Row],[nxt_code]],"누적거래대금")</f>
        <v>377199900</v>
      </c>
      <c r="N259" s="4">
        <f>_xll.IMDP("STK",표.실시간[[#This Row],[nxt_code]],"가중평균가")</f>
        <v>27876.720123999999</v>
      </c>
      <c r="O259" s="4">
        <f>_xll.IMDP("STK",표.실시간[[#This Row],[nxt_code]],"시가")</f>
        <v>27700</v>
      </c>
      <c r="P259" s="4">
        <f>_xll.IMDP("STK",표.실시간[[#This Row],[nxt_code]],"고가")</f>
        <v>28150</v>
      </c>
      <c r="Q259" s="4">
        <f>_xll.IMDP("STK",표.실시간[[#This Row],[nxt_code]],"저가")</f>
        <v>27600</v>
      </c>
      <c r="R259">
        <f>_xll.IMDP("STK",표.실시간[[#This Row],[nxt_code]],"세션명")</f>
        <v>0</v>
      </c>
      <c r="S259">
        <f>_xll.IMDP("STK",표.실시간[[#This Row],[nxt_code]],"체결시간")</f>
        <v>0</v>
      </c>
      <c r="T259" s="4">
        <f>_xll.IMDP("STK","003540","현재가")</f>
        <v>28200</v>
      </c>
      <c r="U259">
        <f>_xll.IMDP("STK","003540","누적거래량")</f>
        <v>6708</v>
      </c>
    </row>
    <row r="260" spans="3:21" x14ac:dyDescent="0.3">
      <c r="C260">
        <v>255</v>
      </c>
      <c r="D260">
        <v>35760</v>
      </c>
      <c r="E260" t="s">
        <v>272</v>
      </c>
      <c r="F260" t="str">
        <f>ConvertStockCode(표.실시간[[#This Row],[코드]])</f>
        <v>N035760</v>
      </c>
      <c r="G260" s="4">
        <f>_xll.IMDP("STK",표.실시간[[#This Row],[nxt_code]],"현재가")</f>
        <v>64300</v>
      </c>
      <c r="H260" s="4">
        <f>_xll.IMDP("STK",표.실시간[[#This Row],[nxt_code]],"시가총액")/10^12</f>
        <v>1.4100446021999999</v>
      </c>
      <c r="I260" t="str">
        <f>_xll.IMDP("","","전일대비부호")</f>
        <v>코드오류</v>
      </c>
      <c r="J260" s="5">
        <f>_xll.IMDP("STK",표.실시간[[#This Row],[nxt_code]],"전일대비")</f>
        <v>0</v>
      </c>
      <c r="K260">
        <f>_xll.IMDP("STK",표.실시간[[#This Row],[nxt_code]],"등락률")</f>
        <v>0</v>
      </c>
      <c r="L260" s="4">
        <f>_xll.IMDP("STK",표.실시간[[#This Row],[nxt_code]],"누적거래량")</f>
        <v>3764</v>
      </c>
      <c r="M260" s="4">
        <f>_xll.IMDP("STK",표.실시간[[#This Row],[nxt_code]],"누적거래대금")</f>
        <v>241618100</v>
      </c>
      <c r="N260" s="4">
        <f>_xll.IMDP("STK",표.실시간[[#This Row],[nxt_code]],"가중평균가")</f>
        <v>64191.843782999997</v>
      </c>
      <c r="O260" s="4">
        <f>_xll.IMDP("STK",표.실시간[[#This Row],[nxt_code]],"시가")</f>
        <v>64300</v>
      </c>
      <c r="P260" s="4">
        <f>_xll.IMDP("STK",표.실시간[[#This Row],[nxt_code]],"고가")</f>
        <v>64500</v>
      </c>
      <c r="Q260" s="4">
        <f>_xll.IMDP("STK",표.실시간[[#This Row],[nxt_code]],"저가")</f>
        <v>63600</v>
      </c>
      <c r="R260">
        <f>_xll.IMDP("STK",표.실시간[[#This Row],[nxt_code]],"세션명")</f>
        <v>0</v>
      </c>
      <c r="S260">
        <f>_xll.IMDP("STK",표.실시간[[#This Row],[nxt_code]],"체결시간")</f>
        <v>0</v>
      </c>
      <c r="T260" s="4">
        <f>_xll.IMDP("STK","035760","현재가")</f>
        <v>64100</v>
      </c>
      <c r="U260">
        <f>_xll.IMDP("STK","035760","누적거래량")</f>
        <v>638</v>
      </c>
    </row>
    <row r="261" spans="3:21" x14ac:dyDescent="0.3">
      <c r="C261">
        <v>256</v>
      </c>
      <c r="D261">
        <v>253450</v>
      </c>
      <c r="E261" t="s">
        <v>273</v>
      </c>
      <c r="F261" t="str">
        <f>ConvertStockCode(표.실시간[[#This Row],[코드]])</f>
        <v>N253450</v>
      </c>
      <c r="G261" s="4">
        <f>_xll.IMDP("STK",표.실시간[[#This Row],[nxt_code]],"현재가")</f>
        <v>45700</v>
      </c>
      <c r="H261" s="4">
        <f>_xll.IMDP("STK",표.실시간[[#This Row],[nxt_code]],"시가총액")/10^12</f>
        <v>1.3736733586000001</v>
      </c>
      <c r="I261" t="str">
        <f>_xll.IMDP("","","전일대비부호")</f>
        <v>코드오류</v>
      </c>
      <c r="J261" s="5">
        <f>_xll.IMDP("STK",표.실시간[[#This Row],[nxt_code]],"전일대비")</f>
        <v>350</v>
      </c>
      <c r="K261">
        <f>_xll.IMDP("STK",표.실시간[[#This Row],[nxt_code]],"등락률")</f>
        <v>0.77</v>
      </c>
      <c r="L261" s="4">
        <f>_xll.IMDP("STK",표.실시간[[#This Row],[nxt_code]],"누적거래량")</f>
        <v>4626</v>
      </c>
      <c r="M261" s="4">
        <f>_xll.IMDP("STK",표.실시간[[#This Row],[nxt_code]],"누적거래대금")</f>
        <v>210265600</v>
      </c>
      <c r="N261" s="4">
        <f>_xll.IMDP("STK",표.실시간[[#This Row],[nxt_code]],"가중평균가")</f>
        <v>45453.004756000002</v>
      </c>
      <c r="O261" s="4">
        <f>_xll.IMDP("STK",표.실시간[[#This Row],[nxt_code]],"시가")</f>
        <v>45700</v>
      </c>
      <c r="P261" s="4">
        <f>_xll.IMDP("STK",표.실시간[[#This Row],[nxt_code]],"고가")</f>
        <v>45750</v>
      </c>
      <c r="Q261" s="4">
        <f>_xll.IMDP("STK",표.실시간[[#This Row],[nxt_code]],"저가")</f>
        <v>44950</v>
      </c>
      <c r="R261">
        <f>_xll.IMDP("STK",표.실시간[[#This Row],[nxt_code]],"세션명")</f>
        <v>0</v>
      </c>
      <c r="S261">
        <f>_xll.IMDP("STK",표.실시간[[#This Row],[nxt_code]],"체결시간")</f>
        <v>0</v>
      </c>
      <c r="T261" s="4">
        <f>_xll.IMDP("STK","253450","현재가")</f>
        <v>45750</v>
      </c>
      <c r="U261">
        <f>_xll.IMDP("STK","253450","누적거래량")</f>
        <v>1115</v>
      </c>
    </row>
    <row r="262" spans="3:21" x14ac:dyDescent="0.3">
      <c r="C262">
        <v>257</v>
      </c>
      <c r="D262">
        <v>195940</v>
      </c>
      <c r="E262" t="s">
        <v>274</v>
      </c>
      <c r="F262" t="str">
        <f>ConvertStockCode(표.실시간[[#This Row],[코드]])</f>
        <v>N195940</v>
      </c>
      <c r="G262" s="4">
        <f>_xll.IMDP("STK",표.실시간[[#This Row],[nxt_code]],"현재가")</f>
        <v>48000</v>
      </c>
      <c r="H262" s="4">
        <f>_xll.IMDP("STK",표.실시간[[#This Row],[nxt_code]],"시가총액")/10^12</f>
        <v>1.359834768</v>
      </c>
      <c r="I262" t="str">
        <f>_xll.IMDP("","","전일대비부호")</f>
        <v>코드오류</v>
      </c>
      <c r="J262" s="5">
        <f>_xll.IMDP("STK",표.실시간[[#This Row],[nxt_code]],"전일대비")</f>
        <v>50</v>
      </c>
      <c r="K262">
        <f>_xll.IMDP("STK",표.실시간[[#This Row],[nxt_code]],"등락률")</f>
        <v>0.1</v>
      </c>
      <c r="L262" s="4">
        <f>_xll.IMDP("STK",표.실시간[[#This Row],[nxt_code]],"누적거래량")</f>
        <v>12250</v>
      </c>
      <c r="M262" s="4">
        <f>_xll.IMDP("STK",표.실시간[[#This Row],[nxt_code]],"누적거래대금")</f>
        <v>588111500</v>
      </c>
      <c r="N262" s="4">
        <f>_xll.IMDP("STK",표.실시간[[#This Row],[nxt_code]],"가중평균가")</f>
        <v>48009.102040999998</v>
      </c>
      <c r="O262" s="4">
        <f>_xll.IMDP("STK",표.실시간[[#This Row],[nxt_code]],"시가")</f>
        <v>47950</v>
      </c>
      <c r="P262" s="4">
        <f>_xll.IMDP("STK",표.실시간[[#This Row],[nxt_code]],"고가")</f>
        <v>48150</v>
      </c>
      <c r="Q262" s="4">
        <f>_xll.IMDP("STK",표.실시간[[#This Row],[nxt_code]],"저가")</f>
        <v>47900</v>
      </c>
      <c r="R262">
        <f>_xll.IMDP("STK",표.실시간[[#This Row],[nxt_code]],"세션명")</f>
        <v>0</v>
      </c>
      <c r="S262">
        <f>_xll.IMDP("STK",표.실시간[[#This Row],[nxt_code]],"체결시간")</f>
        <v>0</v>
      </c>
      <c r="T262" s="4">
        <f>_xll.IMDP("STK","195940","현재가")</f>
        <v>47850</v>
      </c>
      <c r="U262">
        <f>_xll.IMDP("STK","195940","누적거래량")</f>
        <v>4604</v>
      </c>
    </row>
    <row r="263" spans="3:21" x14ac:dyDescent="0.3">
      <c r="C263">
        <v>258</v>
      </c>
      <c r="D263">
        <v>348370</v>
      </c>
      <c r="E263" t="s">
        <v>275</v>
      </c>
      <c r="F263" t="str">
        <f>ConvertStockCode(표.실시간[[#This Row],[코드]])</f>
        <v>N348370</v>
      </c>
      <c r="G263" s="4">
        <f>_xll.IMDP("STK",표.실시간[[#This Row],[nxt_code]],"현재가")</f>
        <v>66500</v>
      </c>
      <c r="H263" s="4">
        <f>_xll.IMDP("STK",표.실시간[[#This Row],[nxt_code]],"시가총액")/10^12</f>
        <v>1.453034044</v>
      </c>
      <c r="I263" t="str">
        <f>_xll.IMDP("","","전일대비부호")</f>
        <v>코드오류</v>
      </c>
      <c r="J263" s="5">
        <f>_xll.IMDP("STK",표.실시간[[#This Row],[nxt_code]],"전일대비")</f>
        <v>1300</v>
      </c>
      <c r="K263">
        <f>_xll.IMDP("STK",표.실시간[[#This Row],[nxt_code]],"등락률")</f>
        <v>1.99</v>
      </c>
      <c r="L263" s="4">
        <f>_xll.IMDP("STK",표.실시간[[#This Row],[nxt_code]],"누적거래량")</f>
        <v>160791</v>
      </c>
      <c r="M263" s="4">
        <f>_xll.IMDP("STK",표.실시간[[#This Row],[nxt_code]],"누적거래대금")</f>
        <v>10780813000</v>
      </c>
      <c r="N263" s="4">
        <f>_xll.IMDP("STK",표.실시간[[#This Row],[nxt_code]],"가중평균가")</f>
        <v>67048.609685999996</v>
      </c>
      <c r="O263" s="4">
        <f>_xll.IMDP("STK",표.실시간[[#This Row],[nxt_code]],"시가")</f>
        <v>66800</v>
      </c>
      <c r="P263" s="4">
        <f>_xll.IMDP("STK",표.실시간[[#This Row],[nxt_code]],"고가")</f>
        <v>68400</v>
      </c>
      <c r="Q263" s="4">
        <f>_xll.IMDP("STK",표.실시간[[#This Row],[nxt_code]],"저가")</f>
        <v>65600</v>
      </c>
      <c r="R263">
        <f>_xll.IMDP("STK",표.실시간[[#This Row],[nxt_code]],"세션명")</f>
        <v>0</v>
      </c>
      <c r="S263">
        <f>_xll.IMDP("STK",표.실시간[[#This Row],[nxt_code]],"체결시간")</f>
        <v>0</v>
      </c>
      <c r="T263" s="4">
        <f>_xll.IMDP("STK","348370","현재가")</f>
        <v>66500</v>
      </c>
      <c r="U263">
        <f>_xll.IMDP("STK","348370","누적거래량")</f>
        <v>30951</v>
      </c>
    </row>
    <row r="264" spans="3:21" x14ac:dyDescent="0.3">
      <c r="C264">
        <v>259</v>
      </c>
      <c r="D264">
        <v>294870</v>
      </c>
      <c r="E264" t="s">
        <v>276</v>
      </c>
      <c r="F264" t="str">
        <f>ConvertStockCode(표.실시간[[#This Row],[코드]])</f>
        <v>N294870</v>
      </c>
      <c r="G264" s="4">
        <f>_xll.IMDP("STK",표.실시간[[#This Row],[nxt_code]],"현재가")</f>
        <v>20400</v>
      </c>
      <c r="H264" s="4">
        <f>_xll.IMDP("STK",표.실시간[[#This Row],[nxt_code]],"시가총액")/10^12</f>
        <v>1.344509532</v>
      </c>
      <c r="I264" t="str">
        <f>_xll.IMDP("","","전일대비부호")</f>
        <v>코드오류</v>
      </c>
      <c r="J264" s="5">
        <f>_xll.IMDP("STK",표.실시간[[#This Row],[nxt_code]],"전일대비")</f>
        <v>100</v>
      </c>
      <c r="K264">
        <f>_xll.IMDP("STK",표.실시간[[#This Row],[nxt_code]],"등락률")</f>
        <v>0.49</v>
      </c>
      <c r="L264" s="4">
        <f>_xll.IMDP("STK",표.실시간[[#This Row],[nxt_code]],"누적거래량")</f>
        <v>6979</v>
      </c>
      <c r="M264" s="4">
        <f>_xll.IMDP("STK",표.실시간[[#This Row],[nxt_code]],"누적거래대금")</f>
        <v>141757900</v>
      </c>
      <c r="N264" s="4">
        <f>_xll.IMDP("STK",표.실시간[[#This Row],[nxt_code]],"가중평균가")</f>
        <v>20312.064766</v>
      </c>
      <c r="O264" s="4">
        <f>_xll.IMDP("STK",표.실시간[[#This Row],[nxt_code]],"시가")</f>
        <v>20300</v>
      </c>
      <c r="P264" s="4">
        <f>_xll.IMDP("STK",표.실시간[[#This Row],[nxt_code]],"고가")</f>
        <v>20400</v>
      </c>
      <c r="Q264" s="4">
        <f>_xll.IMDP("STK",표.실시간[[#This Row],[nxt_code]],"저가")</f>
        <v>20250</v>
      </c>
      <c r="R264">
        <f>_xll.IMDP("STK",표.실시간[[#This Row],[nxt_code]],"세션명")</f>
        <v>0</v>
      </c>
      <c r="S264">
        <f>_xll.IMDP("STK",표.실시간[[#This Row],[nxt_code]],"체결시간")</f>
        <v>0</v>
      </c>
      <c r="T264" s="4">
        <f>_xll.IMDP("STK","294870","현재가")</f>
        <v>20450</v>
      </c>
      <c r="U264">
        <f>_xll.IMDP("STK","294870","누적거래량")</f>
        <v>10910</v>
      </c>
    </row>
    <row r="265" spans="3:21" x14ac:dyDescent="0.3">
      <c r="C265">
        <v>260</v>
      </c>
      <c r="D265">
        <v>5440</v>
      </c>
      <c r="E265" t="s">
        <v>277</v>
      </c>
      <c r="F265" t="str">
        <f>ConvertStockCode(표.실시간[[#This Row],[코드]])</f>
        <v>N005440</v>
      </c>
      <c r="G265" s="4">
        <f>_xll.IMDP("STK",표.실시간[[#This Row],[nxt_code]],"현재가")</f>
        <v>8610</v>
      </c>
      <c r="H265" s="4">
        <f>_xll.IMDP("STK",표.실시간[[#This Row],[nxt_code]],"시가총액")/10^12</f>
        <v>1.3423360316099999</v>
      </c>
      <c r="I265" t="str">
        <f>_xll.IMDP("","","전일대비부호")</f>
        <v>코드오류</v>
      </c>
      <c r="J265" s="5">
        <f>_xll.IMDP("STK",표.실시간[[#This Row],[nxt_code]],"전일대비")</f>
        <v>160</v>
      </c>
      <c r="K265">
        <f>_xll.IMDP("STK",표.실시간[[#This Row],[nxt_code]],"등락률")</f>
        <v>1.89</v>
      </c>
      <c r="L265" s="4">
        <f>_xll.IMDP("STK",표.실시간[[#This Row],[nxt_code]],"누적거래량")</f>
        <v>6592</v>
      </c>
      <c r="M265" s="4">
        <f>_xll.IMDP("STK",표.실시간[[#This Row],[nxt_code]],"누적거래대금")</f>
        <v>56056010</v>
      </c>
      <c r="N265" s="4">
        <f>_xll.IMDP("STK",표.실시간[[#This Row],[nxt_code]],"가중평균가")</f>
        <v>8503.6422939999993</v>
      </c>
      <c r="O265" s="4">
        <f>_xll.IMDP("STK",표.실시간[[#This Row],[nxt_code]],"시가")</f>
        <v>8480</v>
      </c>
      <c r="P265" s="4">
        <f>_xll.IMDP("STK",표.실시간[[#This Row],[nxt_code]],"고가")</f>
        <v>8610</v>
      </c>
      <c r="Q265" s="4">
        <f>_xll.IMDP("STK",표.실시간[[#This Row],[nxt_code]],"저가")</f>
        <v>8380</v>
      </c>
      <c r="R265">
        <f>_xll.IMDP("STK",표.실시간[[#This Row],[nxt_code]],"세션명")</f>
        <v>0</v>
      </c>
      <c r="S265">
        <f>_xll.IMDP("STK",표.실시간[[#This Row],[nxt_code]],"체결시간")</f>
        <v>0</v>
      </c>
      <c r="T265" s="4">
        <f>_xll.IMDP("STK","005440","현재가")</f>
        <v>8560</v>
      </c>
      <c r="U265">
        <f>_xll.IMDP("STK","005440","누적거래량")</f>
        <v>4610</v>
      </c>
    </row>
    <row r="266" spans="3:21" x14ac:dyDescent="0.3">
      <c r="C266">
        <v>261</v>
      </c>
      <c r="D266">
        <v>290650</v>
      </c>
      <c r="E266" t="s">
        <v>278</v>
      </c>
      <c r="F266" t="str">
        <f>ConvertStockCode(표.실시간[[#This Row],[코드]])</f>
        <v>N290650</v>
      </c>
      <c r="G266" s="4">
        <f>_xll.IMDP("STK",표.실시간[[#This Row],[nxt_code]],"현재가")</f>
        <v>53400</v>
      </c>
      <c r="H266" s="4">
        <f>_xll.IMDP("STK",표.실시간[[#This Row],[nxt_code]],"시가총액")/10^12</f>
        <v>1.3265661642</v>
      </c>
      <c r="I266" t="str">
        <f>_xll.IMDP("","","전일대비부호")</f>
        <v>코드오류</v>
      </c>
      <c r="J266" s="5">
        <f>_xll.IMDP("STK",표.실시간[[#This Row],[nxt_code]],"전일대비")</f>
        <v>-600</v>
      </c>
      <c r="K266">
        <f>_xll.IMDP("STK",표.실시간[[#This Row],[nxt_code]],"등락률")</f>
        <v>-1.1100000000000001</v>
      </c>
      <c r="L266" s="4">
        <f>_xll.IMDP("STK",표.실시간[[#This Row],[nxt_code]],"누적거래량")</f>
        <v>40535</v>
      </c>
      <c r="M266" s="4">
        <f>_xll.IMDP("STK",표.실시간[[#This Row],[nxt_code]],"누적거래대금")</f>
        <v>2161957800</v>
      </c>
      <c r="N266" s="4">
        <f>_xll.IMDP("STK",표.실시간[[#This Row],[nxt_code]],"가중평균가")</f>
        <v>53335.581596000004</v>
      </c>
      <c r="O266" s="4">
        <f>_xll.IMDP("STK",표.실시간[[#This Row],[nxt_code]],"시가")</f>
        <v>54300</v>
      </c>
      <c r="P266" s="4">
        <f>_xll.IMDP("STK",표.실시간[[#This Row],[nxt_code]],"고가")</f>
        <v>54300</v>
      </c>
      <c r="Q266" s="4">
        <f>_xll.IMDP("STK",표.실시간[[#This Row],[nxt_code]],"저가")</f>
        <v>52900</v>
      </c>
      <c r="R266">
        <f>_xll.IMDP("STK",표.실시간[[#This Row],[nxt_code]],"세션명")</f>
        <v>0</v>
      </c>
      <c r="S266">
        <f>_xll.IMDP("STK",표.실시간[[#This Row],[nxt_code]],"체결시간")</f>
        <v>0</v>
      </c>
      <c r="T266" s="4">
        <f>_xll.IMDP("STK","290650","현재가")</f>
        <v>53300</v>
      </c>
      <c r="U266">
        <f>_xll.IMDP("STK","290650","누적거래량")</f>
        <v>5559</v>
      </c>
    </row>
    <row r="267" spans="3:21" x14ac:dyDescent="0.3">
      <c r="C267">
        <v>262</v>
      </c>
      <c r="D267">
        <v>1800</v>
      </c>
      <c r="E267" t="s">
        <v>279</v>
      </c>
      <c r="F267" t="str">
        <f>ConvertStockCode(표.실시간[[#This Row],[코드]])</f>
        <v>N001800</v>
      </c>
      <c r="G267" s="4">
        <f>_xll.IMDP("STK",표.실시간[[#This Row],[nxt_code]],"현재가")</f>
        <v>20600</v>
      </c>
      <c r="H267" s="4">
        <f>_xll.IMDP("STK",표.실시간[[#This Row],[nxt_code]],"시가총액")/10^12</f>
        <v>1.2904956932</v>
      </c>
      <c r="I267" t="str">
        <f>_xll.IMDP("","","전일대비부호")</f>
        <v>코드오류</v>
      </c>
      <c r="J267" s="5">
        <f>_xll.IMDP("STK",표.실시간[[#This Row],[nxt_code]],"전일대비")</f>
        <v>-50</v>
      </c>
      <c r="K267">
        <f>_xll.IMDP("STK",표.실시간[[#This Row],[nxt_code]],"등락률")</f>
        <v>-0.24</v>
      </c>
      <c r="L267" s="4">
        <f>_xll.IMDP("STK",표.실시간[[#This Row],[nxt_code]],"누적거래량")</f>
        <v>5723</v>
      </c>
      <c r="M267" s="4">
        <f>_xll.IMDP("STK",표.실시간[[#This Row],[nxt_code]],"누적거래대금")</f>
        <v>118606750</v>
      </c>
      <c r="N267" s="4">
        <f>_xll.IMDP("STK",표.실시간[[#This Row],[nxt_code]],"가중평균가")</f>
        <v>20724.576271000002</v>
      </c>
      <c r="O267" s="4">
        <f>_xll.IMDP("STK",표.실시간[[#This Row],[nxt_code]],"시가")</f>
        <v>20800</v>
      </c>
      <c r="P267" s="4">
        <f>_xll.IMDP("STK",표.실시간[[#This Row],[nxt_code]],"고가")</f>
        <v>20850</v>
      </c>
      <c r="Q267" s="4">
        <f>_xll.IMDP("STK",표.실시간[[#This Row],[nxt_code]],"저가")</f>
        <v>20550</v>
      </c>
      <c r="R267">
        <f>_xll.IMDP("STK",표.실시간[[#This Row],[nxt_code]],"세션명")</f>
        <v>0</v>
      </c>
      <c r="S267">
        <f>_xll.IMDP("STK",표.실시간[[#This Row],[nxt_code]],"체결시간")</f>
        <v>0</v>
      </c>
      <c r="T267" s="4">
        <f>_xll.IMDP("STK","001800","현재가")</f>
        <v>20650</v>
      </c>
      <c r="U267">
        <f>_xll.IMDP("STK","001800","누적거래량")</f>
        <v>428</v>
      </c>
    </row>
    <row r="268" spans="3:21" x14ac:dyDescent="0.3">
      <c r="C268">
        <v>263</v>
      </c>
      <c r="D268">
        <v>85660</v>
      </c>
      <c r="E268" t="s">
        <v>280</v>
      </c>
      <c r="F268" t="str">
        <f>ConvertStockCode(표.실시간[[#This Row],[코드]])</f>
        <v>N085660</v>
      </c>
      <c r="G268" s="4">
        <f>_xll.IMDP("STK",표.실시간[[#This Row],[nxt_code]],"현재가")</f>
        <v>15640</v>
      </c>
      <c r="H268" s="4">
        <f>_xll.IMDP("STK",표.실시간[[#This Row],[nxt_code]],"시가총액")/10^12</f>
        <v>1.2424041265600001</v>
      </c>
      <c r="I268" t="str">
        <f>_xll.IMDP("","","전일대비부호")</f>
        <v>코드오류</v>
      </c>
      <c r="J268" s="5">
        <f>_xll.IMDP("STK",표.실시간[[#This Row],[nxt_code]],"전일대비")</f>
        <v>-80</v>
      </c>
      <c r="K268">
        <f>_xll.IMDP("STK",표.실시간[[#This Row],[nxt_code]],"등락률")</f>
        <v>-1.26</v>
      </c>
      <c r="L268" s="4">
        <f>_xll.IMDP("STK",표.실시간[[#This Row],[nxt_code]],"누적거래량")</f>
        <v>69771</v>
      </c>
      <c r="M268" s="4">
        <f>_xll.IMDP("STK",표.실시간[[#This Row],[nxt_code]],"누적거래대금")</f>
        <v>1098464550</v>
      </c>
      <c r="N268" s="4">
        <f>_xll.IMDP("STK",표.실시간[[#This Row],[nxt_code]],"가중평균가")</f>
        <v>15743.855613</v>
      </c>
      <c r="O268" s="4">
        <f>_xll.IMDP("STK",표.실시간[[#This Row],[nxt_code]],"시가")</f>
        <v>15830</v>
      </c>
      <c r="P268" s="4">
        <f>_xll.IMDP("STK",표.실시간[[#This Row],[nxt_code]],"고가")</f>
        <v>15980</v>
      </c>
      <c r="Q268" s="4">
        <f>_xll.IMDP("STK",표.실시간[[#This Row],[nxt_code]],"저가")</f>
        <v>15640</v>
      </c>
      <c r="R268">
        <f>_xll.IMDP("STK",표.실시간[[#This Row],[nxt_code]],"세션명")</f>
        <v>0</v>
      </c>
      <c r="S268">
        <f>_xll.IMDP("STK",표.실시간[[#This Row],[nxt_code]],"체결시간")</f>
        <v>0</v>
      </c>
      <c r="T268" s="4">
        <f>_xll.IMDP("STK","085660","현재가")</f>
        <v>15630</v>
      </c>
      <c r="U268">
        <f>_xll.IMDP("STK","085660","누적거래량")</f>
        <v>20378</v>
      </c>
    </row>
    <row r="269" spans="3:21" x14ac:dyDescent="0.3">
      <c r="C269">
        <v>264</v>
      </c>
      <c r="D269">
        <v>3090</v>
      </c>
      <c r="E269" t="s">
        <v>281</v>
      </c>
      <c r="F269" t="str">
        <f>ConvertStockCode(표.실시간[[#This Row],[코드]])</f>
        <v>N003090</v>
      </c>
      <c r="G269" s="4">
        <f>_xll.IMDP("STK",표.실시간[[#This Row],[nxt_code]],"현재가")</f>
        <v>22200</v>
      </c>
      <c r="H269" s="4">
        <f>_xll.IMDP("STK",표.실시간[[#This Row],[nxt_code]],"시가총액")/10^12</f>
        <v>1.290751956</v>
      </c>
      <c r="I269" t="str">
        <f>_xll.IMDP("","","전일대비부호")</f>
        <v>코드오류</v>
      </c>
      <c r="J269" s="5">
        <f>_xll.IMDP("STK",표.실시간[[#This Row],[nxt_code]],"전일대비")</f>
        <v>100</v>
      </c>
      <c r="K269">
        <f>_xll.IMDP("STK",표.실시간[[#This Row],[nxt_code]],"등락률")</f>
        <v>0.45</v>
      </c>
      <c r="L269" s="4">
        <f>_xll.IMDP("STK",표.실시간[[#This Row],[nxt_code]],"누적거래량")</f>
        <v>8203</v>
      </c>
      <c r="M269" s="4">
        <f>_xll.IMDP("STK",표.실시간[[#This Row],[nxt_code]],"누적거래대금")</f>
        <v>181464050</v>
      </c>
      <c r="N269" s="4">
        <f>_xll.IMDP("STK",표.실시간[[#This Row],[nxt_code]],"가중평균가")</f>
        <v>22121.668902000001</v>
      </c>
      <c r="O269" s="4">
        <f>_xll.IMDP("STK",표.실시간[[#This Row],[nxt_code]],"시가")</f>
        <v>21900</v>
      </c>
      <c r="P269" s="4">
        <f>_xll.IMDP("STK",표.실시간[[#This Row],[nxt_code]],"고가")</f>
        <v>22250</v>
      </c>
      <c r="Q269" s="4">
        <f>_xll.IMDP("STK",표.실시간[[#This Row],[nxt_code]],"저가")</f>
        <v>21900</v>
      </c>
      <c r="R269">
        <f>_xll.IMDP("STK",표.실시간[[#This Row],[nxt_code]],"세션명")</f>
        <v>0</v>
      </c>
      <c r="S269">
        <f>_xll.IMDP("STK",표.실시간[[#This Row],[nxt_code]],"체결시간")</f>
        <v>0</v>
      </c>
      <c r="T269" s="4">
        <f>_xll.IMDP("STK","003090","현재가")</f>
        <v>22450</v>
      </c>
      <c r="U269">
        <f>_xll.IMDP("STK","003090","누적거래량")</f>
        <v>3774</v>
      </c>
    </row>
    <row r="270" spans="3:21" x14ac:dyDescent="0.3">
      <c r="C270">
        <v>265</v>
      </c>
      <c r="D270">
        <v>122870</v>
      </c>
      <c r="E270" t="s">
        <v>282</v>
      </c>
      <c r="F270" t="str">
        <f>ConvertStockCode(표.실시간[[#This Row],[코드]])</f>
        <v>N122870</v>
      </c>
      <c r="G270" s="4">
        <f>_xll.IMDP("STK",표.실시간[[#This Row],[nxt_code]],"현재가")</f>
        <v>71000</v>
      </c>
      <c r="H270" s="4">
        <f>_xll.IMDP("STK",표.실시간[[#This Row],[nxt_code]],"시가총액")/10^12</f>
        <v>1.3270644789999999</v>
      </c>
      <c r="I270" t="str">
        <f>_xll.IMDP("","","전일대비부호")</f>
        <v>코드오류</v>
      </c>
      <c r="J270" s="5">
        <f>_xll.IMDP("STK",표.실시간[[#This Row],[nxt_code]],"전일대비")</f>
        <v>800</v>
      </c>
      <c r="K270">
        <f>_xll.IMDP("STK",표.실시간[[#This Row],[nxt_code]],"등락률")</f>
        <v>1.1399999999999999</v>
      </c>
      <c r="L270" s="4">
        <f>_xll.IMDP("STK",표.실시간[[#This Row],[nxt_code]],"누적거래량")</f>
        <v>26068</v>
      </c>
      <c r="M270" s="4">
        <f>_xll.IMDP("STK",표.실시간[[#This Row],[nxt_code]],"누적거래대금")</f>
        <v>1844047700</v>
      </c>
      <c r="N270" s="4">
        <f>_xll.IMDP("STK",표.실시간[[#This Row],[nxt_code]],"가중평균가")</f>
        <v>70739.899493999998</v>
      </c>
      <c r="O270" s="4">
        <f>_xll.IMDP("STK",표.실시간[[#This Row],[nxt_code]],"시가")</f>
        <v>70300</v>
      </c>
      <c r="P270" s="4">
        <f>_xll.IMDP("STK",표.실시간[[#This Row],[nxt_code]],"고가")</f>
        <v>71400</v>
      </c>
      <c r="Q270" s="4">
        <f>_xll.IMDP("STK",표.실시간[[#This Row],[nxt_code]],"저가")</f>
        <v>69900</v>
      </c>
      <c r="R270">
        <f>_xll.IMDP("STK",표.실시간[[#This Row],[nxt_code]],"세션명")</f>
        <v>0</v>
      </c>
      <c r="S270">
        <f>_xll.IMDP("STK",표.실시간[[#This Row],[nxt_code]],"체결시간")</f>
        <v>0</v>
      </c>
      <c r="T270" s="4">
        <f>_xll.IMDP("STK","122870","현재가")</f>
        <v>71000</v>
      </c>
      <c r="U270">
        <f>_xll.IMDP("STK","122870","누적거래량")</f>
        <v>6992</v>
      </c>
    </row>
    <row r="271" spans="3:21" x14ac:dyDescent="0.3">
      <c r="C271">
        <v>266</v>
      </c>
      <c r="D271">
        <v>71320</v>
      </c>
      <c r="E271" t="s">
        <v>283</v>
      </c>
      <c r="F271" t="str">
        <f>ConvertStockCode(표.실시간[[#This Row],[코드]])</f>
        <v>N071320</v>
      </c>
      <c r="G271" s="4">
        <f>_xll.IMDP("STK",표.실시간[[#This Row],[nxt_code]],"현재가")</f>
        <v>108800</v>
      </c>
      <c r="H271" s="4">
        <f>_xll.IMDP("STK",표.실시간[[#This Row],[nxt_code]],"시가총액")/10^12</f>
        <v>1.2597673471999999</v>
      </c>
      <c r="I271" t="str">
        <f>_xll.IMDP("","","전일대비부호")</f>
        <v>코드오류</v>
      </c>
      <c r="J271" s="5">
        <f>_xll.IMDP("STK",표.실시간[[#This Row],[nxt_code]],"전일대비")</f>
        <v>-900</v>
      </c>
      <c r="K271">
        <f>_xll.IMDP("STK",표.실시간[[#This Row],[nxt_code]],"등락률")</f>
        <v>-0.82</v>
      </c>
      <c r="L271" s="4">
        <f>_xll.IMDP("STK",표.실시간[[#This Row],[nxt_code]],"누적거래량")</f>
        <v>1881</v>
      </c>
      <c r="M271" s="4">
        <f>_xll.IMDP("STK",표.실시간[[#This Row],[nxt_code]],"누적거래대금")</f>
        <v>203796900</v>
      </c>
      <c r="N271" s="4">
        <f>_xll.IMDP("STK",표.실시간[[#This Row],[nxt_code]],"가중평균가")</f>
        <v>108344.976077</v>
      </c>
      <c r="O271" s="4">
        <f>_xll.IMDP("STK",표.실시간[[#This Row],[nxt_code]],"시가")</f>
        <v>109700</v>
      </c>
      <c r="P271" s="4">
        <f>_xll.IMDP("STK",표.실시간[[#This Row],[nxt_code]],"고가")</f>
        <v>109700</v>
      </c>
      <c r="Q271" s="4">
        <f>_xll.IMDP("STK",표.실시간[[#This Row],[nxt_code]],"저가")</f>
        <v>107900</v>
      </c>
      <c r="R271">
        <f>_xll.IMDP("STK",표.실시간[[#This Row],[nxt_code]],"세션명")</f>
        <v>0</v>
      </c>
      <c r="S271">
        <f>_xll.IMDP("STK",표.실시간[[#This Row],[nxt_code]],"체결시간")</f>
        <v>0</v>
      </c>
      <c r="T271" s="4">
        <f>_xll.IMDP("STK","071320","현재가")</f>
        <v>108400</v>
      </c>
      <c r="U271">
        <f>_xll.IMDP("STK","071320","누적거래량")</f>
        <v>48</v>
      </c>
    </row>
    <row r="272" spans="3:21" x14ac:dyDescent="0.3">
      <c r="C272">
        <v>267</v>
      </c>
      <c r="D272">
        <v>7390</v>
      </c>
      <c r="E272" t="s">
        <v>284</v>
      </c>
      <c r="F272" t="str">
        <f>ConvertStockCode(표.실시간[[#This Row],[코드]])</f>
        <v>N007390</v>
      </c>
      <c r="G272" s="4">
        <f>_xll.IMDP("STK",표.실시간[[#This Row],[nxt_code]],"현재가")</f>
        <v>19990</v>
      </c>
      <c r="H272" s="4">
        <f>_xll.IMDP("STK",표.실시간[[#This Row],[nxt_code]],"시가총액")/10^12</f>
        <v>1.28805676944</v>
      </c>
      <c r="I272" t="str">
        <f>_xll.IMDP("","","전일대비부호")</f>
        <v>코드오류</v>
      </c>
      <c r="J272" s="5">
        <f>_xll.IMDP("STK",표.실시간[[#This Row],[nxt_code]],"전일대비")</f>
        <v>-110</v>
      </c>
      <c r="K272">
        <f>_xll.IMDP("STK",표.실시간[[#This Row],[nxt_code]],"등락률")</f>
        <v>-0.55000000000000004</v>
      </c>
      <c r="L272" s="4">
        <f>_xll.IMDP("STK",표.실시간[[#This Row],[nxt_code]],"누적거래량")</f>
        <v>24290</v>
      </c>
      <c r="M272" s="4">
        <f>_xll.IMDP("STK",표.실시간[[#This Row],[nxt_code]],"누적거래대금")</f>
        <v>486340780</v>
      </c>
      <c r="N272" s="4">
        <f>_xll.IMDP("STK",표.실시간[[#This Row],[nxt_code]],"가중평균가")</f>
        <v>20022.263482999999</v>
      </c>
      <c r="O272" s="4">
        <f>_xll.IMDP("STK",표.실시간[[#This Row],[nxt_code]],"시가")</f>
        <v>19990</v>
      </c>
      <c r="P272" s="4">
        <f>_xll.IMDP("STK",표.실시간[[#This Row],[nxt_code]],"고가")</f>
        <v>20200</v>
      </c>
      <c r="Q272" s="4">
        <f>_xll.IMDP("STK",표.실시간[[#This Row],[nxt_code]],"저가")</f>
        <v>19960</v>
      </c>
      <c r="R272">
        <f>_xll.IMDP("STK",표.실시간[[#This Row],[nxt_code]],"세션명")</f>
        <v>0</v>
      </c>
      <c r="S272">
        <f>_xll.IMDP("STK",표.실시간[[#This Row],[nxt_code]],"체결시간")</f>
        <v>0</v>
      </c>
      <c r="T272" s="4">
        <f>_xll.IMDP("STK","007390","현재가")</f>
        <v>20050</v>
      </c>
      <c r="U272">
        <f>_xll.IMDP("STK","007390","누적거래량")</f>
        <v>5752</v>
      </c>
    </row>
    <row r="273" spans="3:21" x14ac:dyDescent="0.3">
      <c r="C273">
        <v>268</v>
      </c>
      <c r="D273">
        <v>293490</v>
      </c>
      <c r="E273" t="s">
        <v>285</v>
      </c>
      <c r="F273" t="str">
        <f>ConvertStockCode(표.실시간[[#This Row],[코드]])</f>
        <v>N293490</v>
      </c>
      <c r="G273" s="4">
        <f>_xll.IMDP("STK",표.실시간[[#This Row],[nxt_code]],"현재가")</f>
        <v>14370</v>
      </c>
      <c r="H273" s="4">
        <f>_xll.IMDP("STK",표.실시간[[#This Row],[nxt_code]],"시가총액")/10^12</f>
        <v>1.29023791107</v>
      </c>
      <c r="I273" t="str">
        <f>_xll.IMDP("","","전일대비부호")</f>
        <v>코드오류</v>
      </c>
      <c r="J273" s="5">
        <f>_xll.IMDP("STK",표.실시간[[#This Row],[nxt_code]],"전일대비")</f>
        <v>120</v>
      </c>
      <c r="K273">
        <f>_xll.IMDP("STK",표.실시간[[#This Row],[nxt_code]],"등락률")</f>
        <v>0.84</v>
      </c>
      <c r="L273" s="4">
        <f>_xll.IMDP("STK",표.실시간[[#This Row],[nxt_code]],"누적거래량")</f>
        <v>8514</v>
      </c>
      <c r="M273" s="4">
        <f>_xll.IMDP("STK",표.실시간[[#This Row],[nxt_code]],"누적거래대금")</f>
        <v>122034960</v>
      </c>
      <c r="N273" s="4">
        <f>_xll.IMDP("STK",표.실시간[[#This Row],[nxt_code]],"가중평균가")</f>
        <v>14333.446088999999</v>
      </c>
      <c r="O273" s="4">
        <f>_xll.IMDP("STK",표.실시간[[#This Row],[nxt_code]],"시가")</f>
        <v>14350</v>
      </c>
      <c r="P273" s="4">
        <f>_xll.IMDP("STK",표.실시간[[#This Row],[nxt_code]],"고가")</f>
        <v>14390</v>
      </c>
      <c r="Q273" s="4">
        <f>_xll.IMDP("STK",표.실시간[[#This Row],[nxt_code]],"저가")</f>
        <v>14220</v>
      </c>
      <c r="R273">
        <f>_xll.IMDP("STK",표.실시간[[#This Row],[nxt_code]],"세션명")</f>
        <v>0</v>
      </c>
      <c r="S273">
        <f>_xll.IMDP("STK",표.실시간[[#This Row],[nxt_code]],"체결시간")</f>
        <v>0</v>
      </c>
      <c r="T273" s="4">
        <f>_xll.IMDP("STK","293490","현재가")</f>
        <v>14320</v>
      </c>
      <c r="U273">
        <f>_xll.IMDP("STK","293490","누적거래량")</f>
        <v>1761</v>
      </c>
    </row>
    <row r="274" spans="3:21" x14ac:dyDescent="0.3">
      <c r="C274">
        <v>269</v>
      </c>
      <c r="D274">
        <v>80</v>
      </c>
      <c r="E274" t="s">
        <v>286</v>
      </c>
      <c r="F274" t="str">
        <f>ConvertStockCode(표.실시간[[#This Row],[코드]])</f>
        <v>N000080</v>
      </c>
      <c r="G274" s="4">
        <f>_xll.IMDP("STK",표.실시간[[#This Row],[nxt_code]],"현재가")</f>
        <v>18020</v>
      </c>
      <c r="H274" s="4">
        <f>_xll.IMDP("STK",표.실시간[[#This Row],[nxt_code]],"시가총액")/10^12</f>
        <v>1.2638076702200001</v>
      </c>
      <c r="I274" t="str">
        <f>_xll.IMDP("","","전일대비부호")</f>
        <v>코드오류</v>
      </c>
      <c r="J274" s="5">
        <f>_xll.IMDP("STK",표.실시간[[#This Row],[nxt_code]],"전일대비")</f>
        <v>-10</v>
      </c>
      <c r="K274">
        <f>_xll.IMDP("STK",표.실시간[[#This Row],[nxt_code]],"등락률")</f>
        <v>-0.17</v>
      </c>
      <c r="L274" s="4">
        <f>_xll.IMDP("STK",표.실시간[[#This Row],[nxt_code]],"누적거래량")</f>
        <v>3750</v>
      </c>
      <c r="M274" s="4">
        <f>_xll.IMDP("STK",표.실시간[[#This Row],[nxt_code]],"누적거래대금")</f>
        <v>67697730</v>
      </c>
      <c r="N274" s="4">
        <f>_xll.IMDP("STK",표.실시간[[#This Row],[nxt_code]],"가중평균가")</f>
        <v>18052.727999999999</v>
      </c>
      <c r="O274" s="4">
        <f>_xll.IMDP("STK",표.실시간[[#This Row],[nxt_code]],"시가")</f>
        <v>18090</v>
      </c>
      <c r="P274" s="4">
        <f>_xll.IMDP("STK",표.실시간[[#This Row],[nxt_code]],"고가")</f>
        <v>18100</v>
      </c>
      <c r="Q274" s="4">
        <f>_xll.IMDP("STK",표.실시간[[#This Row],[nxt_code]],"저가")</f>
        <v>18020</v>
      </c>
      <c r="R274">
        <f>_xll.IMDP("STK",표.실시간[[#This Row],[nxt_code]],"세션명")</f>
        <v>0</v>
      </c>
      <c r="S274">
        <f>_xll.IMDP("STK",표.실시간[[#This Row],[nxt_code]],"체결시간")</f>
        <v>0</v>
      </c>
      <c r="T274" s="4">
        <f>_xll.IMDP("STK","000080","현재가")</f>
        <v>18020</v>
      </c>
      <c r="U274">
        <f>_xll.IMDP("STK","000080","누적거래량")</f>
        <v>803</v>
      </c>
    </row>
    <row r="275" spans="3:21" x14ac:dyDescent="0.3">
      <c r="C275">
        <v>270</v>
      </c>
      <c r="D275">
        <v>96530</v>
      </c>
      <c r="E275" t="s">
        <v>287</v>
      </c>
      <c r="F275" t="str">
        <f>ConvertStockCode(표.실시간[[#This Row],[코드]])</f>
        <v>N096530</v>
      </c>
      <c r="G275" s="4">
        <f>_xll.IMDP("STK",표.실시간[[#This Row],[nxt_code]],"현재가")</f>
        <v>24200</v>
      </c>
      <c r="H275" s="4">
        <f>_xll.IMDP("STK",표.실시간[[#This Row],[nxt_code]],"시가총액")/10^12</f>
        <v>1.2638690548</v>
      </c>
      <c r="I275" t="str">
        <f>_xll.IMDP("","","전일대비부호")</f>
        <v>코드오류</v>
      </c>
      <c r="J275" s="5">
        <f>_xll.IMDP("STK",표.실시간[[#This Row],[nxt_code]],"전일대비")</f>
        <v>50</v>
      </c>
      <c r="K275">
        <f>_xll.IMDP("STK",표.실시간[[#This Row],[nxt_code]],"등락률")</f>
        <v>0.21</v>
      </c>
      <c r="L275" s="4">
        <f>_xll.IMDP("STK",표.실시간[[#This Row],[nxt_code]],"누적거래량")</f>
        <v>9119</v>
      </c>
      <c r="M275" s="4">
        <f>_xll.IMDP("STK",표.실시간[[#This Row],[nxt_code]],"누적거래대금")</f>
        <v>219442000</v>
      </c>
      <c r="N275" s="4">
        <f>_xll.IMDP("STK",표.실시간[[#This Row],[nxt_code]],"가중평균가")</f>
        <v>24064.261431999999</v>
      </c>
      <c r="O275" s="4">
        <f>_xll.IMDP("STK",표.실시간[[#This Row],[nxt_code]],"시가")</f>
        <v>24150</v>
      </c>
      <c r="P275" s="4">
        <f>_xll.IMDP("STK",표.실시간[[#This Row],[nxt_code]],"고가")</f>
        <v>24200</v>
      </c>
      <c r="Q275" s="4">
        <f>_xll.IMDP("STK",표.실시간[[#This Row],[nxt_code]],"저가")</f>
        <v>23950</v>
      </c>
      <c r="R275">
        <f>_xll.IMDP("STK",표.실시간[[#This Row],[nxt_code]],"세션명")</f>
        <v>0</v>
      </c>
      <c r="S275">
        <f>_xll.IMDP("STK",표.실시간[[#This Row],[nxt_code]],"체결시간")</f>
        <v>0</v>
      </c>
      <c r="T275" s="4">
        <f>_xll.IMDP("STK","096530","현재가")</f>
        <v>24150</v>
      </c>
      <c r="U275">
        <f>_xll.IMDP("STK","096530","누적거래량")</f>
        <v>1961</v>
      </c>
    </row>
    <row r="276" spans="3:21" x14ac:dyDescent="0.3">
      <c r="C276">
        <v>271</v>
      </c>
      <c r="D276">
        <v>3380</v>
      </c>
      <c r="E276" t="s">
        <v>288</v>
      </c>
      <c r="F276" t="str">
        <f>ConvertStockCode(표.실시간[[#This Row],[코드]])</f>
        <v>N003380</v>
      </c>
      <c r="G276" s="4">
        <f>_xll.IMDP("STK",표.실시간[[#This Row],[nxt_code]],"현재가")</f>
        <v>11350</v>
      </c>
      <c r="H276" s="4">
        <f>_xll.IMDP("STK",표.실시간[[#This Row],[nxt_code]],"시가총액")/10^12</f>
        <v>1.2712637983499999</v>
      </c>
      <c r="I276" t="str">
        <f>_xll.IMDP("","","전일대비부호")</f>
        <v>코드오류</v>
      </c>
      <c r="J276" s="5">
        <f>_xll.IMDP("STK",표.실시간[[#This Row],[nxt_code]],"전일대비")</f>
        <v>350</v>
      </c>
      <c r="K276">
        <f>_xll.IMDP("STK",표.실시간[[#This Row],[nxt_code]],"등락률")</f>
        <v>2.16</v>
      </c>
      <c r="L276" s="4">
        <f>_xll.IMDP("STK",표.실시간[[#This Row],[nxt_code]],"누적거래량")</f>
        <v>213172</v>
      </c>
      <c r="M276" s="4">
        <f>_xll.IMDP("STK",표.실시간[[#This Row],[nxt_code]],"누적거래대금")</f>
        <v>2418953960</v>
      </c>
      <c r="N276" s="4">
        <f>_xll.IMDP("STK",표.실시간[[#This Row],[nxt_code]],"가중평균가")</f>
        <v>11347.428180000001</v>
      </c>
      <c r="O276" s="4">
        <f>_xll.IMDP("STK",표.실시간[[#This Row],[nxt_code]],"시가")</f>
        <v>11200</v>
      </c>
      <c r="P276" s="4">
        <f>_xll.IMDP("STK",표.실시간[[#This Row],[nxt_code]],"고가")</f>
        <v>11490</v>
      </c>
      <c r="Q276" s="4">
        <f>_xll.IMDP("STK",표.실시간[[#This Row],[nxt_code]],"저가")</f>
        <v>11150</v>
      </c>
      <c r="R276">
        <f>_xll.IMDP("STK",표.실시간[[#This Row],[nxt_code]],"세션명")</f>
        <v>0</v>
      </c>
      <c r="S276">
        <f>_xll.IMDP("STK",표.실시간[[#This Row],[nxt_code]],"체결시간")</f>
        <v>0</v>
      </c>
      <c r="T276" s="4">
        <f>_xll.IMDP("STK","003380","현재가")</f>
        <v>11340</v>
      </c>
      <c r="U276">
        <f>_xll.IMDP("STK","003380","누적거래량")</f>
        <v>38133</v>
      </c>
    </row>
    <row r="277" spans="3:21" x14ac:dyDescent="0.3">
      <c r="C277">
        <v>272</v>
      </c>
      <c r="D277">
        <v>120110</v>
      </c>
      <c r="E277" t="s">
        <v>289</v>
      </c>
      <c r="F277" t="str">
        <f>ConvertStockCode(표.실시간[[#This Row],[코드]])</f>
        <v>N120110</v>
      </c>
      <c r="G277" s="4">
        <f>_xll.IMDP("STK",표.실시간[[#This Row],[nxt_code]],"현재가")</f>
        <v>47350</v>
      </c>
      <c r="H277" s="4">
        <f>_xll.IMDP("STK",표.실시간[[#This Row],[nxt_code]],"시가총액")/10^12</f>
        <v>1.3030289588499999</v>
      </c>
      <c r="I277" t="str">
        <f>_xll.IMDP("","","전일대비부호")</f>
        <v>코드오류</v>
      </c>
      <c r="J277" s="5">
        <f>_xll.IMDP("STK",표.실시간[[#This Row],[nxt_code]],"전일대비")</f>
        <v>700</v>
      </c>
      <c r="K277">
        <f>_xll.IMDP("STK",표.실시간[[#This Row],[nxt_code]],"등락률")</f>
        <v>1.5</v>
      </c>
      <c r="L277" s="4">
        <f>_xll.IMDP("STK",표.실시간[[#This Row],[nxt_code]],"누적거래량")</f>
        <v>19536</v>
      </c>
      <c r="M277" s="4">
        <f>_xll.IMDP("STK",표.실시간[[#This Row],[nxt_code]],"누적거래대금")</f>
        <v>918665550</v>
      </c>
      <c r="N277" s="4">
        <f>_xll.IMDP("STK",표.실시간[[#This Row],[nxt_code]],"가중평균가")</f>
        <v>47024.239865000003</v>
      </c>
      <c r="O277" s="4">
        <f>_xll.IMDP("STK",표.실시간[[#This Row],[nxt_code]],"시가")</f>
        <v>46800</v>
      </c>
      <c r="P277" s="4">
        <f>_xll.IMDP("STK",표.실시간[[#This Row],[nxt_code]],"고가")</f>
        <v>47400</v>
      </c>
      <c r="Q277" s="4">
        <f>_xll.IMDP("STK",표.실시간[[#This Row],[nxt_code]],"저가")</f>
        <v>46550</v>
      </c>
      <c r="R277">
        <f>_xll.IMDP("STK",표.실시간[[#This Row],[nxt_code]],"세션명")</f>
        <v>0</v>
      </c>
      <c r="S277">
        <f>_xll.IMDP("STK",표.실시간[[#This Row],[nxt_code]],"체결시간")</f>
        <v>0</v>
      </c>
      <c r="T277" s="4">
        <f>_xll.IMDP("STK","120110","현재가")</f>
        <v>47400</v>
      </c>
      <c r="U277">
        <f>_xll.IMDP("STK","120110","누적거래량")</f>
        <v>9094</v>
      </c>
    </row>
    <row r="278" spans="3:21" x14ac:dyDescent="0.3">
      <c r="C278">
        <v>273</v>
      </c>
      <c r="D278">
        <v>456160</v>
      </c>
      <c r="E278" t="s">
        <v>290</v>
      </c>
      <c r="F278" t="str">
        <f>ConvertStockCode(표.실시간[[#This Row],[코드]])</f>
        <v>N456160</v>
      </c>
      <c r="G278" s="4">
        <f>_xll.IMDP("STK",표.실시간[[#This Row],[nxt_code]],"현재가")</f>
        <v>76300</v>
      </c>
      <c r="H278" s="4">
        <f>_xll.IMDP("STK",표.실시간[[#This Row],[nxt_code]],"시가총액")/10^12</f>
        <v>1.2528887280000001</v>
      </c>
      <c r="I278" t="str">
        <f>_xll.IMDP("","","전일대비부호")</f>
        <v>코드오류</v>
      </c>
      <c r="J278" s="5">
        <f>_xll.IMDP("STK",표.실시간[[#This Row],[nxt_code]],"전일대비")</f>
        <v>-700</v>
      </c>
      <c r="K278">
        <f>_xll.IMDP("STK",표.실시간[[#This Row],[nxt_code]],"등락률")</f>
        <v>-0.91</v>
      </c>
      <c r="L278" s="4">
        <f>_xll.IMDP("STK",표.실시간[[#This Row],[nxt_code]],"누적거래량")</f>
        <v>49741</v>
      </c>
      <c r="M278" s="4">
        <f>_xll.IMDP("STK",표.실시간[[#This Row],[nxt_code]],"누적거래대금")</f>
        <v>3807417000</v>
      </c>
      <c r="N278" s="4">
        <f>_xll.IMDP("STK",표.실시간[[#This Row],[nxt_code]],"가중평균가")</f>
        <v>76544.842283000005</v>
      </c>
      <c r="O278" s="4">
        <f>_xll.IMDP("STK",표.실시간[[#This Row],[nxt_code]],"시가")</f>
        <v>78600</v>
      </c>
      <c r="P278" s="4">
        <f>_xll.IMDP("STK",표.실시간[[#This Row],[nxt_code]],"고가")</f>
        <v>78600</v>
      </c>
      <c r="Q278" s="4">
        <f>_xll.IMDP("STK",표.실시간[[#This Row],[nxt_code]],"저가")</f>
        <v>76000</v>
      </c>
      <c r="R278">
        <f>_xll.IMDP("STK",표.실시간[[#This Row],[nxt_code]],"세션명")</f>
        <v>0</v>
      </c>
      <c r="S278">
        <f>_xll.IMDP("STK",표.실시간[[#This Row],[nxt_code]],"체결시간")</f>
        <v>0</v>
      </c>
      <c r="T278" s="4">
        <f>_xll.IMDP("STK","456160","현재가")</f>
        <v>76300</v>
      </c>
      <c r="U278">
        <f>_xll.IMDP("STK","456160","누적거래량")</f>
        <v>7635</v>
      </c>
    </row>
    <row r="279" spans="3:21" x14ac:dyDescent="0.3">
      <c r="C279">
        <v>274</v>
      </c>
      <c r="D279">
        <v>300720</v>
      </c>
      <c r="E279" t="s">
        <v>291</v>
      </c>
      <c r="F279" t="str">
        <f>ConvertStockCode(표.실시간[[#This Row],[코드]])</f>
        <v>N300720</v>
      </c>
      <c r="G279" s="4">
        <f>_xll.IMDP("STK",표.실시간[[#This Row],[nxt_code]],"현재가")</f>
        <v>16540</v>
      </c>
      <c r="H279" s="4">
        <f>_xll.IMDP("STK",표.실시간[[#This Row],[nxt_code]],"시가총액")/10^12</f>
        <v>1.21643775686</v>
      </c>
      <c r="I279" t="str">
        <f>_xll.IMDP("","","전일대비부호")</f>
        <v>코드오류</v>
      </c>
      <c r="J279" s="5">
        <f>_xll.IMDP("STK",표.실시간[[#This Row],[nxt_code]],"전일대비")</f>
        <v>40</v>
      </c>
      <c r="K279">
        <f>_xll.IMDP("STK",표.실시간[[#This Row],[nxt_code]],"등락률")</f>
        <v>0.24</v>
      </c>
      <c r="L279" s="4">
        <f>_xll.IMDP("STK",표.실시간[[#This Row],[nxt_code]],"누적거래량")</f>
        <v>1917</v>
      </c>
      <c r="M279" s="4">
        <f>_xll.IMDP("STK",표.실시간[[#This Row],[nxt_code]],"누적거래대금")</f>
        <v>31727720</v>
      </c>
      <c r="N279" s="4">
        <f>_xll.IMDP("STK",표.실시간[[#This Row],[nxt_code]],"가중평균가")</f>
        <v>16550.714658000001</v>
      </c>
      <c r="O279" s="4">
        <f>_xll.IMDP("STK",표.실시간[[#This Row],[nxt_code]],"시가")</f>
        <v>16550</v>
      </c>
      <c r="P279" s="4">
        <f>_xll.IMDP("STK",표.실시간[[#This Row],[nxt_code]],"고가")</f>
        <v>16600</v>
      </c>
      <c r="Q279" s="4">
        <f>_xll.IMDP("STK",표.실시간[[#This Row],[nxt_code]],"저가")</f>
        <v>16500</v>
      </c>
      <c r="R279">
        <f>_xll.IMDP("STK",표.실시간[[#This Row],[nxt_code]],"세션명")</f>
        <v>0</v>
      </c>
      <c r="S279">
        <f>_xll.IMDP("STK",표.실시간[[#This Row],[nxt_code]],"체결시간")</f>
        <v>0</v>
      </c>
      <c r="T279" s="4">
        <f>_xll.IMDP("STK","300720","현재가")</f>
        <v>16540</v>
      </c>
      <c r="U279">
        <f>_xll.IMDP("STK","300720","누적거래량")</f>
        <v>1405</v>
      </c>
    </row>
    <row r="280" spans="3:21" x14ac:dyDescent="0.3">
      <c r="C280">
        <v>275</v>
      </c>
      <c r="D280">
        <v>232140</v>
      </c>
      <c r="E280" t="s">
        <v>292</v>
      </c>
      <c r="F280" t="str">
        <f>ConvertStockCode(표.실시간[[#This Row],[코드]])</f>
        <v>N232140</v>
      </c>
      <c r="G280" s="4">
        <f>_xll.IMDP("STK",표.실시간[[#This Row],[nxt_code]],"현재가")</f>
        <v>14490</v>
      </c>
      <c r="H280" s="4">
        <f>_xll.IMDP("STK",표.실시간[[#This Row],[nxt_code]],"시가총액")/10^12</f>
        <v>1.1888371215</v>
      </c>
      <c r="I280" t="str">
        <f>_xll.IMDP("","","전일대비부호")</f>
        <v>코드오류</v>
      </c>
      <c r="J280" s="5">
        <f>_xll.IMDP("STK",표.실시간[[#This Row],[nxt_code]],"전일대비")</f>
        <v>70</v>
      </c>
      <c r="K280">
        <f>_xll.IMDP("STK",표.실시간[[#This Row],[nxt_code]],"등락률")</f>
        <v>0.49</v>
      </c>
      <c r="L280" s="4">
        <f>_xll.IMDP("STK",표.실시간[[#This Row],[nxt_code]],"누적거래량")</f>
        <v>54863</v>
      </c>
      <c r="M280" s="4">
        <f>_xll.IMDP("STK",표.실시간[[#This Row],[nxt_code]],"누적거래대금")</f>
        <v>798008920</v>
      </c>
      <c r="N280" s="4">
        <f>_xll.IMDP("STK",표.실시간[[#This Row],[nxt_code]],"가중평균가")</f>
        <v>14545.484571000001</v>
      </c>
      <c r="O280" s="4">
        <f>_xll.IMDP("STK",표.실시간[[#This Row],[nxt_code]],"시가")</f>
        <v>14490</v>
      </c>
      <c r="P280" s="4">
        <f>_xll.IMDP("STK",표.실시간[[#This Row],[nxt_code]],"고가")</f>
        <v>14600</v>
      </c>
      <c r="Q280" s="4">
        <f>_xll.IMDP("STK",표.실시간[[#This Row],[nxt_code]],"저가")</f>
        <v>14370</v>
      </c>
      <c r="R280">
        <f>_xll.IMDP("STK",표.실시간[[#This Row],[nxt_code]],"세션명")</f>
        <v>0</v>
      </c>
      <c r="S280">
        <f>_xll.IMDP("STK",표.실시간[[#This Row],[nxt_code]],"체결시간")</f>
        <v>0</v>
      </c>
      <c r="T280" s="4">
        <f>_xll.IMDP("STK","232140","현재가")</f>
        <v>14440</v>
      </c>
      <c r="U280">
        <f>_xll.IMDP("STK","232140","누적거래량")</f>
        <v>16472</v>
      </c>
    </row>
    <row r="281" spans="3:21" x14ac:dyDescent="0.3">
      <c r="C281">
        <v>276</v>
      </c>
      <c r="D281">
        <v>5300</v>
      </c>
      <c r="E281" t="s">
        <v>293</v>
      </c>
      <c r="F281" t="str">
        <f>ConvertStockCode(표.실시간[[#This Row],[코드]])</f>
        <v>N005300</v>
      </c>
      <c r="G281" s="4">
        <f>_xll.IMDP("STK",표.실시간[[#This Row],[nxt_code]],"현재가")</f>
        <v>131500</v>
      </c>
      <c r="H281" s="4">
        <f>_xll.IMDP("STK",표.실시간[[#This Row],[nxt_code]],"시가총액")/10^12</f>
        <v>1.2201732460000001</v>
      </c>
      <c r="I281" t="str">
        <f>_xll.IMDP("","","전일대비부호")</f>
        <v>코드오류</v>
      </c>
      <c r="J281" s="5">
        <f>_xll.IMDP("STK",표.실시간[[#This Row],[nxt_code]],"전일대비")</f>
        <v>0</v>
      </c>
      <c r="K281">
        <f>_xll.IMDP("STK",표.실시간[[#This Row],[nxt_code]],"등락률")</f>
        <v>0</v>
      </c>
      <c r="L281" s="4">
        <f>_xll.IMDP("STK",표.실시간[[#This Row],[nxt_code]],"누적거래량")</f>
        <v>332</v>
      </c>
      <c r="M281" s="4">
        <f>_xll.IMDP("STK",표.실시간[[#This Row],[nxt_code]],"누적거래대금")</f>
        <v>43733100</v>
      </c>
      <c r="N281" s="4">
        <f>_xll.IMDP("STK",표.실시간[[#This Row],[nxt_code]],"가중평균가")</f>
        <v>131726.20481900001</v>
      </c>
      <c r="O281" s="4">
        <f>_xll.IMDP("STK",표.실시간[[#This Row],[nxt_code]],"시가")</f>
        <v>131500</v>
      </c>
      <c r="P281" s="4">
        <f>_xll.IMDP("STK",표.실시간[[#This Row],[nxt_code]],"고가")</f>
        <v>132500</v>
      </c>
      <c r="Q281" s="4">
        <f>_xll.IMDP("STK",표.실시간[[#This Row],[nxt_code]],"저가")</f>
        <v>131400</v>
      </c>
      <c r="R281">
        <f>_xll.IMDP("STK",표.실시간[[#This Row],[nxt_code]],"세션명")</f>
        <v>0</v>
      </c>
      <c r="S281">
        <f>_xll.IMDP("STK",표.실시간[[#This Row],[nxt_code]],"체결시간")</f>
        <v>0</v>
      </c>
      <c r="T281" s="4">
        <f>_xll.IMDP("STK","005300","현재가")</f>
        <v>131700</v>
      </c>
      <c r="U281">
        <f>_xll.IMDP("STK","005300","누적거래량")</f>
        <v>63</v>
      </c>
    </row>
    <row r="282" spans="3:21" x14ac:dyDescent="0.3">
      <c r="C282">
        <v>277</v>
      </c>
      <c r="D282">
        <v>100090</v>
      </c>
      <c r="E282" t="s">
        <v>294</v>
      </c>
      <c r="F282" t="str">
        <f>ConvertStockCode(표.실시간[[#This Row],[코드]])</f>
        <v>N100090</v>
      </c>
      <c r="G282" s="4">
        <f>_xll.IMDP("STK",표.실시간[[#This Row],[nxt_code]],"현재가")</f>
        <v>19470</v>
      </c>
      <c r="H282" s="4">
        <f>_xll.IMDP("STK",표.실시간[[#This Row],[nxt_code]],"시가총액")/10^12</f>
        <v>1.2164491716300001</v>
      </c>
      <c r="I282" t="str">
        <f>_xll.IMDP("","","전일대비부호")</f>
        <v>코드오류</v>
      </c>
      <c r="J282" s="5">
        <f>_xll.IMDP("STK",표.실시간[[#This Row],[nxt_code]],"전일대비")</f>
        <v>310</v>
      </c>
      <c r="K282">
        <f>_xll.IMDP("STK",표.실시간[[#This Row],[nxt_code]],"등락률")</f>
        <v>1.62</v>
      </c>
      <c r="L282" s="4">
        <f>_xll.IMDP("STK",표.실시간[[#This Row],[nxt_code]],"누적거래량")</f>
        <v>27060</v>
      </c>
      <c r="M282" s="4">
        <f>_xll.IMDP("STK",표.실시간[[#This Row],[nxt_code]],"누적거래대금")</f>
        <v>521756160</v>
      </c>
      <c r="N282" s="4">
        <f>_xll.IMDP("STK",표.실시간[[#This Row],[nxt_code]],"가중평균가")</f>
        <v>19275.043776999999</v>
      </c>
      <c r="O282" s="4">
        <f>_xll.IMDP("STK",표.실시간[[#This Row],[nxt_code]],"시가")</f>
        <v>19300</v>
      </c>
      <c r="P282" s="4">
        <f>_xll.IMDP("STK",표.실시간[[#This Row],[nxt_code]],"고가")</f>
        <v>19500</v>
      </c>
      <c r="Q282" s="4">
        <f>_xll.IMDP("STK",표.실시간[[#This Row],[nxt_code]],"저가")</f>
        <v>19120</v>
      </c>
      <c r="R282">
        <f>_xll.IMDP("STK",표.실시간[[#This Row],[nxt_code]],"세션명")</f>
        <v>0</v>
      </c>
      <c r="S282">
        <f>_xll.IMDP("STK",표.실시간[[#This Row],[nxt_code]],"체결시간")</f>
        <v>0</v>
      </c>
      <c r="T282" s="4">
        <f>_xll.IMDP("STK","100090","현재가")</f>
        <v>19480</v>
      </c>
      <c r="U282">
        <f>_xll.IMDP("STK","100090","누적거래량")</f>
        <v>33327</v>
      </c>
    </row>
    <row r="283" spans="3:21" x14ac:dyDescent="0.3">
      <c r="C283">
        <v>278</v>
      </c>
      <c r="D283">
        <v>388720</v>
      </c>
      <c r="E283" t="s">
        <v>295</v>
      </c>
      <c r="F283" t="str">
        <f>ConvertStockCode(표.실시간[[#This Row],[코드]])</f>
        <v>N388720</v>
      </c>
      <c r="G283" s="4">
        <f>_xll.IMDP("STK",표.실시간[[#This Row],[nxt_code]],"현재가")</f>
        <v>93700</v>
      </c>
      <c r="H283" s="4">
        <f>_xll.IMDP("STK",표.실시간[[#This Row],[nxt_code]],"시가총액")/10^12</f>
        <v>1.0959896915</v>
      </c>
      <c r="I283" t="str">
        <f>_xll.IMDP("","","전일대비부호")</f>
        <v>코드오류</v>
      </c>
      <c r="J283" s="5">
        <f>_xll.IMDP("STK",표.실시간[[#This Row],[nxt_code]],"전일대비")</f>
        <v>-700</v>
      </c>
      <c r="K283">
        <f>_xll.IMDP("STK",표.실시간[[#This Row],[nxt_code]],"등락률")</f>
        <v>-1.37</v>
      </c>
      <c r="L283" s="4">
        <f>_xll.IMDP("STK",표.실시간[[#This Row],[nxt_code]],"누적거래량")</f>
        <v>53656</v>
      </c>
      <c r="M283" s="4">
        <f>_xll.IMDP("STK",표.실시간[[#This Row],[nxt_code]],"누적거래대금")</f>
        <v>5108558700</v>
      </c>
      <c r="N283" s="4">
        <f>_xll.IMDP("STK",표.실시간[[#This Row],[nxt_code]],"가중평균가")</f>
        <v>95209.458402000004</v>
      </c>
      <c r="O283" s="4">
        <f>_xll.IMDP("STK",표.실시간[[#This Row],[nxt_code]],"시가")</f>
        <v>95100</v>
      </c>
      <c r="P283" s="4">
        <f>_xll.IMDP("STK",표.실시간[[#This Row],[nxt_code]],"고가")</f>
        <v>97000</v>
      </c>
      <c r="Q283" s="4">
        <f>_xll.IMDP("STK",표.실시간[[#This Row],[nxt_code]],"저가")</f>
        <v>93000</v>
      </c>
      <c r="R283">
        <f>_xll.IMDP("STK",표.실시간[[#This Row],[nxt_code]],"세션명")</f>
        <v>0</v>
      </c>
      <c r="S283">
        <f>_xll.IMDP("STK",표.실시간[[#This Row],[nxt_code]],"체결시간")</f>
        <v>0</v>
      </c>
      <c r="T283" s="4">
        <f>_xll.IMDP("STK","388720","현재가")</f>
        <v>93900</v>
      </c>
      <c r="U283">
        <f>_xll.IMDP("STK","388720","누적거래량")</f>
        <v>6309</v>
      </c>
    </row>
    <row r="284" spans="3:21" x14ac:dyDescent="0.3">
      <c r="C284">
        <v>279</v>
      </c>
      <c r="D284">
        <v>319660</v>
      </c>
      <c r="E284" t="s">
        <v>296</v>
      </c>
      <c r="F284" t="str">
        <f>ConvertStockCode(표.실시간[[#This Row],[코드]])</f>
        <v>N319660</v>
      </c>
      <c r="G284" s="4">
        <f>_xll.IMDP("STK",표.실시간[[#This Row],[nxt_code]],"현재가")</f>
        <v>39000</v>
      </c>
      <c r="H284" s="4">
        <f>_xll.IMDP("STK",표.실시간[[#This Row],[nxt_code]],"시가총액")/10^12</f>
        <v>1.1297018459999999</v>
      </c>
      <c r="I284" t="str">
        <f>_xll.IMDP("","","전일대비부호")</f>
        <v>코드오류</v>
      </c>
      <c r="J284" s="5">
        <f>_xll.IMDP("STK",표.실시간[[#This Row],[nxt_code]],"전일대비")</f>
        <v>-550</v>
      </c>
      <c r="K284">
        <f>_xll.IMDP("STK",표.실시간[[#This Row],[nxt_code]],"등락률")</f>
        <v>-1.64</v>
      </c>
      <c r="L284" s="4">
        <f>_xll.IMDP("STK",표.실시간[[#This Row],[nxt_code]],"누적거래량")</f>
        <v>16207</v>
      </c>
      <c r="M284" s="4">
        <f>_xll.IMDP("STK",표.실시간[[#This Row],[nxt_code]],"누적거래대금")</f>
        <v>650944200</v>
      </c>
      <c r="N284" s="4">
        <f>_xll.IMDP("STK",표.실시간[[#This Row],[nxt_code]],"가중평균가")</f>
        <v>39922.980681000001</v>
      </c>
      <c r="O284" s="4">
        <f>_xll.IMDP("STK",표.실시간[[#This Row],[nxt_code]],"시가")</f>
        <v>39850</v>
      </c>
      <c r="P284" s="4">
        <f>_xll.IMDP("STK",표.실시간[[#This Row],[nxt_code]],"고가")</f>
        <v>40250</v>
      </c>
      <c r="Q284" s="4">
        <f>_xll.IMDP("STK",표.실시간[[#This Row],[nxt_code]],"저가")</f>
        <v>39000</v>
      </c>
      <c r="R284">
        <f>_xll.IMDP("STK",표.실시간[[#This Row],[nxt_code]],"세션명")</f>
        <v>0</v>
      </c>
      <c r="S284">
        <f>_xll.IMDP("STK",표.실시간[[#This Row],[nxt_code]],"체결시간")</f>
        <v>0</v>
      </c>
      <c r="T284" s="4">
        <f>_xll.IMDP("STK","319660","현재가")</f>
        <v>38950</v>
      </c>
      <c r="U284">
        <f>_xll.IMDP("STK","319660","누적거래량")</f>
        <v>5071</v>
      </c>
    </row>
    <row r="285" spans="3:21" x14ac:dyDescent="0.3">
      <c r="C285">
        <v>280</v>
      </c>
      <c r="D285">
        <v>249420</v>
      </c>
      <c r="E285" t="s">
        <v>297</v>
      </c>
      <c r="F285" t="str">
        <f>ConvertStockCode(표.실시간[[#This Row],[코드]])</f>
        <v>N249420</v>
      </c>
      <c r="G285" s="4">
        <f>_xll.IMDP("STK",표.실시간[[#This Row],[nxt_code]],"현재가")</f>
        <v>36400</v>
      </c>
      <c r="H285" s="4">
        <f>_xll.IMDP("STK",표.실시간[[#This Row],[nxt_code]],"시가총액")/10^12</f>
        <v>1.1516323728</v>
      </c>
      <c r="I285" t="str">
        <f>_xll.IMDP("","","전일대비부호")</f>
        <v>코드오류</v>
      </c>
      <c r="J285" s="5">
        <f>_xll.IMDP("STK",표.실시간[[#This Row],[nxt_code]],"전일대비")</f>
        <v>300</v>
      </c>
      <c r="K285">
        <f>_xll.IMDP("STK",표.실시간[[#This Row],[nxt_code]],"등락률")</f>
        <v>0.83</v>
      </c>
      <c r="L285" s="4">
        <f>_xll.IMDP("STK",표.실시간[[#This Row],[nxt_code]],"누적거래량")</f>
        <v>57814</v>
      </c>
      <c r="M285" s="4">
        <f>_xll.IMDP("STK",표.실시간[[#This Row],[nxt_code]],"누적거래대금")</f>
        <v>2109127400</v>
      </c>
      <c r="N285" s="4">
        <f>_xll.IMDP("STK",표.실시간[[#This Row],[nxt_code]],"가중평균가")</f>
        <v>36481.257135</v>
      </c>
      <c r="O285" s="4">
        <f>_xll.IMDP("STK",표.실시간[[#This Row],[nxt_code]],"시가")</f>
        <v>36300</v>
      </c>
      <c r="P285" s="4">
        <f>_xll.IMDP("STK",표.실시간[[#This Row],[nxt_code]],"고가")</f>
        <v>36700</v>
      </c>
      <c r="Q285" s="4">
        <f>_xll.IMDP("STK",표.실시간[[#This Row],[nxt_code]],"저가")</f>
        <v>36200</v>
      </c>
      <c r="R285">
        <f>_xll.IMDP("STK",표.실시간[[#This Row],[nxt_code]],"세션명")</f>
        <v>0</v>
      </c>
      <c r="S285">
        <f>_xll.IMDP("STK",표.실시간[[#This Row],[nxt_code]],"체결시간")</f>
        <v>0</v>
      </c>
      <c r="T285" s="4">
        <f>_xll.IMDP("STK","249420","현재가")</f>
        <v>36400</v>
      </c>
      <c r="U285">
        <f>_xll.IMDP("STK","249420","누적거래량")</f>
        <v>14379</v>
      </c>
    </row>
    <row r="286" spans="3:21" x14ac:dyDescent="0.3">
      <c r="C286">
        <v>281</v>
      </c>
      <c r="D286">
        <v>30610</v>
      </c>
      <c r="E286" t="s">
        <v>298</v>
      </c>
      <c r="F286" t="str">
        <f>ConvertStockCode(표.실시간[[#This Row],[코드]])</f>
        <v>N030610</v>
      </c>
      <c r="G286" s="4">
        <f>_xll.IMDP("STK",표.실시간[[#This Row],[nxt_code]],"현재가")</f>
        <v>10700</v>
      </c>
      <c r="H286" s="4">
        <f>_xll.IMDP("STK",표.실시간[[#This Row],[nxt_code]],"시가총액")/10^12</f>
        <v>1.2194036827000001</v>
      </c>
      <c r="I286" t="str">
        <f>_xll.IMDP("","","전일대비부호")</f>
        <v>코드오류</v>
      </c>
      <c r="J286" s="5">
        <f>_xll.IMDP("STK",표.실시간[[#This Row],[nxt_code]],"전일대비")</f>
        <v>200</v>
      </c>
      <c r="K286">
        <f>_xll.IMDP("STK",표.실시간[[#This Row],[nxt_code]],"등락률")</f>
        <v>1.9</v>
      </c>
      <c r="L286" s="4">
        <f>_xll.IMDP("STK",표.실시간[[#This Row],[nxt_code]],"누적거래량")</f>
        <v>12569</v>
      </c>
      <c r="M286" s="4">
        <f>_xll.IMDP("STK",표.실시간[[#This Row],[nxt_code]],"누적거래대금")</f>
        <v>133581640</v>
      </c>
      <c r="N286" s="4">
        <f>_xll.IMDP("STK",표.실시간[[#This Row],[nxt_code]],"가중평균가")</f>
        <v>10627.865383</v>
      </c>
      <c r="O286" s="4">
        <f>_xll.IMDP("STK",표.실시간[[#This Row],[nxt_code]],"시가")</f>
        <v>10300</v>
      </c>
      <c r="P286" s="4">
        <f>_xll.IMDP("STK",표.실시간[[#This Row],[nxt_code]],"고가")</f>
        <v>10700</v>
      </c>
      <c r="Q286" s="4">
        <f>_xll.IMDP("STK",표.실시간[[#This Row],[nxt_code]],"저가")</f>
        <v>10300</v>
      </c>
      <c r="R286">
        <f>_xll.IMDP("STK",표.실시간[[#This Row],[nxt_code]],"세션명")</f>
        <v>0</v>
      </c>
      <c r="S286">
        <f>_xll.IMDP("STK",표.실시간[[#This Row],[nxt_code]],"체결시간")</f>
        <v>0</v>
      </c>
      <c r="T286" s="4">
        <f>_xll.IMDP("STK","030610","현재가")</f>
        <v>10670</v>
      </c>
      <c r="U286">
        <f>_xll.IMDP("STK","030610","누적거래량")</f>
        <v>2815</v>
      </c>
    </row>
    <row r="287" spans="3:21" x14ac:dyDescent="0.3">
      <c r="C287">
        <v>282</v>
      </c>
      <c r="D287">
        <v>4000</v>
      </c>
      <c r="E287" t="s">
        <v>299</v>
      </c>
      <c r="F287" t="str">
        <f>ConvertStockCode(표.실시간[[#This Row],[코드]])</f>
        <v>N004000</v>
      </c>
      <c r="G287" s="4">
        <f>_xll.IMDP("STK",표.실시간[[#This Row],[nxt_code]],"현재가")</f>
        <v>45600</v>
      </c>
      <c r="H287" s="4">
        <f>_xll.IMDP("STK",표.실시간[[#This Row],[nxt_code]],"시가총액")/10^12</f>
        <v>1.17648</v>
      </c>
      <c r="I287" t="str">
        <f>_xll.IMDP("","","전일대비부호")</f>
        <v>코드오류</v>
      </c>
      <c r="J287" s="5">
        <f>_xll.IMDP("STK",표.실시간[[#This Row],[nxt_code]],"전일대비")</f>
        <v>300</v>
      </c>
      <c r="K287">
        <f>_xll.IMDP("STK",표.실시간[[#This Row],[nxt_code]],"등락률")</f>
        <v>0.66</v>
      </c>
      <c r="L287" s="4">
        <f>_xll.IMDP("STK",표.실시간[[#This Row],[nxt_code]],"누적거래량")</f>
        <v>1672</v>
      </c>
      <c r="M287" s="4">
        <f>_xll.IMDP("STK",표.실시간[[#This Row],[nxt_code]],"누적거래대금")</f>
        <v>76152450</v>
      </c>
      <c r="N287" s="4">
        <f>_xll.IMDP("STK",표.실시간[[#This Row],[nxt_code]],"가중평균가")</f>
        <v>45545.723683999997</v>
      </c>
      <c r="O287" s="4">
        <f>_xll.IMDP("STK",표.실시간[[#This Row],[nxt_code]],"시가")</f>
        <v>45350</v>
      </c>
      <c r="P287" s="4">
        <f>_xll.IMDP("STK",표.실시간[[#This Row],[nxt_code]],"고가")</f>
        <v>45700</v>
      </c>
      <c r="Q287" s="4">
        <f>_xll.IMDP("STK",표.실시간[[#This Row],[nxt_code]],"저가")</f>
        <v>45350</v>
      </c>
      <c r="R287">
        <f>_xll.IMDP("STK",표.실시간[[#This Row],[nxt_code]],"세션명")</f>
        <v>0</v>
      </c>
      <c r="S287">
        <f>_xll.IMDP("STK",표.실시간[[#This Row],[nxt_code]],"체결시간")</f>
        <v>0</v>
      </c>
      <c r="T287" s="4">
        <f>_xll.IMDP("STK","004000","현재가")</f>
        <v>45900</v>
      </c>
      <c r="U287">
        <f>_xll.IMDP("STK","004000","누적거래량")</f>
        <v>1059</v>
      </c>
    </row>
    <row r="288" spans="3:21" x14ac:dyDescent="0.3">
      <c r="C288">
        <v>283</v>
      </c>
      <c r="D288">
        <v>281740</v>
      </c>
      <c r="E288" t="s">
        <v>300</v>
      </c>
      <c r="F288" t="str">
        <f>ConvertStockCode(표.실시간[[#This Row],[코드]])</f>
        <v>N281740</v>
      </c>
      <c r="G288" s="4">
        <f>_xll.IMDP("STK",표.실시간[[#This Row],[nxt_code]],"현재가")</f>
        <v>20600</v>
      </c>
      <c r="H288" s="4">
        <f>_xll.IMDP("STK",표.실시간[[#This Row],[nxt_code]],"시가총액")/10^12</f>
        <v>1.3540492888</v>
      </c>
      <c r="I288" t="str">
        <f>_xll.IMDP("","","전일대비부호")</f>
        <v>코드오류</v>
      </c>
      <c r="J288" s="5">
        <f>_xll.IMDP("STK",표.실시간[[#This Row],[nxt_code]],"전일대비")</f>
        <v>-450</v>
      </c>
      <c r="K288">
        <f>_xll.IMDP("STK",표.실시간[[#This Row],[nxt_code]],"등락률")</f>
        <v>-2.14</v>
      </c>
      <c r="L288" s="4">
        <f>_xll.IMDP("STK",표.실시간[[#This Row],[nxt_code]],"누적거래량")</f>
        <v>3175449</v>
      </c>
      <c r="M288" s="4">
        <f>_xll.IMDP("STK",표.실시간[[#This Row],[nxt_code]],"누적거래대금")</f>
        <v>71845809200</v>
      </c>
      <c r="N288" s="4">
        <f>_xll.IMDP("STK",표.실시간[[#This Row],[nxt_code]],"가중평균가")</f>
        <v>22625.401698999998</v>
      </c>
      <c r="O288" s="4">
        <f>_xll.IMDP("STK",표.실시간[[#This Row],[nxt_code]],"시가")</f>
        <v>27300</v>
      </c>
      <c r="P288" s="4">
        <f>_xll.IMDP("STK",표.실시간[[#This Row],[nxt_code]],"고가")</f>
        <v>27300</v>
      </c>
      <c r="Q288" s="4">
        <f>_xll.IMDP("STK",표.실시간[[#This Row],[nxt_code]],"저가")</f>
        <v>20550</v>
      </c>
      <c r="R288">
        <f>_xll.IMDP("STK",표.실시간[[#This Row],[nxt_code]],"세션명")</f>
        <v>0</v>
      </c>
      <c r="S288">
        <f>_xll.IMDP("STK",표.실시간[[#This Row],[nxt_code]],"체결시간")</f>
        <v>0</v>
      </c>
      <c r="T288" s="4">
        <f>_xll.IMDP("STK","281740","현재가")</f>
        <v>20600</v>
      </c>
      <c r="U288">
        <f>_xll.IMDP("STK","281740","누적거래량")</f>
        <v>586466</v>
      </c>
    </row>
    <row r="289" spans="3:21" x14ac:dyDescent="0.3">
      <c r="C289">
        <v>284</v>
      </c>
      <c r="D289">
        <v>229640</v>
      </c>
      <c r="E289" t="s">
        <v>301</v>
      </c>
      <c r="F289" t="str">
        <f>ConvertStockCode(표.실시간[[#This Row],[코드]])</f>
        <v>N229640</v>
      </c>
      <c r="G289" s="4">
        <f>_xll.IMDP("STK",표.실시간[[#This Row],[nxt_code]],"현재가")</f>
        <v>39100</v>
      </c>
      <c r="H289" s="4">
        <f>_xll.IMDP("STK",표.실시간[[#This Row],[nxt_code]],"시가총액")/10^12</f>
        <v>1.1974327688999999</v>
      </c>
      <c r="I289" t="str">
        <f>_xll.IMDP("","","전일대비부호")</f>
        <v>코드오류</v>
      </c>
      <c r="J289" s="5">
        <f>_xll.IMDP("STK",표.실시간[[#This Row],[nxt_code]],"전일대비")</f>
        <v>500</v>
      </c>
      <c r="K289">
        <f>_xll.IMDP("STK",표.실시간[[#This Row],[nxt_code]],"등락률")</f>
        <v>1.3</v>
      </c>
      <c r="L289" s="4">
        <f>_xll.IMDP("STK",표.실시간[[#This Row],[nxt_code]],"누적거래량")</f>
        <v>59572</v>
      </c>
      <c r="M289" s="4">
        <f>_xll.IMDP("STK",표.실시간[[#This Row],[nxt_code]],"누적거래대금")</f>
        <v>2356313450</v>
      </c>
      <c r="N289" s="4">
        <f>_xll.IMDP("STK",표.실시간[[#This Row],[nxt_code]],"가중평균가")</f>
        <v>39554.043007</v>
      </c>
      <c r="O289" s="4">
        <f>_xll.IMDP("STK",표.실시간[[#This Row],[nxt_code]],"시가")</f>
        <v>39100</v>
      </c>
      <c r="P289" s="4">
        <f>_xll.IMDP("STK",표.실시간[[#This Row],[nxt_code]],"고가")</f>
        <v>39950</v>
      </c>
      <c r="Q289" s="4">
        <f>_xll.IMDP("STK",표.실시간[[#This Row],[nxt_code]],"저가")</f>
        <v>39050</v>
      </c>
      <c r="R289">
        <f>_xll.IMDP("STK",표.실시간[[#This Row],[nxt_code]],"세션명")</f>
        <v>0</v>
      </c>
      <c r="S289">
        <f>_xll.IMDP("STK",표.실시간[[#This Row],[nxt_code]],"체결시간")</f>
        <v>0</v>
      </c>
      <c r="T289" s="4">
        <f>_xll.IMDP("STK","229640","현재가")</f>
        <v>39200</v>
      </c>
      <c r="U289">
        <f>_xll.IMDP("STK","229640","누적거래량")</f>
        <v>13581</v>
      </c>
    </row>
    <row r="290" spans="3:21" x14ac:dyDescent="0.3">
      <c r="C290">
        <v>285</v>
      </c>
      <c r="D290">
        <v>185750</v>
      </c>
      <c r="E290" t="s">
        <v>302</v>
      </c>
      <c r="F290" t="str">
        <f>ConvertStockCode(표.실시간[[#This Row],[코드]])</f>
        <v>N185750</v>
      </c>
      <c r="G290" s="4">
        <f>_xll.IMDP("STK",표.실시간[[#This Row],[nxt_code]],"현재가")</f>
        <v>84000</v>
      </c>
      <c r="H290" s="4">
        <f>_xll.IMDP("STK",표.실시간[[#This Row],[nxt_code]],"시가총액")/10^12</f>
        <v>1.1594335200000001</v>
      </c>
      <c r="I290" t="str">
        <f>_xll.IMDP("","","전일대비부호")</f>
        <v>코드오류</v>
      </c>
      <c r="J290" s="5">
        <f>_xll.IMDP("STK",표.실시간[[#This Row],[nxt_code]],"전일대비")</f>
        <v>300</v>
      </c>
      <c r="K290">
        <f>_xll.IMDP("STK",표.실시간[[#This Row],[nxt_code]],"등락률")</f>
        <v>0.36</v>
      </c>
      <c r="L290" s="4">
        <f>_xll.IMDP("STK",표.실시간[[#This Row],[nxt_code]],"누적거래량")</f>
        <v>387</v>
      </c>
      <c r="M290" s="4">
        <f>_xll.IMDP("STK",표.실시간[[#This Row],[nxt_code]],"누적거래대금")</f>
        <v>32477800</v>
      </c>
      <c r="N290" s="4">
        <f>_xll.IMDP("STK",표.실시간[[#This Row],[nxt_code]],"가중평균가")</f>
        <v>83921.963824000006</v>
      </c>
      <c r="O290" s="4">
        <f>_xll.IMDP("STK",표.실시간[[#This Row],[nxt_code]],"시가")</f>
        <v>83700</v>
      </c>
      <c r="P290" s="4">
        <f>_xll.IMDP("STK",표.실시간[[#This Row],[nxt_code]],"고가")</f>
        <v>84200</v>
      </c>
      <c r="Q290" s="4">
        <f>_xll.IMDP("STK",표.실시간[[#This Row],[nxt_code]],"저가")</f>
        <v>83700</v>
      </c>
      <c r="R290">
        <f>_xll.IMDP("STK",표.실시간[[#This Row],[nxt_code]],"세션명")</f>
        <v>0</v>
      </c>
      <c r="S290">
        <f>_xll.IMDP("STK",표.실시간[[#This Row],[nxt_code]],"체결시간")</f>
        <v>0</v>
      </c>
      <c r="T290" s="4">
        <f>_xll.IMDP("STK","185750","현재가")</f>
        <v>84200</v>
      </c>
      <c r="U290">
        <f>_xll.IMDP("STK","185750","누적거래량")</f>
        <v>128</v>
      </c>
    </row>
    <row r="291" spans="3:21" x14ac:dyDescent="0.3">
      <c r="C291">
        <v>286</v>
      </c>
      <c r="D291">
        <v>6120</v>
      </c>
      <c r="E291" t="s">
        <v>303</v>
      </c>
      <c r="F291" t="str">
        <f>ConvertStockCode(표.실시간[[#This Row],[코드]])</f>
        <v>N006120</v>
      </c>
      <c r="G291" s="4">
        <f>_xll.IMDP("STK",표.실시간[[#This Row],[nxt_code]],"현재가")</f>
        <v>62900</v>
      </c>
      <c r="H291" s="4">
        <f>_xll.IMDP("STK",표.실시간[[#This Row],[nxt_code]],"시가총액")/10^12</f>
        <v>1.1540800794999999</v>
      </c>
      <c r="I291" t="str">
        <f>_xll.IMDP("","","전일대비부호")</f>
        <v>코드오류</v>
      </c>
      <c r="J291" s="5">
        <f>_xll.IMDP("STK",표.실시간[[#This Row],[nxt_code]],"전일대비")</f>
        <v>500</v>
      </c>
      <c r="K291">
        <f>_xll.IMDP("STK",표.실시간[[#This Row],[nxt_code]],"등락률")</f>
        <v>0.8</v>
      </c>
      <c r="L291" s="4">
        <f>_xll.IMDP("STK",표.실시간[[#This Row],[nxt_code]],"누적거래량")</f>
        <v>389</v>
      </c>
      <c r="M291" s="4">
        <f>_xll.IMDP("STK",표.실시간[[#This Row],[nxt_code]],"누적거래대금")</f>
        <v>24198500</v>
      </c>
      <c r="N291" s="4">
        <f>_xll.IMDP("STK",표.실시간[[#This Row],[nxt_code]],"가중평균가")</f>
        <v>62206.940874</v>
      </c>
      <c r="O291" s="4">
        <f>_xll.IMDP("STK",표.실시간[[#This Row],[nxt_code]],"시가")</f>
        <v>62400</v>
      </c>
      <c r="P291" s="4">
        <f>_xll.IMDP("STK",표.실시간[[#This Row],[nxt_code]],"고가")</f>
        <v>62900</v>
      </c>
      <c r="Q291" s="4">
        <f>_xll.IMDP("STK",표.실시간[[#This Row],[nxt_code]],"저가")</f>
        <v>62100</v>
      </c>
      <c r="R291">
        <f>_xll.IMDP("STK",표.실시간[[#This Row],[nxt_code]],"세션명")</f>
        <v>0</v>
      </c>
      <c r="S291">
        <f>_xll.IMDP("STK",표.실시간[[#This Row],[nxt_code]],"체결시간")</f>
        <v>0</v>
      </c>
      <c r="T291" s="4">
        <f>_xll.IMDP("STK","006120","현재가")</f>
        <v>63000</v>
      </c>
      <c r="U291">
        <f>_xll.IMDP("STK","006120","누적거래량")</f>
        <v>81</v>
      </c>
    </row>
    <row r="292" spans="3:21" x14ac:dyDescent="0.3">
      <c r="C292">
        <v>287</v>
      </c>
      <c r="D292">
        <v>285130</v>
      </c>
      <c r="E292" t="s">
        <v>304</v>
      </c>
      <c r="F292" t="str">
        <f>ConvertStockCode(표.실시간[[#This Row],[코드]])</f>
        <v>N285130</v>
      </c>
      <c r="G292" s="4">
        <f>_xll.IMDP("STK",표.실시간[[#This Row],[nxt_code]],"현재가")</f>
        <v>67200</v>
      </c>
      <c r="H292" s="4">
        <f>_xll.IMDP("STK",표.실시간[[#This Row],[nxt_code]],"시가총액")/10^12</f>
        <v>1.1624770752</v>
      </c>
      <c r="I292" t="str">
        <f>_xll.IMDP("","","전일대비부호")</f>
        <v>코드오류</v>
      </c>
      <c r="J292" s="5">
        <f>_xll.IMDP("STK",표.실시간[[#This Row],[nxt_code]],"전일대비")</f>
        <v>300</v>
      </c>
      <c r="K292">
        <f>_xll.IMDP("STK",표.실시간[[#This Row],[nxt_code]],"등락률")</f>
        <v>0.45</v>
      </c>
      <c r="L292" s="4">
        <f>_xll.IMDP("STK",표.실시간[[#This Row],[nxt_code]],"누적거래량")</f>
        <v>1771</v>
      </c>
      <c r="M292" s="4">
        <f>_xll.IMDP("STK",표.실시간[[#This Row],[nxt_code]],"누적거래대금")</f>
        <v>119414800</v>
      </c>
      <c r="N292" s="4">
        <f>_xll.IMDP("STK",표.실시간[[#This Row],[nxt_code]],"가중평균가")</f>
        <v>67427.893844999999</v>
      </c>
      <c r="O292" s="4">
        <f>_xll.IMDP("STK",표.실시간[[#This Row],[nxt_code]],"시가")</f>
        <v>67600</v>
      </c>
      <c r="P292" s="4">
        <f>_xll.IMDP("STK",표.실시간[[#This Row],[nxt_code]],"고가")</f>
        <v>67600</v>
      </c>
      <c r="Q292" s="4">
        <f>_xll.IMDP("STK",표.실시간[[#This Row],[nxt_code]],"저가")</f>
        <v>67200</v>
      </c>
      <c r="R292">
        <f>_xll.IMDP("STK",표.실시간[[#This Row],[nxt_code]],"세션명")</f>
        <v>0</v>
      </c>
      <c r="S292">
        <f>_xll.IMDP("STK",표.실시간[[#This Row],[nxt_code]],"체결시간")</f>
        <v>0</v>
      </c>
      <c r="T292" s="4">
        <f>_xll.IMDP("STK","285130","현재가")</f>
        <v>67900</v>
      </c>
      <c r="U292">
        <f>_xll.IMDP("STK","285130","누적거래량")</f>
        <v>570</v>
      </c>
    </row>
    <row r="293" spans="3:21" x14ac:dyDescent="0.3">
      <c r="C293">
        <v>288</v>
      </c>
      <c r="D293">
        <v>397030</v>
      </c>
      <c r="E293" t="s">
        <v>305</v>
      </c>
      <c r="F293" t="str">
        <f>ConvertStockCode(표.실시간[[#This Row],[코드]])</f>
        <v>N397030</v>
      </c>
      <c r="G293" s="4">
        <f>_xll.IMDP("STK",표.실시간[[#This Row],[nxt_code]],"현재가")</f>
        <v>47600</v>
      </c>
      <c r="H293" s="4">
        <f>_xll.IMDP("STK",표.실시간[[#This Row],[nxt_code]],"시가총액")/10^12</f>
        <v>1.1047163176000001</v>
      </c>
      <c r="I293" t="str">
        <f>_xll.IMDP("","","전일대비부호")</f>
        <v>코드오류</v>
      </c>
      <c r="J293" s="5">
        <f>_xll.IMDP("STK",표.실시간[[#This Row],[nxt_code]],"전일대비")</f>
        <v>200</v>
      </c>
      <c r="K293">
        <f>_xll.IMDP("STK",표.실시간[[#This Row],[nxt_code]],"등락률")</f>
        <v>0.21</v>
      </c>
      <c r="L293" s="4">
        <f>_xll.IMDP("STK",표.실시간[[#This Row],[nxt_code]],"누적거래량")</f>
        <v>15913</v>
      </c>
      <c r="M293" s="4">
        <f>_xll.IMDP("STK",표.실시간[[#This Row],[nxt_code]],"누적거래대금")</f>
        <v>759432000</v>
      </c>
      <c r="N293" s="4">
        <f>_xll.IMDP("STK",표.실시간[[#This Row],[nxt_code]],"가중평균가")</f>
        <v>47723.999245999999</v>
      </c>
      <c r="O293" s="4">
        <f>_xll.IMDP("STK",표.실시간[[#This Row],[nxt_code]],"시가")</f>
        <v>47600</v>
      </c>
      <c r="P293" s="4">
        <f>_xll.IMDP("STK",표.실시간[[#This Row],[nxt_code]],"고가")</f>
        <v>47950</v>
      </c>
      <c r="Q293" s="4">
        <f>_xll.IMDP("STK",표.실시간[[#This Row],[nxt_code]],"저가")</f>
        <v>47350</v>
      </c>
      <c r="R293">
        <f>_xll.IMDP("STK",표.실시간[[#This Row],[nxt_code]],"세션명")</f>
        <v>0</v>
      </c>
      <c r="S293">
        <f>_xll.IMDP("STK",표.실시간[[#This Row],[nxt_code]],"체결시간")</f>
        <v>0</v>
      </c>
      <c r="T293" s="4">
        <f>_xll.IMDP("STK","397030","현재가")</f>
        <v>47700</v>
      </c>
      <c r="U293">
        <f>_xll.IMDP("STK","397030","누적거래량")</f>
        <v>3087</v>
      </c>
    </row>
    <row r="294" spans="3:21" x14ac:dyDescent="0.3">
      <c r="C294">
        <v>289</v>
      </c>
      <c r="D294">
        <v>204270</v>
      </c>
      <c r="E294" t="s">
        <v>306</v>
      </c>
      <c r="F294" t="str">
        <f>ConvertStockCode(표.실시간[[#This Row],[코드]])</f>
        <v>N204270</v>
      </c>
      <c r="G294" s="4">
        <f>_xll.IMDP("STK",표.실시간[[#This Row],[nxt_code]],"현재가")</f>
        <v>20350</v>
      </c>
      <c r="H294" s="4">
        <f>_xll.IMDP("STK",표.실시간[[#This Row],[nxt_code]],"시가총액")/10^12</f>
        <v>1.1772162830999999</v>
      </c>
      <c r="I294" t="str">
        <f>_xll.IMDP("","","전일대비부호")</f>
        <v>코드오류</v>
      </c>
      <c r="J294" s="5">
        <f>_xll.IMDP("STK",표.실시간[[#This Row],[nxt_code]],"전일대비")</f>
        <v>-250</v>
      </c>
      <c r="K294">
        <f>_xll.IMDP("STK",표.실시간[[#This Row],[nxt_code]],"등락률")</f>
        <v>-1.21</v>
      </c>
      <c r="L294" s="4">
        <f>_xll.IMDP("STK",표.실시간[[#This Row],[nxt_code]],"누적거래량")</f>
        <v>74832</v>
      </c>
      <c r="M294" s="4">
        <f>_xll.IMDP("STK",표.실시간[[#This Row],[nxt_code]],"누적거래대금")</f>
        <v>1542300500</v>
      </c>
      <c r="N294" s="4">
        <f>_xll.IMDP("STK",표.실시간[[#This Row],[nxt_code]],"가중평균가")</f>
        <v>20610.173455</v>
      </c>
      <c r="O294" s="4">
        <f>_xll.IMDP("STK",표.실시간[[#This Row],[nxt_code]],"시가")</f>
        <v>20650</v>
      </c>
      <c r="P294" s="4">
        <f>_xll.IMDP("STK",표.실시간[[#This Row],[nxt_code]],"고가")</f>
        <v>21250</v>
      </c>
      <c r="Q294" s="4">
        <f>_xll.IMDP("STK",표.실시간[[#This Row],[nxt_code]],"저가")</f>
        <v>20200</v>
      </c>
      <c r="R294">
        <f>_xll.IMDP("STK",표.실시간[[#This Row],[nxt_code]],"세션명")</f>
        <v>0</v>
      </c>
      <c r="S294">
        <f>_xll.IMDP("STK",표.실시간[[#This Row],[nxt_code]],"체결시간")</f>
        <v>0</v>
      </c>
      <c r="T294" s="4">
        <f>_xll.IMDP("STK","204270","현재가")</f>
        <v>20500</v>
      </c>
      <c r="U294">
        <f>_xll.IMDP("STK","204270","누적거래량")</f>
        <v>14852</v>
      </c>
    </row>
    <row r="295" spans="3:21" x14ac:dyDescent="0.3">
      <c r="C295">
        <v>290</v>
      </c>
      <c r="D295">
        <v>328130</v>
      </c>
      <c r="E295" t="s">
        <v>307</v>
      </c>
      <c r="F295" t="str">
        <f>ConvertStockCode(표.실시간[[#This Row],[코드]])</f>
        <v>N328130</v>
      </c>
      <c r="G295" s="4">
        <f>_xll.IMDP("STK",표.실시간[[#This Row],[nxt_code]],"현재가")</f>
        <v>37800</v>
      </c>
      <c r="H295" s="4">
        <f>_xll.IMDP("STK",표.실시간[[#This Row],[nxt_code]],"시가총액")/10^12</f>
        <v>1.1059049988</v>
      </c>
      <c r="I295" t="str">
        <f>_xll.IMDP("","","전일대비부호")</f>
        <v>코드오류</v>
      </c>
      <c r="J295" s="5">
        <f>_xll.IMDP("STK",표.실시간[[#This Row],[nxt_code]],"전일대비")</f>
        <v>0</v>
      </c>
      <c r="K295">
        <f>_xll.IMDP("STK",표.실시간[[#This Row],[nxt_code]],"등락률")</f>
        <v>0</v>
      </c>
      <c r="L295" s="4">
        <f>_xll.IMDP("STK",표.실시간[[#This Row],[nxt_code]],"누적거래량")</f>
        <v>16794</v>
      </c>
      <c r="M295" s="4">
        <f>_xll.IMDP("STK",표.실시간[[#This Row],[nxt_code]],"누적거래대금")</f>
        <v>635476350</v>
      </c>
      <c r="N295" s="4">
        <f>_xll.IMDP("STK",표.실시간[[#This Row],[nxt_code]],"가중평균가")</f>
        <v>37839.487316999999</v>
      </c>
      <c r="O295" s="4">
        <f>_xll.IMDP("STK",표.실시간[[#This Row],[nxt_code]],"시가")</f>
        <v>37800</v>
      </c>
      <c r="P295" s="4">
        <f>_xll.IMDP("STK",표.실시간[[#This Row],[nxt_code]],"고가")</f>
        <v>38000</v>
      </c>
      <c r="Q295" s="4">
        <f>_xll.IMDP("STK",표.실시간[[#This Row],[nxt_code]],"저가")</f>
        <v>37700</v>
      </c>
      <c r="R295">
        <f>_xll.IMDP("STK",표.실시간[[#This Row],[nxt_code]],"세션명")</f>
        <v>0</v>
      </c>
      <c r="S295">
        <f>_xll.IMDP("STK",표.실시간[[#This Row],[nxt_code]],"체결시간")</f>
        <v>0</v>
      </c>
      <c r="T295" s="4">
        <f>_xll.IMDP("STK","328130","현재가")</f>
        <v>37850</v>
      </c>
      <c r="U295">
        <f>_xll.IMDP("STK","328130","누적거래량")</f>
        <v>3165</v>
      </c>
    </row>
    <row r="296" spans="3:21" x14ac:dyDescent="0.3">
      <c r="C296">
        <v>291</v>
      </c>
      <c r="D296">
        <v>75580</v>
      </c>
      <c r="E296" t="s">
        <v>308</v>
      </c>
      <c r="F296" t="str">
        <f>ConvertStockCode(표.실시간[[#This Row],[코드]])</f>
        <v>N075580</v>
      </c>
      <c r="G296" s="4">
        <f>_xll.IMDP("STK",표.실시간[[#This Row],[nxt_code]],"현재가")</f>
        <v>19220</v>
      </c>
      <c r="H296" s="4">
        <f>_xll.IMDP("STK",표.실시간[[#This Row],[nxt_code]],"시가총액")/10^12</f>
        <v>1.09264654432</v>
      </c>
      <c r="I296" t="str">
        <f>_xll.IMDP("","","전일대비부호")</f>
        <v>코드오류</v>
      </c>
      <c r="J296" s="5">
        <f>_xll.IMDP("STK",표.실시간[[#This Row],[nxt_code]],"전일대비")</f>
        <v>350</v>
      </c>
      <c r="K296">
        <f>_xll.IMDP("STK",표.실시간[[#This Row],[nxt_code]],"등락률")</f>
        <v>1.8</v>
      </c>
      <c r="L296" s="4">
        <f>_xll.IMDP("STK",표.실시간[[#This Row],[nxt_code]],"누적거래량")</f>
        <v>51569</v>
      </c>
      <c r="M296" s="4">
        <f>_xll.IMDP("STK",표.실시간[[#This Row],[nxt_code]],"누적거래대금")</f>
        <v>984665390</v>
      </c>
      <c r="N296" s="4">
        <f>_xll.IMDP("STK",표.실시간[[#This Row],[nxt_code]],"가중평균가")</f>
        <v>19094.104583</v>
      </c>
      <c r="O296" s="4">
        <f>_xll.IMDP("STK",표.실시간[[#This Row],[nxt_code]],"시가")</f>
        <v>18950</v>
      </c>
      <c r="P296" s="4">
        <f>_xll.IMDP("STK",표.실시간[[#This Row],[nxt_code]],"고가")</f>
        <v>19350</v>
      </c>
      <c r="Q296" s="4">
        <f>_xll.IMDP("STK",표.실시간[[#This Row],[nxt_code]],"저가")</f>
        <v>18880</v>
      </c>
      <c r="R296">
        <f>_xll.IMDP("STK",표.실시간[[#This Row],[nxt_code]],"세션명")</f>
        <v>0</v>
      </c>
      <c r="S296">
        <f>_xll.IMDP("STK",표.실시간[[#This Row],[nxt_code]],"체결시간")</f>
        <v>0</v>
      </c>
      <c r="T296" s="4">
        <f>_xll.IMDP("STK","075580","현재가")</f>
        <v>19230</v>
      </c>
      <c r="U296">
        <f>_xll.IMDP("STK","075580","누적거래량")</f>
        <v>15341</v>
      </c>
    </row>
    <row r="297" spans="3:21" x14ac:dyDescent="0.3">
      <c r="C297">
        <v>292</v>
      </c>
      <c r="D297">
        <v>89860</v>
      </c>
      <c r="E297" t="s">
        <v>309</v>
      </c>
      <c r="F297" t="str">
        <f>ConvertStockCode(표.실시간[[#This Row],[코드]])</f>
        <v>N089860</v>
      </c>
      <c r="G297" s="4">
        <f>_xll.IMDP("STK",표.실시간[[#This Row],[nxt_code]],"현재가")</f>
        <v>30600</v>
      </c>
      <c r="H297" s="4">
        <f>_xll.IMDP("STK",표.실시간[[#This Row],[nxt_code]],"시가총액")/10^12</f>
        <v>1.1110672727999999</v>
      </c>
      <c r="I297" t="str">
        <f>_xll.IMDP("","","전일대비부호")</f>
        <v>코드오류</v>
      </c>
      <c r="J297" s="5">
        <f>_xll.IMDP("STK",표.실시간[[#This Row],[nxt_code]],"전일대비")</f>
        <v>0</v>
      </c>
      <c r="K297">
        <f>_xll.IMDP("STK",표.실시간[[#This Row],[nxt_code]],"등락률")</f>
        <v>0</v>
      </c>
      <c r="L297" s="4">
        <f>_xll.IMDP("STK",표.실시간[[#This Row],[nxt_code]],"누적거래량")</f>
        <v>580</v>
      </c>
      <c r="M297" s="4">
        <f>_xll.IMDP("STK",표.실시간[[#This Row],[nxt_code]],"누적거래대금")</f>
        <v>17734950</v>
      </c>
      <c r="N297" s="4">
        <f>_xll.IMDP("STK",표.실시간[[#This Row],[nxt_code]],"가중평균가")</f>
        <v>30577.5</v>
      </c>
      <c r="O297" s="4">
        <f>_xll.IMDP("STK",표.실시간[[#This Row],[nxt_code]],"시가")</f>
        <v>30550</v>
      </c>
      <c r="P297" s="4">
        <f>_xll.IMDP("STK",표.실시간[[#This Row],[nxt_code]],"고가")</f>
        <v>30600</v>
      </c>
      <c r="Q297" s="4">
        <f>_xll.IMDP("STK",표.실시간[[#This Row],[nxt_code]],"저가")</f>
        <v>30450</v>
      </c>
      <c r="R297">
        <f>_xll.IMDP("STK",표.실시간[[#This Row],[nxt_code]],"세션명")</f>
        <v>0</v>
      </c>
      <c r="S297">
        <f>_xll.IMDP("STK",표.실시간[[#This Row],[nxt_code]],"체결시간")</f>
        <v>0</v>
      </c>
      <c r="T297" s="4">
        <f>_xll.IMDP("STK","089860","현재가")</f>
        <v>30350</v>
      </c>
      <c r="U297">
        <f>_xll.IMDP("STK","089860","누적거래량")</f>
        <v>156</v>
      </c>
    </row>
    <row r="298" spans="3:21" x14ac:dyDescent="0.3">
      <c r="C298">
        <v>293</v>
      </c>
      <c r="D298">
        <v>192080</v>
      </c>
      <c r="E298" t="s">
        <v>310</v>
      </c>
      <c r="F298" t="str">
        <f>ConvertStockCode(표.실시간[[#This Row],[코드]])</f>
        <v>N192080</v>
      </c>
      <c r="G298" s="4">
        <f>_xll.IMDP("STK",표.실시간[[#This Row],[nxt_code]],"현재가")</f>
        <v>51100</v>
      </c>
      <c r="H298" s="4">
        <f>_xll.IMDP("STK",표.실시간[[#This Row],[nxt_code]],"시가총액")/10^12</f>
        <v>1.0984407966</v>
      </c>
      <c r="I298" t="str">
        <f>_xll.IMDP("","","전일대비부호")</f>
        <v>코드오류</v>
      </c>
      <c r="J298" s="5">
        <f>_xll.IMDP("STK",표.실시간[[#This Row],[nxt_code]],"전일대비")</f>
        <v>200</v>
      </c>
      <c r="K298">
        <f>_xll.IMDP("STK",표.실시간[[#This Row],[nxt_code]],"등락률")</f>
        <v>0.39</v>
      </c>
      <c r="L298" s="4">
        <f>_xll.IMDP("STK",표.실시간[[#This Row],[nxt_code]],"누적거래량")</f>
        <v>2941</v>
      </c>
      <c r="M298" s="4">
        <f>_xll.IMDP("STK",표.실시간[[#This Row],[nxt_code]],"누적거래대금")</f>
        <v>150853500</v>
      </c>
      <c r="N298" s="4">
        <f>_xll.IMDP("STK",표.실시간[[#This Row],[nxt_code]],"가중평균가")</f>
        <v>51293.267595999998</v>
      </c>
      <c r="O298" s="4">
        <f>_xll.IMDP("STK",표.실시간[[#This Row],[nxt_code]],"시가")</f>
        <v>51400</v>
      </c>
      <c r="P298" s="4">
        <f>_xll.IMDP("STK",표.실시간[[#This Row],[nxt_code]],"고가")</f>
        <v>51600</v>
      </c>
      <c r="Q298" s="4">
        <f>_xll.IMDP("STK",표.실시간[[#This Row],[nxt_code]],"저가")</f>
        <v>51100</v>
      </c>
      <c r="R298">
        <f>_xll.IMDP("STK",표.실시간[[#This Row],[nxt_code]],"세션명")</f>
        <v>0</v>
      </c>
      <c r="S298">
        <f>_xll.IMDP("STK",표.실시간[[#This Row],[nxt_code]],"체결시간")</f>
        <v>0</v>
      </c>
      <c r="T298" s="4">
        <f>_xll.IMDP("STK","192080","현재가")</f>
        <v>51000</v>
      </c>
      <c r="U298">
        <f>_xll.IMDP("STK","192080","누적거래량")</f>
        <v>708</v>
      </c>
    </row>
    <row r="299" spans="3:21" x14ac:dyDescent="0.3">
      <c r="C299">
        <v>294</v>
      </c>
      <c r="D299">
        <v>64960</v>
      </c>
      <c r="E299" t="s">
        <v>311</v>
      </c>
      <c r="F299" t="str">
        <f>ConvertStockCode(표.실시간[[#This Row],[코드]])</f>
        <v>N064960</v>
      </c>
      <c r="G299" s="4">
        <f>_xll.IMDP("STK",표.실시간[[#This Row],[nxt_code]],"현재가")</f>
        <v>39100</v>
      </c>
      <c r="H299" s="4">
        <f>_xll.IMDP("STK",표.실시간[[#This Row],[nxt_code]],"시가총액")/10^12</f>
        <v>1.0377246352</v>
      </c>
      <c r="I299" t="str">
        <f>_xll.IMDP("","","전일대비부호")</f>
        <v>코드오류</v>
      </c>
      <c r="J299" s="5">
        <f>_xll.IMDP("STK",표.실시간[[#This Row],[nxt_code]],"전일대비")</f>
        <v>1100</v>
      </c>
      <c r="K299">
        <f>_xll.IMDP("STK",표.실시간[[#This Row],[nxt_code]],"등락률")</f>
        <v>2.76</v>
      </c>
      <c r="L299" s="4">
        <f>_xll.IMDP("STK",표.실시간[[#This Row],[nxt_code]],"누적거래량")</f>
        <v>134266</v>
      </c>
      <c r="M299" s="4">
        <f>_xll.IMDP("STK",표.실시간[[#This Row],[nxt_code]],"누적거래대금")</f>
        <v>5374506750</v>
      </c>
      <c r="N299" s="4">
        <f>_xll.IMDP("STK",표.실시간[[#This Row],[nxt_code]],"가중평균가")</f>
        <v>40028.799175</v>
      </c>
      <c r="O299" s="4">
        <f>_xll.IMDP("STK",표.실시간[[#This Row],[nxt_code]],"시가")</f>
        <v>40000</v>
      </c>
      <c r="P299" s="4">
        <f>_xll.IMDP("STK",표.실시간[[#This Row],[nxt_code]],"고가")</f>
        <v>41100</v>
      </c>
      <c r="Q299" s="4">
        <f>_xll.IMDP("STK",표.실시간[[#This Row],[nxt_code]],"저가")</f>
        <v>38600</v>
      </c>
      <c r="R299">
        <f>_xll.IMDP("STK",표.실시간[[#This Row],[nxt_code]],"세션명")</f>
        <v>0</v>
      </c>
      <c r="S299">
        <f>_xll.IMDP("STK",표.실시간[[#This Row],[nxt_code]],"체결시간")</f>
        <v>0</v>
      </c>
      <c r="T299" s="4">
        <f>_xll.IMDP("STK","064960","현재가")</f>
        <v>39050</v>
      </c>
      <c r="U299">
        <f>_xll.IMDP("STK","064960","누적거래량")</f>
        <v>10485</v>
      </c>
    </row>
    <row r="300" spans="3:21" x14ac:dyDescent="0.3">
      <c r="C300">
        <v>295</v>
      </c>
      <c r="D300">
        <v>166090</v>
      </c>
      <c r="E300" t="s">
        <v>312</v>
      </c>
      <c r="F300" t="str">
        <f>ConvertStockCode(표.실시간[[#This Row],[코드]])</f>
        <v>N166090</v>
      </c>
      <c r="G300" s="4">
        <f>_xll.IMDP("STK",표.실시간[[#This Row],[nxt_code]],"현재가")</f>
        <v>52900</v>
      </c>
      <c r="H300" s="4">
        <f>_xll.IMDP("STK",표.실시간[[#This Row],[nxt_code]],"시가총액")/10^12</f>
        <v>1.0462389545999999</v>
      </c>
      <c r="I300" t="str">
        <f>_xll.IMDP("","","전일대비부호")</f>
        <v>코드오류</v>
      </c>
      <c r="J300" s="5">
        <f>_xll.IMDP("STK",표.실시간[[#This Row],[nxt_code]],"전일대비")</f>
        <v>-500</v>
      </c>
      <c r="K300">
        <f>_xll.IMDP("STK",표.실시간[[#This Row],[nxt_code]],"등락률")</f>
        <v>-0.94</v>
      </c>
      <c r="L300" s="4">
        <f>_xll.IMDP("STK",표.실시간[[#This Row],[nxt_code]],"누적거래량")</f>
        <v>21065</v>
      </c>
      <c r="M300" s="4">
        <f>_xll.IMDP("STK",표.실시간[[#This Row],[nxt_code]],"누적거래대금")</f>
        <v>1135983250</v>
      </c>
      <c r="N300" s="4">
        <f>_xll.IMDP("STK",표.실시간[[#This Row],[nxt_code]],"가중평균가")</f>
        <v>53927.521955999997</v>
      </c>
      <c r="O300" s="4">
        <f>_xll.IMDP("STK",표.실시간[[#This Row],[nxt_code]],"시가")</f>
        <v>54400</v>
      </c>
      <c r="P300" s="4">
        <f>_xll.IMDP("STK",표.실시간[[#This Row],[nxt_code]],"고가")</f>
        <v>54400</v>
      </c>
      <c r="Q300" s="4">
        <f>_xll.IMDP("STK",표.실시간[[#This Row],[nxt_code]],"저가")</f>
        <v>52900</v>
      </c>
      <c r="R300">
        <f>_xll.IMDP("STK",표.실시간[[#This Row],[nxt_code]],"세션명")</f>
        <v>0</v>
      </c>
      <c r="S300">
        <f>_xll.IMDP("STK",표.실시간[[#This Row],[nxt_code]],"체결시간")</f>
        <v>0</v>
      </c>
      <c r="T300" s="4">
        <f>_xll.IMDP("STK","166090","현재가")</f>
        <v>52900</v>
      </c>
      <c r="U300">
        <f>_xll.IMDP("STK","166090","누적거래량")</f>
        <v>3152</v>
      </c>
    </row>
    <row r="301" spans="3:21" x14ac:dyDescent="0.3">
      <c r="C301">
        <v>296</v>
      </c>
      <c r="D301">
        <v>9240</v>
      </c>
      <c r="E301" t="s">
        <v>313</v>
      </c>
      <c r="F301" t="str">
        <f>ConvertStockCode(표.실시간[[#This Row],[코드]])</f>
        <v>N009240</v>
      </c>
      <c r="G301" s="4">
        <f>_xll.IMDP("STK",표.실시간[[#This Row],[nxt_code]],"현재가")</f>
        <v>44250</v>
      </c>
      <c r="H301" s="4">
        <f>_xll.IMDP("STK",표.실시간[[#This Row],[nxt_code]],"시가총액")/10^12</f>
        <v>1.0413763140000001</v>
      </c>
      <c r="I301" t="str">
        <f>_xll.IMDP("","","전일대비부호")</f>
        <v>코드오류</v>
      </c>
      <c r="J301" s="5">
        <f>_xll.IMDP("STK",표.실시간[[#This Row],[nxt_code]],"전일대비")</f>
        <v>150</v>
      </c>
      <c r="K301">
        <f>_xll.IMDP("STK",표.실시간[[#This Row],[nxt_code]],"등락률")</f>
        <v>0.34</v>
      </c>
      <c r="L301" s="4">
        <f>_xll.IMDP("STK",표.실시간[[#This Row],[nxt_code]],"누적거래량")</f>
        <v>977</v>
      </c>
      <c r="M301" s="4">
        <f>_xll.IMDP("STK",표.실시간[[#This Row],[nxt_code]],"누적거래대금")</f>
        <v>43207600</v>
      </c>
      <c r="N301" s="4">
        <f>_xll.IMDP("STK",표.실시간[[#This Row],[nxt_code]],"가중평균가")</f>
        <v>44224.769702999998</v>
      </c>
      <c r="O301" s="4">
        <f>_xll.IMDP("STK",표.실시간[[#This Row],[nxt_code]],"시가")</f>
        <v>44400</v>
      </c>
      <c r="P301" s="4">
        <f>_xll.IMDP("STK",표.실시간[[#This Row],[nxt_code]],"고가")</f>
        <v>44400</v>
      </c>
      <c r="Q301" s="4">
        <f>_xll.IMDP("STK",표.실시간[[#This Row],[nxt_code]],"저가")</f>
        <v>44100</v>
      </c>
      <c r="R301">
        <f>_xll.IMDP("STK",표.실시간[[#This Row],[nxt_code]],"세션명")</f>
        <v>0</v>
      </c>
      <c r="S301">
        <f>_xll.IMDP("STK",표.실시간[[#This Row],[nxt_code]],"체결시간")</f>
        <v>0</v>
      </c>
      <c r="T301" s="4">
        <f>_xll.IMDP("STK","009240","현재가")</f>
        <v>44300</v>
      </c>
      <c r="U301">
        <f>_xll.IMDP("STK","009240","누적거래량")</f>
        <v>1003</v>
      </c>
    </row>
    <row r="302" spans="3:21" x14ac:dyDescent="0.3">
      <c r="C302">
        <v>297</v>
      </c>
      <c r="D302">
        <v>388210</v>
      </c>
      <c r="E302" t="s">
        <v>314</v>
      </c>
      <c r="F302" t="str">
        <f>ConvertStockCode(표.실시간[[#This Row],[코드]])</f>
        <v>N388210</v>
      </c>
      <c r="G302" s="4">
        <f>_xll.IMDP("STK",표.실시간[[#This Row],[nxt_code]],"현재가")</f>
        <v>104500</v>
      </c>
      <c r="H302" s="4">
        <f>_xll.IMDP("STK",표.실시간[[#This Row],[nxt_code]],"시가총액")/10^12</f>
        <v>0.96806862719999998</v>
      </c>
      <c r="I302" t="str">
        <f>_xll.IMDP("","","전일대비부호")</f>
        <v>코드오류</v>
      </c>
      <c r="J302" s="5">
        <f>_xll.IMDP("STK",표.실시간[[#This Row],[nxt_code]],"전일대비")</f>
        <v>-1600</v>
      </c>
      <c r="K302">
        <f>_xll.IMDP("STK",표.실시간[[#This Row],[nxt_code]],"등락률")</f>
        <v>-1.42</v>
      </c>
      <c r="L302" s="4">
        <f>_xll.IMDP("STK",표.실시간[[#This Row],[nxt_code]],"누적거래량")</f>
        <v>9793</v>
      </c>
      <c r="M302" s="4">
        <f>_xll.IMDP("STK",표.실시간[[#This Row],[nxt_code]],"누적거래대금")</f>
        <v>1045849700</v>
      </c>
      <c r="N302" s="4">
        <f>_xll.IMDP("STK",표.실시간[[#This Row],[nxt_code]],"가중평균가")</f>
        <v>106795.63974300001</v>
      </c>
      <c r="O302" s="4">
        <f>_xll.IMDP("STK",표.실시간[[#This Row],[nxt_code]],"시가")</f>
        <v>105900</v>
      </c>
      <c r="P302" s="4">
        <f>_xll.IMDP("STK",표.실시간[[#This Row],[nxt_code]],"고가")</f>
        <v>108500</v>
      </c>
      <c r="Q302" s="4">
        <f>_xll.IMDP("STK",표.실시간[[#This Row],[nxt_code]],"저가")</f>
        <v>104400</v>
      </c>
      <c r="R302">
        <f>_xll.IMDP("STK",표.실시간[[#This Row],[nxt_code]],"세션명")</f>
        <v>0</v>
      </c>
      <c r="S302">
        <f>_xll.IMDP("STK",표.실시간[[#This Row],[nxt_code]],"체결시간")</f>
        <v>0</v>
      </c>
      <c r="T302" s="4">
        <f>_xll.IMDP("STK","388210","현재가")</f>
        <v>104400</v>
      </c>
      <c r="U302">
        <f>_xll.IMDP("STK","388210","누적거래량")</f>
        <v>3903</v>
      </c>
    </row>
    <row r="303" spans="3:21" x14ac:dyDescent="0.3">
      <c r="C303">
        <v>298</v>
      </c>
      <c r="D303">
        <v>183300</v>
      </c>
      <c r="E303" t="s">
        <v>315</v>
      </c>
      <c r="F303" t="str">
        <f>ConvertStockCode(표.실시간[[#This Row],[코드]])</f>
        <v>N183300</v>
      </c>
      <c r="G303" s="4">
        <f>_xll.IMDP("STK",표.실시간[[#This Row],[nxt_code]],"현재가")</f>
        <v>97000</v>
      </c>
      <c r="H303" s="4">
        <f>_xll.IMDP("STK",표.실시간[[#This Row],[nxt_code]],"시가총액")/10^12</f>
        <v>1.0146863479999999</v>
      </c>
      <c r="I303" t="str">
        <f>_xll.IMDP("","","전일대비부호")</f>
        <v>코드오류</v>
      </c>
      <c r="J303" s="5">
        <f>_xll.IMDP("STK",표.실시간[[#This Row],[nxt_code]],"전일대비")</f>
        <v>-800</v>
      </c>
      <c r="K303">
        <f>_xll.IMDP("STK",표.실시간[[#This Row],[nxt_code]],"등락률")</f>
        <v>-0.82</v>
      </c>
      <c r="L303" s="4">
        <f>_xll.IMDP("STK",표.실시간[[#This Row],[nxt_code]],"누적거래량")</f>
        <v>5735</v>
      </c>
      <c r="M303" s="4">
        <f>_xll.IMDP("STK",표.실시간[[#This Row],[nxt_code]],"누적거래대금")</f>
        <v>562718900</v>
      </c>
      <c r="N303" s="4">
        <f>_xll.IMDP("STK",표.실시간[[#This Row],[nxt_code]],"가중평균가")</f>
        <v>98120.122057999994</v>
      </c>
      <c r="O303" s="4">
        <f>_xll.IMDP("STK",표.실시간[[#This Row],[nxt_code]],"시가")</f>
        <v>98700</v>
      </c>
      <c r="P303" s="4">
        <f>_xll.IMDP("STK",표.실시간[[#This Row],[nxt_code]],"고가")</f>
        <v>99900</v>
      </c>
      <c r="Q303" s="4">
        <f>_xll.IMDP("STK",표.실시간[[#This Row],[nxt_code]],"저가")</f>
        <v>97000</v>
      </c>
      <c r="R303">
        <f>_xll.IMDP("STK",표.실시간[[#This Row],[nxt_code]],"세션명")</f>
        <v>0</v>
      </c>
      <c r="S303">
        <f>_xll.IMDP("STK",표.실시간[[#This Row],[nxt_code]],"체결시간")</f>
        <v>0</v>
      </c>
      <c r="T303" s="4">
        <f>_xll.IMDP("STK","183300","현재가")</f>
        <v>97100</v>
      </c>
      <c r="U303">
        <f>_xll.IMDP("STK","183300","누적거래량")</f>
        <v>2295</v>
      </c>
    </row>
    <row r="304" spans="3:21" x14ac:dyDescent="0.3">
      <c r="C304">
        <v>299</v>
      </c>
      <c r="D304">
        <v>80220</v>
      </c>
      <c r="E304" t="s">
        <v>316</v>
      </c>
      <c r="F304" t="str">
        <f>ConvertStockCode(표.실시간[[#This Row],[코드]])</f>
        <v>N080220</v>
      </c>
      <c r="G304" s="4">
        <f>_xll.IMDP("STK",표.실시간[[#This Row],[nxt_code]],"현재가")</f>
        <v>29750</v>
      </c>
      <c r="H304" s="4">
        <f>_xll.IMDP("STK",표.실시간[[#This Row],[nxt_code]],"시가총액")/10^12</f>
        <v>1.0246742817500001</v>
      </c>
      <c r="I304" t="str">
        <f>_xll.IMDP("","","전일대비부호")</f>
        <v>코드오류</v>
      </c>
      <c r="J304" s="5">
        <f>_xll.IMDP("STK",표.실시간[[#This Row],[nxt_code]],"전일대비")</f>
        <v>450</v>
      </c>
      <c r="K304">
        <f>_xll.IMDP("STK",표.실시간[[#This Row],[nxt_code]],"등락률")</f>
        <v>1.71</v>
      </c>
      <c r="L304" s="4">
        <f>_xll.IMDP("STK",표.실시간[[#This Row],[nxt_code]],"누적거래량")</f>
        <v>311854</v>
      </c>
      <c r="M304" s="4">
        <f>_xll.IMDP("STK",표.실시간[[#This Row],[nxt_code]],"누적거래대금")</f>
        <v>9366357850</v>
      </c>
      <c r="N304" s="4">
        <f>_xll.IMDP("STK",표.실시간[[#This Row],[nxt_code]],"가중평균가")</f>
        <v>30041.110102999999</v>
      </c>
      <c r="O304" s="4">
        <f>_xll.IMDP("STK",표.실시간[[#This Row],[nxt_code]],"시가")</f>
        <v>29650</v>
      </c>
      <c r="P304" s="4">
        <f>_xll.IMDP("STK",표.실시간[[#This Row],[nxt_code]],"고가")</f>
        <v>30350</v>
      </c>
      <c r="Q304" s="4">
        <f>_xll.IMDP("STK",표.실시간[[#This Row],[nxt_code]],"저가")</f>
        <v>29550</v>
      </c>
      <c r="R304">
        <f>_xll.IMDP("STK",표.실시간[[#This Row],[nxt_code]],"세션명")</f>
        <v>0</v>
      </c>
      <c r="S304">
        <f>_xll.IMDP("STK",표.실시간[[#This Row],[nxt_code]],"체결시간")</f>
        <v>0</v>
      </c>
      <c r="T304" s="4">
        <f>_xll.IMDP("STK","080220","현재가")</f>
        <v>29700</v>
      </c>
      <c r="U304">
        <f>_xll.IMDP("STK","080220","누적거래량")</f>
        <v>35023</v>
      </c>
    </row>
    <row r="305" spans="3:21" x14ac:dyDescent="0.3">
      <c r="C305">
        <v>300</v>
      </c>
      <c r="D305">
        <v>295310</v>
      </c>
      <c r="E305" t="s">
        <v>317</v>
      </c>
      <c r="F305" t="str">
        <f>ConvertStockCode(표.실시간[[#This Row],[코드]])</f>
        <v>N295310</v>
      </c>
      <c r="G305" s="4">
        <f>_xll.IMDP("STK",표.실시간[[#This Row],[nxt_code]],"현재가")</f>
        <v>87500</v>
      </c>
      <c r="H305" s="4">
        <f>_xll.IMDP("STK",표.실시간[[#This Row],[nxt_code]],"시가총액")/10^12</f>
        <v>1.0414189625000001</v>
      </c>
      <c r="I305" t="str">
        <f>_xll.IMDP("","","전일대비부호")</f>
        <v>코드오류</v>
      </c>
      <c r="J305" s="5">
        <f>_xll.IMDP("STK",표.실시간[[#This Row],[nxt_code]],"전일대비")</f>
        <v>4200</v>
      </c>
      <c r="K305">
        <f>_xll.IMDP("STK",표.실시간[[#This Row],[nxt_code]],"등락률")</f>
        <v>5.04</v>
      </c>
      <c r="L305" s="4">
        <f>_xll.IMDP("STK",표.실시간[[#This Row],[nxt_code]],"누적거래량")</f>
        <v>91759</v>
      </c>
      <c r="M305" s="4">
        <f>_xll.IMDP("STK",표.실시간[[#This Row],[nxt_code]],"누적거래대금")</f>
        <v>7922489100</v>
      </c>
      <c r="N305" s="4">
        <f>_xll.IMDP("STK",표.실시간[[#This Row],[nxt_code]],"가중평균가")</f>
        <v>86340.185704000003</v>
      </c>
      <c r="O305" s="4">
        <f>_xll.IMDP("STK",표.실시간[[#This Row],[nxt_code]],"시가")</f>
        <v>85000</v>
      </c>
      <c r="P305" s="4">
        <f>_xll.IMDP("STK",표.실시간[[#This Row],[nxt_code]],"고가")</f>
        <v>88000</v>
      </c>
      <c r="Q305" s="4">
        <f>_xll.IMDP("STK",표.실시간[[#This Row],[nxt_code]],"저가")</f>
        <v>83800</v>
      </c>
      <c r="R305">
        <f>_xll.IMDP("STK",표.실시간[[#This Row],[nxt_code]],"세션명")</f>
        <v>0</v>
      </c>
      <c r="S305">
        <f>_xll.IMDP("STK",표.실시간[[#This Row],[nxt_code]],"체결시간")</f>
        <v>0</v>
      </c>
      <c r="T305" s="4">
        <f>_xll.IMDP("STK","295310","현재가")</f>
        <v>87400</v>
      </c>
      <c r="U305">
        <f>_xll.IMDP("STK","295310","누적거래량")</f>
        <v>14105</v>
      </c>
    </row>
    <row r="306" spans="3:21" x14ac:dyDescent="0.3">
      <c r="C306">
        <v>301</v>
      </c>
      <c r="D306">
        <v>6650</v>
      </c>
      <c r="E306" t="s">
        <v>318</v>
      </c>
      <c r="F306" t="str">
        <f>ConvertStockCode(표.실시간[[#This Row],[코드]])</f>
        <v>N006650</v>
      </c>
      <c r="G306" s="4">
        <f>_xll.IMDP("STK",표.실시간[[#This Row],[nxt_code]],"현재가")</f>
        <v>160200</v>
      </c>
      <c r="H306" s="4">
        <f>_xll.IMDP("STK",표.실시간[[#This Row],[nxt_code]],"시가총액")/10^12</f>
        <v>1.0445500000000001</v>
      </c>
      <c r="I306" t="str">
        <f>_xll.IMDP("","","전일대비부호")</f>
        <v>코드오류</v>
      </c>
      <c r="J306" s="5">
        <f>_xll.IMDP("STK",표.실시간[[#This Row],[nxt_code]],"전일대비")</f>
        <v>2400</v>
      </c>
      <c r="K306">
        <f>_xll.IMDP("STK",표.실시간[[#This Row],[nxt_code]],"등락률")</f>
        <v>2.36</v>
      </c>
      <c r="L306" s="4">
        <f>_xll.IMDP("STK",표.실시간[[#This Row],[nxt_code]],"누적거래량")</f>
        <v>2383</v>
      </c>
      <c r="M306" s="4">
        <f>_xll.IMDP("STK",표.실시간[[#This Row],[nxt_code]],"누적거래대금")</f>
        <v>378176500</v>
      </c>
      <c r="N306" s="4">
        <f>_xll.IMDP("STK",표.실시간[[#This Row],[nxt_code]],"가중평균가")</f>
        <v>158697.65002100001</v>
      </c>
      <c r="O306" s="4">
        <f>_xll.IMDP("STK",표.실시간[[#This Row],[nxt_code]],"시가")</f>
        <v>156300</v>
      </c>
      <c r="P306" s="4">
        <f>_xll.IMDP("STK",표.실시간[[#This Row],[nxt_code]],"고가")</f>
        <v>161500</v>
      </c>
      <c r="Q306" s="4">
        <f>_xll.IMDP("STK",표.실시간[[#This Row],[nxt_code]],"저가")</f>
        <v>156300</v>
      </c>
      <c r="R306">
        <f>_xll.IMDP("STK",표.실시간[[#This Row],[nxt_code]],"세션명")</f>
        <v>0</v>
      </c>
      <c r="S306">
        <f>_xll.IMDP("STK",표.실시간[[#This Row],[nxt_code]],"체결시간")</f>
        <v>0</v>
      </c>
      <c r="T306" s="4">
        <f>_xll.IMDP("STK","006650","현재가")</f>
        <v>160200</v>
      </c>
      <c r="U306">
        <f>_xll.IMDP("STK","006650","누적거래량")</f>
        <v>1746</v>
      </c>
    </row>
    <row r="307" spans="3:21" x14ac:dyDescent="0.3">
      <c r="C307">
        <v>302</v>
      </c>
      <c r="D307">
        <v>280360</v>
      </c>
      <c r="E307" t="s">
        <v>319</v>
      </c>
      <c r="F307" t="str">
        <f>ConvertStockCode(표.실시간[[#This Row],[코드]])</f>
        <v>N280360</v>
      </c>
      <c r="G307" s="4">
        <f>_xll.IMDP("STK",표.실시간[[#This Row],[nxt_code]],"현재가")</f>
        <v>112500</v>
      </c>
      <c r="H307" s="4">
        <f>_xll.IMDP("STK",표.실시간[[#This Row],[nxt_code]],"시가총액")/10^12</f>
        <v>1.0467645750000001</v>
      </c>
      <c r="I307" t="str">
        <f>_xll.IMDP("","","전일대비부호")</f>
        <v>코드오류</v>
      </c>
      <c r="J307" s="5">
        <f>_xll.IMDP("STK",표.실시간[[#This Row],[nxt_code]],"전일대비")</f>
        <v>100</v>
      </c>
      <c r="K307">
        <f>_xll.IMDP("STK",표.실시간[[#This Row],[nxt_code]],"등락률")</f>
        <v>0</v>
      </c>
      <c r="L307" s="4">
        <f>_xll.IMDP("STK",표.실시간[[#This Row],[nxt_code]],"누적거래량")</f>
        <v>519</v>
      </c>
      <c r="M307" s="4">
        <f>_xll.IMDP("STK",표.실시간[[#This Row],[nxt_code]],"누적거래대금")</f>
        <v>61460300</v>
      </c>
      <c r="N307" s="4">
        <f>_xll.IMDP("STK",표.실시간[[#This Row],[nxt_code]],"가중평균가")</f>
        <v>112771.19266099999</v>
      </c>
      <c r="O307" s="4">
        <f>_xll.IMDP("STK",표.실시간[[#This Row],[nxt_code]],"시가")</f>
        <v>112600</v>
      </c>
      <c r="P307" s="4">
        <f>_xll.IMDP("STK",표.실시간[[#This Row],[nxt_code]],"고가")</f>
        <v>113400</v>
      </c>
      <c r="Q307" s="4">
        <f>_xll.IMDP("STK",표.실시간[[#This Row],[nxt_code]],"저가")</f>
        <v>112200</v>
      </c>
      <c r="R307">
        <f>_xll.IMDP("STK",표.실시간[[#This Row],[nxt_code]],"세션명")</f>
        <v>0</v>
      </c>
      <c r="S307">
        <f>_xll.IMDP("STK",표.실시간[[#This Row],[nxt_code]],"체결시간")</f>
        <v>0</v>
      </c>
      <c r="T307" s="4">
        <f>_xll.IMDP("STK","280360","현재가")</f>
        <v>112500</v>
      </c>
      <c r="U307">
        <f>_xll.IMDP("STK","280360","누적거래량")</f>
        <v>150</v>
      </c>
    </row>
    <row r="308" spans="3:21" x14ac:dyDescent="0.3">
      <c r="C308">
        <v>303</v>
      </c>
      <c r="D308">
        <v>131970</v>
      </c>
      <c r="E308" t="s">
        <v>320</v>
      </c>
      <c r="F308" t="str">
        <f>ConvertStockCode(표.실시간[[#This Row],[코드]])</f>
        <v>N131970</v>
      </c>
      <c r="G308" s="4">
        <f>_xll.IMDP("STK",표.실시간[[#This Row],[nxt_code]],"현재가")</f>
        <v>52900</v>
      </c>
      <c r="H308" s="4">
        <f>_xll.IMDP("STK",표.실시간[[#This Row],[nxt_code]],"시가총액")/10^12</f>
        <v>1.0224108902</v>
      </c>
      <c r="I308" t="str">
        <f>_xll.IMDP("","","전일대비부호")</f>
        <v>코드오류</v>
      </c>
      <c r="J308" s="5">
        <f>_xll.IMDP("STK",표.실시간[[#This Row],[nxt_code]],"전일대비")</f>
        <v>-1000</v>
      </c>
      <c r="K308">
        <f>_xll.IMDP("STK",표.실시간[[#This Row],[nxt_code]],"등락률")</f>
        <v>-1.86</v>
      </c>
      <c r="L308" s="4">
        <f>_xll.IMDP("STK",표.실시간[[#This Row],[nxt_code]],"누적거래량")</f>
        <v>58705</v>
      </c>
      <c r="M308" s="4">
        <f>_xll.IMDP("STK",표.실시간[[#This Row],[nxt_code]],"누적거래대금")</f>
        <v>3177294700</v>
      </c>
      <c r="N308" s="4">
        <f>_xll.IMDP("STK",표.실시간[[#This Row],[nxt_code]],"가중평균가")</f>
        <v>54123.067882000003</v>
      </c>
      <c r="O308" s="4">
        <f>_xll.IMDP("STK",표.실시간[[#This Row],[nxt_code]],"시가")</f>
        <v>54600</v>
      </c>
      <c r="P308" s="4">
        <f>_xll.IMDP("STK",표.실시간[[#This Row],[nxt_code]],"고가")</f>
        <v>55300</v>
      </c>
      <c r="Q308" s="4">
        <f>_xll.IMDP("STK",표.실시간[[#This Row],[nxt_code]],"저가")</f>
        <v>52900</v>
      </c>
      <c r="R308">
        <f>_xll.IMDP("STK",표.실시간[[#This Row],[nxt_code]],"세션명")</f>
        <v>0</v>
      </c>
      <c r="S308">
        <f>_xll.IMDP("STK",표.실시간[[#This Row],[nxt_code]],"체결시간")</f>
        <v>0</v>
      </c>
      <c r="T308" s="4">
        <f>_xll.IMDP("STK","131970","현재가")</f>
        <v>53000</v>
      </c>
      <c r="U308">
        <f>_xll.IMDP("STK","131970","누적거래량")</f>
        <v>16701</v>
      </c>
    </row>
    <row r="309" spans="3:21" x14ac:dyDescent="0.3">
      <c r="C309">
        <v>304</v>
      </c>
      <c r="D309">
        <v>12630</v>
      </c>
      <c r="E309" t="s">
        <v>321</v>
      </c>
      <c r="F309" t="str">
        <f>ConvertStockCode(표.실시간[[#This Row],[코드]])</f>
        <v>N012630</v>
      </c>
      <c r="G309" s="4">
        <f>_xll.IMDP("STK",표.실시간[[#This Row],[nxt_code]],"현재가")</f>
        <v>17000</v>
      </c>
      <c r="H309" s="4">
        <f>_xll.IMDP("STK",표.실시간[[#This Row],[nxt_code]],"시가총액")/10^12</f>
        <v>1.0156092569999999</v>
      </c>
      <c r="I309" t="str">
        <f>_xll.IMDP("","","전일대비부호")</f>
        <v>코드오류</v>
      </c>
      <c r="J309" s="5">
        <f>_xll.IMDP("STK",표.실시간[[#This Row],[nxt_code]],"전일대비")</f>
        <v>300</v>
      </c>
      <c r="K309">
        <f>_xll.IMDP("STK",표.실시간[[#This Row],[nxt_code]],"등락률")</f>
        <v>1.8</v>
      </c>
      <c r="L309" s="4">
        <f>_xll.IMDP("STK",표.실시간[[#This Row],[nxt_code]],"누적거래량")</f>
        <v>7482</v>
      </c>
      <c r="M309" s="4">
        <f>_xll.IMDP("STK",표.실시간[[#This Row],[nxt_code]],"누적거래대금")</f>
        <v>126896540</v>
      </c>
      <c r="N309" s="4">
        <f>_xll.IMDP("STK",표.실시간[[#This Row],[nxt_code]],"가중평균가")</f>
        <v>16960.24325</v>
      </c>
      <c r="O309" s="4">
        <f>_xll.IMDP("STK",표.실시간[[#This Row],[nxt_code]],"시가")</f>
        <v>16750</v>
      </c>
      <c r="P309" s="4">
        <f>_xll.IMDP("STK",표.실시간[[#This Row],[nxt_code]],"고가")</f>
        <v>17010</v>
      </c>
      <c r="Q309" s="4">
        <f>_xll.IMDP("STK",표.실시간[[#This Row],[nxt_code]],"저가")</f>
        <v>16740</v>
      </c>
      <c r="R309">
        <f>_xll.IMDP("STK",표.실시간[[#This Row],[nxt_code]],"세션명")</f>
        <v>0</v>
      </c>
      <c r="S309">
        <f>_xll.IMDP("STK",표.실시간[[#This Row],[nxt_code]],"체결시간")</f>
        <v>0</v>
      </c>
      <c r="T309" s="4">
        <f>_xll.IMDP("STK","012630","현재가")</f>
        <v>17190</v>
      </c>
      <c r="U309">
        <f>_xll.IMDP("STK","012630","누적거래량")</f>
        <v>7650</v>
      </c>
    </row>
    <row r="310" spans="3:21" x14ac:dyDescent="0.3">
      <c r="C310">
        <v>305</v>
      </c>
      <c r="D310">
        <v>376900</v>
      </c>
      <c r="E310" t="s">
        <v>322</v>
      </c>
      <c r="F310" t="str">
        <f>ConvertStockCode(표.실시간[[#This Row],[코드]])</f>
        <v>N376900</v>
      </c>
      <c r="G310" s="4">
        <f>_xll.IMDP("STK",표.실시간[[#This Row],[nxt_code]],"현재가")</f>
        <v>63200</v>
      </c>
      <c r="H310" s="4">
        <f>_xll.IMDP("STK",표.실시간[[#This Row],[nxt_code]],"시가총액")/10^12</f>
        <v>0.98980610479999998</v>
      </c>
      <c r="I310" t="str">
        <f>_xll.IMDP("","","전일대비부호")</f>
        <v>코드오류</v>
      </c>
      <c r="J310" s="5">
        <f>_xll.IMDP("STK",표.실시간[[#This Row],[nxt_code]],"전일대비")</f>
        <v>-1600</v>
      </c>
      <c r="K310">
        <f>_xll.IMDP("STK",표.실시간[[#This Row],[nxt_code]],"등락률")</f>
        <v>-2.4700000000000002</v>
      </c>
      <c r="L310" s="4">
        <f>_xll.IMDP("STK",표.실시간[[#This Row],[nxt_code]],"누적거래량")</f>
        <v>33323</v>
      </c>
      <c r="M310" s="4">
        <f>_xll.IMDP("STK",표.실시간[[#This Row],[nxt_code]],"누적거래대금")</f>
        <v>2129773700</v>
      </c>
      <c r="N310" s="4">
        <f>_xll.IMDP("STK",표.실시간[[#This Row],[nxt_code]],"가중평균가")</f>
        <v>63913.024037000003</v>
      </c>
      <c r="O310" s="4">
        <f>_xll.IMDP("STK",표.실시간[[#This Row],[nxt_code]],"시가")</f>
        <v>65000</v>
      </c>
      <c r="P310" s="4">
        <f>_xll.IMDP("STK",표.실시간[[#This Row],[nxt_code]],"고가")</f>
        <v>65000</v>
      </c>
      <c r="Q310" s="4">
        <f>_xll.IMDP("STK",표.실시간[[#This Row],[nxt_code]],"저가")</f>
        <v>63100</v>
      </c>
      <c r="R310">
        <f>_xll.IMDP("STK",표.실시간[[#This Row],[nxt_code]],"세션명")</f>
        <v>0</v>
      </c>
      <c r="S310">
        <f>_xll.IMDP("STK",표.실시간[[#This Row],[nxt_code]],"체결시간")</f>
        <v>0</v>
      </c>
      <c r="T310" s="4">
        <f>_xll.IMDP("STK","376900","현재가")</f>
        <v>63100</v>
      </c>
      <c r="U310">
        <f>_xll.IMDP("STK","376900","누적거래량")</f>
        <v>9341</v>
      </c>
    </row>
    <row r="311" spans="3:21" x14ac:dyDescent="0.3">
      <c r="C311">
        <v>306</v>
      </c>
      <c r="D311">
        <v>161580</v>
      </c>
      <c r="E311" t="s">
        <v>323</v>
      </c>
      <c r="F311" t="str">
        <f>ConvertStockCode(표.실시간[[#This Row],[코드]])</f>
        <v>N161580</v>
      </c>
      <c r="G311" s="4">
        <f>_xll.IMDP("STK",표.실시간[[#This Row],[nxt_code]],"현재가")</f>
        <v>44800</v>
      </c>
      <c r="H311" s="4">
        <f>_xll.IMDP("STK",표.실시간[[#This Row],[nxt_code]],"시가총액")/10^12</f>
        <v>1.0484430655999999</v>
      </c>
      <c r="I311" t="str">
        <f>_xll.IMDP("","","전일대비부호")</f>
        <v>코드오류</v>
      </c>
      <c r="J311" s="5">
        <f>_xll.IMDP("STK",표.실시간[[#This Row],[nxt_code]],"전일대비")</f>
        <v>-1050</v>
      </c>
      <c r="K311">
        <f>_xll.IMDP("STK",표.실시간[[#This Row],[nxt_code]],"등락률")</f>
        <v>-2.71</v>
      </c>
      <c r="L311" s="4">
        <f>_xll.IMDP("STK",표.실시간[[#This Row],[nxt_code]],"누적거래량")</f>
        <v>294396</v>
      </c>
      <c r="M311" s="4">
        <f>_xll.IMDP("STK",표.실시간[[#This Row],[nxt_code]],"누적거래대금")</f>
        <v>13634665275</v>
      </c>
      <c r="N311" s="4">
        <f>_xll.IMDP("STK",표.실시간[[#This Row],[nxt_code]],"가중평균가")</f>
        <v>46314.030336999997</v>
      </c>
      <c r="O311" s="4">
        <f>_xll.IMDP("STK",표.실시간[[#This Row],[nxt_code]],"시가")</f>
        <v>47000</v>
      </c>
      <c r="P311" s="4">
        <f>_xll.IMDP("STK",표.실시간[[#This Row],[nxt_code]],"고가")</f>
        <v>47450</v>
      </c>
      <c r="Q311" s="4">
        <f>_xll.IMDP("STK",표.실시간[[#This Row],[nxt_code]],"저가")</f>
        <v>44800</v>
      </c>
      <c r="R311">
        <f>_xll.IMDP("STK",표.실시간[[#This Row],[nxt_code]],"세션명")</f>
        <v>0</v>
      </c>
      <c r="S311">
        <f>_xll.IMDP("STK",표.실시간[[#This Row],[nxt_code]],"체결시간")</f>
        <v>0</v>
      </c>
      <c r="T311" s="4">
        <f>_xll.IMDP("STK","161580","현재가")</f>
        <v>44800</v>
      </c>
      <c r="U311">
        <f>_xll.IMDP("STK","161580","누적거래량")</f>
        <v>45294</v>
      </c>
    </row>
    <row r="312" spans="3:21" x14ac:dyDescent="0.3">
      <c r="C312">
        <v>307</v>
      </c>
      <c r="D312">
        <v>137310</v>
      </c>
      <c r="E312" t="s">
        <v>324</v>
      </c>
      <c r="F312" t="str">
        <f>ConvertStockCode(표.실시간[[#This Row],[코드]])</f>
        <v>N137310</v>
      </c>
      <c r="G312" s="4">
        <f>_xll.IMDP("STK",표.실시간[[#This Row],[nxt_code]],"현재가")</f>
        <v>8240</v>
      </c>
      <c r="H312" s="4">
        <f>_xll.IMDP("STK",표.실시간[[#This Row],[nxt_code]],"시가총액")/10^12</f>
        <v>1.0032126004799999</v>
      </c>
      <c r="I312" t="str">
        <f>_xll.IMDP("","","전일대비부호")</f>
        <v>코드오류</v>
      </c>
      <c r="J312" s="5">
        <f>_xll.IMDP("STK",표.실시간[[#This Row],[nxt_code]],"전일대비")</f>
        <v>20</v>
      </c>
      <c r="K312">
        <f>_xll.IMDP("STK",표.실시간[[#This Row],[nxt_code]],"등락률")</f>
        <v>0.24</v>
      </c>
      <c r="L312" s="4">
        <f>_xll.IMDP("STK",표.실시간[[#This Row],[nxt_code]],"누적거래량")</f>
        <v>876</v>
      </c>
      <c r="M312" s="4">
        <f>_xll.IMDP("STK",표.실시간[[#This Row],[nxt_code]],"누적거래대금")</f>
        <v>7231660</v>
      </c>
      <c r="N312" s="4">
        <f>_xll.IMDP("STK",표.실시간[[#This Row],[nxt_code]],"가중평균가")</f>
        <v>8255.3196349999998</v>
      </c>
      <c r="O312" s="4">
        <f>_xll.IMDP("STK",표.실시간[[#This Row],[nxt_code]],"시가")</f>
        <v>8260</v>
      </c>
      <c r="P312" s="4">
        <f>_xll.IMDP("STK",표.실시간[[#This Row],[nxt_code]],"고가")</f>
        <v>8280</v>
      </c>
      <c r="Q312" s="4">
        <f>_xll.IMDP("STK",표.실시간[[#This Row],[nxt_code]],"저가")</f>
        <v>8240</v>
      </c>
      <c r="R312">
        <f>_xll.IMDP("STK",표.실시간[[#This Row],[nxt_code]],"세션명")</f>
        <v>0</v>
      </c>
      <c r="S312">
        <f>_xll.IMDP("STK",표.실시간[[#This Row],[nxt_code]],"체결시간")</f>
        <v>0</v>
      </c>
      <c r="T312" s="4">
        <f>_xll.IMDP("STK","137310","현재가")</f>
        <v>8250</v>
      </c>
      <c r="U312">
        <f>_xll.IMDP("STK","137310","누적거래량")</f>
        <v>4130</v>
      </c>
    </row>
    <row r="313" spans="3:21" x14ac:dyDescent="0.3">
      <c r="C313">
        <v>308</v>
      </c>
      <c r="D313">
        <v>82270</v>
      </c>
      <c r="E313" t="s">
        <v>325</v>
      </c>
      <c r="F313" t="str">
        <f>ConvertStockCode(표.실시간[[#This Row],[코드]])</f>
        <v>N082270</v>
      </c>
      <c r="G313" s="4">
        <f>_xll.IMDP("STK",표.실시간[[#This Row],[nxt_code]],"현재가")</f>
        <v>23050</v>
      </c>
      <c r="H313" s="4">
        <f>_xll.IMDP("STK",표.실시간[[#This Row],[nxt_code]],"시가총액")/10^12</f>
        <v>0.98378296644999996</v>
      </c>
      <c r="I313" t="str">
        <f>_xll.IMDP("","","전일대비부호")</f>
        <v>코드오류</v>
      </c>
      <c r="J313" s="5">
        <f>_xll.IMDP("STK",표.실시간[[#This Row],[nxt_code]],"전일대비")</f>
        <v>-250</v>
      </c>
      <c r="K313">
        <f>_xll.IMDP("STK",표.실시간[[#This Row],[nxt_code]],"등락률")</f>
        <v>-1.07</v>
      </c>
      <c r="L313" s="4">
        <f>_xll.IMDP("STK",표.실시간[[#This Row],[nxt_code]],"누적거래량")</f>
        <v>30950</v>
      </c>
      <c r="M313" s="4">
        <f>_xll.IMDP("STK",표.실시간[[#This Row],[nxt_code]],"누적거래대금")</f>
        <v>716559850</v>
      </c>
      <c r="N313" s="4">
        <f>_xll.IMDP("STK",표.실시간[[#This Row],[nxt_code]],"가중평균가")</f>
        <v>23152.176090000001</v>
      </c>
      <c r="O313" s="4">
        <f>_xll.IMDP("STK",표.실시간[[#This Row],[nxt_code]],"시가")</f>
        <v>23450</v>
      </c>
      <c r="P313" s="4">
        <f>_xll.IMDP("STK",표.실시간[[#This Row],[nxt_code]],"고가")</f>
        <v>23450</v>
      </c>
      <c r="Q313" s="4">
        <f>_xll.IMDP("STK",표.실시간[[#This Row],[nxt_code]],"저가")</f>
        <v>22900</v>
      </c>
      <c r="R313">
        <f>_xll.IMDP("STK",표.실시간[[#This Row],[nxt_code]],"세션명")</f>
        <v>0</v>
      </c>
      <c r="S313">
        <f>_xll.IMDP("STK",표.실시간[[#This Row],[nxt_code]],"체결시간")</f>
        <v>0</v>
      </c>
      <c r="T313" s="4">
        <f>_xll.IMDP("STK","082270","현재가")</f>
        <v>23050</v>
      </c>
      <c r="U313">
        <f>_xll.IMDP("STK","082270","누적거래량")</f>
        <v>4461</v>
      </c>
    </row>
    <row r="314" spans="3:21" x14ac:dyDescent="0.3">
      <c r="C314">
        <v>309</v>
      </c>
      <c r="D314">
        <v>30190</v>
      </c>
      <c r="E314" t="s">
        <v>326</v>
      </c>
      <c r="F314" t="str">
        <f>ConvertStockCode(표.실시간[[#This Row],[코드]])</f>
        <v>N030190</v>
      </c>
      <c r="G314" s="4">
        <f>_xll.IMDP("STK",표.실시간[[#This Row],[nxt_code]],"현재가")</f>
        <v>17010</v>
      </c>
      <c r="H314" s="4">
        <f>_xll.IMDP("STK",표.실시간[[#This Row],[nxt_code]],"시가총액")/10^12</f>
        <v>1.00208507427</v>
      </c>
      <c r="I314" t="str">
        <f>_xll.IMDP("","","전일대비부호")</f>
        <v>코드오류</v>
      </c>
      <c r="J314" s="5">
        <f>_xll.IMDP("STK",표.실시간[[#This Row],[nxt_code]],"전일대비")</f>
        <v>160</v>
      </c>
      <c r="K314">
        <f>_xll.IMDP("STK",표.실시간[[#This Row],[nxt_code]],"등락률")</f>
        <v>0.95</v>
      </c>
      <c r="L314" s="4">
        <f>_xll.IMDP("STK",표.실시간[[#This Row],[nxt_code]],"누적거래량")</f>
        <v>616</v>
      </c>
      <c r="M314" s="4">
        <f>_xll.IMDP("STK",표.실시간[[#This Row],[nxt_code]],"누적거래대금")</f>
        <v>10488400</v>
      </c>
      <c r="N314" s="4">
        <f>_xll.IMDP("STK",표.실시간[[#This Row],[nxt_code]],"가중평균가")</f>
        <v>17026.623377</v>
      </c>
      <c r="O314" s="4">
        <f>_xll.IMDP("STK",표.실시간[[#This Row],[nxt_code]],"시가")</f>
        <v>16900</v>
      </c>
      <c r="P314" s="4">
        <f>_xll.IMDP("STK",표.실시간[[#This Row],[nxt_code]],"고가")</f>
        <v>17100</v>
      </c>
      <c r="Q314" s="4">
        <f>_xll.IMDP("STK",표.실시간[[#This Row],[nxt_code]],"저가")</f>
        <v>16900</v>
      </c>
      <c r="R314">
        <f>_xll.IMDP("STK",표.실시간[[#This Row],[nxt_code]],"세션명")</f>
        <v>0</v>
      </c>
      <c r="S314">
        <f>_xll.IMDP("STK",표.실시간[[#This Row],[nxt_code]],"체결시간")</f>
        <v>0</v>
      </c>
      <c r="T314" s="4">
        <f>_xll.IMDP("STK","030190","현재가")</f>
        <v>17030</v>
      </c>
      <c r="U314">
        <f>_xll.IMDP("STK","030190","누적거래량")</f>
        <v>276</v>
      </c>
    </row>
    <row r="315" spans="3:21" x14ac:dyDescent="0.3">
      <c r="C315">
        <v>310</v>
      </c>
      <c r="D315">
        <v>486990</v>
      </c>
      <c r="E315" t="s">
        <v>327</v>
      </c>
      <c r="F315" t="str">
        <f>ConvertStockCode(표.실시간[[#This Row],[코드]])</f>
        <v>N486990</v>
      </c>
      <c r="G315" s="4">
        <f>_xll.IMDP("STK",표.실시간[[#This Row],[nxt_code]],"현재가")</f>
        <v>43800</v>
      </c>
      <c r="H315" s="4">
        <f>_xll.IMDP("STK",표.실시간[[#This Row],[nxt_code]],"시가총액")/10^12</f>
        <v>0.93399251400000005</v>
      </c>
      <c r="I315" t="str">
        <f>_xll.IMDP("","","전일대비부호")</f>
        <v>코드오류</v>
      </c>
      <c r="J315" s="5">
        <f>_xll.IMDP("STK",표.실시간[[#This Row],[nxt_code]],"전일대비")</f>
        <v>250</v>
      </c>
      <c r="K315">
        <f>_xll.IMDP("STK",표.실시간[[#This Row],[nxt_code]],"등락률")</f>
        <v>0.56999999999999995</v>
      </c>
      <c r="L315" s="4">
        <f>_xll.IMDP("STK",표.실시간[[#This Row],[nxt_code]],"누적거래량")</f>
        <v>74047</v>
      </c>
      <c r="M315" s="4">
        <f>_xll.IMDP("STK",표.실시간[[#This Row],[nxt_code]],"누적거래대금")</f>
        <v>3282934500</v>
      </c>
      <c r="N315" s="4">
        <f>_xll.IMDP("STK",표.실시간[[#This Row],[nxt_code]],"가중평균가")</f>
        <v>44335.820491999999</v>
      </c>
      <c r="O315" s="4">
        <f>_xll.IMDP("STK",표.실시간[[#This Row],[nxt_code]],"시가")</f>
        <v>44000</v>
      </c>
      <c r="P315" s="4">
        <f>_xll.IMDP("STK",표.실시간[[#This Row],[nxt_code]],"고가")</f>
        <v>44800</v>
      </c>
      <c r="Q315" s="4">
        <f>_xll.IMDP("STK",표.실시간[[#This Row],[nxt_code]],"저가")</f>
        <v>43800</v>
      </c>
      <c r="R315">
        <f>_xll.IMDP("STK",표.실시간[[#This Row],[nxt_code]],"세션명")</f>
        <v>0</v>
      </c>
      <c r="S315">
        <f>_xll.IMDP("STK",표.실시간[[#This Row],[nxt_code]],"체결시간")</f>
        <v>0</v>
      </c>
      <c r="T315" s="4">
        <f>_xll.IMDP("STK","486990","현재가")</f>
        <v>43800</v>
      </c>
      <c r="U315">
        <f>_xll.IMDP("STK","486990","누적거래량")</f>
        <v>12169</v>
      </c>
    </row>
    <row r="316" spans="3:21" x14ac:dyDescent="0.3">
      <c r="C316">
        <v>311</v>
      </c>
      <c r="D316">
        <v>181710</v>
      </c>
      <c r="E316" t="s">
        <v>328</v>
      </c>
      <c r="F316" t="str">
        <f>ConvertStockCode(표.실시간[[#This Row],[코드]])</f>
        <v>N181710</v>
      </c>
      <c r="G316" s="4">
        <f>_xll.IMDP("STK",표.실시간[[#This Row],[nxt_code]],"현재가")</f>
        <v>29950</v>
      </c>
      <c r="H316" s="4">
        <f>_xll.IMDP("STK",표.실시간[[#This Row],[nxt_code]],"시가총액")/10^12</f>
        <v>0.98095651304999998</v>
      </c>
      <c r="I316" t="str">
        <f>_xll.IMDP("","","전일대비부호")</f>
        <v>코드오류</v>
      </c>
      <c r="J316" s="5">
        <f>_xll.IMDP("STK",표.실시간[[#This Row],[nxt_code]],"전일대비")</f>
        <v>150</v>
      </c>
      <c r="K316">
        <f>_xll.IMDP("STK",표.실시간[[#This Row],[nxt_code]],"등락률")</f>
        <v>0.5</v>
      </c>
      <c r="L316" s="4">
        <f>_xll.IMDP("STK",표.실시간[[#This Row],[nxt_code]],"누적거래량")</f>
        <v>403</v>
      </c>
      <c r="M316" s="4">
        <f>_xll.IMDP("STK",표.실시간[[#This Row],[nxt_code]],"누적거래대금")</f>
        <v>12088450</v>
      </c>
      <c r="N316" s="4">
        <f>_xll.IMDP("STK",표.실시간[[#This Row],[nxt_code]],"가중평균가")</f>
        <v>29996.153846000001</v>
      </c>
      <c r="O316" s="4">
        <f>_xll.IMDP("STK",표.실시간[[#This Row],[nxt_code]],"시가")</f>
        <v>30100</v>
      </c>
      <c r="P316" s="4">
        <f>_xll.IMDP("STK",표.실시간[[#This Row],[nxt_code]],"고가")</f>
        <v>30150</v>
      </c>
      <c r="Q316" s="4">
        <f>_xll.IMDP("STK",표.실시간[[#This Row],[nxt_code]],"저가")</f>
        <v>29950</v>
      </c>
      <c r="R316">
        <f>_xll.IMDP("STK",표.실시간[[#This Row],[nxt_code]],"세션명")</f>
        <v>0</v>
      </c>
      <c r="S316">
        <f>_xll.IMDP("STK",표.실시간[[#This Row],[nxt_code]],"체결시간")</f>
        <v>0</v>
      </c>
      <c r="T316" s="4">
        <f>_xll.IMDP("STK","181710","현재가")</f>
        <v>29950</v>
      </c>
      <c r="U316">
        <f>_xll.IMDP("STK","181710","누적거래량")</f>
        <v>802</v>
      </c>
    </row>
    <row r="317" spans="3:21" x14ac:dyDescent="0.3">
      <c r="C317">
        <v>312</v>
      </c>
      <c r="D317">
        <v>78600</v>
      </c>
      <c r="E317" t="s">
        <v>329</v>
      </c>
      <c r="F317" t="str">
        <f>ConvertStockCode(표.실시간[[#This Row],[코드]])</f>
        <v>N078600</v>
      </c>
      <c r="G317" s="4">
        <f>_xll.IMDP("STK",표.실시간[[#This Row],[nxt_code]],"현재가")</f>
        <v>75200</v>
      </c>
      <c r="H317" s="4">
        <f>_xll.IMDP("STK",표.실시간[[#This Row],[nxt_code]],"시가총액")/10^12</f>
        <v>1.1641405936</v>
      </c>
      <c r="I317" t="str">
        <f>_xll.IMDP("","","전일대비부호")</f>
        <v>코드오류</v>
      </c>
      <c r="J317" s="5">
        <f>_xll.IMDP("STK",표.실시간[[#This Row],[nxt_code]],"전일대비")</f>
        <v>7300</v>
      </c>
      <c r="K317">
        <f>_xll.IMDP("STK",표.실시간[[#This Row],[nxt_code]],"등락률")</f>
        <v>10.75</v>
      </c>
      <c r="L317" s="4">
        <f>_xll.IMDP("STK",표.실시간[[#This Row],[nxt_code]],"누적거래량")</f>
        <v>538585</v>
      </c>
      <c r="M317" s="4">
        <f>_xll.IMDP("STK",표.실시간[[#This Row],[nxt_code]],"누적거래대금")</f>
        <v>40520000350</v>
      </c>
      <c r="N317" s="4">
        <f>_xll.IMDP("STK",표.실시간[[#This Row],[nxt_code]],"가중평균가")</f>
        <v>75232.782238999993</v>
      </c>
      <c r="O317" s="4">
        <f>_xll.IMDP("STK",표.실시간[[#This Row],[nxt_code]],"시가")</f>
        <v>70400</v>
      </c>
      <c r="P317" s="4">
        <f>_xll.IMDP("STK",표.실시간[[#This Row],[nxt_code]],"고가")</f>
        <v>77000</v>
      </c>
      <c r="Q317" s="4">
        <f>_xll.IMDP("STK",표.실시간[[#This Row],[nxt_code]],"저가")</f>
        <v>70100</v>
      </c>
      <c r="R317">
        <f>_xll.IMDP("STK",표.실시간[[#This Row],[nxt_code]],"세션명")</f>
        <v>0</v>
      </c>
      <c r="S317">
        <f>_xll.IMDP("STK",표.실시간[[#This Row],[nxt_code]],"체결시간")</f>
        <v>0</v>
      </c>
      <c r="T317" s="4">
        <f>_xll.IMDP("STK","078600","현재가")</f>
        <v>75000</v>
      </c>
      <c r="U317">
        <f>_xll.IMDP("STK","078600","누적거래량")</f>
        <v>18257</v>
      </c>
    </row>
    <row r="318" spans="3:21" x14ac:dyDescent="0.3">
      <c r="C318">
        <v>313</v>
      </c>
      <c r="D318">
        <v>298050</v>
      </c>
      <c r="E318" t="s">
        <v>330</v>
      </c>
      <c r="F318" t="str">
        <f>ConvertStockCode(표.실시간[[#This Row],[코드]])</f>
        <v>N298050</v>
      </c>
      <c r="G318" s="4">
        <f>_xll.IMDP("STK",표.실시간[[#This Row],[nxt_code]],"현재가")</f>
        <v>216000</v>
      </c>
      <c r="H318" s="4">
        <f>_xll.IMDP("STK",표.실시간[[#This Row],[nxt_code]],"시가총액")/10^12</f>
        <v>0.97662866400000004</v>
      </c>
      <c r="I318" t="str">
        <f>_xll.IMDP("","","전일대비부호")</f>
        <v>코드오류</v>
      </c>
      <c r="J318" s="5">
        <f>_xll.IMDP("STK",표.실시간[[#This Row],[nxt_code]],"전일대비")</f>
        <v>1000</v>
      </c>
      <c r="K318">
        <f>_xll.IMDP("STK",표.실시간[[#This Row],[nxt_code]],"등락률")</f>
        <v>-0.46</v>
      </c>
      <c r="L318" s="4">
        <f>_xll.IMDP("STK",표.실시간[[#This Row],[nxt_code]],"누적거래량")</f>
        <v>2042</v>
      </c>
      <c r="M318" s="4">
        <f>_xll.IMDP("STK",표.실시간[[#This Row],[nxt_code]],"누적거래대금")</f>
        <v>445892500</v>
      </c>
      <c r="N318" s="4">
        <f>_xll.IMDP("STK",표.실시간[[#This Row],[nxt_code]],"가중평균가")</f>
        <v>218360.675808</v>
      </c>
      <c r="O318" s="4">
        <f>_xll.IMDP("STK",표.실시간[[#This Row],[nxt_code]],"시가")</f>
        <v>220000</v>
      </c>
      <c r="P318" s="4">
        <f>_xll.IMDP("STK",표.실시간[[#This Row],[nxt_code]],"고가")</f>
        <v>220000</v>
      </c>
      <c r="Q318" s="4">
        <f>_xll.IMDP("STK",표.실시간[[#This Row],[nxt_code]],"저가")</f>
        <v>215500</v>
      </c>
      <c r="R318">
        <f>_xll.IMDP("STK",표.실시간[[#This Row],[nxt_code]],"세션명")</f>
        <v>0</v>
      </c>
      <c r="S318">
        <f>_xll.IMDP("STK",표.실시간[[#This Row],[nxt_code]],"체결시간")</f>
        <v>0</v>
      </c>
      <c r="T318" s="4">
        <f>_xll.IMDP("STK","298050","현재가")</f>
        <v>216000</v>
      </c>
      <c r="U318">
        <f>_xll.IMDP("STK","298050","누적거래량")</f>
        <v>499</v>
      </c>
    </row>
    <row r="319" spans="3:21" x14ac:dyDescent="0.3">
      <c r="C319">
        <v>314</v>
      </c>
      <c r="D319">
        <v>95610</v>
      </c>
      <c r="E319" t="s">
        <v>331</v>
      </c>
      <c r="F319" t="str">
        <f>ConvertStockCode(표.실시간[[#This Row],[코드]])</f>
        <v>N095610</v>
      </c>
      <c r="G319" s="4">
        <f>_xll.IMDP("STK",표.실시간[[#This Row],[nxt_code]],"현재가")</f>
        <v>48100</v>
      </c>
      <c r="H319" s="4">
        <f>_xll.IMDP("STK",표.실시간[[#This Row],[nxt_code]],"시가총액")/10^12</f>
        <v>0.95085167059999998</v>
      </c>
      <c r="I319" t="str">
        <f>_xll.IMDP("","","전일대비부호")</f>
        <v>코드오류</v>
      </c>
      <c r="J319" s="5">
        <f>_xll.IMDP("STK",표.실시간[[#This Row],[nxt_code]],"전일대비")</f>
        <v>700</v>
      </c>
      <c r="K319">
        <f>_xll.IMDP("STK",표.실시간[[#This Row],[nxt_code]],"등락률")</f>
        <v>1.48</v>
      </c>
      <c r="L319" s="4">
        <f>_xll.IMDP("STK",표.실시간[[#This Row],[nxt_code]],"누적거래량")</f>
        <v>88708</v>
      </c>
      <c r="M319" s="4">
        <f>_xll.IMDP("STK",표.실시간[[#This Row],[nxt_code]],"누적거래대금")</f>
        <v>4343807900</v>
      </c>
      <c r="N319" s="4">
        <f>_xll.IMDP("STK",표.실시간[[#This Row],[nxt_code]],"가중평균가")</f>
        <v>48967.526831000003</v>
      </c>
      <c r="O319" s="4">
        <f>_xll.IMDP("STK",표.실시간[[#This Row],[nxt_code]],"시가")</f>
        <v>47800</v>
      </c>
      <c r="P319" s="4">
        <f>_xll.IMDP("STK",표.실시간[[#This Row],[nxt_code]],"고가")</f>
        <v>49900</v>
      </c>
      <c r="Q319" s="4">
        <f>_xll.IMDP("STK",표.실시간[[#This Row],[nxt_code]],"저가")</f>
        <v>47350</v>
      </c>
      <c r="R319">
        <f>_xll.IMDP("STK",표.실시간[[#This Row],[nxt_code]],"세션명")</f>
        <v>0</v>
      </c>
      <c r="S319">
        <f>_xll.IMDP("STK",표.실시간[[#This Row],[nxt_code]],"체결시간")</f>
        <v>0</v>
      </c>
      <c r="T319" s="4">
        <f>_xll.IMDP("STK","095610","현재가")</f>
        <v>47950</v>
      </c>
      <c r="U319">
        <f>_xll.IMDP("STK","095610","누적거래량")</f>
        <v>18962</v>
      </c>
    </row>
    <row r="320" spans="3:21" x14ac:dyDescent="0.3">
      <c r="C320">
        <v>315</v>
      </c>
      <c r="D320">
        <v>192400</v>
      </c>
      <c r="E320" t="s">
        <v>332</v>
      </c>
      <c r="F320" t="str">
        <f>ConvertStockCode(표.실시간[[#This Row],[코드]])</f>
        <v>N192400</v>
      </c>
      <c r="G320" s="4">
        <f>_xll.IMDP("STK",표.실시간[[#This Row],[nxt_code]],"현재가")</f>
        <v>27300</v>
      </c>
      <c r="H320" s="4">
        <f>_xll.IMDP("STK",표.실시간[[#This Row],[nxt_code]],"시가총액")/10^12</f>
        <v>0.97084765049999999</v>
      </c>
      <c r="I320" t="str">
        <f>_xll.IMDP("","","전일대비부호")</f>
        <v>코드오류</v>
      </c>
      <c r="J320" s="5">
        <f>_xll.IMDP("STK",표.실시간[[#This Row],[nxt_code]],"전일대비")</f>
        <v>0</v>
      </c>
      <c r="K320">
        <f>_xll.IMDP("STK",표.실시간[[#This Row],[nxt_code]],"등락률")</f>
        <v>0</v>
      </c>
      <c r="L320" s="4">
        <f>_xll.IMDP("STK",표.실시간[[#This Row],[nxt_code]],"누적거래량")</f>
        <v>217</v>
      </c>
      <c r="M320" s="4">
        <f>_xll.IMDP("STK",표.실시간[[#This Row],[nxt_code]],"누적거래대금")</f>
        <v>5959300</v>
      </c>
      <c r="N320" s="4">
        <f>_xll.IMDP("STK",표.실시간[[#This Row],[nxt_code]],"가중평균가")</f>
        <v>27462.211982000001</v>
      </c>
      <c r="O320" s="4">
        <f>_xll.IMDP("STK",표.실시간[[#This Row],[nxt_code]],"시가")</f>
        <v>27400</v>
      </c>
      <c r="P320" s="4">
        <f>_xll.IMDP("STK",표.실시간[[#This Row],[nxt_code]],"고가")</f>
        <v>27900</v>
      </c>
      <c r="Q320" s="4">
        <f>_xll.IMDP("STK",표.실시간[[#This Row],[nxt_code]],"저가")</f>
        <v>27300</v>
      </c>
      <c r="R320">
        <f>_xll.IMDP("STK",표.실시간[[#This Row],[nxt_code]],"세션명")</f>
        <v>0</v>
      </c>
      <c r="S320">
        <f>_xll.IMDP("STK",표.실시간[[#This Row],[nxt_code]],"체결시간")</f>
        <v>0</v>
      </c>
      <c r="T320" s="4">
        <f>_xll.IMDP("STK","192400","현재가")</f>
        <v>27250</v>
      </c>
      <c r="U320">
        <f>_xll.IMDP("STK","192400","누적거래량")</f>
        <v>44</v>
      </c>
    </row>
    <row r="321" spans="3:21" x14ac:dyDescent="0.3">
      <c r="C321">
        <v>316</v>
      </c>
      <c r="D321">
        <v>670</v>
      </c>
      <c r="E321" t="s">
        <v>333</v>
      </c>
      <c r="F321" t="str">
        <f>ConvertStockCode(표.실시간[[#This Row],[코드]])</f>
        <v>N000670</v>
      </c>
      <c r="G321" s="4">
        <f>_xll.IMDP("STK",표.실시간[[#This Row],[nxt_code]],"현재가")</f>
        <v>54700</v>
      </c>
      <c r="H321" s="4">
        <f>_xll.IMDP("STK",표.실시간[[#This Row],[nxt_code]],"시가총액")/10^12</f>
        <v>0.98886386500000001</v>
      </c>
      <c r="I321" t="str">
        <f>_xll.IMDP("","","전일대비부호")</f>
        <v>코드오류</v>
      </c>
      <c r="J321" s="5">
        <f>_xll.IMDP("STK",표.실시간[[#This Row],[nxt_code]],"전일대비")</f>
        <v>400</v>
      </c>
      <c r="K321">
        <f>_xll.IMDP("STK",표.실시간[[#This Row],[nxt_code]],"등락률")</f>
        <v>0.74</v>
      </c>
      <c r="L321" s="4">
        <f>_xll.IMDP("STK",표.실시간[[#This Row],[nxt_code]],"누적거래량")</f>
        <v>4003</v>
      </c>
      <c r="M321" s="4">
        <f>_xll.IMDP("STK",표.실시간[[#This Row],[nxt_code]],"누적거래대금")</f>
        <v>218047600</v>
      </c>
      <c r="N321" s="4">
        <f>_xll.IMDP("STK",표.실시간[[#This Row],[nxt_code]],"가중평균가")</f>
        <v>54471.046714999997</v>
      </c>
      <c r="O321" s="4">
        <f>_xll.IMDP("STK",표.실시간[[#This Row],[nxt_code]],"시가")</f>
        <v>54700</v>
      </c>
      <c r="P321" s="4">
        <f>_xll.IMDP("STK",표.실시간[[#This Row],[nxt_code]],"고가")</f>
        <v>55500</v>
      </c>
      <c r="Q321" s="4">
        <f>_xll.IMDP("STK",표.실시간[[#This Row],[nxt_code]],"저가")</f>
        <v>53900</v>
      </c>
      <c r="R321">
        <f>_xll.IMDP("STK",표.실시간[[#This Row],[nxt_code]],"세션명")</f>
        <v>0</v>
      </c>
      <c r="S321">
        <f>_xll.IMDP("STK",표.실시간[[#This Row],[nxt_code]],"체결시간")</f>
        <v>0</v>
      </c>
      <c r="T321" s="4">
        <f>_xll.IMDP("STK","000670","현재가")</f>
        <v>54600</v>
      </c>
      <c r="U321">
        <f>_xll.IMDP("STK","000670","누적거래량")</f>
        <v>516</v>
      </c>
    </row>
    <row r="322" spans="3:21" x14ac:dyDescent="0.3">
      <c r="C322">
        <v>317</v>
      </c>
      <c r="D322">
        <v>137400</v>
      </c>
      <c r="E322" t="s">
        <v>334</v>
      </c>
      <c r="F322" t="str">
        <f>ConvertStockCode(표.실시간[[#This Row],[코드]])</f>
        <v>N137400</v>
      </c>
      <c r="G322" s="4">
        <f>_xll.IMDP("STK",표.실시간[[#This Row],[nxt_code]],"현재가")</f>
        <v>45300</v>
      </c>
      <c r="H322" s="4">
        <f>_xll.IMDP("STK",표.실시간[[#This Row],[nxt_code]],"시가총액")/10^12</f>
        <v>1.0731899784000001</v>
      </c>
      <c r="I322" t="str">
        <f>_xll.IMDP("","","전일대비부호")</f>
        <v>코드오류</v>
      </c>
      <c r="J322" s="5">
        <f>_xll.IMDP("STK",표.실시간[[#This Row],[nxt_code]],"전일대비")</f>
        <v>1350</v>
      </c>
      <c r="K322">
        <f>_xll.IMDP("STK",표.실시간[[#This Row],[nxt_code]],"등락률")</f>
        <v>3.07</v>
      </c>
      <c r="L322" s="4">
        <f>_xll.IMDP("STK",표.실시간[[#This Row],[nxt_code]],"누적거래량")</f>
        <v>406005</v>
      </c>
      <c r="M322" s="4">
        <f>_xll.IMDP("STK",표.실시간[[#This Row],[nxt_code]],"누적거래대금")</f>
        <v>18636503850</v>
      </c>
      <c r="N322" s="4">
        <f>_xll.IMDP("STK",표.실시간[[#This Row],[nxt_code]],"가중평균가")</f>
        <v>45902.138714000001</v>
      </c>
      <c r="O322" s="4">
        <f>_xll.IMDP("STK",표.실시간[[#This Row],[nxt_code]],"시가")</f>
        <v>44550</v>
      </c>
      <c r="P322" s="4">
        <f>_xll.IMDP("STK",표.실시간[[#This Row],[nxt_code]],"고가")</f>
        <v>46600</v>
      </c>
      <c r="Q322" s="4">
        <f>_xll.IMDP("STK",표.실시간[[#This Row],[nxt_code]],"저가")</f>
        <v>43950</v>
      </c>
      <c r="R322">
        <f>_xll.IMDP("STK",표.실시간[[#This Row],[nxt_code]],"세션명")</f>
        <v>0</v>
      </c>
      <c r="S322">
        <f>_xll.IMDP("STK",표.실시간[[#This Row],[nxt_code]],"체결시간")</f>
        <v>0</v>
      </c>
      <c r="T322" s="4">
        <f>_xll.IMDP("STK","137400","현재가")</f>
        <v>45350</v>
      </c>
      <c r="U322">
        <f>_xll.IMDP("STK","137400","누적거래량")</f>
        <v>65283</v>
      </c>
    </row>
    <row r="323" spans="3:21" x14ac:dyDescent="0.3">
      <c r="C323">
        <v>318</v>
      </c>
      <c r="D323">
        <v>6730</v>
      </c>
      <c r="E323" t="s">
        <v>335</v>
      </c>
      <c r="F323" t="str">
        <f>ConvertStockCode(표.실시간[[#This Row],[코드]])</f>
        <v>N006730</v>
      </c>
      <c r="G323" s="4">
        <f>_xll.IMDP("STK",표.실시간[[#This Row],[nxt_code]],"현재가")</f>
        <v>15230</v>
      </c>
      <c r="H323" s="4">
        <f>_xll.IMDP("STK",표.실시간[[#This Row],[nxt_code]],"시가총액")/10^12</f>
        <v>0.99143411421000005</v>
      </c>
      <c r="I323" t="str">
        <f>_xll.IMDP("","","전일대비부호")</f>
        <v>코드오류</v>
      </c>
      <c r="J323" s="5">
        <f>_xll.IMDP("STK",표.실시간[[#This Row],[nxt_code]],"전일대비")</f>
        <v>170</v>
      </c>
      <c r="K323">
        <f>_xll.IMDP("STK",표.실시간[[#This Row],[nxt_code]],"등락률")</f>
        <v>1.39</v>
      </c>
      <c r="L323" s="4">
        <f>_xll.IMDP("STK",표.실시간[[#This Row],[nxt_code]],"누적거래량")</f>
        <v>523954</v>
      </c>
      <c r="M323" s="4">
        <f>_xll.IMDP("STK",표.실시간[[#This Row],[nxt_code]],"누적거래대금")</f>
        <v>8111002410</v>
      </c>
      <c r="N323" s="4">
        <f>_xll.IMDP("STK",표.실시간[[#This Row],[nxt_code]],"가중평균가")</f>
        <v>15468.208495999999</v>
      </c>
      <c r="O323" s="4">
        <f>_xll.IMDP("STK",표.실시간[[#This Row],[nxt_code]],"시가")</f>
        <v>15120</v>
      </c>
      <c r="P323" s="4">
        <f>_xll.IMDP("STK",표.실시간[[#This Row],[nxt_code]],"고가")</f>
        <v>15740</v>
      </c>
      <c r="Q323" s="4">
        <f>_xll.IMDP("STK",표.실시간[[#This Row],[nxt_code]],"저가")</f>
        <v>15100</v>
      </c>
      <c r="R323">
        <f>_xll.IMDP("STK",표.실시간[[#This Row],[nxt_code]],"세션명")</f>
        <v>0</v>
      </c>
      <c r="S323">
        <f>_xll.IMDP("STK",표.실시간[[#This Row],[nxt_code]],"체결시간")</f>
        <v>0</v>
      </c>
      <c r="T323" s="4">
        <f>_xll.IMDP("STK","006730","현재가")</f>
        <v>15310</v>
      </c>
      <c r="U323">
        <f>_xll.IMDP("STK","006730","누적거래량")</f>
        <v>77013</v>
      </c>
    </row>
    <row r="324" spans="3:21" x14ac:dyDescent="0.3">
      <c r="C324">
        <v>319</v>
      </c>
      <c r="D324">
        <v>218410</v>
      </c>
      <c r="E324" t="s">
        <v>336</v>
      </c>
      <c r="F324" t="str">
        <f>ConvertStockCode(표.실시간[[#This Row],[코드]])</f>
        <v>N218410</v>
      </c>
      <c r="G324" s="4">
        <f>_xll.IMDP("STK",표.실시간[[#This Row],[nxt_code]],"현재가")</f>
        <v>34050</v>
      </c>
      <c r="H324" s="4">
        <f>_xll.IMDP("STK",표.실시간[[#This Row],[nxt_code]],"시가총액")/10^12</f>
        <v>0.90244220009999998</v>
      </c>
      <c r="I324" t="str">
        <f>_xll.IMDP("","","전일대비부호")</f>
        <v>코드오류</v>
      </c>
      <c r="J324" s="5">
        <f>_xll.IMDP("STK",표.실시간[[#This Row],[nxt_code]],"전일대비")</f>
        <v>-450</v>
      </c>
      <c r="K324">
        <f>_xll.IMDP("STK",표.실시간[[#This Row],[nxt_code]],"등락률")</f>
        <v>-1.3</v>
      </c>
      <c r="L324" s="4">
        <f>_xll.IMDP("STK",표.실시간[[#This Row],[nxt_code]],"누적거래량")</f>
        <v>30537</v>
      </c>
      <c r="M324" s="4">
        <f>_xll.IMDP("STK",표.실시간[[#This Row],[nxt_code]],"누적거래대금")</f>
        <v>1047376800</v>
      </c>
      <c r="N324" s="4">
        <f>_xll.IMDP("STK",표.실시간[[#This Row],[nxt_code]],"가중평균가")</f>
        <v>34298.614795000001</v>
      </c>
      <c r="O324" s="4">
        <f>_xll.IMDP("STK",표.실시간[[#This Row],[nxt_code]],"시가")</f>
        <v>34550</v>
      </c>
      <c r="P324" s="4">
        <f>_xll.IMDP("STK",표.실시간[[#This Row],[nxt_code]],"고가")</f>
        <v>34550</v>
      </c>
      <c r="Q324" s="4">
        <f>_xll.IMDP("STK",표.실시간[[#This Row],[nxt_code]],"저가")</f>
        <v>34050</v>
      </c>
      <c r="R324">
        <f>_xll.IMDP("STK",표.실시간[[#This Row],[nxt_code]],"세션명")</f>
        <v>0</v>
      </c>
      <c r="S324">
        <f>_xll.IMDP("STK",표.실시간[[#This Row],[nxt_code]],"체결시간")</f>
        <v>0</v>
      </c>
      <c r="T324" s="4">
        <f>_xll.IMDP("STK","218410","현재가")</f>
        <v>34150</v>
      </c>
      <c r="U324">
        <f>_xll.IMDP("STK","218410","누적거래량")</f>
        <v>1841</v>
      </c>
    </row>
    <row r="325" spans="3:21" x14ac:dyDescent="0.3">
      <c r="C325">
        <v>320</v>
      </c>
      <c r="D325">
        <v>36530</v>
      </c>
      <c r="E325" t="s">
        <v>337</v>
      </c>
      <c r="F325" t="str">
        <f>ConvertStockCode(표.실시간[[#This Row],[코드]])</f>
        <v>N036530</v>
      </c>
      <c r="G325" s="4">
        <f>_xll.IMDP("STK",표.실시간[[#This Row],[nxt_code]],"현재가")</f>
        <v>56500</v>
      </c>
      <c r="H325" s="4">
        <f>_xll.IMDP("STK",표.실시간[[#This Row],[nxt_code]],"시가총액")/10^12</f>
        <v>0.92116955899999997</v>
      </c>
      <c r="I325" t="str">
        <f>_xll.IMDP("","","전일대비부호")</f>
        <v>코드오류</v>
      </c>
      <c r="J325" s="5">
        <f>_xll.IMDP("STK",표.실시간[[#This Row],[nxt_code]],"전일대비")</f>
        <v>700</v>
      </c>
      <c r="K325">
        <f>_xll.IMDP("STK",표.실시간[[#This Row],[nxt_code]],"등락률")</f>
        <v>1.25</v>
      </c>
      <c r="L325" s="4">
        <f>_xll.IMDP("STK",표.실시간[[#This Row],[nxt_code]],"누적거래량")</f>
        <v>337</v>
      </c>
      <c r="M325" s="4">
        <f>_xll.IMDP("STK",표.실시간[[#This Row],[nxt_code]],"누적거래대금")</f>
        <v>19123500</v>
      </c>
      <c r="N325" s="4">
        <f>_xll.IMDP("STK",표.실시간[[#This Row],[nxt_code]],"가중평균가")</f>
        <v>56746.290801000003</v>
      </c>
      <c r="O325" s="4">
        <f>_xll.IMDP("STK",표.실시간[[#This Row],[nxt_code]],"시가")</f>
        <v>57200</v>
      </c>
      <c r="P325" s="4">
        <f>_xll.IMDP("STK",표.실시간[[#This Row],[nxt_code]],"고가")</f>
        <v>57200</v>
      </c>
      <c r="Q325" s="4">
        <f>_xll.IMDP("STK",표.실시간[[#This Row],[nxt_code]],"저가")</f>
        <v>56500</v>
      </c>
      <c r="R325">
        <f>_xll.IMDP("STK",표.실시간[[#This Row],[nxt_code]],"세션명")</f>
        <v>0</v>
      </c>
      <c r="S325">
        <f>_xll.IMDP("STK",표.실시간[[#This Row],[nxt_code]],"체결시간")</f>
        <v>0</v>
      </c>
      <c r="T325" s="4">
        <f>_xll.IMDP("STK","036530","현재가")</f>
        <v>56800</v>
      </c>
      <c r="U325">
        <f>_xll.IMDP("STK","036530","누적거래량")</f>
        <v>49</v>
      </c>
    </row>
    <row r="326" spans="3:21" x14ac:dyDescent="0.3">
      <c r="C326">
        <v>321</v>
      </c>
      <c r="D326">
        <v>389470</v>
      </c>
      <c r="E326" t="s">
        <v>338</v>
      </c>
      <c r="F326" t="str">
        <f>ConvertStockCode(표.실시간[[#This Row],[코드]])</f>
        <v>N389470</v>
      </c>
      <c r="G326" s="4">
        <f>_xll.IMDP("STK",표.실시간[[#This Row],[nxt_code]],"현재가")</f>
        <v>75900</v>
      </c>
      <c r="H326" s="4">
        <f>_xll.IMDP("STK",표.실시간[[#This Row],[nxt_code]],"시가총액")/10^12</f>
        <v>0.96690869550000003</v>
      </c>
      <c r="I326" t="str">
        <f>_xll.IMDP("","","전일대비부호")</f>
        <v>코드오류</v>
      </c>
      <c r="J326" s="5">
        <f>_xll.IMDP("STK",표.실시간[[#This Row],[nxt_code]],"전일대비")</f>
        <v>-500</v>
      </c>
      <c r="K326">
        <f>_xll.IMDP("STK",표.실시간[[#This Row],[nxt_code]],"등락률")</f>
        <v>-0.65</v>
      </c>
      <c r="L326" s="4">
        <f>_xll.IMDP("STK",표.실시간[[#This Row],[nxt_code]],"누적거래량")</f>
        <v>4426</v>
      </c>
      <c r="M326" s="4">
        <f>_xll.IMDP("STK",표.실시간[[#This Row],[nxt_code]],"누적거래대금")</f>
        <v>337698000</v>
      </c>
      <c r="N326" s="4">
        <f>_xll.IMDP("STK",표.실시간[[#This Row],[nxt_code]],"가중평균가")</f>
        <v>76298.689562</v>
      </c>
      <c r="O326" s="4">
        <f>_xll.IMDP("STK",표.실시간[[#This Row],[nxt_code]],"시가")</f>
        <v>76900</v>
      </c>
      <c r="P326" s="4">
        <f>_xll.IMDP("STK",표.실시간[[#This Row],[nxt_code]],"고가")</f>
        <v>76900</v>
      </c>
      <c r="Q326" s="4">
        <f>_xll.IMDP("STK",표.실시간[[#This Row],[nxt_code]],"저가")</f>
        <v>75700</v>
      </c>
      <c r="R326">
        <f>_xll.IMDP("STK",표.실시간[[#This Row],[nxt_code]],"세션명")</f>
        <v>0</v>
      </c>
      <c r="S326">
        <f>_xll.IMDP("STK",표.실시간[[#This Row],[nxt_code]],"체결시간")</f>
        <v>0</v>
      </c>
      <c r="T326" s="4">
        <f>_xll.IMDP("STK","389470","현재가")</f>
        <v>76100</v>
      </c>
      <c r="U326">
        <f>_xll.IMDP("STK","389470","누적거래량")</f>
        <v>2194</v>
      </c>
    </row>
    <row r="327" spans="3:21" x14ac:dyDescent="0.3">
      <c r="C327">
        <v>322</v>
      </c>
      <c r="D327">
        <v>56190</v>
      </c>
      <c r="E327" t="s">
        <v>339</v>
      </c>
      <c r="F327" t="str">
        <f>ConvertStockCode(표.실시간[[#This Row],[코드]])</f>
        <v>N056190</v>
      </c>
      <c r="G327" s="4">
        <f>_xll.IMDP("STK",표.실시간[[#This Row],[nxt_code]],"현재가")</f>
        <v>26050</v>
      </c>
      <c r="H327" s="4">
        <f>_xll.IMDP("STK",표.실시간[[#This Row],[nxt_code]],"시가총액")/10^12</f>
        <v>0.93542319799999996</v>
      </c>
      <c r="I327" t="str">
        <f>_xll.IMDP("","","전일대비부호")</f>
        <v>코드오류</v>
      </c>
      <c r="J327" s="5">
        <f>_xll.IMDP("STK",표.실시간[[#This Row],[nxt_code]],"전일대비")</f>
        <v>-250</v>
      </c>
      <c r="K327">
        <f>_xll.IMDP("STK",표.실시간[[#This Row],[nxt_code]],"등락률")</f>
        <v>-0.95</v>
      </c>
      <c r="L327" s="4">
        <f>_xll.IMDP("STK",표.실시간[[#This Row],[nxt_code]],"누적거래량")</f>
        <v>20651</v>
      </c>
      <c r="M327" s="4">
        <f>_xll.IMDP("STK",표.실시간[[#This Row],[nxt_code]],"누적거래대금")</f>
        <v>538422600</v>
      </c>
      <c r="N327" s="4">
        <f>_xll.IMDP("STK",표.실시간[[#This Row],[nxt_code]],"가중평균가")</f>
        <v>26072.471066999999</v>
      </c>
      <c r="O327" s="4">
        <f>_xll.IMDP("STK",표.실시간[[#This Row],[nxt_code]],"시가")</f>
        <v>26300</v>
      </c>
      <c r="P327" s="4">
        <f>_xll.IMDP("STK",표.실시간[[#This Row],[nxt_code]],"고가")</f>
        <v>26500</v>
      </c>
      <c r="Q327" s="4">
        <f>_xll.IMDP("STK",표.실시간[[#This Row],[nxt_code]],"저가")</f>
        <v>25850</v>
      </c>
      <c r="R327">
        <f>_xll.IMDP("STK",표.실시간[[#This Row],[nxt_code]],"세션명")</f>
        <v>0</v>
      </c>
      <c r="S327">
        <f>_xll.IMDP("STK",표.실시간[[#This Row],[nxt_code]],"체결시간")</f>
        <v>0</v>
      </c>
      <c r="T327" s="4">
        <f>_xll.IMDP("STK","056190","현재가")</f>
        <v>26000</v>
      </c>
      <c r="U327">
        <f>_xll.IMDP("STK","056190","누적거래량")</f>
        <v>5364</v>
      </c>
    </row>
    <row r="328" spans="3:21" x14ac:dyDescent="0.3">
      <c r="C328">
        <v>323</v>
      </c>
      <c r="D328">
        <v>82920</v>
      </c>
      <c r="E328" t="s">
        <v>340</v>
      </c>
      <c r="F328" t="str">
        <f>ConvertStockCode(표.실시간[[#This Row],[코드]])</f>
        <v>N082920</v>
      </c>
      <c r="G328" s="4">
        <f>_xll.IMDP("STK",표.실시간[[#This Row],[nxt_code]],"현재가")</f>
        <v>21150</v>
      </c>
      <c r="H328" s="4">
        <f>_xll.IMDP("STK",표.실시간[[#This Row],[nxt_code]],"시가총액")/10^12</f>
        <v>0.95892993854999997</v>
      </c>
      <c r="I328" t="str">
        <f>_xll.IMDP("","","전일대비부호")</f>
        <v>코드오류</v>
      </c>
      <c r="J328" s="5">
        <f>_xll.IMDP("STK",표.실시간[[#This Row],[nxt_code]],"전일대비")</f>
        <v>950</v>
      </c>
      <c r="K328">
        <f>_xll.IMDP("STK",표.실시간[[#This Row],[nxt_code]],"등락률")</f>
        <v>4.4400000000000004</v>
      </c>
      <c r="L328" s="4">
        <f>_xll.IMDP("STK",표.실시간[[#This Row],[nxt_code]],"누적거래량")</f>
        <v>130735</v>
      </c>
      <c r="M328" s="4">
        <f>_xll.IMDP("STK",표.실시간[[#This Row],[nxt_code]],"누적거래대금")</f>
        <v>2776777050</v>
      </c>
      <c r="N328" s="4">
        <f>_xll.IMDP("STK",표.실시간[[#This Row],[nxt_code]],"가중평균가")</f>
        <v>21239.737255</v>
      </c>
      <c r="O328" s="4">
        <f>_xll.IMDP("STK",표.실시간[[#This Row],[nxt_code]],"시가")</f>
        <v>21400</v>
      </c>
      <c r="P328" s="4">
        <f>_xll.IMDP("STK",표.실시간[[#This Row],[nxt_code]],"고가")</f>
        <v>22200</v>
      </c>
      <c r="Q328" s="4">
        <f>_xll.IMDP("STK",표.실시간[[#This Row],[nxt_code]],"저가")</f>
        <v>20800</v>
      </c>
      <c r="R328">
        <f>_xll.IMDP("STK",표.실시간[[#This Row],[nxt_code]],"세션명")</f>
        <v>0</v>
      </c>
      <c r="S328">
        <f>_xll.IMDP("STK",표.실시간[[#This Row],[nxt_code]],"체결시간")</f>
        <v>0</v>
      </c>
      <c r="T328" s="4">
        <f>_xll.IMDP("STK","082920","현재가")</f>
        <v>21100</v>
      </c>
      <c r="U328">
        <f>_xll.IMDP("STK","082920","누적거래량")</f>
        <v>26788</v>
      </c>
    </row>
    <row r="329" spans="3:21" x14ac:dyDescent="0.3">
      <c r="C329">
        <v>324</v>
      </c>
      <c r="D329">
        <v>90360</v>
      </c>
      <c r="E329" t="s">
        <v>341</v>
      </c>
      <c r="F329" t="str">
        <f>ConvertStockCode(표.실시간[[#This Row],[코드]])</f>
        <v>N090360</v>
      </c>
      <c r="G329" s="4">
        <f>_xll.IMDP("STK",표.실시간[[#This Row],[nxt_code]],"현재가")</f>
        <v>83900</v>
      </c>
      <c r="H329" s="4">
        <f>_xll.IMDP("STK",표.실시간[[#This Row],[nxt_code]],"시가총액")/10^12</f>
        <v>0.818025</v>
      </c>
      <c r="I329" t="str">
        <f>_xll.IMDP("","","전일대비부호")</f>
        <v>코드오류</v>
      </c>
      <c r="J329" s="5">
        <f>_xll.IMDP("STK",표.실시간[[#This Row],[nxt_code]],"전일대비")</f>
        <v>-1700</v>
      </c>
      <c r="K329">
        <f>_xll.IMDP("STK",표.실시간[[#This Row],[nxt_code]],"등락률")</f>
        <v>-1.99</v>
      </c>
      <c r="L329" s="4">
        <f>_xll.IMDP("STK",표.실시간[[#This Row],[nxt_code]],"누적거래량")</f>
        <v>87561</v>
      </c>
      <c r="M329" s="4">
        <f>_xll.IMDP("STK",표.실시간[[#This Row],[nxt_code]],"누적거래대금")</f>
        <v>7473886100</v>
      </c>
      <c r="N329" s="4">
        <f>_xll.IMDP("STK",표.실시간[[#This Row],[nxt_code]],"가중평균가")</f>
        <v>85356.335582999993</v>
      </c>
      <c r="O329" s="4">
        <f>_xll.IMDP("STK",표.실시간[[#This Row],[nxt_code]],"시가")</f>
        <v>82000</v>
      </c>
      <c r="P329" s="4">
        <f>_xll.IMDP("STK",표.실시간[[#This Row],[nxt_code]],"고가")</f>
        <v>87500</v>
      </c>
      <c r="Q329" s="4">
        <f>_xll.IMDP("STK",표.실시간[[#This Row],[nxt_code]],"저가")</f>
        <v>81600</v>
      </c>
      <c r="R329">
        <f>_xll.IMDP("STK",표.실시간[[#This Row],[nxt_code]],"세션명")</f>
        <v>0</v>
      </c>
      <c r="S329">
        <f>_xll.IMDP("STK",표.실시간[[#This Row],[nxt_code]],"체결시간")</f>
        <v>0</v>
      </c>
      <c r="T329" s="4">
        <f>_xll.IMDP("STK","090360","현재가")</f>
        <v>83900</v>
      </c>
      <c r="U329">
        <f>_xll.IMDP("STK","090360","누적거래량")</f>
        <v>9507</v>
      </c>
    </row>
    <row r="330" spans="3:21" x14ac:dyDescent="0.3">
      <c r="C330">
        <v>325</v>
      </c>
      <c r="D330">
        <v>4490</v>
      </c>
      <c r="E330" t="s">
        <v>342</v>
      </c>
      <c r="F330" t="str">
        <f>ConvertStockCode(표.실시간[[#This Row],[코드]])</f>
        <v>N004490</v>
      </c>
      <c r="G330" s="4">
        <f>_xll.IMDP("STK",표.실시간[[#This Row],[nxt_code]],"현재가")</f>
        <v>64700</v>
      </c>
      <c r="H330" s="4">
        <f>_xll.IMDP("STK",표.실시간[[#This Row],[nxt_code]],"시가총액")/10^12</f>
        <v>0.90580000000000005</v>
      </c>
      <c r="I330" t="str">
        <f>_xll.IMDP("","","전일대비부호")</f>
        <v>코드오류</v>
      </c>
      <c r="J330" s="5">
        <f>_xll.IMDP("STK",표.실시간[[#This Row],[nxt_code]],"전일대비")</f>
        <v>200</v>
      </c>
      <c r="K330">
        <f>_xll.IMDP("STK",표.실시간[[#This Row],[nxt_code]],"등락률")</f>
        <v>0.31</v>
      </c>
      <c r="L330" s="4">
        <f>_xll.IMDP("STK",표.실시간[[#This Row],[nxt_code]],"누적거래량")</f>
        <v>4461</v>
      </c>
      <c r="M330" s="4">
        <f>_xll.IMDP("STK",표.실시간[[#This Row],[nxt_code]],"누적거래대금")</f>
        <v>289957200</v>
      </c>
      <c r="N330" s="4">
        <f>_xll.IMDP("STK",표.실시간[[#This Row],[nxt_code]],"가중평균가")</f>
        <v>64998.251513000003</v>
      </c>
      <c r="O330" s="4">
        <f>_xll.IMDP("STK",표.실시간[[#This Row],[nxt_code]],"시가")</f>
        <v>65200</v>
      </c>
      <c r="P330" s="4">
        <f>_xll.IMDP("STK",표.실시간[[#This Row],[nxt_code]],"고가")</f>
        <v>65500</v>
      </c>
      <c r="Q330" s="4">
        <f>_xll.IMDP("STK",표.실시간[[#This Row],[nxt_code]],"저가")</f>
        <v>64500</v>
      </c>
      <c r="R330">
        <f>_xll.IMDP("STK",표.실시간[[#This Row],[nxt_code]],"세션명")</f>
        <v>0</v>
      </c>
      <c r="S330">
        <f>_xll.IMDP("STK",표.실시간[[#This Row],[nxt_code]],"체결시간")</f>
        <v>0</v>
      </c>
      <c r="T330" s="4">
        <f>_xll.IMDP("STK","004490","현재가")</f>
        <v>64800</v>
      </c>
      <c r="U330">
        <f>_xll.IMDP("STK","004490","누적거래량")</f>
        <v>2966</v>
      </c>
    </row>
    <row r="331" spans="3:21" x14ac:dyDescent="0.3">
      <c r="C331">
        <v>326</v>
      </c>
      <c r="D331">
        <v>36540</v>
      </c>
      <c r="E331" t="s">
        <v>343</v>
      </c>
      <c r="F331" t="str">
        <f>ConvertStockCode(표.실시간[[#This Row],[코드]])</f>
        <v>N036540</v>
      </c>
      <c r="G331" s="4">
        <f>_xll.IMDP("STK",표.실시간[[#This Row],[nxt_code]],"현재가")</f>
        <v>5250</v>
      </c>
      <c r="H331" s="4">
        <f>_xll.IMDP("STK",표.실시간[[#This Row],[nxt_code]],"시가총액")/10^12</f>
        <v>0.86341659074999999</v>
      </c>
      <c r="I331" t="str">
        <f>_xll.IMDP("","","전일대비부호")</f>
        <v>코드오류</v>
      </c>
      <c r="J331" s="5">
        <f>_xll.IMDP("STK",표.실시간[[#This Row],[nxt_code]],"전일대비")</f>
        <v>-50</v>
      </c>
      <c r="K331">
        <f>_xll.IMDP("STK",표.실시간[[#This Row],[nxt_code]],"등락률")</f>
        <v>-0.94</v>
      </c>
      <c r="L331" s="4">
        <f>_xll.IMDP("STK",표.실시간[[#This Row],[nxt_code]],"누적거래량")</f>
        <v>217950</v>
      </c>
      <c r="M331" s="4">
        <f>_xll.IMDP("STK",표.실시간[[#This Row],[nxt_code]],"누적거래대금")</f>
        <v>1156333600</v>
      </c>
      <c r="N331" s="4">
        <f>_xll.IMDP("STK",표.실시간[[#This Row],[nxt_code]],"가중평균가")</f>
        <v>5305.4994260000003</v>
      </c>
      <c r="O331" s="4">
        <f>_xll.IMDP("STK",표.실시간[[#This Row],[nxt_code]],"시가")</f>
        <v>5330</v>
      </c>
      <c r="P331" s="4">
        <f>_xll.IMDP("STK",표.실시간[[#This Row],[nxt_code]],"고가")</f>
        <v>5370</v>
      </c>
      <c r="Q331" s="4">
        <f>_xll.IMDP("STK",표.실시간[[#This Row],[nxt_code]],"저가")</f>
        <v>5240</v>
      </c>
      <c r="R331">
        <f>_xll.IMDP("STK",표.실시간[[#This Row],[nxt_code]],"세션명")</f>
        <v>0</v>
      </c>
      <c r="S331">
        <f>_xll.IMDP("STK",표.실시간[[#This Row],[nxt_code]],"체결시간")</f>
        <v>0</v>
      </c>
      <c r="T331" s="4">
        <f>_xll.IMDP("STK","036540","현재가")</f>
        <v>5250</v>
      </c>
      <c r="U331">
        <f>_xll.IMDP("STK","036540","누적거래량")</f>
        <v>41544</v>
      </c>
    </row>
    <row r="332" spans="3:21" x14ac:dyDescent="0.3">
      <c r="C332">
        <v>327</v>
      </c>
      <c r="D332">
        <v>195870</v>
      </c>
      <c r="E332" t="s">
        <v>344</v>
      </c>
      <c r="F332" t="str">
        <f>ConvertStockCode(표.실시간[[#This Row],[코드]])</f>
        <v>N195870</v>
      </c>
      <c r="G332" s="4">
        <f>_xll.IMDP("STK",표.실시간[[#This Row],[nxt_code]],"현재가")</f>
        <v>52300</v>
      </c>
      <c r="H332" s="4">
        <f>_xll.IMDP("STK",표.실시간[[#This Row],[nxt_code]],"시가총액")/10^12</f>
        <v>0.8891</v>
      </c>
      <c r="I332" t="str">
        <f>_xll.IMDP("","","전일대비부호")</f>
        <v>코드오류</v>
      </c>
      <c r="J332" s="5">
        <f>_xll.IMDP("STK",표.실시간[[#This Row],[nxt_code]],"전일대비")</f>
        <v>-1000</v>
      </c>
      <c r="K332">
        <f>_xll.IMDP("STK",표.실시간[[#This Row],[nxt_code]],"등락률")</f>
        <v>-1.88</v>
      </c>
      <c r="L332" s="4">
        <f>_xll.IMDP("STK",표.실시간[[#This Row],[nxt_code]],"누적거래량")</f>
        <v>16135</v>
      </c>
      <c r="M332" s="4">
        <f>_xll.IMDP("STK",표.실시간[[#This Row],[nxt_code]],"누적거래대금")</f>
        <v>858307700</v>
      </c>
      <c r="N332" s="4">
        <f>_xll.IMDP("STK",표.실시간[[#This Row],[nxt_code]],"가중평균가")</f>
        <v>53195.395104000003</v>
      </c>
      <c r="O332" s="4">
        <f>_xll.IMDP("STK",표.실시간[[#This Row],[nxt_code]],"시가")</f>
        <v>53300</v>
      </c>
      <c r="P332" s="4">
        <f>_xll.IMDP("STK",표.실시간[[#This Row],[nxt_code]],"고가")</f>
        <v>54100</v>
      </c>
      <c r="Q332" s="4">
        <f>_xll.IMDP("STK",표.실시간[[#This Row],[nxt_code]],"저가")</f>
        <v>52300</v>
      </c>
      <c r="R332">
        <f>_xll.IMDP("STK",표.실시간[[#This Row],[nxt_code]],"세션명")</f>
        <v>0</v>
      </c>
      <c r="S332">
        <f>_xll.IMDP("STK",표.실시간[[#This Row],[nxt_code]],"체결시간")</f>
        <v>0</v>
      </c>
      <c r="T332" s="4">
        <f>_xll.IMDP("STK","195870","현재가")</f>
        <v>52200</v>
      </c>
      <c r="U332">
        <f>_xll.IMDP("STK","195870","누적거래량")</f>
        <v>5885</v>
      </c>
    </row>
    <row r="333" spans="3:21" x14ac:dyDescent="0.3">
      <c r="C333">
        <v>328</v>
      </c>
      <c r="D333">
        <v>417200</v>
      </c>
      <c r="E333" t="s">
        <v>345</v>
      </c>
      <c r="F333" t="str">
        <f>ConvertStockCode(표.실시간[[#This Row],[코드]])</f>
        <v>N417200</v>
      </c>
      <c r="G333" s="4">
        <f>_xll.IMDP("STK",표.실시간[[#This Row],[nxt_code]],"현재가")</f>
        <v>13360</v>
      </c>
      <c r="H333" s="4">
        <f>_xll.IMDP("STK",표.실시간[[#This Row],[nxt_code]],"시가총액")/10^12</f>
        <v>0.90383952424000003</v>
      </c>
      <c r="I333" t="str">
        <f>_xll.IMDP("","","전일대비부호")</f>
        <v>코드오류</v>
      </c>
      <c r="J333" s="5">
        <f>_xll.IMDP("STK",표.실시간[[#This Row],[nxt_code]],"전일대비")</f>
        <v>-40</v>
      </c>
      <c r="K333">
        <f>_xll.IMDP("STK",표.실시간[[#This Row],[nxt_code]],"등락률")</f>
        <v>-0.3</v>
      </c>
      <c r="L333" s="4">
        <f>_xll.IMDP("STK",표.실시간[[#This Row],[nxt_code]],"누적거래량")</f>
        <v>175438</v>
      </c>
      <c r="M333" s="4">
        <f>_xll.IMDP("STK",표.실시간[[#This Row],[nxt_code]],"누적거래대금")</f>
        <v>2379361370</v>
      </c>
      <c r="N333" s="4">
        <f>_xll.IMDP("STK",표.실시간[[#This Row],[nxt_code]],"가중평균가")</f>
        <v>13562.423228</v>
      </c>
      <c r="O333" s="4">
        <f>_xll.IMDP("STK",표.실시간[[#This Row],[nxt_code]],"시가")</f>
        <v>13700</v>
      </c>
      <c r="P333" s="4">
        <f>_xll.IMDP("STK",표.실시간[[#This Row],[nxt_code]],"고가")</f>
        <v>13740</v>
      </c>
      <c r="Q333" s="4">
        <f>_xll.IMDP("STK",표.실시간[[#This Row],[nxt_code]],"저가")</f>
        <v>13310</v>
      </c>
      <c r="R333">
        <f>_xll.IMDP("STK",표.실시간[[#This Row],[nxt_code]],"세션명")</f>
        <v>0</v>
      </c>
      <c r="S333">
        <f>_xll.IMDP("STK",표.실시간[[#This Row],[nxt_code]],"체결시간")</f>
        <v>0</v>
      </c>
      <c r="T333" s="4">
        <f>_xll.IMDP("STK","417200","현재가")</f>
        <v>13350</v>
      </c>
      <c r="U333">
        <f>_xll.IMDP("STK","417200","누적거래량")</f>
        <v>54428</v>
      </c>
    </row>
    <row r="334" spans="3:21" x14ac:dyDescent="0.3">
      <c r="C334">
        <v>329</v>
      </c>
      <c r="D334">
        <v>112040</v>
      </c>
      <c r="E334" t="s">
        <v>346</v>
      </c>
      <c r="F334" t="str">
        <f>ConvertStockCode(표.실시간[[#This Row],[코드]])</f>
        <v>N112040</v>
      </c>
      <c r="G334" s="4">
        <f>_xll.IMDP("STK",표.실시간[[#This Row],[nxt_code]],"현재가")</f>
        <v>25900</v>
      </c>
      <c r="H334" s="4">
        <f>_xll.IMDP("STK",표.실시간[[#This Row],[nxt_code]],"시가총액")/10^12</f>
        <v>0.87926570969999995</v>
      </c>
      <c r="I334" t="str">
        <f>_xll.IMDP("","","전일대비부호")</f>
        <v>코드오류</v>
      </c>
      <c r="J334" s="5">
        <f>_xll.IMDP("STK",표.실시간[[#This Row],[nxt_code]],"전일대비")</f>
        <v>50</v>
      </c>
      <c r="K334">
        <f>_xll.IMDP("STK",표.실시간[[#This Row],[nxt_code]],"등락률")</f>
        <v>0.19</v>
      </c>
      <c r="L334" s="4">
        <f>_xll.IMDP("STK",표.실시간[[#This Row],[nxt_code]],"누적거래량")</f>
        <v>15435</v>
      </c>
      <c r="M334" s="4">
        <f>_xll.IMDP("STK",표.실시간[[#This Row],[nxt_code]],"누적거래대금")</f>
        <v>399629950</v>
      </c>
      <c r="N334" s="4">
        <f>_xll.IMDP("STK",표.실시간[[#This Row],[nxt_code]],"가중평균가")</f>
        <v>25891.153223000001</v>
      </c>
      <c r="O334" s="4">
        <f>_xll.IMDP("STK",표.실시간[[#This Row],[nxt_code]],"시가")</f>
        <v>25850</v>
      </c>
      <c r="P334" s="4">
        <f>_xll.IMDP("STK",표.실시간[[#This Row],[nxt_code]],"고가")</f>
        <v>26050</v>
      </c>
      <c r="Q334" s="4">
        <f>_xll.IMDP("STK",표.실시간[[#This Row],[nxt_code]],"저가")</f>
        <v>25800</v>
      </c>
      <c r="R334">
        <f>_xll.IMDP("STK",표.실시간[[#This Row],[nxt_code]],"세션명")</f>
        <v>0</v>
      </c>
      <c r="S334">
        <f>_xll.IMDP("STK",표.실시간[[#This Row],[nxt_code]],"체결시간")</f>
        <v>0</v>
      </c>
      <c r="T334" s="4">
        <f>_xll.IMDP("STK","112040","현재가")</f>
        <v>25900</v>
      </c>
      <c r="U334">
        <f>_xll.IMDP("STK","112040","누적거래량")</f>
        <v>1166</v>
      </c>
    </row>
    <row r="335" spans="3:21" x14ac:dyDescent="0.3">
      <c r="C335">
        <v>330</v>
      </c>
      <c r="D335">
        <v>213420</v>
      </c>
      <c r="E335" t="s">
        <v>347</v>
      </c>
      <c r="F335" t="str">
        <f>ConvertStockCode(표.실시간[[#This Row],[코드]])</f>
        <v>N213420</v>
      </c>
      <c r="G335" s="4">
        <f>_xll.IMDP("STK",표.실시간[[#This Row],[nxt_code]],"현재가")</f>
        <v>36300</v>
      </c>
      <c r="H335" s="4">
        <f>_xll.IMDP("STK",표.실시간[[#This Row],[nxt_code]],"시가총액")/10^12</f>
        <v>0.90137179769999998</v>
      </c>
      <c r="I335" t="str">
        <f>_xll.IMDP("","","전일대비부호")</f>
        <v>코드오류</v>
      </c>
      <c r="J335" s="5">
        <f>_xll.IMDP("STK",표.실시간[[#This Row],[nxt_code]],"전일대비")</f>
        <v>300</v>
      </c>
      <c r="K335">
        <f>_xll.IMDP("STK",표.실시간[[#This Row],[nxt_code]],"등락률")</f>
        <v>0.83</v>
      </c>
      <c r="L335" s="4">
        <f>_xll.IMDP("STK",표.실시간[[#This Row],[nxt_code]],"누적거래량")</f>
        <v>11722</v>
      </c>
      <c r="M335" s="4">
        <f>_xll.IMDP("STK",표.실시간[[#This Row],[nxt_code]],"누적거래대금")</f>
        <v>425957800</v>
      </c>
      <c r="N335" s="4">
        <f>_xll.IMDP("STK",표.실시간[[#This Row],[nxt_code]],"가중평균가")</f>
        <v>36338.321106000003</v>
      </c>
      <c r="O335" s="4">
        <f>_xll.IMDP("STK",표.실시간[[#This Row],[nxt_code]],"시가")</f>
        <v>37000</v>
      </c>
      <c r="P335" s="4">
        <f>_xll.IMDP("STK",표.실시간[[#This Row],[nxt_code]],"고가")</f>
        <v>37000</v>
      </c>
      <c r="Q335" s="4">
        <f>_xll.IMDP("STK",표.실시간[[#This Row],[nxt_code]],"저가")</f>
        <v>36100</v>
      </c>
      <c r="R335">
        <f>_xll.IMDP("STK",표.실시간[[#This Row],[nxt_code]],"세션명")</f>
        <v>0</v>
      </c>
      <c r="S335">
        <f>_xll.IMDP("STK",표.실시간[[#This Row],[nxt_code]],"체결시간")</f>
        <v>0</v>
      </c>
      <c r="T335" s="4">
        <f>_xll.IMDP("STK","213420","현재가")</f>
        <v>36200</v>
      </c>
      <c r="U335">
        <f>_xll.IMDP("STK","213420","누적거래량")</f>
        <v>10934</v>
      </c>
    </row>
    <row r="336" spans="3:21" x14ac:dyDescent="0.3">
      <c r="C336">
        <v>331</v>
      </c>
      <c r="D336">
        <v>358570</v>
      </c>
      <c r="E336" t="s">
        <v>348</v>
      </c>
      <c r="F336" t="str">
        <f>ConvertStockCode(표.실시간[[#This Row],[코드]])</f>
        <v>N358570</v>
      </c>
      <c r="G336" s="4">
        <f>_xll.IMDP("STK",표.실시간[[#This Row],[nxt_code]],"현재가")</f>
        <v>13300</v>
      </c>
      <c r="H336" s="4">
        <f>_xll.IMDP("STK",표.실시간[[#This Row],[nxt_code]],"시가총액")/10^12</f>
        <v>0.84951078030000005</v>
      </c>
      <c r="I336" t="str">
        <f>_xll.IMDP("","","전일대비부호")</f>
        <v>코드오류</v>
      </c>
      <c r="J336" s="5">
        <f>_xll.IMDP("STK",표.실시간[[#This Row],[nxt_code]],"전일대비")</f>
        <v>-100</v>
      </c>
      <c r="K336">
        <f>_xll.IMDP("STK",표.실시간[[#This Row],[nxt_code]],"등락률")</f>
        <v>-0.75</v>
      </c>
      <c r="L336" s="4">
        <f>_xll.IMDP("STK",표.실시간[[#This Row],[nxt_code]],"누적거래량")</f>
        <v>50492</v>
      </c>
      <c r="M336" s="4">
        <f>_xll.IMDP("STK",표.실시간[[#This Row],[nxt_code]],"누적거래대금")</f>
        <v>710790430</v>
      </c>
      <c r="N336" s="4">
        <f>_xll.IMDP("STK",표.실시간[[#This Row],[nxt_code]],"가중평균가")</f>
        <v>13295.991882</v>
      </c>
      <c r="O336" s="4">
        <f>_xll.IMDP("STK",표.실시간[[#This Row],[nxt_code]],"시가")</f>
        <v>13530</v>
      </c>
      <c r="P336" s="4">
        <f>_xll.IMDP("STK",표.실시간[[#This Row],[nxt_code]],"고가")</f>
        <v>13530</v>
      </c>
      <c r="Q336" s="4">
        <f>_xll.IMDP("STK",표.실시간[[#This Row],[nxt_code]],"저가")</f>
        <v>13250</v>
      </c>
      <c r="R336">
        <f>_xll.IMDP("STK",표.실시간[[#This Row],[nxt_code]],"세션명")</f>
        <v>0</v>
      </c>
      <c r="S336">
        <f>_xll.IMDP("STK",표.실시간[[#This Row],[nxt_code]],"체결시간")</f>
        <v>0</v>
      </c>
      <c r="T336" s="4">
        <f>_xll.IMDP("STK","358570","현재가")</f>
        <v>13260</v>
      </c>
      <c r="U336">
        <f>_xll.IMDP("STK","358570","누적거래량")</f>
        <v>7725</v>
      </c>
    </row>
    <row r="337" spans="3:21" x14ac:dyDescent="0.3">
      <c r="C337">
        <v>332</v>
      </c>
      <c r="D337">
        <v>468530</v>
      </c>
      <c r="E337" t="s">
        <v>349</v>
      </c>
      <c r="F337" t="str">
        <f>ConvertStockCode(표.실시간[[#This Row],[코드]])</f>
        <v>N468530</v>
      </c>
      <c r="G337" s="4">
        <f>_xll.IMDP("STK",표.실시간[[#This Row],[nxt_code]],"현재가")</f>
        <v>79400</v>
      </c>
      <c r="H337" s="4">
        <f>_xll.IMDP("STK",표.실시간[[#This Row],[nxt_code]],"시가총액")/10^12</f>
        <v>0.86859471200000005</v>
      </c>
      <c r="I337" t="str">
        <f>_xll.IMDP("","","전일대비부호")</f>
        <v>코드오류</v>
      </c>
      <c r="J337" s="5">
        <f>_xll.IMDP("STK",표.실시간[[#This Row],[nxt_code]],"전일대비")</f>
        <v>1500</v>
      </c>
      <c r="K337">
        <f>_xll.IMDP("STK",표.실시간[[#This Row],[nxt_code]],"등락률")</f>
        <v>1.79</v>
      </c>
      <c r="L337" s="4">
        <f>_xll.IMDP("STK",표.실시간[[#This Row],[nxt_code]],"누적거래량")</f>
        <v>12135</v>
      </c>
      <c r="M337" s="4">
        <f>_xll.IMDP("STK",표.실시간[[#This Row],[nxt_code]],"누적거래대금")</f>
        <v>960875600</v>
      </c>
      <c r="N337" s="4">
        <f>_xll.IMDP("STK",표.실시간[[#This Row],[nxt_code]],"가중평균가")</f>
        <v>79182.167285000003</v>
      </c>
      <c r="O337" s="4">
        <f>_xll.IMDP("STK",표.실시간[[#This Row],[nxt_code]],"시가")</f>
        <v>78300</v>
      </c>
      <c r="P337" s="4">
        <f>_xll.IMDP("STK",표.실시간[[#This Row],[nxt_code]],"고가")</f>
        <v>79700</v>
      </c>
      <c r="Q337" s="4">
        <f>_xll.IMDP("STK",표.실시간[[#This Row],[nxt_code]],"저가")</f>
        <v>78200</v>
      </c>
      <c r="R337">
        <f>_xll.IMDP("STK",표.실시간[[#This Row],[nxt_code]],"세션명")</f>
        <v>0</v>
      </c>
      <c r="S337">
        <f>_xll.IMDP("STK",표.실시간[[#This Row],[nxt_code]],"체결시간")</f>
        <v>0</v>
      </c>
      <c r="T337" s="4">
        <f>_xll.IMDP("STK","468530","현재가")</f>
        <v>79500</v>
      </c>
      <c r="U337">
        <f>_xll.IMDP("STK","468530","누적거래량")</f>
        <v>2760</v>
      </c>
    </row>
    <row r="338" spans="3:21" x14ac:dyDescent="0.3">
      <c r="C338">
        <v>333</v>
      </c>
      <c r="D338">
        <v>86900</v>
      </c>
      <c r="E338" t="s">
        <v>350</v>
      </c>
      <c r="F338" t="str">
        <f>ConvertStockCode(표.실시간[[#This Row],[코드]])</f>
        <v>N086900</v>
      </c>
      <c r="G338" s="4">
        <f>_xll.IMDP("STK",표.실시간[[#This Row],[nxt_code]],"현재가")</f>
        <v>120200</v>
      </c>
      <c r="H338" s="4">
        <f>_xll.IMDP("STK",표.실시간[[#This Row],[nxt_code]],"시가총액")/10^12</f>
        <v>0.87727933940000002</v>
      </c>
      <c r="I338" t="str">
        <f>_xll.IMDP("","","전일대비부호")</f>
        <v>코드오류</v>
      </c>
      <c r="J338" s="5">
        <f>_xll.IMDP("STK",표.실시간[[#This Row],[nxt_code]],"전일대비")</f>
        <v>200</v>
      </c>
      <c r="K338">
        <f>_xll.IMDP("STK",표.실시간[[#This Row],[nxt_code]],"등락률")</f>
        <v>0.17</v>
      </c>
      <c r="L338" s="4">
        <f>_xll.IMDP("STK",표.실시간[[#This Row],[nxt_code]],"누적거래량")</f>
        <v>1079</v>
      </c>
      <c r="M338" s="4">
        <f>_xll.IMDP("STK",표.실시간[[#This Row],[nxt_code]],"누적거래대금")</f>
        <v>129352700</v>
      </c>
      <c r="N338" s="4">
        <f>_xll.IMDP("STK",표.실시간[[#This Row],[nxt_code]],"가중평균가")</f>
        <v>119882.020389</v>
      </c>
      <c r="O338" s="4">
        <f>_xll.IMDP("STK",표.실시간[[#This Row],[nxt_code]],"시가")</f>
        <v>118700</v>
      </c>
      <c r="P338" s="4">
        <f>_xll.IMDP("STK",표.실시간[[#This Row],[nxt_code]],"고가")</f>
        <v>120200</v>
      </c>
      <c r="Q338" s="4">
        <f>_xll.IMDP("STK",표.실시간[[#This Row],[nxt_code]],"저가")</f>
        <v>118700</v>
      </c>
      <c r="R338">
        <f>_xll.IMDP("STK",표.실시간[[#This Row],[nxt_code]],"세션명")</f>
        <v>0</v>
      </c>
      <c r="S338">
        <f>_xll.IMDP("STK",표.실시간[[#This Row],[nxt_code]],"체결시간")</f>
        <v>0</v>
      </c>
      <c r="T338" s="4">
        <f>_xll.IMDP("STK","086900","현재가")</f>
        <v>120200</v>
      </c>
      <c r="U338">
        <f>_xll.IMDP("STK","086900","누적거래량")</f>
        <v>510</v>
      </c>
    </row>
    <row r="339" spans="3:21" x14ac:dyDescent="0.3">
      <c r="C339">
        <v>334</v>
      </c>
      <c r="D339">
        <v>317450</v>
      </c>
      <c r="E339" t="s">
        <v>351</v>
      </c>
      <c r="F339" t="str">
        <f>ConvertStockCode(표.실시간[[#This Row],[코드]])</f>
        <v>N317450</v>
      </c>
      <c r="G339" s="4">
        <f>_xll.IMDP("STK",표.실시간[[#This Row],[nxt_code]],"현재가")</f>
        <v>58600</v>
      </c>
      <c r="H339" s="4">
        <f>_xll.IMDP("STK",표.실시간[[#This Row],[nxt_code]],"시가총액")/10^12</f>
        <v>0.85555999999999999</v>
      </c>
      <c r="I339" t="str">
        <f>_xll.IMDP("","","전일대비부호")</f>
        <v>코드오류</v>
      </c>
      <c r="J339" s="5">
        <f>_xll.IMDP("STK",표.실시간[[#This Row],[nxt_code]],"전일대비")</f>
        <v>500</v>
      </c>
      <c r="K339">
        <f>_xll.IMDP("STK",표.실시간[[#This Row],[nxt_code]],"등락률")</f>
        <v>0.86</v>
      </c>
      <c r="L339" s="4">
        <f>_xll.IMDP("STK",표.실시간[[#This Row],[nxt_code]],"누적거래량")</f>
        <v>4121</v>
      </c>
      <c r="M339" s="4">
        <f>_xll.IMDP("STK",표.실시간[[#This Row],[nxt_code]],"누적거래대금")</f>
        <v>241174200</v>
      </c>
      <c r="N339" s="4">
        <f>_xll.IMDP("STK",표.실시간[[#This Row],[nxt_code]],"가중평균가")</f>
        <v>58523.222519000003</v>
      </c>
      <c r="O339" s="4">
        <f>_xll.IMDP("STK",표.실시간[[#This Row],[nxt_code]],"시가")</f>
        <v>58100</v>
      </c>
      <c r="P339" s="4">
        <f>_xll.IMDP("STK",표.실시간[[#This Row],[nxt_code]],"고가")</f>
        <v>58800</v>
      </c>
      <c r="Q339" s="4">
        <f>_xll.IMDP("STK",표.실시간[[#This Row],[nxt_code]],"저가")</f>
        <v>58100</v>
      </c>
      <c r="R339">
        <f>_xll.IMDP("STK",표.실시간[[#This Row],[nxt_code]],"세션명")</f>
        <v>0</v>
      </c>
      <c r="S339">
        <f>_xll.IMDP("STK",표.실시간[[#This Row],[nxt_code]],"체결시간")</f>
        <v>0</v>
      </c>
      <c r="T339" s="4">
        <f>_xll.IMDP("STK","317450","현재가")</f>
        <v>58600</v>
      </c>
      <c r="U339">
        <f>_xll.IMDP("STK","317450","누적거래량")</f>
        <v>263</v>
      </c>
    </row>
    <row r="340" spans="3:21" x14ac:dyDescent="0.3">
      <c r="C340">
        <v>335</v>
      </c>
      <c r="D340">
        <v>476060</v>
      </c>
      <c r="E340" t="s">
        <v>352</v>
      </c>
      <c r="F340" t="str">
        <f>ConvertStockCode(표.실시간[[#This Row],[코드]])</f>
        <v>N476060</v>
      </c>
      <c r="G340" s="4">
        <f>_xll.IMDP("STK",표.실시간[[#This Row],[nxt_code]],"현재가")</f>
        <v>17910</v>
      </c>
      <c r="H340" s="4">
        <f>_xll.IMDP("STK",표.실시간[[#This Row],[nxt_code]],"시가총액")/10^12</f>
        <v>0.80394121439999999</v>
      </c>
      <c r="I340" t="str">
        <f>_xll.IMDP("","","전일대비부호")</f>
        <v>코드오류</v>
      </c>
      <c r="J340" s="5">
        <f>_xll.IMDP("STK",표.실시간[[#This Row],[nxt_code]],"전일대비")</f>
        <v>90</v>
      </c>
      <c r="K340">
        <f>_xll.IMDP("STK",표.실시간[[#This Row],[nxt_code]],"등락률")</f>
        <v>0.51</v>
      </c>
      <c r="L340" s="4">
        <f>_xll.IMDP("STK",표.실시간[[#This Row],[nxt_code]],"누적거래량")</f>
        <v>119042</v>
      </c>
      <c r="M340" s="4">
        <f>_xll.IMDP("STK",표.실시간[[#This Row],[nxt_code]],"누적거래대금")</f>
        <v>2122348770</v>
      </c>
      <c r="N340" s="4">
        <f>_xll.IMDP("STK",표.실시간[[#This Row],[nxt_code]],"가중평균가")</f>
        <v>17828.571177000002</v>
      </c>
      <c r="O340" s="4">
        <f>_xll.IMDP("STK",표.실시간[[#This Row],[nxt_code]],"시가")</f>
        <v>17820</v>
      </c>
      <c r="P340" s="4">
        <f>_xll.IMDP("STK",표.실시간[[#This Row],[nxt_code]],"고가")</f>
        <v>17940</v>
      </c>
      <c r="Q340" s="4">
        <f>_xll.IMDP("STK",표.실시간[[#This Row],[nxt_code]],"저가")</f>
        <v>17670</v>
      </c>
      <c r="R340">
        <f>_xll.IMDP("STK",표.실시간[[#This Row],[nxt_code]],"세션명")</f>
        <v>0</v>
      </c>
      <c r="S340">
        <f>_xll.IMDP("STK",표.실시간[[#This Row],[nxt_code]],"체결시간")</f>
        <v>0</v>
      </c>
      <c r="T340" s="4">
        <f>_xll.IMDP("STK","476060","현재가")</f>
        <v>17820</v>
      </c>
      <c r="U340">
        <f>_xll.IMDP("STK","476060","누적거래량")</f>
        <v>18545</v>
      </c>
    </row>
    <row r="341" spans="3:21" x14ac:dyDescent="0.3">
      <c r="C341">
        <v>336</v>
      </c>
      <c r="D341">
        <v>3240</v>
      </c>
      <c r="E341" t="s">
        <v>353</v>
      </c>
      <c r="F341" t="str">
        <f>ConvertStockCode(표.실시간[[#This Row],[코드]])</f>
        <v>N003240</v>
      </c>
      <c r="G341" s="4">
        <f>_xll.IMDP("STK",표.실시간[[#This Row],[nxt_code]],"현재가")</f>
        <v>785000</v>
      </c>
      <c r="H341" s="4">
        <f>_xll.IMDP("STK",표.실시간[[#This Row],[nxt_code]],"시가총액")/10^12</f>
        <v>0.87401899999999999</v>
      </c>
      <c r="I341" t="str">
        <f>_xll.IMDP("","","전일대비부호")</f>
        <v>코드오류</v>
      </c>
      <c r="J341" s="5">
        <f>_xll.IMDP("STK",표.실시간[[#This Row],[nxt_code]],"전일대비")</f>
        <v>25000</v>
      </c>
      <c r="K341">
        <f>_xll.IMDP("STK",표.실시간[[#This Row],[nxt_code]],"등락률")</f>
        <v>3.29</v>
      </c>
      <c r="L341" s="4">
        <f>_xll.IMDP("STK",표.실시간[[#This Row],[nxt_code]],"누적거래량")</f>
        <v>471</v>
      </c>
      <c r="M341" s="4">
        <f>_xll.IMDP("STK",표.실시간[[#This Row],[nxt_code]],"누적거래대금")</f>
        <v>367183000</v>
      </c>
      <c r="N341" s="4">
        <f>_xll.IMDP("STK",표.실시간[[#This Row],[nxt_code]],"가중평균가")</f>
        <v>779581.74097699998</v>
      </c>
      <c r="O341" s="4">
        <f>_xll.IMDP("STK",표.실시간[[#This Row],[nxt_code]],"시가")</f>
        <v>765000</v>
      </c>
      <c r="P341" s="4">
        <f>_xll.IMDP("STK",표.실시간[[#This Row],[nxt_code]],"고가")</f>
        <v>786000</v>
      </c>
      <c r="Q341" s="4">
        <f>_xll.IMDP("STK",표.실시간[[#This Row],[nxt_code]],"저가")</f>
        <v>765000</v>
      </c>
      <c r="R341">
        <f>_xll.IMDP("STK",표.실시간[[#This Row],[nxt_code]],"세션명")</f>
        <v>0</v>
      </c>
      <c r="S341">
        <f>_xll.IMDP("STK",표.실시간[[#This Row],[nxt_code]],"체결시간")</f>
        <v>0</v>
      </c>
      <c r="T341" s="4">
        <f>_xll.IMDP("STK","003240","현재가")</f>
        <v>795000</v>
      </c>
      <c r="U341">
        <f>_xll.IMDP("STK","003240","누적거래량")</f>
        <v>127</v>
      </c>
    </row>
    <row r="342" spans="3:21" x14ac:dyDescent="0.3">
      <c r="C342">
        <v>337</v>
      </c>
      <c r="D342">
        <v>3160</v>
      </c>
      <c r="E342" t="s">
        <v>354</v>
      </c>
      <c r="F342" t="str">
        <f>ConvertStockCode(표.실시간[[#This Row],[코드]])</f>
        <v>N003160</v>
      </c>
      <c r="G342" s="4">
        <f>_xll.IMDP("STK",표.실시간[[#This Row],[nxt_code]],"현재가")</f>
        <v>28100</v>
      </c>
      <c r="H342" s="4">
        <f>_xll.IMDP("STK",표.실시간[[#This Row],[nxt_code]],"시가총액")/10^12</f>
        <v>0.79522999999999999</v>
      </c>
      <c r="I342" t="str">
        <f>_xll.IMDP("","","전일대비부호")</f>
        <v>코드오류</v>
      </c>
      <c r="J342" s="5">
        <f>_xll.IMDP("STK",표.실시간[[#This Row],[nxt_code]],"전일대비")</f>
        <v>-600</v>
      </c>
      <c r="K342">
        <f>_xll.IMDP("STK",표.실시간[[#This Row],[nxt_code]],"등락률")</f>
        <v>-2.09</v>
      </c>
      <c r="L342" s="4">
        <f>_xll.IMDP("STK",표.실시간[[#This Row],[nxt_code]],"누적거래량")</f>
        <v>36757</v>
      </c>
      <c r="M342" s="4">
        <f>_xll.IMDP("STK",표.실시간[[#This Row],[nxt_code]],"누적거래대금")</f>
        <v>1048189250</v>
      </c>
      <c r="N342" s="4">
        <f>_xll.IMDP("STK",표.실시간[[#This Row],[nxt_code]],"가중평균가")</f>
        <v>28438.581855</v>
      </c>
      <c r="O342" s="4">
        <f>_xll.IMDP("STK",표.실시간[[#This Row],[nxt_code]],"시가")</f>
        <v>28750</v>
      </c>
      <c r="P342" s="4">
        <f>_xll.IMDP("STK",표.실시간[[#This Row],[nxt_code]],"고가")</f>
        <v>28750</v>
      </c>
      <c r="Q342" s="4">
        <f>_xll.IMDP("STK",표.실시간[[#This Row],[nxt_code]],"저가")</f>
        <v>27950</v>
      </c>
      <c r="R342">
        <f>_xll.IMDP("STK",표.실시간[[#This Row],[nxt_code]],"세션명")</f>
        <v>0</v>
      </c>
      <c r="S342">
        <f>_xll.IMDP("STK",표.실시간[[#This Row],[nxt_code]],"체결시간")</f>
        <v>0</v>
      </c>
      <c r="T342" s="4">
        <f>_xll.IMDP("STK","003160","현재가")</f>
        <v>28100</v>
      </c>
      <c r="U342">
        <f>_xll.IMDP("STK","003160","누적거래량")</f>
        <v>11212</v>
      </c>
    </row>
    <row r="343" spans="3:21" x14ac:dyDescent="0.3">
      <c r="C343">
        <v>338</v>
      </c>
      <c r="D343">
        <v>131290</v>
      </c>
      <c r="E343" t="s">
        <v>355</v>
      </c>
      <c r="F343" t="str">
        <f>ConvertStockCode(표.실시간[[#This Row],[코드]])</f>
        <v>N131290</v>
      </c>
      <c r="G343" s="4">
        <f>_xll.IMDP("STK",표.실시간[[#This Row],[nxt_code]],"현재가")</f>
        <v>73700</v>
      </c>
      <c r="H343" s="4">
        <f>_xll.IMDP("STK",표.실시간[[#This Row],[nxt_code]],"시가총액")/10^12</f>
        <v>0.81522731729999998</v>
      </c>
      <c r="I343" t="str">
        <f>_xll.IMDP("","","전일대비부호")</f>
        <v>코드오류</v>
      </c>
      <c r="J343" s="5">
        <f>_xll.IMDP("STK",표.실시간[[#This Row],[nxt_code]],"전일대비")</f>
        <v>-1700</v>
      </c>
      <c r="K343">
        <f>_xll.IMDP("STK",표.실시간[[#This Row],[nxt_code]],"등락률")</f>
        <v>-2.25</v>
      </c>
      <c r="L343" s="4">
        <f>_xll.IMDP("STK",표.실시간[[#This Row],[nxt_code]],"누적거래량")</f>
        <v>9077</v>
      </c>
      <c r="M343" s="4">
        <f>_xll.IMDP("STK",표.실시간[[#This Row],[nxt_code]],"누적거래대금")</f>
        <v>674814800</v>
      </c>
      <c r="N343" s="4">
        <f>_xll.IMDP("STK",표.실시간[[#This Row],[nxt_code]],"가중평균가")</f>
        <v>74343.373361000005</v>
      </c>
      <c r="O343" s="4">
        <f>_xll.IMDP("STK",표.실시간[[#This Row],[nxt_code]],"시가")</f>
        <v>75500</v>
      </c>
      <c r="P343" s="4">
        <f>_xll.IMDP("STK",표.실시간[[#This Row],[nxt_code]],"고가")</f>
        <v>76600</v>
      </c>
      <c r="Q343" s="4">
        <f>_xll.IMDP("STK",표.실시간[[#This Row],[nxt_code]],"저가")</f>
        <v>73600</v>
      </c>
      <c r="R343">
        <f>_xll.IMDP("STK",표.실시간[[#This Row],[nxt_code]],"세션명")</f>
        <v>0</v>
      </c>
      <c r="S343">
        <f>_xll.IMDP("STK",표.실시간[[#This Row],[nxt_code]],"체결시간")</f>
        <v>0</v>
      </c>
      <c r="T343" s="4">
        <f>_xll.IMDP("STK","131290","현재가")</f>
        <v>73700</v>
      </c>
      <c r="U343">
        <f>_xll.IMDP("STK","131290","누적거래량")</f>
        <v>1452</v>
      </c>
    </row>
    <row r="344" spans="3:21" x14ac:dyDescent="0.3">
      <c r="C344">
        <v>339</v>
      </c>
      <c r="D344">
        <v>33500</v>
      </c>
      <c r="E344" t="s">
        <v>356</v>
      </c>
      <c r="F344" t="str">
        <f>ConvertStockCode(표.실시간[[#This Row],[코드]])</f>
        <v>N033500</v>
      </c>
      <c r="G344" s="4">
        <f>_xll.IMDP("STK",표.실시간[[#This Row],[nxt_code]],"현재가")</f>
        <v>26700</v>
      </c>
      <c r="H344" s="4">
        <f>_xll.IMDP("STK",표.실시간[[#This Row],[nxt_code]],"시가총액")/10^12</f>
        <v>0.80071948979999996</v>
      </c>
      <c r="I344" t="str">
        <f>_xll.IMDP("","","전일대비부호")</f>
        <v>코드오류</v>
      </c>
      <c r="J344" s="5">
        <f>_xll.IMDP("STK",표.실시간[[#This Row],[nxt_code]],"전일대비")</f>
        <v>250</v>
      </c>
      <c r="K344">
        <f>_xll.IMDP("STK",표.실시간[[#This Row],[nxt_code]],"등락률")</f>
        <v>0.95</v>
      </c>
      <c r="L344" s="4">
        <f>_xll.IMDP("STK",표.실시간[[#This Row],[nxt_code]],"누적거래량")</f>
        <v>6767</v>
      </c>
      <c r="M344" s="4">
        <f>_xll.IMDP("STK",표.실시간[[#This Row],[nxt_code]],"누적거래대금")</f>
        <v>180152500</v>
      </c>
      <c r="N344" s="4">
        <f>_xll.IMDP("STK",표.실시간[[#This Row],[nxt_code]],"가중평균가")</f>
        <v>26622.210728999999</v>
      </c>
      <c r="O344" s="4">
        <f>_xll.IMDP("STK",표.실시간[[#This Row],[nxt_code]],"시가")</f>
        <v>26350</v>
      </c>
      <c r="P344" s="4">
        <f>_xll.IMDP("STK",표.실시간[[#This Row],[nxt_code]],"고가")</f>
        <v>26750</v>
      </c>
      <c r="Q344" s="4">
        <f>_xll.IMDP("STK",표.실시간[[#This Row],[nxt_code]],"저가")</f>
        <v>26350</v>
      </c>
      <c r="R344">
        <f>_xll.IMDP("STK",표.실시간[[#This Row],[nxt_code]],"세션명")</f>
        <v>0</v>
      </c>
      <c r="S344">
        <f>_xll.IMDP("STK",표.실시간[[#This Row],[nxt_code]],"체결시간")</f>
        <v>0</v>
      </c>
      <c r="T344" s="4">
        <f>_xll.IMDP("STK","033500","현재가")</f>
        <v>26650</v>
      </c>
      <c r="U344">
        <f>_xll.IMDP("STK","033500","누적거래량")</f>
        <v>1993</v>
      </c>
    </row>
    <row r="345" spans="3:21" x14ac:dyDescent="0.3">
      <c r="C345">
        <v>340</v>
      </c>
      <c r="D345">
        <v>108320</v>
      </c>
      <c r="E345" t="s">
        <v>357</v>
      </c>
      <c r="F345" t="str">
        <f>ConvertStockCode(표.실시간[[#This Row],[코드]])</f>
        <v>N108320</v>
      </c>
      <c r="G345" s="4">
        <f>_xll.IMDP("STK",표.실시간[[#This Row],[nxt_code]],"현재가")</f>
        <v>51000</v>
      </c>
      <c r="H345" s="4">
        <f>_xll.IMDP("STK",표.실시간[[#This Row],[nxt_code]],"시가총액")/10^12</f>
        <v>0.82947930000000003</v>
      </c>
      <c r="I345" t="str">
        <f>_xll.IMDP("","","전일대비부호")</f>
        <v>코드오류</v>
      </c>
      <c r="J345" s="5">
        <f>_xll.IMDP("STK",표.실시간[[#This Row],[nxt_code]],"전일대비")</f>
        <v>100</v>
      </c>
      <c r="K345">
        <f>_xll.IMDP("STK",표.실시간[[#This Row],[nxt_code]],"등락률")</f>
        <v>0.2</v>
      </c>
      <c r="L345" s="4">
        <f>_xll.IMDP("STK",표.실시간[[#This Row],[nxt_code]],"누적거래량")</f>
        <v>3379</v>
      </c>
      <c r="M345" s="4">
        <f>_xll.IMDP("STK",표.실시간[[#This Row],[nxt_code]],"누적거래대금")</f>
        <v>172477700</v>
      </c>
      <c r="N345" s="4">
        <f>_xll.IMDP("STK",표.실시간[[#This Row],[nxt_code]],"가중평균가")</f>
        <v>51044.007103000004</v>
      </c>
      <c r="O345" s="4">
        <f>_xll.IMDP("STK",표.실시간[[#This Row],[nxt_code]],"시가")</f>
        <v>50900</v>
      </c>
      <c r="P345" s="4">
        <f>_xll.IMDP("STK",표.실시간[[#This Row],[nxt_code]],"고가")</f>
        <v>51300</v>
      </c>
      <c r="Q345" s="4">
        <f>_xll.IMDP("STK",표.실시간[[#This Row],[nxt_code]],"저가")</f>
        <v>50800</v>
      </c>
      <c r="R345">
        <f>_xll.IMDP("STK",표.실시간[[#This Row],[nxt_code]],"세션명")</f>
        <v>0</v>
      </c>
      <c r="S345">
        <f>_xll.IMDP("STK",표.실시간[[#This Row],[nxt_code]],"체결시간")</f>
        <v>0</v>
      </c>
      <c r="T345" s="4">
        <f>_xll.IMDP("STK","108320","현재가")</f>
        <v>51000</v>
      </c>
      <c r="U345">
        <f>_xll.IMDP("STK","108320","누적거래량")</f>
        <v>1114</v>
      </c>
    </row>
    <row r="346" spans="3:21" x14ac:dyDescent="0.3">
      <c r="C346">
        <v>341</v>
      </c>
      <c r="D346">
        <v>60280</v>
      </c>
      <c r="E346" t="s">
        <v>358</v>
      </c>
      <c r="F346" t="str">
        <f>ConvertStockCode(표.실시간[[#This Row],[코드]])</f>
        <v>N060280</v>
      </c>
      <c r="G346" s="4">
        <f>_xll.IMDP("STK",표.실시간[[#This Row],[nxt_code]],"현재가")</f>
        <v>18670</v>
      </c>
      <c r="H346" s="4">
        <f>_xll.IMDP("STK",표.실시간[[#This Row],[nxt_code]],"시가총액")/10^12</f>
        <v>0.76715011330000005</v>
      </c>
      <c r="I346" t="str">
        <f>_xll.IMDP("","","전일대비부호")</f>
        <v>코드오류</v>
      </c>
      <c r="J346" s="5">
        <f>_xll.IMDP("STK",표.실시간[[#This Row],[nxt_code]],"전일대비")</f>
        <v>10</v>
      </c>
      <c r="K346">
        <f>_xll.IMDP("STK",표.실시간[[#This Row],[nxt_code]],"등락률")</f>
        <v>0.05</v>
      </c>
      <c r="L346" s="4">
        <f>_xll.IMDP("STK",표.실시간[[#This Row],[nxt_code]],"누적거래량")</f>
        <v>3474431</v>
      </c>
      <c r="M346" s="4">
        <f>_xll.IMDP("STK",표.실시간[[#This Row],[nxt_code]],"누적거래대금")</f>
        <v>68078042950</v>
      </c>
      <c r="N346" s="4">
        <f>_xll.IMDP("STK",표.실시간[[#This Row],[nxt_code]],"가중평균가")</f>
        <v>19594.012070000001</v>
      </c>
      <c r="O346" s="4">
        <f>_xll.IMDP("STK",표.실시간[[#This Row],[nxt_code]],"시가")</f>
        <v>18630</v>
      </c>
      <c r="P346" s="4">
        <f>_xll.IMDP("STK",표.실시간[[#This Row],[nxt_code]],"고가")</f>
        <v>20200</v>
      </c>
      <c r="Q346" s="4">
        <f>_xll.IMDP("STK",표.실시간[[#This Row],[nxt_code]],"저가")</f>
        <v>18600</v>
      </c>
      <c r="R346">
        <f>_xll.IMDP("STK",표.실시간[[#This Row],[nxt_code]],"세션명")</f>
        <v>0</v>
      </c>
      <c r="S346">
        <f>_xll.IMDP("STK",표.실시간[[#This Row],[nxt_code]],"체결시간")</f>
        <v>0</v>
      </c>
      <c r="T346" s="4">
        <f>_xll.IMDP("STK","060280","현재가")</f>
        <v>18690</v>
      </c>
      <c r="U346">
        <f>_xll.IMDP("STK","060280","누적거래량")</f>
        <v>91305</v>
      </c>
    </row>
    <row r="347" spans="3:21" x14ac:dyDescent="0.3">
      <c r="C347">
        <v>342</v>
      </c>
      <c r="D347">
        <v>100840</v>
      </c>
      <c r="E347" t="s">
        <v>359</v>
      </c>
      <c r="F347" t="str">
        <f>ConvertStockCode(표.실시간[[#This Row],[코드]])</f>
        <v>N100840</v>
      </c>
      <c r="G347" s="4">
        <f>_xll.IMDP("STK",표.실시간[[#This Row],[nxt_code]],"현재가")</f>
        <v>38900</v>
      </c>
      <c r="H347" s="4">
        <f>_xll.IMDP("STK",표.실시간[[#This Row],[nxt_code]],"시가총액")/10^12</f>
        <v>0.80448245870000001</v>
      </c>
      <c r="I347" t="str">
        <f>_xll.IMDP("","","전일대비부호")</f>
        <v>코드오류</v>
      </c>
      <c r="J347" s="5">
        <f>_xll.IMDP("STK",표.실시간[[#This Row],[nxt_code]],"전일대비")</f>
        <v>-150</v>
      </c>
      <c r="K347">
        <f>_xll.IMDP("STK",표.실시간[[#This Row],[nxt_code]],"등락률")</f>
        <v>-0.38</v>
      </c>
      <c r="L347" s="4">
        <f>_xll.IMDP("STK",표.실시간[[#This Row],[nxt_code]],"누적거래량")</f>
        <v>22082</v>
      </c>
      <c r="M347" s="4">
        <f>_xll.IMDP("STK",표.실시간[[#This Row],[nxt_code]],"누적거래대금")</f>
        <v>864194600</v>
      </c>
      <c r="N347" s="4">
        <f>_xll.IMDP("STK",표.실시간[[#This Row],[nxt_code]],"가중평균가")</f>
        <v>39135.703287999997</v>
      </c>
      <c r="O347" s="4">
        <f>_xll.IMDP("STK",표.실시간[[#This Row],[nxt_code]],"시가")</f>
        <v>39050</v>
      </c>
      <c r="P347" s="4">
        <f>_xll.IMDP("STK",표.실시간[[#This Row],[nxt_code]],"고가")</f>
        <v>39400</v>
      </c>
      <c r="Q347" s="4">
        <f>_xll.IMDP("STK",표.실시간[[#This Row],[nxt_code]],"저가")</f>
        <v>38900</v>
      </c>
      <c r="R347">
        <f>_xll.IMDP("STK",표.실시간[[#This Row],[nxt_code]],"세션명")</f>
        <v>0</v>
      </c>
      <c r="S347">
        <f>_xll.IMDP("STK",표.실시간[[#This Row],[nxt_code]],"체결시간")</f>
        <v>0</v>
      </c>
      <c r="T347" s="4">
        <f>_xll.IMDP("STK","100840","현재가")</f>
        <v>38850</v>
      </c>
      <c r="U347">
        <f>_xll.IMDP("STK","100840","누적거래량")</f>
        <v>4950</v>
      </c>
    </row>
    <row r="348" spans="3:21" x14ac:dyDescent="0.3">
      <c r="C348">
        <v>343</v>
      </c>
      <c r="D348">
        <v>9450</v>
      </c>
      <c r="E348" t="s">
        <v>360</v>
      </c>
      <c r="F348" t="str">
        <f>ConvertStockCode(표.실시간[[#This Row],[코드]])</f>
        <v>N009450</v>
      </c>
      <c r="G348" s="4">
        <f>_xll.IMDP("STK",표.실시간[[#This Row],[nxt_code]],"현재가")</f>
        <v>56500</v>
      </c>
      <c r="H348" s="4">
        <f>_xll.IMDP("STK",표.실시간[[#This Row],[nxt_code]],"시가총액")/10^12</f>
        <v>0.82312544799999998</v>
      </c>
      <c r="I348" t="str">
        <f>_xll.IMDP("","","전일대비부호")</f>
        <v>코드오류</v>
      </c>
      <c r="J348" s="5">
        <f>_xll.IMDP("STK",표.실시간[[#This Row],[nxt_code]],"전일대비")</f>
        <v>200</v>
      </c>
      <c r="K348">
        <f>_xll.IMDP("STK",표.실시간[[#This Row],[nxt_code]],"등락률")</f>
        <v>0.36</v>
      </c>
      <c r="L348" s="4">
        <f>_xll.IMDP("STK",표.실시간[[#This Row],[nxt_code]],"누적거래량")</f>
        <v>1430</v>
      </c>
      <c r="M348" s="4">
        <f>_xll.IMDP("STK",표.실시간[[#This Row],[nxt_code]],"누적거래대금")</f>
        <v>80597800</v>
      </c>
      <c r="N348" s="4">
        <f>_xll.IMDP("STK",표.실시간[[#This Row],[nxt_code]],"가중평균가")</f>
        <v>56362.097902000001</v>
      </c>
      <c r="O348" s="4">
        <f>_xll.IMDP("STK",표.실시간[[#This Row],[nxt_code]],"시가")</f>
        <v>56300</v>
      </c>
      <c r="P348" s="4">
        <f>_xll.IMDP("STK",표.실시간[[#This Row],[nxt_code]],"고가")</f>
        <v>56800</v>
      </c>
      <c r="Q348" s="4">
        <f>_xll.IMDP("STK",표.실시간[[#This Row],[nxt_code]],"저가")</f>
        <v>56100</v>
      </c>
      <c r="R348">
        <f>_xll.IMDP("STK",표.실시간[[#This Row],[nxt_code]],"세션명")</f>
        <v>0</v>
      </c>
      <c r="S348">
        <f>_xll.IMDP("STK",표.실시간[[#This Row],[nxt_code]],"체결시간")</f>
        <v>0</v>
      </c>
      <c r="T348" s="4">
        <f>_xll.IMDP("STK","009450","현재가")</f>
        <v>56300</v>
      </c>
      <c r="U348">
        <f>_xll.IMDP("STK","009450","누적거래량")</f>
        <v>215</v>
      </c>
    </row>
    <row r="349" spans="3:21" x14ac:dyDescent="0.3">
      <c r="C349">
        <v>344</v>
      </c>
      <c r="D349">
        <v>36830</v>
      </c>
      <c r="E349" t="s">
        <v>361</v>
      </c>
      <c r="F349" t="str">
        <f>ConvertStockCode(표.실시간[[#This Row],[코드]])</f>
        <v>N036830</v>
      </c>
      <c r="G349" s="4">
        <f>_xll.IMDP("STK",표.실시간[[#This Row],[nxt_code]],"현재가")</f>
        <v>39800</v>
      </c>
      <c r="H349" s="4">
        <f>_xll.IMDP("STK",표.실시간[[#This Row],[nxt_code]],"시가총액")/10^12</f>
        <v>0.83436942879999998</v>
      </c>
      <c r="I349" t="str">
        <f>_xll.IMDP("","","전일대비부호")</f>
        <v>코드오류</v>
      </c>
      <c r="J349" s="5">
        <f>_xll.IMDP("STK",표.실시간[[#This Row],[nxt_code]],"전일대비")</f>
        <v>0</v>
      </c>
      <c r="K349">
        <f>_xll.IMDP("STK",표.실시간[[#This Row],[nxt_code]],"등락률")</f>
        <v>0</v>
      </c>
      <c r="L349" s="4">
        <f>_xll.IMDP("STK",표.실시간[[#This Row],[nxt_code]],"누적거래량")</f>
        <v>8434</v>
      </c>
      <c r="M349" s="4">
        <f>_xll.IMDP("STK",표.실시간[[#This Row],[nxt_code]],"누적거래대금")</f>
        <v>340086050</v>
      </c>
      <c r="N349" s="4">
        <f>_xll.IMDP("STK",표.실시간[[#This Row],[nxt_code]],"가중평균가")</f>
        <v>40323.221484000002</v>
      </c>
      <c r="O349" s="4">
        <f>_xll.IMDP("STK",표.실시간[[#This Row],[nxt_code]],"시가")</f>
        <v>40050</v>
      </c>
      <c r="P349" s="4">
        <f>_xll.IMDP("STK",표.실시간[[#This Row],[nxt_code]],"고가")</f>
        <v>40650</v>
      </c>
      <c r="Q349" s="4">
        <f>_xll.IMDP("STK",표.실시간[[#This Row],[nxt_code]],"저가")</f>
        <v>39800</v>
      </c>
      <c r="R349">
        <f>_xll.IMDP("STK",표.실시간[[#This Row],[nxt_code]],"세션명")</f>
        <v>0</v>
      </c>
      <c r="S349">
        <f>_xll.IMDP("STK",표.실시간[[#This Row],[nxt_code]],"체결시간")</f>
        <v>0</v>
      </c>
      <c r="T349" s="4">
        <f>_xll.IMDP("STK","036830","현재가")</f>
        <v>39750</v>
      </c>
      <c r="U349">
        <f>_xll.IMDP("STK","036830","누적거래량")</f>
        <v>2469</v>
      </c>
    </row>
    <row r="350" spans="3:21" x14ac:dyDescent="0.3">
      <c r="C350">
        <v>345</v>
      </c>
      <c r="D350">
        <v>281820</v>
      </c>
      <c r="E350" t="s">
        <v>362</v>
      </c>
      <c r="F350" t="str">
        <f>ConvertStockCode(표.실시간[[#This Row],[코드]])</f>
        <v>N281820</v>
      </c>
      <c r="G350" s="4">
        <f>_xll.IMDP("STK",표.실시간[[#This Row],[nxt_code]],"현재가")</f>
        <v>38300</v>
      </c>
      <c r="H350" s="4">
        <f>_xll.IMDP("STK",표.실시간[[#This Row],[nxt_code]],"시가총액")/10^12</f>
        <v>0.79243937090000005</v>
      </c>
      <c r="I350" t="str">
        <f>_xll.IMDP("","","전일대비부호")</f>
        <v>코드오류</v>
      </c>
      <c r="J350" s="5">
        <f>_xll.IMDP("STK",표.실시간[[#This Row],[nxt_code]],"전일대비")</f>
        <v>0</v>
      </c>
      <c r="K350">
        <f>_xll.IMDP("STK",표.실시간[[#This Row],[nxt_code]],"등락률")</f>
        <v>0</v>
      </c>
      <c r="L350" s="4">
        <f>_xll.IMDP("STK",표.실시간[[#This Row],[nxt_code]],"누적거래량")</f>
        <v>9729</v>
      </c>
      <c r="M350" s="4">
        <f>_xll.IMDP("STK",표.실시간[[#This Row],[nxt_code]],"누적거래대금")</f>
        <v>375467850</v>
      </c>
      <c r="N350" s="4">
        <f>_xll.IMDP("STK",표.실시간[[#This Row],[nxt_code]],"가중평균가")</f>
        <v>38592.645698</v>
      </c>
      <c r="O350" s="4">
        <f>_xll.IMDP("STK",표.실시간[[#This Row],[nxt_code]],"시가")</f>
        <v>38500</v>
      </c>
      <c r="P350" s="4">
        <f>_xll.IMDP("STK",표.실시간[[#This Row],[nxt_code]],"고가")</f>
        <v>38750</v>
      </c>
      <c r="Q350" s="4">
        <f>_xll.IMDP("STK",표.실시간[[#This Row],[nxt_code]],"저가")</f>
        <v>38300</v>
      </c>
      <c r="R350">
        <f>_xll.IMDP("STK",표.실시간[[#This Row],[nxt_code]],"세션명")</f>
        <v>0</v>
      </c>
      <c r="S350">
        <f>_xll.IMDP("STK",표.실시간[[#This Row],[nxt_code]],"체결시간")</f>
        <v>0</v>
      </c>
      <c r="T350" s="4">
        <f>_xll.IMDP("STK","281820","현재가")</f>
        <v>38300</v>
      </c>
      <c r="U350">
        <f>_xll.IMDP("STK","281820","누적거래량")</f>
        <v>2357</v>
      </c>
    </row>
    <row r="351" spans="3:21" x14ac:dyDescent="0.3">
      <c r="C351">
        <v>346</v>
      </c>
      <c r="D351">
        <v>114090</v>
      </c>
      <c r="E351" t="s">
        <v>363</v>
      </c>
      <c r="F351" t="str">
        <f>ConvertStockCode(표.실시간[[#This Row],[코드]])</f>
        <v>N114090</v>
      </c>
      <c r="G351" s="4">
        <f>_xll.IMDP("STK",표.실시간[[#This Row],[nxt_code]],"현재가")</f>
        <v>13100</v>
      </c>
      <c r="H351" s="4">
        <f>_xll.IMDP("STK",표.실시간[[#This Row],[nxt_code]],"시가총액")/10^12</f>
        <v>0.81030927699999999</v>
      </c>
      <c r="I351" t="str">
        <f>_xll.IMDP("","","전일대비부호")</f>
        <v>코드오류</v>
      </c>
      <c r="J351" s="5">
        <f>_xll.IMDP("STK",표.실시간[[#This Row],[nxt_code]],"전일대비")</f>
        <v>30</v>
      </c>
      <c r="K351">
        <f>_xll.IMDP("STK",표.실시간[[#This Row],[nxt_code]],"등락률")</f>
        <v>0.23</v>
      </c>
      <c r="L351" s="4">
        <f>_xll.IMDP("STK",표.실시간[[#This Row],[nxt_code]],"누적거래량")</f>
        <v>511</v>
      </c>
      <c r="M351" s="4">
        <f>_xll.IMDP("STK",표.실시간[[#This Row],[nxt_code]],"누적거래대금")</f>
        <v>6694300</v>
      </c>
      <c r="N351" s="4">
        <f>_xll.IMDP("STK",표.실시간[[#This Row],[nxt_code]],"가중평균가")</f>
        <v>13100.391389</v>
      </c>
      <c r="O351" s="4">
        <f>_xll.IMDP("STK",표.실시간[[#This Row],[nxt_code]],"시가")</f>
        <v>13110</v>
      </c>
      <c r="P351" s="4">
        <f>_xll.IMDP("STK",표.실시간[[#This Row],[nxt_code]],"고가")</f>
        <v>13110</v>
      </c>
      <c r="Q351" s="4">
        <f>_xll.IMDP("STK",표.실시간[[#This Row],[nxt_code]],"저가")</f>
        <v>13080</v>
      </c>
      <c r="R351">
        <f>_xll.IMDP("STK",표.실시간[[#This Row],[nxt_code]],"세션명")</f>
        <v>0</v>
      </c>
      <c r="S351">
        <f>_xll.IMDP("STK",표.실시간[[#This Row],[nxt_code]],"체결시간")</f>
        <v>0</v>
      </c>
      <c r="T351" s="4">
        <f>_xll.IMDP("STK","114090","현재가")</f>
        <v>13040</v>
      </c>
      <c r="U351">
        <f>_xll.IMDP("STK","114090","누적거래량")</f>
        <v>4237</v>
      </c>
    </row>
    <row r="352" spans="3:21" x14ac:dyDescent="0.3">
      <c r="C352">
        <v>347</v>
      </c>
      <c r="D352">
        <v>25540</v>
      </c>
      <c r="E352" t="s">
        <v>364</v>
      </c>
      <c r="F352" t="str">
        <f>ConvertStockCode(표.실시간[[#This Row],[코드]])</f>
        <v>N025540</v>
      </c>
      <c r="G352" s="4">
        <f>_xll.IMDP("STK",표.실시간[[#This Row],[nxt_code]],"현재가")</f>
        <v>75300</v>
      </c>
      <c r="H352" s="4">
        <f>_xll.IMDP("STK",표.실시간[[#This Row],[nxt_code]],"시가총액")/10^12</f>
        <v>0.76165950000000004</v>
      </c>
      <c r="I352" t="str">
        <f>_xll.IMDP("","","전일대비부호")</f>
        <v>코드오류</v>
      </c>
      <c r="J352" s="5">
        <f>_xll.IMDP("STK",표.실시간[[#This Row],[nxt_code]],"전일대비")</f>
        <v>-1000</v>
      </c>
      <c r="K352">
        <f>_xll.IMDP("STK",표.실시간[[#This Row],[nxt_code]],"등락률")</f>
        <v>-1.44</v>
      </c>
      <c r="L352" s="4">
        <f>_xll.IMDP("STK",표.실시간[[#This Row],[nxt_code]],"누적거래량")</f>
        <v>5671</v>
      </c>
      <c r="M352" s="4">
        <f>_xll.IMDP("STK",표.실시간[[#This Row],[nxt_code]],"누적거래대금")</f>
        <v>432692400</v>
      </c>
      <c r="N352" s="4">
        <f>_xll.IMDP("STK",표.실시간[[#This Row],[nxt_code]],"가중평균가")</f>
        <v>76498.307176999995</v>
      </c>
      <c r="O352" s="4">
        <f>_xll.IMDP("STK",표.실시간[[#This Row],[nxt_code]],"시가")</f>
        <v>76500</v>
      </c>
      <c r="P352" s="4">
        <f>_xll.IMDP("STK",표.실시간[[#This Row],[nxt_code]],"고가")</f>
        <v>77300</v>
      </c>
      <c r="Q352" s="4">
        <f>_xll.IMDP("STK",표.실시간[[#This Row],[nxt_code]],"저가")</f>
        <v>75300</v>
      </c>
      <c r="R352">
        <f>_xll.IMDP("STK",표.실시간[[#This Row],[nxt_code]],"세션명")</f>
        <v>0</v>
      </c>
      <c r="S352">
        <f>_xll.IMDP("STK",표.실시간[[#This Row],[nxt_code]],"체결시간")</f>
        <v>0</v>
      </c>
      <c r="T352" s="4">
        <f>_xll.IMDP("STK","025540","현재가")</f>
        <v>75400</v>
      </c>
      <c r="U352">
        <f>_xll.IMDP("STK","025540","누적거래량")</f>
        <v>1181</v>
      </c>
    </row>
    <row r="353" spans="3:21" x14ac:dyDescent="0.3">
      <c r="C353">
        <v>348</v>
      </c>
      <c r="D353">
        <v>424870</v>
      </c>
      <c r="E353" t="s">
        <v>365</v>
      </c>
      <c r="F353" t="str">
        <f>ConvertStockCode(표.실시간[[#This Row],[코드]])</f>
        <v>N424870</v>
      </c>
      <c r="G353" s="4">
        <f>_xll.IMDP("STK",표.실시간[[#This Row],[nxt_code]],"현재가")</f>
        <v>10390</v>
      </c>
      <c r="H353" s="4">
        <f>_xll.IMDP("STK",표.실시간[[#This Row],[nxt_code]],"시가총액")/10^12</f>
        <v>0.77057506690999999</v>
      </c>
      <c r="I353" t="str">
        <f>_xll.IMDP("","","전일대비부호")</f>
        <v>코드오류</v>
      </c>
      <c r="J353" s="5">
        <f>_xll.IMDP("STK",표.실시간[[#This Row],[nxt_code]],"전일대비")</f>
        <v>-110</v>
      </c>
      <c r="K353">
        <f>_xll.IMDP("STK",표.실시간[[#This Row],[nxt_code]],"등락률")</f>
        <v>-1.05</v>
      </c>
      <c r="L353" s="4">
        <f>_xll.IMDP("STK",표.실시간[[#This Row],[nxt_code]],"누적거래량")</f>
        <v>96843</v>
      </c>
      <c r="M353" s="4">
        <f>_xll.IMDP("STK",표.실시간[[#This Row],[nxt_code]],"누적거래대금")</f>
        <v>1006006170</v>
      </c>
      <c r="N353" s="4">
        <f>_xll.IMDP("STK",표.실시간[[#This Row],[nxt_code]],"가중평균가")</f>
        <v>10388.011214</v>
      </c>
      <c r="O353" s="4">
        <f>_xll.IMDP("STK",표.실시간[[#This Row],[nxt_code]],"시가")</f>
        <v>10560</v>
      </c>
      <c r="P353" s="4">
        <f>_xll.IMDP("STK",표.실시간[[#This Row],[nxt_code]],"고가")</f>
        <v>10600</v>
      </c>
      <c r="Q353" s="4">
        <f>_xll.IMDP("STK",표.실시간[[#This Row],[nxt_code]],"저가")</f>
        <v>10310</v>
      </c>
      <c r="R353">
        <f>_xll.IMDP("STK",표.실시간[[#This Row],[nxt_code]],"세션명")</f>
        <v>0</v>
      </c>
      <c r="S353">
        <f>_xll.IMDP("STK",표.실시간[[#This Row],[nxt_code]],"체결시간")</f>
        <v>0</v>
      </c>
      <c r="T353" s="4">
        <f>_xll.IMDP("STK","424870","현재가")</f>
        <v>10410</v>
      </c>
      <c r="U353">
        <f>_xll.IMDP("STK","424870","누적거래량")</f>
        <v>9288</v>
      </c>
    </row>
    <row r="354" spans="3:21" x14ac:dyDescent="0.3">
      <c r="C354">
        <v>349</v>
      </c>
      <c r="D354">
        <v>225570</v>
      </c>
      <c r="E354" t="s">
        <v>366</v>
      </c>
      <c r="F354" t="str">
        <f>ConvertStockCode(표.실시간[[#This Row],[코드]])</f>
        <v>N225570</v>
      </c>
      <c r="G354" s="4">
        <f>_xll.IMDP("STK",표.실시간[[#This Row],[nxt_code]],"현재가")</f>
        <v>12100</v>
      </c>
      <c r="H354" s="4">
        <f>_xll.IMDP("STK",표.실시간[[#This Row],[nxt_code]],"시가총액")/10^12</f>
        <v>0.79690810540000001</v>
      </c>
      <c r="I354" t="str">
        <f>_xll.IMDP("","","전일대비부호")</f>
        <v>코드오류</v>
      </c>
      <c r="J354" s="5">
        <f>_xll.IMDP("STK",표.실시간[[#This Row],[nxt_code]],"전일대비")</f>
        <v>10</v>
      </c>
      <c r="K354">
        <f>_xll.IMDP("STK",표.실시간[[#This Row],[nxt_code]],"등락률")</f>
        <v>0.08</v>
      </c>
      <c r="L354" s="4">
        <f>_xll.IMDP("STK",표.실시간[[#This Row],[nxt_code]],"누적거래량")</f>
        <v>5133</v>
      </c>
      <c r="M354" s="4">
        <f>_xll.IMDP("STK",표.실시간[[#This Row],[nxt_code]],"누적거래대금")</f>
        <v>62212980</v>
      </c>
      <c r="N354" s="4">
        <f>_xll.IMDP("STK",표.실시간[[#This Row],[nxt_code]],"가중평균가")</f>
        <v>12120.198714</v>
      </c>
      <c r="O354" s="4">
        <f>_xll.IMDP("STK",표.실시간[[#This Row],[nxt_code]],"시가")</f>
        <v>12170</v>
      </c>
      <c r="P354" s="4">
        <f>_xll.IMDP("STK",표.실시간[[#This Row],[nxt_code]],"고가")</f>
        <v>12190</v>
      </c>
      <c r="Q354" s="4">
        <f>_xll.IMDP("STK",표.실시간[[#This Row],[nxt_code]],"저가")</f>
        <v>12090</v>
      </c>
      <c r="R354">
        <f>_xll.IMDP("STK",표.실시간[[#This Row],[nxt_code]],"세션명")</f>
        <v>0</v>
      </c>
      <c r="S354">
        <f>_xll.IMDP("STK",표.실시간[[#This Row],[nxt_code]],"체결시간")</f>
        <v>0</v>
      </c>
      <c r="T354" s="4">
        <f>_xll.IMDP("STK","225570","현재가")</f>
        <v>12170</v>
      </c>
      <c r="U354">
        <f>_xll.IMDP("STK","225570","누적거래량")</f>
        <v>346</v>
      </c>
    </row>
    <row r="355" spans="3:21" x14ac:dyDescent="0.3">
      <c r="C355">
        <v>350</v>
      </c>
      <c r="D355">
        <v>93370</v>
      </c>
      <c r="E355" t="s">
        <v>367</v>
      </c>
      <c r="F355" t="str">
        <f>ConvertStockCode(표.실시간[[#This Row],[코드]])</f>
        <v>N093370</v>
      </c>
      <c r="G355" s="4">
        <f>_xll.IMDP("STK",표.실시간[[#This Row],[nxt_code]],"현재가")</f>
        <v>8120</v>
      </c>
      <c r="H355" s="4">
        <f>_xll.IMDP("STK",표.실시간[[#This Row],[nxt_code]],"시가총액")/10^12</f>
        <v>0.87091327959999998</v>
      </c>
      <c r="I355" t="str">
        <f>_xll.IMDP("","","전일대비부호")</f>
        <v>코드오류</v>
      </c>
      <c r="J355" s="5">
        <f>_xll.IMDP("STK",표.실시간[[#This Row],[nxt_code]],"전일대비")</f>
        <v>270</v>
      </c>
      <c r="K355">
        <f>_xll.IMDP("STK",표.실시간[[#This Row],[nxt_code]],"등락률")</f>
        <v>3.44</v>
      </c>
      <c r="L355" s="4">
        <f>_xll.IMDP("STK",표.실시간[[#This Row],[nxt_code]],"누적거래량")</f>
        <v>927521</v>
      </c>
      <c r="M355" s="4">
        <f>_xll.IMDP("STK",표.실시간[[#This Row],[nxt_code]],"누적거래대금")</f>
        <v>7619427700</v>
      </c>
      <c r="N355" s="4">
        <f>_xll.IMDP("STK",표.실시간[[#This Row],[nxt_code]],"가중평균가")</f>
        <v>8214.8303919999998</v>
      </c>
      <c r="O355" s="4">
        <f>_xll.IMDP("STK",표.실시간[[#This Row],[nxt_code]],"시가")</f>
        <v>8010</v>
      </c>
      <c r="P355" s="4">
        <f>_xll.IMDP("STK",표.실시간[[#This Row],[nxt_code]],"고가")</f>
        <v>8450</v>
      </c>
      <c r="Q355" s="4">
        <f>_xll.IMDP("STK",표.실시간[[#This Row],[nxt_code]],"저가")</f>
        <v>7870</v>
      </c>
      <c r="R355">
        <f>_xll.IMDP("STK",표.실시간[[#This Row],[nxt_code]],"세션명")</f>
        <v>0</v>
      </c>
      <c r="S355">
        <f>_xll.IMDP("STK",표.실시간[[#This Row],[nxt_code]],"체결시간")</f>
        <v>0</v>
      </c>
      <c r="T355" s="4">
        <f>_xll.IMDP("STK","093370","현재가")</f>
        <v>8110</v>
      </c>
      <c r="U355">
        <f>_xll.IMDP("STK","093370","누적거래량")</f>
        <v>144152</v>
      </c>
    </row>
    <row r="356" spans="3:21" x14ac:dyDescent="0.3">
      <c r="C356">
        <v>351</v>
      </c>
      <c r="D356">
        <v>189300</v>
      </c>
      <c r="E356" t="s">
        <v>368</v>
      </c>
      <c r="F356" t="str">
        <f>ConvertStockCode(표.실시간[[#This Row],[코드]])</f>
        <v>N189300</v>
      </c>
      <c r="G356" s="4">
        <f>_xll.IMDP("STK",표.실시간[[#This Row],[nxt_code]],"현재가")</f>
        <v>76000</v>
      </c>
      <c r="H356" s="4">
        <f>_xll.IMDP("STK",표.실시간[[#This Row],[nxt_code]],"시가총액")/10^12</f>
        <v>0.81573338399999995</v>
      </c>
      <c r="I356" t="str">
        <f>_xll.IMDP("","","전일대비부호")</f>
        <v>코드오류</v>
      </c>
      <c r="J356" s="5">
        <f>_xll.IMDP("STK",표.실시간[[#This Row],[nxt_code]],"전일대비")</f>
        <v>3800</v>
      </c>
      <c r="K356">
        <f>_xll.IMDP("STK",표.실시간[[#This Row],[nxt_code]],"등락률")</f>
        <v>5.26</v>
      </c>
      <c r="L356" s="4">
        <f>_xll.IMDP("STK",표.실시간[[#This Row],[nxt_code]],"누적거래량")</f>
        <v>55228</v>
      </c>
      <c r="M356" s="4">
        <f>_xll.IMDP("STK",표.실시간[[#This Row],[nxt_code]],"누적거래대금")</f>
        <v>4145031050</v>
      </c>
      <c r="N356" s="4">
        <f>_xll.IMDP("STK",표.실시간[[#This Row],[nxt_code]],"가중평균가")</f>
        <v>74921.483055000004</v>
      </c>
      <c r="O356" s="4">
        <f>_xll.IMDP("STK",표.실시간[[#This Row],[nxt_code]],"시가")</f>
        <v>74500</v>
      </c>
      <c r="P356" s="4">
        <f>_xll.IMDP("STK",표.실시간[[#This Row],[nxt_code]],"고가")</f>
        <v>76400</v>
      </c>
      <c r="Q356" s="4">
        <f>_xll.IMDP("STK",표.실시간[[#This Row],[nxt_code]],"저가")</f>
        <v>72800</v>
      </c>
      <c r="R356">
        <f>_xll.IMDP("STK",표.실시간[[#This Row],[nxt_code]],"세션명")</f>
        <v>0</v>
      </c>
      <c r="S356">
        <f>_xll.IMDP("STK",표.실시간[[#This Row],[nxt_code]],"체결시간")</f>
        <v>0</v>
      </c>
      <c r="T356" s="4">
        <f>_xll.IMDP("STK","189300","현재가")</f>
        <v>76000</v>
      </c>
      <c r="U356">
        <f>_xll.IMDP("STK","189300","누적거래량")</f>
        <v>12456</v>
      </c>
    </row>
    <row r="357" spans="3:21" x14ac:dyDescent="0.3">
      <c r="C357">
        <v>352</v>
      </c>
      <c r="D357">
        <v>241710</v>
      </c>
      <c r="E357" t="s">
        <v>369</v>
      </c>
      <c r="F357" t="str">
        <f>ConvertStockCode(표.실시간[[#This Row],[코드]])</f>
        <v>N241710</v>
      </c>
      <c r="G357" s="4">
        <f>_xll.IMDP("STK",표.실시간[[#This Row],[nxt_code]],"현재가")</f>
        <v>82200</v>
      </c>
      <c r="H357" s="4">
        <f>_xll.IMDP("STK",표.실시간[[#This Row],[nxt_code]],"시가총액")/10^12</f>
        <v>0.87789600000000001</v>
      </c>
      <c r="I357" t="str">
        <f>_xll.IMDP("","","전일대비부호")</f>
        <v>코드오류</v>
      </c>
      <c r="J357" s="5">
        <f>_xll.IMDP("STK",표.실시간[[#This Row],[nxt_code]],"전일대비")</f>
        <v>1000</v>
      </c>
      <c r="K357">
        <f>_xll.IMDP("STK",표.실시간[[#This Row],[nxt_code]],"등락률")</f>
        <v>1.23</v>
      </c>
      <c r="L357" s="4">
        <f>_xll.IMDP("STK",표.실시간[[#This Row],[nxt_code]],"누적거래량")</f>
        <v>5206</v>
      </c>
      <c r="M357" s="4">
        <f>_xll.IMDP("STK",표.실시간[[#This Row],[nxt_code]],"누적거래대금")</f>
        <v>427795500</v>
      </c>
      <c r="N357" s="4">
        <f>_xll.IMDP("STK",표.실시간[[#This Row],[nxt_code]],"가중평균가")</f>
        <v>82173.549750000006</v>
      </c>
      <c r="O357" s="4">
        <f>_xll.IMDP("STK",표.실시간[[#This Row],[nxt_code]],"시가")</f>
        <v>81900</v>
      </c>
      <c r="P357" s="4">
        <f>_xll.IMDP("STK",표.실시간[[#This Row],[nxt_code]],"고가")</f>
        <v>83100</v>
      </c>
      <c r="Q357" s="4">
        <f>_xll.IMDP("STK",표.실시간[[#This Row],[nxt_code]],"저가")</f>
        <v>81400</v>
      </c>
      <c r="R357">
        <f>_xll.IMDP("STK",표.실시간[[#This Row],[nxt_code]],"세션명")</f>
        <v>0</v>
      </c>
      <c r="S357">
        <f>_xll.IMDP("STK",표.실시간[[#This Row],[nxt_code]],"체결시간")</f>
        <v>0</v>
      </c>
      <c r="T357" s="4">
        <f>_xll.IMDP("STK","241710","현재가")</f>
        <v>81700</v>
      </c>
      <c r="U357">
        <f>_xll.IMDP("STK","241710","누적거래량")</f>
        <v>3555</v>
      </c>
    </row>
    <row r="358" spans="3:21" x14ac:dyDescent="0.3">
      <c r="C358">
        <v>353</v>
      </c>
      <c r="D358">
        <v>5690</v>
      </c>
      <c r="E358" t="s">
        <v>370</v>
      </c>
      <c r="F358" t="str">
        <f>ConvertStockCode(표.실시간[[#This Row],[코드]])</f>
        <v>N005690</v>
      </c>
      <c r="G358" s="4">
        <f>_xll.IMDP("STK",표.실시간[[#This Row],[nxt_code]],"현재가")</f>
        <v>13620</v>
      </c>
      <c r="H358" s="4">
        <f>_xll.IMDP("STK",표.실시간[[#This Row],[nxt_code]],"시가총액")/10^12</f>
        <v>0.81743104968000002</v>
      </c>
      <c r="I358" t="str">
        <f>_xll.IMDP("","","전일대비부호")</f>
        <v>코드오류</v>
      </c>
      <c r="J358" s="5">
        <f>_xll.IMDP("STK",표.실시간[[#This Row],[nxt_code]],"전일대비")</f>
        <v>410</v>
      </c>
      <c r="K358">
        <f>_xll.IMDP("STK",표.실시간[[#This Row],[nxt_code]],"등락률")</f>
        <v>3.1</v>
      </c>
      <c r="L358" s="4">
        <f>_xll.IMDP("STK",표.실시간[[#This Row],[nxt_code]],"누적거래량")</f>
        <v>406295</v>
      </c>
      <c r="M358" s="4">
        <f>_xll.IMDP("STK",표.실시간[[#This Row],[nxt_code]],"누적거래대금")</f>
        <v>5573508910</v>
      </c>
      <c r="N358" s="4">
        <f>_xll.IMDP("STK",표.실시간[[#This Row],[nxt_code]],"가중평균가")</f>
        <v>13717.887027999999</v>
      </c>
      <c r="O358" s="4">
        <f>_xll.IMDP("STK",표.실시간[[#This Row],[nxt_code]],"시가")</f>
        <v>13440</v>
      </c>
      <c r="P358" s="4">
        <f>_xll.IMDP("STK",표.실시간[[#This Row],[nxt_code]],"고가")</f>
        <v>13850</v>
      </c>
      <c r="Q358" s="4">
        <f>_xll.IMDP("STK",표.실시간[[#This Row],[nxt_code]],"저가")</f>
        <v>13430</v>
      </c>
      <c r="R358">
        <f>_xll.IMDP("STK",표.실시간[[#This Row],[nxt_code]],"세션명")</f>
        <v>0</v>
      </c>
      <c r="S358">
        <f>_xll.IMDP("STK",표.실시간[[#This Row],[nxt_code]],"체결시간")</f>
        <v>0</v>
      </c>
      <c r="T358" s="4">
        <f>_xll.IMDP("STK","005690","현재가")</f>
        <v>13570</v>
      </c>
      <c r="U358">
        <f>_xll.IMDP("STK","005690","누적거래량")</f>
        <v>50980</v>
      </c>
    </row>
    <row r="359" spans="3:21" x14ac:dyDescent="0.3">
      <c r="C359">
        <v>354</v>
      </c>
      <c r="D359">
        <v>499790</v>
      </c>
      <c r="E359" t="s">
        <v>371</v>
      </c>
      <c r="F359" t="str">
        <f>ConvertStockCode(표.실시간[[#This Row],[코드]])</f>
        <v>N499790</v>
      </c>
      <c r="G359" s="4">
        <f>_xll.IMDP("STK",표.실시간[[#This Row],[nxt_code]],"현재가")</f>
        <v>41900</v>
      </c>
      <c r="H359" s="4">
        <f>_xll.IMDP("STK",표.실시간[[#This Row],[nxt_code]],"시가총액")/10^12</f>
        <v>0.83091223790000002</v>
      </c>
      <c r="I359" t="str">
        <f>_xll.IMDP("","","전일대비부호")</f>
        <v>코드오류</v>
      </c>
      <c r="J359" s="5">
        <f>_xll.IMDP("STK",표.실시간[[#This Row],[nxt_code]],"전일대비")</f>
        <v>-100</v>
      </c>
      <c r="K359">
        <f>_xll.IMDP("STK",표.실시간[[#This Row],[nxt_code]],"등락률")</f>
        <v>-0.24</v>
      </c>
      <c r="L359" s="4">
        <f>_xll.IMDP("STK",표.실시간[[#This Row],[nxt_code]],"누적거래량")</f>
        <v>2215</v>
      </c>
      <c r="M359" s="4">
        <f>_xll.IMDP("STK",표.실시간[[#This Row],[nxt_code]],"누적거래대금")</f>
        <v>93337750</v>
      </c>
      <c r="N359" s="4">
        <f>_xll.IMDP("STK",표.실시간[[#This Row],[nxt_code]],"가중평균가")</f>
        <v>42138.939052000002</v>
      </c>
      <c r="O359" s="4">
        <f>_xll.IMDP("STK",표.실시간[[#This Row],[nxt_code]],"시가")</f>
        <v>43000</v>
      </c>
      <c r="P359" s="4">
        <f>_xll.IMDP("STK",표.실시간[[#This Row],[nxt_code]],"고가")</f>
        <v>43050</v>
      </c>
      <c r="Q359" s="4">
        <f>_xll.IMDP("STK",표.실시간[[#This Row],[nxt_code]],"저가")</f>
        <v>41800</v>
      </c>
      <c r="R359">
        <f>_xll.IMDP("STK",표.실시간[[#This Row],[nxt_code]],"세션명")</f>
        <v>0</v>
      </c>
      <c r="S359">
        <f>_xll.IMDP("STK",표.실시간[[#This Row],[nxt_code]],"체결시간")</f>
        <v>0</v>
      </c>
      <c r="T359" s="4">
        <f>_xll.IMDP("STK","499790","현재가")</f>
        <v>41850</v>
      </c>
      <c r="U359">
        <f>_xll.IMDP("STK","499790","누적거래량")</f>
        <v>2283</v>
      </c>
    </row>
    <row r="360" spans="3:21" x14ac:dyDescent="0.3">
      <c r="C360">
        <v>355</v>
      </c>
      <c r="D360">
        <v>348210</v>
      </c>
      <c r="E360" t="s">
        <v>372</v>
      </c>
      <c r="F360" t="str">
        <f>ConvertStockCode(표.실시간[[#This Row],[코드]])</f>
        <v>N348210</v>
      </c>
      <c r="G360" s="4">
        <f>_xll.IMDP("STK",표.실시간[[#This Row],[nxt_code]],"현재가")</f>
        <v>71400</v>
      </c>
      <c r="H360" s="4">
        <f>_xll.IMDP("STK",표.실시간[[#This Row],[nxt_code]],"시가총액")/10^12</f>
        <v>0.748058157</v>
      </c>
      <c r="I360" t="str">
        <f>_xll.IMDP("","","전일대비부호")</f>
        <v>코드오류</v>
      </c>
      <c r="J360" s="5">
        <f>_xll.IMDP("STK",표.실시간[[#This Row],[nxt_code]],"전일대비")</f>
        <v>-600</v>
      </c>
      <c r="K360">
        <f>_xll.IMDP("STK",표.실시간[[#This Row],[nxt_code]],"등락률")</f>
        <v>-1.65</v>
      </c>
      <c r="L360" s="4">
        <f>_xll.IMDP("STK",표.실시간[[#This Row],[nxt_code]],"누적거래량")</f>
        <v>3175</v>
      </c>
      <c r="M360" s="4">
        <f>_xll.IMDP("STK",표.실시간[[#This Row],[nxt_code]],"누적거래대금")</f>
        <v>104133800</v>
      </c>
      <c r="N360" s="4">
        <f>_xll.IMDP("STK",표.실시간[[#This Row],[nxt_code]],"가중평균가")</f>
        <v>71732.661416999996</v>
      </c>
      <c r="O360" s="4">
        <f>_xll.IMDP("STK",표.실시간[[#This Row],[nxt_code]],"시가")</f>
        <v>72600</v>
      </c>
      <c r="P360" s="4">
        <f>_xll.IMDP("STK",표.실시간[[#This Row],[nxt_code]],"고가")</f>
        <v>72600</v>
      </c>
      <c r="Q360" s="4">
        <f>_xll.IMDP("STK",표.실시간[[#This Row],[nxt_code]],"저가")</f>
        <v>71000</v>
      </c>
      <c r="R360">
        <f>_xll.IMDP("STK",표.실시간[[#This Row],[nxt_code]],"세션명")</f>
        <v>0</v>
      </c>
      <c r="S360">
        <f>_xll.IMDP("STK",표.실시간[[#This Row],[nxt_code]],"체결시간")</f>
        <v>0</v>
      </c>
      <c r="T360" s="4">
        <f>_xll.IMDP("STK","348210","현재가")</f>
        <v>72000</v>
      </c>
      <c r="U360">
        <f>_xll.IMDP("STK","348210","누적거래량")</f>
        <v>2247</v>
      </c>
    </row>
    <row r="361" spans="3:21" x14ac:dyDescent="0.3">
      <c r="C361">
        <v>356</v>
      </c>
      <c r="D361">
        <v>14620</v>
      </c>
      <c r="E361" t="s">
        <v>373</v>
      </c>
      <c r="F361" t="str">
        <f>ConvertStockCode(표.실시간[[#This Row],[코드]])</f>
        <v>N014620</v>
      </c>
      <c r="G361" s="4">
        <f>_xll.IMDP("STK",표.실시간[[#This Row],[nxt_code]],"현재가")</f>
        <v>28800</v>
      </c>
      <c r="H361" s="4">
        <f>_xll.IMDP("STK",표.실시간[[#This Row],[nxt_code]],"시가총액")/10^12</f>
        <v>0.76485208319999998</v>
      </c>
      <c r="I361" t="str">
        <f>_xll.IMDP("","","전일대비부호")</f>
        <v>코드오류</v>
      </c>
      <c r="J361" s="5">
        <f>_xll.IMDP("STK",표.실시간[[#This Row],[nxt_code]],"전일대비")</f>
        <v>500</v>
      </c>
      <c r="K361">
        <f>_xll.IMDP("STK",표.실시간[[#This Row],[nxt_code]],"등락률")</f>
        <v>1.77</v>
      </c>
      <c r="L361" s="4">
        <f>_xll.IMDP("STK",표.실시간[[#This Row],[nxt_code]],"누적거래량")</f>
        <v>8535</v>
      </c>
      <c r="M361" s="4">
        <f>_xll.IMDP("STK",표.실시간[[#This Row],[nxt_code]],"누적거래대금")</f>
        <v>244182500</v>
      </c>
      <c r="N361" s="4">
        <f>_xll.IMDP("STK",표.실시간[[#This Row],[nxt_code]],"가중평균가")</f>
        <v>28609.548916</v>
      </c>
      <c r="O361" s="4">
        <f>_xll.IMDP("STK",표.실시간[[#This Row],[nxt_code]],"시가")</f>
        <v>28600</v>
      </c>
      <c r="P361" s="4">
        <f>_xll.IMDP("STK",표.실시간[[#This Row],[nxt_code]],"고가")</f>
        <v>28800</v>
      </c>
      <c r="Q361" s="4">
        <f>_xll.IMDP("STK",표.실시간[[#This Row],[nxt_code]],"저가")</f>
        <v>28300</v>
      </c>
      <c r="R361">
        <f>_xll.IMDP("STK",표.실시간[[#This Row],[nxt_code]],"세션명")</f>
        <v>0</v>
      </c>
      <c r="S361">
        <f>_xll.IMDP("STK",표.실시간[[#This Row],[nxt_code]],"체결시간")</f>
        <v>0</v>
      </c>
      <c r="T361" s="4">
        <f>_xll.IMDP("STK","014620","현재가")</f>
        <v>29000</v>
      </c>
      <c r="U361">
        <f>_xll.IMDP("STK","014620","누적거래량")</f>
        <v>2189</v>
      </c>
    </row>
    <row r="362" spans="3:21" x14ac:dyDescent="0.3">
      <c r="C362">
        <v>357</v>
      </c>
      <c r="D362">
        <v>7700</v>
      </c>
      <c r="E362" t="s">
        <v>374</v>
      </c>
      <c r="F362" t="str">
        <f>ConvertStockCode(표.실시간[[#This Row],[코드]])</f>
        <v>N007700</v>
      </c>
      <c r="G362" s="4">
        <f>_xll.IMDP("STK",표.실시간[[#This Row],[nxt_code]],"현재가")</f>
        <v>19780</v>
      </c>
      <c r="H362" s="4">
        <f>_xll.IMDP("STK",표.실시간[[#This Row],[nxt_code]],"시가총액")/10^12</f>
        <v>0.77368217926000005</v>
      </c>
      <c r="I362" t="str">
        <f>_xll.IMDP("","","전일대비부호")</f>
        <v>코드오류</v>
      </c>
      <c r="J362" s="5">
        <f>_xll.IMDP("STK",표.실시간[[#This Row],[nxt_code]],"전일대비")</f>
        <v>380</v>
      </c>
      <c r="K362">
        <f>_xll.IMDP("STK",표.실시간[[#This Row],[nxt_code]],"등락률")</f>
        <v>1.96</v>
      </c>
      <c r="L362" s="4">
        <f>_xll.IMDP("STK",표.실시간[[#This Row],[nxt_code]],"누적거래량")</f>
        <v>1032</v>
      </c>
      <c r="M362" s="4">
        <f>_xll.IMDP("STK",표.실시간[[#This Row],[nxt_code]],"누적거래대금")</f>
        <v>20382100</v>
      </c>
      <c r="N362" s="4">
        <f>_xll.IMDP("STK",표.실시간[[#This Row],[nxt_code]],"가중평균가")</f>
        <v>19750.096899</v>
      </c>
      <c r="O362" s="4">
        <f>_xll.IMDP("STK",표.실시간[[#This Row],[nxt_code]],"시가")</f>
        <v>19770</v>
      </c>
      <c r="P362" s="4">
        <f>_xll.IMDP("STK",표.실시간[[#This Row],[nxt_code]],"고가")</f>
        <v>19780</v>
      </c>
      <c r="Q362" s="4">
        <f>_xll.IMDP("STK",표.실시간[[#This Row],[nxt_code]],"저가")</f>
        <v>19510</v>
      </c>
      <c r="R362">
        <f>_xll.IMDP("STK",표.실시간[[#This Row],[nxt_code]],"세션명")</f>
        <v>0</v>
      </c>
      <c r="S362">
        <f>_xll.IMDP("STK",표.실시간[[#This Row],[nxt_code]],"체결시간")</f>
        <v>0</v>
      </c>
      <c r="T362" s="4">
        <f>_xll.IMDP("STK","007700","현재가")</f>
        <v>19700</v>
      </c>
      <c r="U362">
        <f>_xll.IMDP("STK","007700","누적거래량")</f>
        <v>89</v>
      </c>
    </row>
    <row r="363" spans="3:21" x14ac:dyDescent="0.3">
      <c r="C363">
        <v>358</v>
      </c>
      <c r="D363">
        <v>9520</v>
      </c>
      <c r="E363" t="s">
        <v>375</v>
      </c>
      <c r="F363" t="str">
        <f>ConvertStockCode(표.실시간[[#This Row],[코드]])</f>
        <v>N009520</v>
      </c>
      <c r="G363" s="4">
        <f>_xll.IMDP("STK",표.실시간[[#This Row],[nxt_code]],"현재가")</f>
        <v>18840</v>
      </c>
      <c r="H363" s="4">
        <f>_xll.IMDP("STK",표.실시간[[#This Row],[nxt_code]],"시가총액")/10^12</f>
        <v>0.78454852452000001</v>
      </c>
      <c r="I363" t="str">
        <f>_xll.IMDP("","","전일대비부호")</f>
        <v>코드오류</v>
      </c>
      <c r="J363" s="5">
        <f>_xll.IMDP("STK",표.실시간[[#This Row],[nxt_code]],"전일대비")</f>
        <v>-20</v>
      </c>
      <c r="K363">
        <f>_xll.IMDP("STK",표.실시간[[#This Row],[nxt_code]],"등락률")</f>
        <v>-0.11</v>
      </c>
      <c r="L363" s="4">
        <f>_xll.IMDP("STK",표.실시간[[#This Row],[nxt_code]],"누적거래량")</f>
        <v>413089</v>
      </c>
      <c r="M363" s="4">
        <f>_xll.IMDP("STK",표.실시간[[#This Row],[nxt_code]],"누적거래대금")</f>
        <v>7913935210</v>
      </c>
      <c r="N363" s="4">
        <f>_xll.IMDP("STK",표.실시간[[#This Row],[nxt_code]],"가중평균가")</f>
        <v>19157.942258999999</v>
      </c>
      <c r="O363" s="4">
        <f>_xll.IMDP("STK",표.실시간[[#This Row],[nxt_code]],"시가")</f>
        <v>19190</v>
      </c>
      <c r="P363" s="4">
        <f>_xll.IMDP("STK",표.실시간[[#This Row],[nxt_code]],"고가")</f>
        <v>19430</v>
      </c>
      <c r="Q363" s="4">
        <f>_xll.IMDP("STK",표.실시간[[#This Row],[nxt_code]],"저가")</f>
        <v>18840</v>
      </c>
      <c r="R363">
        <f>_xll.IMDP("STK",표.실시간[[#This Row],[nxt_code]],"세션명")</f>
        <v>0</v>
      </c>
      <c r="S363">
        <f>_xll.IMDP("STK",표.실시간[[#This Row],[nxt_code]],"체결시간")</f>
        <v>0</v>
      </c>
      <c r="T363" s="4">
        <f>_xll.IMDP("STK","009520","현재가")</f>
        <v>18820</v>
      </c>
      <c r="U363">
        <f>_xll.IMDP("STK","009520","누적거래량")</f>
        <v>68805</v>
      </c>
    </row>
    <row r="364" spans="3:21" x14ac:dyDescent="0.3">
      <c r="C364">
        <v>359</v>
      </c>
      <c r="D364">
        <v>376300</v>
      </c>
      <c r="E364" t="s">
        <v>376</v>
      </c>
      <c r="F364" t="str">
        <f>ConvertStockCode(표.실시간[[#This Row],[코드]])</f>
        <v>N376300</v>
      </c>
      <c r="G364" s="4">
        <f>_xll.IMDP("STK",표.실시간[[#This Row],[nxt_code]],"현재가")</f>
        <v>33300</v>
      </c>
      <c r="H364" s="4">
        <f>_xll.IMDP("STK",표.실시간[[#This Row],[nxt_code]],"시가총액")/10^12</f>
        <v>0.79048891980000002</v>
      </c>
      <c r="I364" t="str">
        <f>_xll.IMDP("","","전일대비부호")</f>
        <v>코드오류</v>
      </c>
      <c r="J364" s="5">
        <f>_xll.IMDP("STK",표.실시간[[#This Row],[nxt_code]],"전일대비")</f>
        <v>650</v>
      </c>
      <c r="K364">
        <f>_xll.IMDP("STK",표.실시간[[#This Row],[nxt_code]],"등락률")</f>
        <v>2.2999999999999998</v>
      </c>
      <c r="L364" s="4">
        <f>_xll.IMDP("STK",표.실시간[[#This Row],[nxt_code]],"누적거래량")</f>
        <v>7955</v>
      </c>
      <c r="M364" s="4">
        <f>_xll.IMDP("STK",표.실시간[[#This Row],[nxt_code]],"누적거래대금")</f>
        <v>262978300</v>
      </c>
      <c r="N364" s="4">
        <f>_xll.IMDP("STK",표.실시간[[#This Row],[nxt_code]],"가중평균가")</f>
        <v>32884.619231999997</v>
      </c>
      <c r="O364" s="4">
        <f>_xll.IMDP("STK",표.실시간[[#This Row],[nxt_code]],"시가")</f>
        <v>32600</v>
      </c>
      <c r="P364" s="4">
        <f>_xll.IMDP("STK",표.실시간[[#This Row],[nxt_code]],"고가")</f>
        <v>33300</v>
      </c>
      <c r="Q364" s="4">
        <f>_xll.IMDP("STK",표.실시간[[#This Row],[nxt_code]],"저가")</f>
        <v>32600</v>
      </c>
      <c r="R364">
        <f>_xll.IMDP("STK",표.실시간[[#This Row],[nxt_code]],"세션명")</f>
        <v>0</v>
      </c>
      <c r="S364">
        <f>_xll.IMDP("STK",표.실시간[[#This Row],[nxt_code]],"체결시간")</f>
        <v>0</v>
      </c>
      <c r="T364" s="4">
        <f>_xll.IMDP("STK","376300","현재가")</f>
        <v>33200</v>
      </c>
      <c r="U364">
        <f>_xll.IMDP("STK","376300","누적거래량")</f>
        <v>2924</v>
      </c>
    </row>
    <row r="365" spans="3:21" x14ac:dyDescent="0.3">
      <c r="C365">
        <v>360</v>
      </c>
      <c r="D365">
        <v>210</v>
      </c>
      <c r="E365" t="s">
        <v>377</v>
      </c>
      <c r="F365" t="str">
        <f>ConvertStockCode(표.실시간[[#This Row],[코드]])</f>
        <v>N000210</v>
      </c>
      <c r="G365" s="4">
        <f>_xll.IMDP("STK",표.실시간[[#This Row],[nxt_code]],"현재가")</f>
        <v>36900</v>
      </c>
      <c r="H365" s="4">
        <f>_xll.IMDP("STK",표.실시간[[#This Row],[nxt_code]],"시가총액")/10^12</f>
        <v>0.77327211959999997</v>
      </c>
      <c r="I365" t="str">
        <f>_xll.IMDP("","","전일대비부호")</f>
        <v>코드오류</v>
      </c>
      <c r="J365" s="5">
        <f>_xll.IMDP("STK",표.실시간[[#This Row],[nxt_code]],"전일대비")</f>
        <v>500</v>
      </c>
      <c r="K365">
        <f>_xll.IMDP("STK",표.실시간[[#This Row],[nxt_code]],"등락률")</f>
        <v>1.37</v>
      </c>
      <c r="L365" s="4">
        <f>_xll.IMDP("STK",표.실시간[[#This Row],[nxt_code]],"누적거래량")</f>
        <v>4469</v>
      </c>
      <c r="M365" s="4">
        <f>_xll.IMDP("STK",표.실시간[[#This Row],[nxt_code]],"누적거래대금")</f>
        <v>164874950</v>
      </c>
      <c r="N365" s="4">
        <f>_xll.IMDP("STK",표.실시간[[#This Row],[nxt_code]],"가중평균가")</f>
        <v>36893.029760999998</v>
      </c>
      <c r="O365" s="4">
        <f>_xll.IMDP("STK",표.실시간[[#This Row],[nxt_code]],"시가")</f>
        <v>36600</v>
      </c>
      <c r="P365" s="4">
        <f>_xll.IMDP("STK",표.실시간[[#This Row],[nxt_code]],"고가")</f>
        <v>37000</v>
      </c>
      <c r="Q365" s="4">
        <f>_xll.IMDP("STK",표.실시간[[#This Row],[nxt_code]],"저가")</f>
        <v>36600</v>
      </c>
      <c r="R365">
        <f>_xll.IMDP("STK",표.실시간[[#This Row],[nxt_code]],"세션명")</f>
        <v>0</v>
      </c>
      <c r="S365">
        <f>_xll.IMDP("STK",표.실시간[[#This Row],[nxt_code]],"체결시간")</f>
        <v>0</v>
      </c>
      <c r="T365" s="4">
        <f>_xll.IMDP("STK","000210","현재가")</f>
        <v>37450</v>
      </c>
      <c r="U365">
        <f>_xll.IMDP("STK","000210","누적거래량")</f>
        <v>9284</v>
      </c>
    </row>
    <row r="366" spans="3:21" x14ac:dyDescent="0.3">
      <c r="C366">
        <v>361</v>
      </c>
      <c r="D366">
        <v>3850</v>
      </c>
      <c r="E366" t="s">
        <v>378</v>
      </c>
      <c r="F366" t="str">
        <f>ConvertStockCode(표.실시간[[#This Row],[코드]])</f>
        <v>N003850</v>
      </c>
      <c r="G366" s="4">
        <f>_xll.IMDP("STK",표.실시간[[#This Row],[nxt_code]],"현재가")</f>
        <v>8960</v>
      </c>
      <c r="H366" s="4">
        <f>_xll.IMDP("STK",표.실시간[[#This Row],[nxt_code]],"시가총액")/10^12</f>
        <v>0.76865337471999995</v>
      </c>
      <c r="I366" t="str">
        <f>_xll.IMDP("","","전일대비부호")</f>
        <v>코드오류</v>
      </c>
      <c r="J366" s="5">
        <f>_xll.IMDP("STK",표.실시간[[#This Row],[nxt_code]],"전일대비")</f>
        <v>30</v>
      </c>
      <c r="K366">
        <f>_xll.IMDP("STK",표.실시간[[#This Row],[nxt_code]],"등락률")</f>
        <v>0.34</v>
      </c>
      <c r="L366" s="4">
        <f>_xll.IMDP("STK",표.실시간[[#This Row],[nxt_code]],"누적거래량")</f>
        <v>8705</v>
      </c>
      <c r="M366" s="4">
        <f>_xll.IMDP("STK",표.실시간[[#This Row],[nxt_code]],"누적거래대금")</f>
        <v>77897330</v>
      </c>
      <c r="N366" s="4">
        <f>_xll.IMDP("STK",표.실시간[[#This Row],[nxt_code]],"가중평균가")</f>
        <v>8948.5732339999995</v>
      </c>
      <c r="O366" s="4">
        <f>_xll.IMDP("STK",표.실시간[[#This Row],[nxt_code]],"시가")</f>
        <v>8940</v>
      </c>
      <c r="P366" s="4">
        <f>_xll.IMDP("STK",표.실시간[[#This Row],[nxt_code]],"고가")</f>
        <v>8980</v>
      </c>
      <c r="Q366" s="4">
        <f>_xll.IMDP("STK",표.실시간[[#This Row],[nxt_code]],"저가")</f>
        <v>8920</v>
      </c>
      <c r="R366">
        <f>_xll.IMDP("STK",표.실시간[[#This Row],[nxt_code]],"세션명")</f>
        <v>0</v>
      </c>
      <c r="S366">
        <f>_xll.IMDP("STK",표.실시간[[#This Row],[nxt_code]],"체결시간")</f>
        <v>0</v>
      </c>
      <c r="T366" s="4">
        <f>_xll.IMDP("STK","003850","현재가")</f>
        <v>9050</v>
      </c>
      <c r="U366">
        <f>_xll.IMDP("STK","003850","누적거래량")</f>
        <v>7852</v>
      </c>
    </row>
    <row r="367" spans="3:21" x14ac:dyDescent="0.3">
      <c r="C367">
        <v>362</v>
      </c>
      <c r="D367">
        <v>42000</v>
      </c>
      <c r="E367" t="s">
        <v>379</v>
      </c>
      <c r="F367" t="str">
        <f>ConvertStockCode(표.실시간[[#This Row],[코드]])</f>
        <v>N042000</v>
      </c>
      <c r="G367" s="4">
        <f>_xll.IMDP("STK",표.실시간[[#This Row],[nxt_code]],"현재가")</f>
        <v>31750</v>
      </c>
      <c r="H367" s="4">
        <f>_xll.IMDP("STK",표.실시간[[#This Row],[nxt_code]],"시가총액")/10^12</f>
        <v>0.77003446450000002</v>
      </c>
      <c r="I367" t="str">
        <f>_xll.IMDP("","","전일대비부호")</f>
        <v>코드오류</v>
      </c>
      <c r="J367" s="5">
        <f>_xll.IMDP("STK",표.실시간[[#This Row],[nxt_code]],"전일대비")</f>
        <v>200</v>
      </c>
      <c r="K367">
        <f>_xll.IMDP("STK",표.실시간[[#This Row],[nxt_code]],"등락률")</f>
        <v>0.63</v>
      </c>
      <c r="L367" s="4">
        <f>_xll.IMDP("STK",표.실시간[[#This Row],[nxt_code]],"누적거래량")</f>
        <v>3961</v>
      </c>
      <c r="M367" s="4">
        <f>_xll.IMDP("STK",표.실시간[[#This Row],[nxt_code]],"누적거래대금")</f>
        <v>125675450</v>
      </c>
      <c r="N367" s="4">
        <f>_xll.IMDP("STK",표.실시간[[#This Row],[nxt_code]],"가중평균가")</f>
        <v>31728.212573000001</v>
      </c>
      <c r="O367" s="4">
        <f>_xll.IMDP("STK",표.실시간[[#This Row],[nxt_code]],"시가")</f>
        <v>31550</v>
      </c>
      <c r="P367" s="4">
        <f>_xll.IMDP("STK",표.실시간[[#This Row],[nxt_code]],"고가")</f>
        <v>32000</v>
      </c>
      <c r="Q367" s="4">
        <f>_xll.IMDP("STK",표.실시간[[#This Row],[nxt_code]],"저가")</f>
        <v>31550</v>
      </c>
      <c r="R367">
        <f>_xll.IMDP("STK",표.실시간[[#This Row],[nxt_code]],"세션명")</f>
        <v>0</v>
      </c>
      <c r="S367">
        <f>_xll.IMDP("STK",표.실시간[[#This Row],[nxt_code]],"체결시간")</f>
        <v>0</v>
      </c>
      <c r="T367" s="4">
        <f>_xll.IMDP("STK","042000","현재가")</f>
        <v>31650</v>
      </c>
      <c r="U367">
        <f>_xll.IMDP("STK","042000","누적거래량")</f>
        <v>1436</v>
      </c>
    </row>
    <row r="368" spans="3:21" x14ac:dyDescent="0.3">
      <c r="C368">
        <v>363</v>
      </c>
      <c r="D368">
        <v>86450</v>
      </c>
      <c r="E368" t="s">
        <v>380</v>
      </c>
      <c r="F368" t="str">
        <f>ConvertStockCode(표.실시간[[#This Row],[코드]])</f>
        <v>N086450</v>
      </c>
      <c r="G368" s="4">
        <f>_xll.IMDP("STK",표.실시간[[#This Row],[nxt_code]],"현재가")</f>
        <v>16670</v>
      </c>
      <c r="H368" s="4">
        <f>_xll.IMDP("STK",표.실시간[[#This Row],[nxt_code]],"시가총액")/10^12</f>
        <v>0.75399110140000003</v>
      </c>
      <c r="I368" t="str">
        <f>_xll.IMDP("","","전일대비부호")</f>
        <v>코드오류</v>
      </c>
      <c r="J368" s="5">
        <f>_xll.IMDP("STK",표.실시간[[#This Row],[nxt_code]],"전일대비")</f>
        <v>80</v>
      </c>
      <c r="K368">
        <f>_xll.IMDP("STK",표.실시간[[#This Row],[nxt_code]],"등락률")</f>
        <v>0.48</v>
      </c>
      <c r="L368" s="4">
        <f>_xll.IMDP("STK",표.실시간[[#This Row],[nxt_code]],"누적거래량")</f>
        <v>6377</v>
      </c>
      <c r="M368" s="4">
        <f>_xll.IMDP("STK",표.실시간[[#This Row],[nxt_code]],"누적거래대금")</f>
        <v>106164190</v>
      </c>
      <c r="N368" s="4">
        <f>_xll.IMDP("STK",표.실시간[[#This Row],[nxt_code]],"가중평균가")</f>
        <v>16647.983378000001</v>
      </c>
      <c r="O368" s="4">
        <f>_xll.IMDP("STK",표.실시간[[#This Row],[nxt_code]],"시가")</f>
        <v>16680</v>
      </c>
      <c r="P368" s="4">
        <f>_xll.IMDP("STK",표.실시간[[#This Row],[nxt_code]],"고가")</f>
        <v>16680</v>
      </c>
      <c r="Q368" s="4">
        <f>_xll.IMDP("STK",표.실시간[[#This Row],[nxt_code]],"저가")</f>
        <v>16600</v>
      </c>
      <c r="R368">
        <f>_xll.IMDP("STK",표.실시간[[#This Row],[nxt_code]],"세션명")</f>
        <v>0</v>
      </c>
      <c r="S368">
        <f>_xll.IMDP("STK",표.실시간[[#This Row],[nxt_code]],"체결시간")</f>
        <v>0</v>
      </c>
      <c r="T368" s="4">
        <f>_xll.IMDP("STK","086450","현재가")</f>
        <v>16690</v>
      </c>
      <c r="U368">
        <f>_xll.IMDP("STK","086450","누적거래량")</f>
        <v>2422</v>
      </c>
    </row>
    <row r="369" spans="3:21" x14ac:dyDescent="0.3">
      <c r="C369">
        <v>364</v>
      </c>
      <c r="D369">
        <v>69260</v>
      </c>
      <c r="E369" t="s">
        <v>381</v>
      </c>
      <c r="F369" t="str">
        <f>ConvertStockCode(표.실시간[[#This Row],[코드]])</f>
        <v>N069260</v>
      </c>
      <c r="G369" s="4">
        <f>_xll.IMDP("STK",표.실시간[[#This Row],[nxt_code]],"현재가")</f>
        <v>18660</v>
      </c>
      <c r="H369" s="4">
        <f>_xll.IMDP("STK",표.실시간[[#This Row],[nxt_code]],"시가총액")/10^12</f>
        <v>0.76279445207999996</v>
      </c>
      <c r="I369" t="str">
        <f>_xll.IMDP("","","전일대비부호")</f>
        <v>코드오류</v>
      </c>
      <c r="J369" s="5">
        <f>_xll.IMDP("STK",표.실시간[[#This Row],[nxt_code]],"전일대비")</f>
        <v>120</v>
      </c>
      <c r="K369">
        <f>_xll.IMDP("STK",표.실시간[[#This Row],[nxt_code]],"등락률")</f>
        <v>0.65</v>
      </c>
      <c r="L369" s="4">
        <f>_xll.IMDP("STK",표.실시간[[#This Row],[nxt_code]],"누적거래량")</f>
        <v>973</v>
      </c>
      <c r="M369" s="4">
        <f>_xll.IMDP("STK",표.실시간[[#This Row],[nxt_code]],"누적거래대금")</f>
        <v>18094930</v>
      </c>
      <c r="N369" s="4">
        <f>_xll.IMDP("STK",표.실시간[[#This Row],[nxt_code]],"가중평균가")</f>
        <v>18597.050360000001</v>
      </c>
      <c r="O369" s="4">
        <f>_xll.IMDP("STK",표.실시간[[#This Row],[nxt_code]],"시가")</f>
        <v>18480</v>
      </c>
      <c r="P369" s="4">
        <f>_xll.IMDP("STK",표.실시간[[#This Row],[nxt_code]],"고가")</f>
        <v>18660</v>
      </c>
      <c r="Q369" s="4">
        <f>_xll.IMDP("STK",표.실시간[[#This Row],[nxt_code]],"저가")</f>
        <v>18360</v>
      </c>
      <c r="R369">
        <f>_xll.IMDP("STK",표.실시간[[#This Row],[nxt_code]],"세션명")</f>
        <v>0</v>
      </c>
      <c r="S369">
        <f>_xll.IMDP("STK",표.실시간[[#This Row],[nxt_code]],"체결시간")</f>
        <v>0</v>
      </c>
      <c r="T369" s="4">
        <f>_xll.IMDP("STK","069260","현재가")</f>
        <v>18700</v>
      </c>
      <c r="U369">
        <f>_xll.IMDP("STK","069260","누적거래량")</f>
        <v>1197</v>
      </c>
    </row>
    <row r="370" spans="3:21" x14ac:dyDescent="0.3">
      <c r="C370">
        <v>365</v>
      </c>
      <c r="D370">
        <v>67160</v>
      </c>
      <c r="E370" t="s">
        <v>382</v>
      </c>
      <c r="F370" t="str">
        <f>ConvertStockCode(표.실시간[[#This Row],[코드]])</f>
        <v>N067160</v>
      </c>
      <c r="G370" s="4">
        <f>_xll.IMDP("STK",표.실시간[[#This Row],[nxt_code]],"현재가")</f>
        <v>65500</v>
      </c>
      <c r="H370" s="4">
        <f>_xll.IMDP("STK",표.실시간[[#This Row],[nxt_code]],"시가총액")/10^12</f>
        <v>0.75290723849999996</v>
      </c>
      <c r="I370" t="str">
        <f>_xll.IMDP("","","전일대비부호")</f>
        <v>코드오류</v>
      </c>
      <c r="J370" s="5">
        <f>_xll.IMDP("STK",표.실시간[[#This Row],[nxt_code]],"전일대비")</f>
        <v>600</v>
      </c>
      <c r="K370">
        <f>_xll.IMDP("STK",표.실시간[[#This Row],[nxt_code]],"등락률")</f>
        <v>0.92</v>
      </c>
      <c r="L370" s="4">
        <f>_xll.IMDP("STK",표.실시간[[#This Row],[nxt_code]],"누적거래량")</f>
        <v>711</v>
      </c>
      <c r="M370" s="4">
        <f>_xll.IMDP("STK",표.실시간[[#This Row],[nxt_code]],"누적거래대금")</f>
        <v>46348600</v>
      </c>
      <c r="N370" s="4">
        <f>_xll.IMDP("STK",표.실시간[[#This Row],[nxt_code]],"가중평균가")</f>
        <v>65187.90436</v>
      </c>
      <c r="O370" s="4">
        <f>_xll.IMDP("STK",표.실시간[[#This Row],[nxt_code]],"시가")</f>
        <v>64900</v>
      </c>
      <c r="P370" s="4">
        <f>_xll.IMDP("STK",표.실시간[[#This Row],[nxt_code]],"고가")</f>
        <v>65500</v>
      </c>
      <c r="Q370" s="4">
        <f>_xll.IMDP("STK",표.실시간[[#This Row],[nxt_code]],"저가")</f>
        <v>64900</v>
      </c>
      <c r="R370">
        <f>_xll.IMDP("STK",표.실시간[[#This Row],[nxt_code]],"세션명")</f>
        <v>0</v>
      </c>
      <c r="S370">
        <f>_xll.IMDP("STK",표.실시간[[#This Row],[nxt_code]],"체결시간")</f>
        <v>0</v>
      </c>
      <c r="T370" s="4">
        <f>_xll.IMDP("STK","067160","현재가")</f>
        <v>65300</v>
      </c>
      <c r="U370">
        <f>_xll.IMDP("STK","067160","누적거래량")</f>
        <v>248</v>
      </c>
    </row>
    <row r="371" spans="3:21" x14ac:dyDescent="0.3">
      <c r="C371">
        <v>366</v>
      </c>
      <c r="D371">
        <v>1680</v>
      </c>
      <c r="E371" t="s">
        <v>383</v>
      </c>
      <c r="F371" t="str">
        <f>ConvertStockCode(표.실시간[[#This Row],[코드]])</f>
        <v>N001680</v>
      </c>
      <c r="G371" s="4">
        <f>_xll.IMDP("STK",표.실시간[[#This Row],[nxt_code]],"현재가")</f>
        <v>21950</v>
      </c>
      <c r="H371" s="4">
        <f>_xll.IMDP("STK",표.실시간[[#This Row],[nxt_code]],"시가총액")/10^12</f>
        <v>0.76052414874999996</v>
      </c>
      <c r="I371" t="str">
        <f>_xll.IMDP("","","전일대비부호")</f>
        <v>코드오류</v>
      </c>
      <c r="J371" s="5">
        <f>_xll.IMDP("STK",표.실시간[[#This Row],[nxt_code]],"전일대비")</f>
        <v>150</v>
      </c>
      <c r="K371">
        <f>_xll.IMDP("STK",표.실시간[[#This Row],[nxt_code]],"등락률")</f>
        <v>0.69</v>
      </c>
      <c r="L371" s="4">
        <f>_xll.IMDP("STK",표.실시간[[#This Row],[nxt_code]],"누적거래량")</f>
        <v>6778</v>
      </c>
      <c r="M371" s="4">
        <f>_xll.IMDP("STK",표.실시간[[#This Row],[nxt_code]],"누적거래대금")</f>
        <v>148898450</v>
      </c>
      <c r="N371" s="4">
        <f>_xll.IMDP("STK",표.실시간[[#This Row],[nxt_code]],"가중평균가")</f>
        <v>21967.903511</v>
      </c>
      <c r="O371" s="4">
        <f>_xll.IMDP("STK",표.실시간[[#This Row],[nxt_code]],"시가")</f>
        <v>22000</v>
      </c>
      <c r="P371" s="4">
        <f>_xll.IMDP("STK",표.실시간[[#This Row],[nxt_code]],"고가")</f>
        <v>22050</v>
      </c>
      <c r="Q371" s="4">
        <f>_xll.IMDP("STK",표.실시간[[#This Row],[nxt_code]],"저가")</f>
        <v>21850</v>
      </c>
      <c r="R371">
        <f>_xll.IMDP("STK",표.실시간[[#This Row],[nxt_code]],"세션명")</f>
        <v>0</v>
      </c>
      <c r="S371">
        <f>_xll.IMDP("STK",표.실시간[[#This Row],[nxt_code]],"체결시간")</f>
        <v>0</v>
      </c>
      <c r="T371" s="4">
        <f>_xll.IMDP("STK","001680","현재가")</f>
        <v>21950</v>
      </c>
      <c r="U371">
        <f>_xll.IMDP("STK","001680","누적거래량")</f>
        <v>2311</v>
      </c>
    </row>
    <row r="372" spans="3:21" x14ac:dyDescent="0.3">
      <c r="C372">
        <v>367</v>
      </c>
      <c r="D372">
        <v>336570</v>
      </c>
      <c r="E372" t="s">
        <v>384</v>
      </c>
      <c r="F372" t="str">
        <f>ConvertStockCode(표.실시간[[#This Row],[코드]])</f>
        <v>N336570</v>
      </c>
      <c r="G372" s="4">
        <f>_xll.IMDP("STK",표.실시간[[#This Row],[nxt_code]],"현재가")</f>
        <v>8490</v>
      </c>
      <c r="H372" s="4">
        <f>_xll.IMDP("STK",표.실시간[[#This Row],[nxt_code]],"시가총액")/10^12</f>
        <v>0.76383593552999995</v>
      </c>
      <c r="I372" t="str">
        <f>_xll.IMDP("","","전일대비부호")</f>
        <v>코드오류</v>
      </c>
      <c r="J372" s="5">
        <f>_xll.IMDP("STK",표.실시간[[#This Row],[nxt_code]],"전일대비")</f>
        <v>-50</v>
      </c>
      <c r="K372">
        <f>_xll.IMDP("STK",표.실시간[[#This Row],[nxt_code]],"등락률")</f>
        <v>-0.59</v>
      </c>
      <c r="L372" s="4">
        <f>_xll.IMDP("STK",표.실시간[[#This Row],[nxt_code]],"누적거래량")</f>
        <v>139248</v>
      </c>
      <c r="M372" s="4">
        <f>_xll.IMDP("STK",표.실시간[[#This Row],[nxt_code]],"누적거래대금")</f>
        <v>1198411610</v>
      </c>
      <c r="N372" s="4">
        <f>_xll.IMDP("STK",표.실시간[[#This Row],[nxt_code]],"가중평균가")</f>
        <v>8610.8838909999995</v>
      </c>
      <c r="O372" s="4">
        <f>_xll.IMDP("STK",표.실시간[[#This Row],[nxt_code]],"시가")</f>
        <v>8650</v>
      </c>
      <c r="P372" s="4">
        <f>_xll.IMDP("STK",표.실시간[[#This Row],[nxt_code]],"고가")</f>
        <v>8670</v>
      </c>
      <c r="Q372" s="4">
        <f>_xll.IMDP("STK",표.실시간[[#This Row],[nxt_code]],"저가")</f>
        <v>8490</v>
      </c>
      <c r="R372">
        <f>_xll.IMDP("STK",표.실시간[[#This Row],[nxt_code]],"세션명")</f>
        <v>0</v>
      </c>
      <c r="S372">
        <f>_xll.IMDP("STK",표.실시간[[#This Row],[nxt_code]],"체결시간")</f>
        <v>0</v>
      </c>
      <c r="T372" s="4">
        <f>_xll.IMDP("STK","336570","현재가")</f>
        <v>8490</v>
      </c>
      <c r="U372">
        <f>_xll.IMDP("STK","336570","누적거래량")</f>
        <v>59696</v>
      </c>
    </row>
    <row r="373" spans="3:21" x14ac:dyDescent="0.3">
      <c r="C373">
        <v>368</v>
      </c>
      <c r="D373">
        <v>25980</v>
      </c>
      <c r="E373" t="s">
        <v>385</v>
      </c>
      <c r="F373" t="str">
        <f>ConvertStockCode(표.실시간[[#This Row],[코드]])</f>
        <v>N025980</v>
      </c>
      <c r="G373" s="4">
        <f>_xll.IMDP("STK",표.실시간[[#This Row],[nxt_code]],"현재가")</f>
        <v>7800</v>
      </c>
      <c r="H373" s="4">
        <f>_xll.IMDP("STK",표.실시간[[#This Row],[nxt_code]],"시가총액")/10^12</f>
        <v>0.73865638079999996</v>
      </c>
      <c r="I373" t="str">
        <f>_xll.IMDP("","","전일대비부호")</f>
        <v>코드오류</v>
      </c>
      <c r="J373" s="5">
        <f>_xll.IMDP("STK",표.실시간[[#This Row],[nxt_code]],"전일대비")</f>
        <v>20</v>
      </c>
      <c r="K373">
        <f>_xll.IMDP("STK",표.실시간[[#This Row],[nxt_code]],"등락률")</f>
        <v>0.13</v>
      </c>
      <c r="L373" s="4">
        <f>_xll.IMDP("STK",표.실시간[[#This Row],[nxt_code]],"누적거래량")</f>
        <v>41585</v>
      </c>
      <c r="M373" s="4">
        <f>_xll.IMDP("STK",표.실시간[[#This Row],[nxt_code]],"누적거래대금")</f>
        <v>363309530</v>
      </c>
      <c r="N373" s="4">
        <f>_xll.IMDP("STK",표.실시간[[#This Row],[nxt_code]],"가중평균가")</f>
        <v>7816.3019299999996</v>
      </c>
      <c r="O373" s="4">
        <f>_xll.IMDP("STK",표.실시간[[#This Row],[nxt_code]],"시가")</f>
        <v>7800</v>
      </c>
      <c r="P373" s="4">
        <f>_xll.IMDP("STK",표.실시간[[#This Row],[nxt_code]],"고가")</f>
        <v>7880</v>
      </c>
      <c r="Q373" s="4">
        <f>_xll.IMDP("STK",표.실시간[[#This Row],[nxt_code]],"저가")</f>
        <v>7790</v>
      </c>
      <c r="R373">
        <f>_xll.IMDP("STK",표.실시간[[#This Row],[nxt_code]],"세션명")</f>
        <v>0</v>
      </c>
      <c r="S373">
        <f>_xll.IMDP("STK",표.실시간[[#This Row],[nxt_code]],"체결시간")</f>
        <v>0</v>
      </c>
      <c r="T373" s="4">
        <f>_xll.IMDP("STK","025980","현재가")</f>
        <v>7810</v>
      </c>
      <c r="U373">
        <f>_xll.IMDP("STK","025980","누적거래량")</f>
        <v>3141</v>
      </c>
    </row>
    <row r="374" spans="3:21" x14ac:dyDescent="0.3">
      <c r="C374">
        <v>369</v>
      </c>
      <c r="D374">
        <v>125490</v>
      </c>
      <c r="E374" t="s">
        <v>386</v>
      </c>
      <c r="F374" t="str">
        <f>ConvertStockCode(표.실시간[[#This Row],[코드]])</f>
        <v>N125490</v>
      </c>
      <c r="G374" s="4">
        <f>_xll.IMDP("STK",표.실시간[[#This Row],[nxt_code]],"현재가")</f>
        <v>19180</v>
      </c>
      <c r="H374" s="4">
        <f>_xll.IMDP("STK",표.실시간[[#This Row],[nxt_code]],"시가총액")/10^12</f>
        <v>0.70011511136000004</v>
      </c>
      <c r="I374" t="str">
        <f>_xll.IMDP("","","전일대비부호")</f>
        <v>코드오류</v>
      </c>
      <c r="J374" s="5">
        <f>_xll.IMDP("STK",표.실시간[[#This Row],[nxt_code]],"전일대비")</f>
        <v>130</v>
      </c>
      <c r="K374">
        <f>_xll.IMDP("STK",표.실시간[[#This Row],[nxt_code]],"등락률")</f>
        <v>0.68</v>
      </c>
      <c r="L374" s="4">
        <f>_xll.IMDP("STK",표.실시간[[#This Row],[nxt_code]],"누적거래량")</f>
        <v>374993</v>
      </c>
      <c r="M374" s="4">
        <f>_xll.IMDP("STK",표.실시간[[#This Row],[nxt_code]],"누적거래대금")</f>
        <v>7325313740</v>
      </c>
      <c r="N374" s="4">
        <f>_xll.IMDP("STK",표.실시간[[#This Row],[nxt_code]],"가중평균가")</f>
        <v>19528.753999</v>
      </c>
      <c r="O374" s="4">
        <f>_xll.IMDP("STK",표.실시간[[#This Row],[nxt_code]],"시가")</f>
        <v>19330</v>
      </c>
      <c r="P374" s="4">
        <f>_xll.IMDP("STK",표.실시간[[#This Row],[nxt_code]],"고가")</f>
        <v>19800</v>
      </c>
      <c r="Q374" s="4">
        <f>_xll.IMDP("STK",표.실시간[[#This Row],[nxt_code]],"저가")</f>
        <v>19160</v>
      </c>
      <c r="R374">
        <f>_xll.IMDP("STK",표.실시간[[#This Row],[nxt_code]],"세션명")</f>
        <v>0</v>
      </c>
      <c r="S374">
        <f>_xll.IMDP("STK",표.실시간[[#This Row],[nxt_code]],"체결시간")</f>
        <v>0</v>
      </c>
      <c r="T374" s="4">
        <f>_xll.IMDP("STK","125490","현재가")</f>
        <v>19180</v>
      </c>
      <c r="U374">
        <f>_xll.IMDP("STK","125490","누적거래량")</f>
        <v>21588</v>
      </c>
    </row>
    <row r="375" spans="3:21" x14ac:dyDescent="0.3">
      <c r="C375">
        <v>370</v>
      </c>
      <c r="D375">
        <v>214320</v>
      </c>
      <c r="E375" t="s">
        <v>387</v>
      </c>
      <c r="F375" t="str">
        <f>ConvertStockCode(표.실시간[[#This Row],[코드]])</f>
        <v>N214320</v>
      </c>
      <c r="G375" s="4">
        <f>_xll.IMDP("STK",표.실시간[[#This Row],[nxt_code]],"현재가")</f>
        <v>18570</v>
      </c>
      <c r="H375" s="4">
        <f>_xll.IMDP("STK",표.실시간[[#This Row],[nxt_code]],"시가총액")/10^12</f>
        <v>0.74280000000000002</v>
      </c>
      <c r="I375" t="str">
        <f>_xll.IMDP("","","전일대비부호")</f>
        <v>코드오류</v>
      </c>
      <c r="J375" s="5">
        <f>_xll.IMDP("STK",표.실시간[[#This Row],[nxt_code]],"전일대비")</f>
        <v>0</v>
      </c>
      <c r="K375">
        <f>_xll.IMDP("STK",표.실시간[[#This Row],[nxt_code]],"등락률")</f>
        <v>0</v>
      </c>
      <c r="L375" s="4">
        <f>_xll.IMDP("STK",표.실시간[[#This Row],[nxt_code]],"누적거래량")</f>
        <v>2713</v>
      </c>
      <c r="M375" s="4">
        <f>_xll.IMDP("STK",표.실시간[[#This Row],[nxt_code]],"누적거래대금")</f>
        <v>50371960</v>
      </c>
      <c r="N375" s="4">
        <f>_xll.IMDP("STK",표.실시간[[#This Row],[nxt_code]],"가중평균가")</f>
        <v>18566.885366999999</v>
      </c>
      <c r="O375" s="4">
        <f>_xll.IMDP("STK",표.실시간[[#This Row],[nxt_code]],"시가")</f>
        <v>18600</v>
      </c>
      <c r="P375" s="4">
        <f>_xll.IMDP("STK",표.실시간[[#This Row],[nxt_code]],"고가")</f>
        <v>18600</v>
      </c>
      <c r="Q375" s="4">
        <f>_xll.IMDP("STK",표.실시간[[#This Row],[nxt_code]],"저가")</f>
        <v>18460</v>
      </c>
      <c r="R375">
        <f>_xll.IMDP("STK",표.실시간[[#This Row],[nxt_code]],"세션명")</f>
        <v>0</v>
      </c>
      <c r="S375">
        <f>_xll.IMDP("STK",표.실시간[[#This Row],[nxt_code]],"체결시간")</f>
        <v>0</v>
      </c>
      <c r="T375" s="4">
        <f>_xll.IMDP("STK","214320","현재가")</f>
        <v>18640</v>
      </c>
      <c r="U375">
        <f>_xll.IMDP("STK","214320","누적거래량")</f>
        <v>8650</v>
      </c>
    </row>
    <row r="376" spans="3:21" x14ac:dyDescent="0.3">
      <c r="C376">
        <v>371</v>
      </c>
      <c r="D376">
        <v>381970</v>
      </c>
      <c r="E376" t="s">
        <v>388</v>
      </c>
      <c r="F376" t="str">
        <f>ConvertStockCode(표.실시간[[#This Row],[코드]])</f>
        <v>N381970</v>
      </c>
      <c r="G376" s="4">
        <f>_xll.IMDP("STK",표.실시간[[#This Row],[nxt_code]],"현재가")</f>
        <v>15310</v>
      </c>
      <c r="H376" s="4">
        <f>_xll.IMDP("STK",표.실시간[[#This Row],[nxt_code]],"시가총액")/10^12</f>
        <v>0.74744718288000001</v>
      </c>
      <c r="I376" t="str">
        <f>_xll.IMDP("","","전일대비부호")</f>
        <v>코드오류</v>
      </c>
      <c r="J376" s="5">
        <f>_xll.IMDP("STK",표.실시간[[#This Row],[nxt_code]],"전일대비")</f>
        <v>0</v>
      </c>
      <c r="K376">
        <f>_xll.IMDP("STK",표.실시간[[#This Row],[nxt_code]],"등락률")</f>
        <v>0</v>
      </c>
      <c r="L376" s="4">
        <f>_xll.IMDP("STK",표.실시간[[#This Row],[nxt_code]],"누적거래량")</f>
        <v>895</v>
      </c>
      <c r="M376" s="4">
        <f>_xll.IMDP("STK",표.실시간[[#This Row],[nxt_code]],"누적거래대금")</f>
        <v>13733740</v>
      </c>
      <c r="N376" s="4">
        <f>_xll.IMDP("STK",표.실시간[[#This Row],[nxt_code]],"가중평균가")</f>
        <v>15344.960894</v>
      </c>
      <c r="O376" s="4">
        <f>_xll.IMDP("STK",표.실시간[[#This Row],[nxt_code]],"시가")</f>
        <v>15360</v>
      </c>
      <c r="P376" s="4">
        <f>_xll.IMDP("STK",표.실시간[[#This Row],[nxt_code]],"고가")</f>
        <v>15370</v>
      </c>
      <c r="Q376" s="4">
        <f>_xll.IMDP("STK",표.실시간[[#This Row],[nxt_code]],"저가")</f>
        <v>15260</v>
      </c>
      <c r="R376">
        <f>_xll.IMDP("STK",표.실시간[[#This Row],[nxt_code]],"세션명")</f>
        <v>0</v>
      </c>
      <c r="S376">
        <f>_xll.IMDP("STK",표.실시간[[#This Row],[nxt_code]],"체결시간")</f>
        <v>0</v>
      </c>
      <c r="T376" s="4">
        <f>_xll.IMDP("STK","381970","현재가")</f>
        <v>15340</v>
      </c>
      <c r="U376">
        <f>_xll.IMDP("STK","381970","누적거래량")</f>
        <v>382</v>
      </c>
    </row>
    <row r="377" spans="3:21" x14ac:dyDescent="0.3">
      <c r="C377">
        <v>372</v>
      </c>
      <c r="D377">
        <v>248070</v>
      </c>
      <c r="E377" t="s">
        <v>389</v>
      </c>
      <c r="F377" t="str">
        <f>ConvertStockCode(표.실시간[[#This Row],[코드]])</f>
        <v>N248070</v>
      </c>
      <c r="G377" s="4">
        <f>_xll.IMDP("STK",표.실시간[[#This Row],[nxt_code]],"현재가")</f>
        <v>15600</v>
      </c>
      <c r="H377" s="4">
        <f>_xll.IMDP("STK",표.실시간[[#This Row],[nxt_code]],"시가총액")/10^12</f>
        <v>0.74593328160000005</v>
      </c>
      <c r="I377" t="str">
        <f>_xll.IMDP("","","전일대비부호")</f>
        <v>코드오류</v>
      </c>
      <c r="J377" s="5">
        <f>_xll.IMDP("STK",표.실시간[[#This Row],[nxt_code]],"전일대비")</f>
        <v>20</v>
      </c>
      <c r="K377">
        <f>_xll.IMDP("STK",표.실시간[[#This Row],[nxt_code]],"등락률")</f>
        <v>0.13</v>
      </c>
      <c r="L377" s="4">
        <f>_xll.IMDP("STK",표.실시간[[#This Row],[nxt_code]],"누적거래량")</f>
        <v>7083</v>
      </c>
      <c r="M377" s="4">
        <f>_xll.IMDP("STK",표.실시간[[#This Row],[nxt_code]],"누적거래대금")</f>
        <v>110898710</v>
      </c>
      <c r="N377" s="4">
        <f>_xll.IMDP("STK",표.실시간[[#This Row],[nxt_code]],"가중평균가")</f>
        <v>15657.025272000001</v>
      </c>
      <c r="O377" s="4">
        <f>_xll.IMDP("STK",표.실시간[[#This Row],[nxt_code]],"시가")</f>
        <v>15700</v>
      </c>
      <c r="P377" s="4">
        <f>_xll.IMDP("STK",표.실시간[[#This Row],[nxt_code]],"고가")</f>
        <v>15750</v>
      </c>
      <c r="Q377" s="4">
        <f>_xll.IMDP("STK",표.실시간[[#This Row],[nxt_code]],"저가")</f>
        <v>15600</v>
      </c>
      <c r="R377">
        <f>_xll.IMDP("STK",표.실시간[[#This Row],[nxt_code]],"세션명")</f>
        <v>0</v>
      </c>
      <c r="S377">
        <f>_xll.IMDP("STK",표.실시간[[#This Row],[nxt_code]],"체결시간")</f>
        <v>0</v>
      </c>
      <c r="T377" s="4">
        <f>_xll.IMDP("STK","248070","현재가")</f>
        <v>15610</v>
      </c>
      <c r="U377">
        <f>_xll.IMDP("STK","248070","누적거래량")</f>
        <v>964</v>
      </c>
    </row>
    <row r="378" spans="3:21" x14ac:dyDescent="0.3">
      <c r="C378">
        <v>373</v>
      </c>
      <c r="D378">
        <v>5180</v>
      </c>
      <c r="E378" t="s">
        <v>390</v>
      </c>
      <c r="F378" t="str">
        <f>ConvertStockCode(표.실시간[[#This Row],[코드]])</f>
        <v>N005180</v>
      </c>
      <c r="G378" s="4">
        <f>_xll.IMDP("STK",표.실시간[[#This Row],[nxt_code]],"현재가")</f>
        <v>76400</v>
      </c>
      <c r="H378" s="4">
        <f>_xll.IMDP("STK",표.실시간[[#This Row],[nxt_code]],"시가총액")/10^12</f>
        <v>0.73005570919999996</v>
      </c>
      <c r="I378" t="str">
        <f>_xll.IMDP("","","전일대비부호")</f>
        <v>코드오류</v>
      </c>
      <c r="J378" s="5">
        <f>_xll.IMDP("STK",표.실시간[[#This Row],[nxt_code]],"전일대비")</f>
        <v>100</v>
      </c>
      <c r="K378">
        <f>_xll.IMDP("STK",표.실시간[[#This Row],[nxt_code]],"등락률")</f>
        <v>0.13</v>
      </c>
      <c r="L378" s="4">
        <f>_xll.IMDP("STK",표.실시간[[#This Row],[nxt_code]],"누적거래량")</f>
        <v>569</v>
      </c>
      <c r="M378" s="4">
        <f>_xll.IMDP("STK",표.실시간[[#This Row],[nxt_code]],"누적거래대금")</f>
        <v>43435800</v>
      </c>
      <c r="N378" s="4">
        <f>_xll.IMDP("STK",표.실시간[[#This Row],[nxt_code]],"가중평균가")</f>
        <v>76337.082601000002</v>
      </c>
      <c r="O378" s="4">
        <f>_xll.IMDP("STK",표.실시간[[#This Row],[nxt_code]],"시가")</f>
        <v>76600</v>
      </c>
      <c r="P378" s="4">
        <f>_xll.IMDP("STK",표.실시간[[#This Row],[nxt_code]],"고가")</f>
        <v>76700</v>
      </c>
      <c r="Q378" s="4">
        <f>_xll.IMDP("STK",표.실시간[[#This Row],[nxt_code]],"저가")</f>
        <v>76000</v>
      </c>
      <c r="R378">
        <f>_xll.IMDP("STK",표.실시간[[#This Row],[nxt_code]],"세션명")</f>
        <v>0</v>
      </c>
      <c r="S378">
        <f>_xll.IMDP("STK",표.실시간[[#This Row],[nxt_code]],"체결시간")</f>
        <v>0</v>
      </c>
      <c r="T378" s="4">
        <f>_xll.IMDP("STK","005180","현재가")</f>
        <v>76200</v>
      </c>
      <c r="U378">
        <f>_xll.IMDP("STK","005180","누적거래량")</f>
        <v>385</v>
      </c>
    </row>
    <row r="379" spans="3:21" x14ac:dyDescent="0.3">
      <c r="C379">
        <v>374</v>
      </c>
      <c r="D379">
        <v>36810</v>
      </c>
      <c r="E379" t="s">
        <v>391</v>
      </c>
      <c r="F379" t="str">
        <f>ConvertStockCode(표.실시간[[#This Row],[코드]])</f>
        <v>N036810</v>
      </c>
      <c r="G379" s="4">
        <f>_xll.IMDP("STK",표.실시간[[#This Row],[nxt_code]],"현재가")</f>
        <v>37050</v>
      </c>
      <c r="H379" s="4">
        <f>_xll.IMDP("STK",표.실시간[[#This Row],[nxt_code]],"시가총액")/10^12</f>
        <v>0.81348269340000001</v>
      </c>
      <c r="I379" t="str">
        <f>_xll.IMDP("","","전일대비부호")</f>
        <v>코드오류</v>
      </c>
      <c r="J379" s="5">
        <f>_xll.IMDP("STK",표.실시간[[#This Row],[nxt_code]],"전일대비")</f>
        <v>-1750</v>
      </c>
      <c r="K379">
        <f>_xll.IMDP("STK",표.실시간[[#This Row],[nxt_code]],"등락률")</f>
        <v>-4.51</v>
      </c>
      <c r="L379" s="4">
        <f>_xll.IMDP("STK",표.실시간[[#This Row],[nxt_code]],"누적거래량")</f>
        <v>347549</v>
      </c>
      <c r="M379" s="4">
        <f>_xll.IMDP("STK",표.실시간[[#This Row],[nxt_code]],"누적거래대금")</f>
        <v>13160593550</v>
      </c>
      <c r="N379" s="4">
        <f>_xll.IMDP("STK",표.실시간[[#This Row],[nxt_code]],"가중평균가")</f>
        <v>37866.872152999997</v>
      </c>
      <c r="O379" s="4">
        <f>_xll.IMDP("STK",표.실시간[[#This Row],[nxt_code]],"시가")</f>
        <v>38950</v>
      </c>
      <c r="P379" s="4">
        <f>_xll.IMDP("STK",표.실시간[[#This Row],[nxt_code]],"고가")</f>
        <v>39900</v>
      </c>
      <c r="Q379" s="4">
        <f>_xll.IMDP("STK",표.실시간[[#This Row],[nxt_code]],"저가")</f>
        <v>37000</v>
      </c>
      <c r="R379">
        <f>_xll.IMDP("STK",표.실시간[[#This Row],[nxt_code]],"세션명")</f>
        <v>0</v>
      </c>
      <c r="S379">
        <f>_xll.IMDP("STK",표.실시간[[#This Row],[nxt_code]],"체결시간")</f>
        <v>0</v>
      </c>
      <c r="T379" s="4">
        <f>_xll.IMDP("STK","036810","현재가")</f>
        <v>37050</v>
      </c>
      <c r="U379">
        <f>_xll.IMDP("STK","036810","누적거래량")</f>
        <v>75641</v>
      </c>
    </row>
    <row r="380" spans="3:21" x14ac:dyDescent="0.3">
      <c r="C380">
        <v>375</v>
      </c>
      <c r="D380">
        <v>287840</v>
      </c>
      <c r="E380" t="s">
        <v>392</v>
      </c>
      <c r="F380" t="str">
        <f>ConvertStockCode(표.실시간[[#This Row],[코드]])</f>
        <v>N287840</v>
      </c>
      <c r="G380" s="4">
        <f>_xll.IMDP("STK",표.실시간[[#This Row],[nxt_code]],"현재가")</f>
        <v>50100</v>
      </c>
      <c r="H380" s="4">
        <f>_xll.IMDP("STK",표.실시간[[#This Row],[nxt_code]],"시가총액")/10^12</f>
        <v>0.75154509000000003</v>
      </c>
      <c r="I380" t="str">
        <f>_xll.IMDP("","","전일대비부호")</f>
        <v>코드오류</v>
      </c>
      <c r="J380" s="5">
        <f>_xll.IMDP("STK",표.실시간[[#This Row],[nxt_code]],"전일대비")</f>
        <v>400</v>
      </c>
      <c r="K380">
        <f>_xll.IMDP("STK",표.실시간[[#This Row],[nxt_code]],"등락률")</f>
        <v>0.8</v>
      </c>
      <c r="L380" s="4">
        <f>_xll.IMDP("STK",표.실시간[[#This Row],[nxt_code]],"누적거래량")</f>
        <v>9042</v>
      </c>
      <c r="M380" s="4">
        <f>_xll.IMDP("STK",표.실시간[[#This Row],[nxt_code]],"누적거래대금")</f>
        <v>462863800</v>
      </c>
      <c r="N380" s="4">
        <f>_xll.IMDP("STK",표.실시간[[#This Row],[nxt_code]],"가중평균가")</f>
        <v>49861.445653000002</v>
      </c>
      <c r="O380" s="4">
        <f>_xll.IMDP("STK",표.실시간[[#This Row],[nxt_code]],"시가")</f>
        <v>50600</v>
      </c>
      <c r="P380" s="4">
        <f>_xll.IMDP("STK",표.실시간[[#This Row],[nxt_code]],"고가")</f>
        <v>50700</v>
      </c>
      <c r="Q380" s="4">
        <f>_xll.IMDP("STK",표.실시간[[#This Row],[nxt_code]],"저가")</f>
        <v>49450</v>
      </c>
      <c r="R380">
        <f>_xll.IMDP("STK",표.실시간[[#This Row],[nxt_code]],"세션명")</f>
        <v>0</v>
      </c>
      <c r="S380">
        <f>_xll.IMDP("STK",표.실시간[[#This Row],[nxt_code]],"체결시간")</f>
        <v>0</v>
      </c>
      <c r="T380" s="4">
        <f>_xll.IMDP("STK","287840","현재가")</f>
        <v>50200</v>
      </c>
      <c r="U380">
        <f>_xll.IMDP("STK","287840","누적거래량")</f>
        <v>1275</v>
      </c>
    </row>
    <row r="381" spans="3:21" x14ac:dyDescent="0.3">
      <c r="C381">
        <v>376</v>
      </c>
      <c r="D381">
        <v>14820</v>
      </c>
      <c r="E381" t="s">
        <v>393</v>
      </c>
      <c r="F381" t="str">
        <f>ConvertStockCode(표.실시간[[#This Row],[코드]])</f>
        <v>N014820</v>
      </c>
      <c r="G381" s="4">
        <f>_xll.IMDP("STK",표.실시간[[#This Row],[nxt_code]],"현재가")</f>
        <v>27150</v>
      </c>
      <c r="H381" s="4">
        <f>_xll.IMDP("STK",표.실시간[[#This Row],[nxt_code]],"시가총액")/10^12</f>
        <v>0.78711330629999998</v>
      </c>
      <c r="I381" t="str">
        <f>_xll.IMDP("","","전일대비부호")</f>
        <v>코드오류</v>
      </c>
      <c r="J381" s="5">
        <f>_xll.IMDP("STK",표.실시간[[#This Row],[nxt_code]],"전일대비")</f>
        <v>200</v>
      </c>
      <c r="K381">
        <f>_xll.IMDP("STK",표.실시간[[#This Row],[nxt_code]],"등락률")</f>
        <v>0.74</v>
      </c>
      <c r="L381" s="4">
        <f>_xll.IMDP("STK",표.실시간[[#This Row],[nxt_code]],"누적거래량")</f>
        <v>10847</v>
      </c>
      <c r="M381" s="4">
        <f>_xll.IMDP("STK",표.실시간[[#This Row],[nxt_code]],"누적거래대금")</f>
        <v>297675850</v>
      </c>
      <c r="N381" s="4">
        <f>_xll.IMDP("STK",표.실시간[[#This Row],[nxt_code]],"가중평균가")</f>
        <v>27443.150180000001</v>
      </c>
      <c r="O381" s="4">
        <f>_xll.IMDP("STK",표.실시간[[#This Row],[nxt_code]],"시가")</f>
        <v>26900</v>
      </c>
      <c r="P381" s="4">
        <f>_xll.IMDP("STK",표.실시간[[#This Row],[nxt_code]],"고가")</f>
        <v>27700</v>
      </c>
      <c r="Q381" s="4">
        <f>_xll.IMDP("STK",표.실시간[[#This Row],[nxt_code]],"저가")</f>
        <v>26900</v>
      </c>
      <c r="R381">
        <f>_xll.IMDP("STK",표.실시간[[#This Row],[nxt_code]],"세션명")</f>
        <v>0</v>
      </c>
      <c r="S381">
        <f>_xll.IMDP("STK",표.실시간[[#This Row],[nxt_code]],"체결시간")</f>
        <v>0</v>
      </c>
      <c r="T381" s="4">
        <f>_xll.IMDP("STK","014820","현재가")</f>
        <v>27150</v>
      </c>
      <c r="U381">
        <f>_xll.IMDP("STK","014820","누적거래량")</f>
        <v>3180</v>
      </c>
    </row>
    <row r="382" spans="3:21" x14ac:dyDescent="0.3">
      <c r="C382">
        <v>377</v>
      </c>
      <c r="D382">
        <v>79900</v>
      </c>
      <c r="E382" t="s">
        <v>394</v>
      </c>
      <c r="F382" t="str">
        <f>ConvertStockCode(표.실시간[[#This Row],[코드]])</f>
        <v>N079900</v>
      </c>
      <c r="G382" s="4">
        <f>_xll.IMDP("STK",표.실시간[[#This Row],[nxt_code]],"현재가")</f>
        <v>54600</v>
      </c>
      <c r="H382" s="4">
        <f>_xll.IMDP("STK",표.실시간[[#This Row],[nxt_code]],"시가총액")/10^12</f>
        <v>0.79675295700000004</v>
      </c>
      <c r="I382" t="str">
        <f>_xll.IMDP("","","전일대비부호")</f>
        <v>코드오류</v>
      </c>
      <c r="J382" s="5">
        <f>_xll.IMDP("STK",표.실시간[[#This Row],[nxt_code]],"전일대비")</f>
        <v>5000</v>
      </c>
      <c r="K382">
        <f>_xll.IMDP("STK",표.실시간[[#This Row],[nxt_code]],"등락률")</f>
        <v>10.08</v>
      </c>
      <c r="L382" s="4">
        <f>_xll.IMDP("STK",표.실시간[[#This Row],[nxt_code]],"누적거래량")</f>
        <v>427259</v>
      </c>
      <c r="M382" s="4">
        <f>_xll.IMDP("STK",표.실시간[[#This Row],[nxt_code]],"누적거래대금")</f>
        <v>22792532850</v>
      </c>
      <c r="N382" s="4">
        <f>_xll.IMDP("STK",표.실시간[[#This Row],[nxt_code]],"가중평균가")</f>
        <v>53345.939699000002</v>
      </c>
      <c r="O382" s="4">
        <f>_xll.IMDP("STK",표.실시간[[#This Row],[nxt_code]],"시가")</f>
        <v>50500</v>
      </c>
      <c r="P382" s="4">
        <f>_xll.IMDP("STK",표.실시간[[#This Row],[nxt_code]],"고가")</f>
        <v>54900</v>
      </c>
      <c r="Q382" s="4">
        <f>_xll.IMDP("STK",표.실시간[[#This Row],[nxt_code]],"저가")</f>
        <v>50400</v>
      </c>
      <c r="R382">
        <f>_xll.IMDP("STK",표.실시간[[#This Row],[nxt_code]],"세션명")</f>
        <v>0</v>
      </c>
      <c r="S382">
        <f>_xll.IMDP("STK",표.실시간[[#This Row],[nxt_code]],"체결시간")</f>
        <v>0</v>
      </c>
      <c r="T382" s="4">
        <f>_xll.IMDP("STK","079900","현재가")</f>
        <v>54550</v>
      </c>
      <c r="U382">
        <f>_xll.IMDP("STK","079900","누적거래량")</f>
        <v>78347</v>
      </c>
    </row>
    <row r="383" spans="3:21" x14ac:dyDescent="0.3">
      <c r="C383">
        <v>378</v>
      </c>
      <c r="D383">
        <v>399720</v>
      </c>
      <c r="E383" t="s">
        <v>395</v>
      </c>
      <c r="F383" t="str">
        <f>ConvertStockCode(표.실시간[[#This Row],[코드]])</f>
        <v>N399720</v>
      </c>
      <c r="G383" s="4">
        <f>_xll.IMDP("STK",표.실시간[[#This Row],[nxt_code]],"현재가")</f>
        <v>60200</v>
      </c>
      <c r="H383" s="4">
        <f>_xll.IMDP("STK",표.실시간[[#This Row],[nxt_code]],"시가총액")/10^12</f>
        <v>0.69834528399999996</v>
      </c>
      <c r="I383" t="str">
        <f>_xll.IMDP("","","전일대비부호")</f>
        <v>코드오류</v>
      </c>
      <c r="J383" s="5">
        <f>_xll.IMDP("STK",표.실시간[[#This Row],[nxt_code]],"전일대비")</f>
        <v>-100</v>
      </c>
      <c r="K383">
        <f>_xll.IMDP("STK",표.실시간[[#This Row],[nxt_code]],"등락률")</f>
        <v>-0.33</v>
      </c>
      <c r="L383" s="4">
        <f>_xll.IMDP("STK",표.실시간[[#This Row],[nxt_code]],"누적거래량")</f>
        <v>27344</v>
      </c>
      <c r="M383" s="4">
        <f>_xll.IMDP("STK",표.실시간[[#This Row],[nxt_code]],"누적거래대금")</f>
        <v>1670195100</v>
      </c>
      <c r="N383" s="4">
        <f>_xll.IMDP("STK",표.실시간[[#This Row],[nxt_code]],"가중평균가")</f>
        <v>61071.928477000001</v>
      </c>
      <c r="O383" s="4">
        <f>_xll.IMDP("STK",표.실시간[[#This Row],[nxt_code]],"시가")</f>
        <v>60300</v>
      </c>
      <c r="P383" s="4">
        <f>_xll.IMDP("STK",표.실시간[[#This Row],[nxt_code]],"고가")</f>
        <v>61800</v>
      </c>
      <c r="Q383" s="4">
        <f>_xll.IMDP("STK",표.실시간[[#This Row],[nxt_code]],"저가")</f>
        <v>60200</v>
      </c>
      <c r="R383">
        <f>_xll.IMDP("STK",표.실시간[[#This Row],[nxt_code]],"세션명")</f>
        <v>0</v>
      </c>
      <c r="S383">
        <f>_xll.IMDP("STK",표.실시간[[#This Row],[nxt_code]],"체결시간")</f>
        <v>0</v>
      </c>
      <c r="T383" s="4">
        <f>_xll.IMDP("STK","399720","현재가")</f>
        <v>60200</v>
      </c>
      <c r="U383">
        <f>_xll.IMDP("STK","399720","누적거래량")</f>
        <v>8393</v>
      </c>
    </row>
    <row r="384" spans="3:21" x14ac:dyDescent="0.3">
      <c r="C384">
        <v>379</v>
      </c>
      <c r="D384">
        <v>420770</v>
      </c>
      <c r="E384" t="s">
        <v>396</v>
      </c>
      <c r="F384" t="str">
        <f>ConvertStockCode(표.실시간[[#This Row],[코드]])</f>
        <v>N420770</v>
      </c>
      <c r="G384" s="4">
        <f>_xll.IMDP("STK",표.실시간[[#This Row],[nxt_code]],"현재가")</f>
        <v>51600</v>
      </c>
      <c r="H384" s="4">
        <f>_xll.IMDP("STK",표.실시간[[#This Row],[nxt_code]],"시가총액")/10^12</f>
        <v>0.65406911280000002</v>
      </c>
      <c r="I384" t="str">
        <f>_xll.IMDP("","","전일대비부호")</f>
        <v>코드오류</v>
      </c>
      <c r="J384" s="5">
        <f>_xll.IMDP("STK",표.실시간[[#This Row],[nxt_code]],"전일대비")</f>
        <v>-600</v>
      </c>
      <c r="K384">
        <f>_xll.IMDP("STK",표.실시간[[#This Row],[nxt_code]],"등락률")</f>
        <v>-1.34</v>
      </c>
      <c r="L384" s="4">
        <f>_xll.IMDP("STK",표.실시간[[#This Row],[nxt_code]],"누적거래량")</f>
        <v>6750</v>
      </c>
      <c r="M384" s="4">
        <f>_xll.IMDP("STK",표.실시간[[#This Row],[nxt_code]],"누적거래대금")</f>
        <v>355201100</v>
      </c>
      <c r="N384" s="4">
        <f>_xll.IMDP("STK",표.실시간[[#This Row],[nxt_code]],"가중평균가")</f>
        <v>52622.385184999999</v>
      </c>
      <c r="O384" s="4">
        <f>_xll.IMDP("STK",표.실시간[[#This Row],[nxt_code]],"시가")</f>
        <v>53700</v>
      </c>
      <c r="P384" s="4">
        <f>_xll.IMDP("STK",표.실시간[[#This Row],[nxt_code]],"고가")</f>
        <v>53900</v>
      </c>
      <c r="Q384" s="4">
        <f>_xll.IMDP("STK",표.실시간[[#This Row],[nxt_code]],"저가")</f>
        <v>51600</v>
      </c>
      <c r="R384">
        <f>_xll.IMDP("STK",표.실시간[[#This Row],[nxt_code]],"세션명")</f>
        <v>0</v>
      </c>
      <c r="S384">
        <f>_xll.IMDP("STK",표.실시간[[#This Row],[nxt_code]],"체결시간")</f>
        <v>0</v>
      </c>
      <c r="T384" s="4">
        <f>_xll.IMDP("STK","420770","현재가")</f>
        <v>51600</v>
      </c>
      <c r="U384">
        <f>_xll.IMDP("STK","420770","누적거래량")</f>
        <v>2037</v>
      </c>
    </row>
    <row r="385" spans="3:21" x14ac:dyDescent="0.3">
      <c r="C385">
        <v>380</v>
      </c>
      <c r="D385">
        <v>39130</v>
      </c>
      <c r="E385" t="s">
        <v>397</v>
      </c>
      <c r="F385" t="str">
        <f>ConvertStockCode(표.실시간[[#This Row],[코드]])</f>
        <v>N039130</v>
      </c>
      <c r="G385" s="4">
        <f>_xll.IMDP("STK",표.실시간[[#This Row],[nxt_code]],"현재가")</f>
        <v>45000</v>
      </c>
      <c r="H385" s="4">
        <f>_xll.IMDP("STK",표.실시간[[#This Row],[nxt_code]],"시가총액")/10^12</f>
        <v>0.69704694</v>
      </c>
      <c r="I385" t="str">
        <f>_xll.IMDP("","","전일대비부호")</f>
        <v>코드오류</v>
      </c>
      <c r="J385" s="5">
        <f>_xll.IMDP("STK",표.실시간[[#This Row],[nxt_code]],"전일대비")</f>
        <v>-350</v>
      </c>
      <c r="K385">
        <f>_xll.IMDP("STK",표.실시간[[#This Row],[nxt_code]],"등락률")</f>
        <v>-0.77</v>
      </c>
      <c r="L385" s="4">
        <f>_xll.IMDP("STK",표.실시간[[#This Row],[nxt_code]],"누적거래량")</f>
        <v>5330</v>
      </c>
      <c r="M385" s="4">
        <f>_xll.IMDP("STK",표.실시간[[#This Row],[nxt_code]],"누적거래대금")</f>
        <v>240204450</v>
      </c>
      <c r="N385" s="4">
        <f>_xll.IMDP("STK",표.실시간[[#This Row],[nxt_code]],"가중평균가")</f>
        <v>45066.500937999997</v>
      </c>
      <c r="O385" s="4">
        <f>_xll.IMDP("STK",표.실시간[[#This Row],[nxt_code]],"시가")</f>
        <v>45300</v>
      </c>
      <c r="P385" s="4">
        <f>_xll.IMDP("STK",표.실시간[[#This Row],[nxt_code]],"고가")</f>
        <v>45500</v>
      </c>
      <c r="Q385" s="4">
        <f>_xll.IMDP("STK",표.실시간[[#This Row],[nxt_code]],"저가")</f>
        <v>44900</v>
      </c>
      <c r="R385">
        <f>_xll.IMDP("STK",표.실시간[[#This Row],[nxt_code]],"세션명")</f>
        <v>0</v>
      </c>
      <c r="S385">
        <f>_xll.IMDP("STK",표.실시간[[#This Row],[nxt_code]],"체결시간")</f>
        <v>0</v>
      </c>
      <c r="T385" s="4">
        <f>_xll.IMDP("STK","039130","현재가")</f>
        <v>45000</v>
      </c>
      <c r="U385">
        <f>_xll.IMDP("STK","039130","누적거래량")</f>
        <v>984</v>
      </c>
    </row>
    <row r="386" spans="3:21" x14ac:dyDescent="0.3">
      <c r="C386">
        <v>381</v>
      </c>
      <c r="D386">
        <v>23160</v>
      </c>
      <c r="E386" t="s">
        <v>398</v>
      </c>
      <c r="F386" t="str">
        <f>ConvertStockCode(표.실시간[[#This Row],[코드]])</f>
        <v>N023160</v>
      </c>
      <c r="G386" s="4">
        <f>_xll.IMDP("STK",표.실시간[[#This Row],[nxt_code]],"현재가")</f>
        <v>25600</v>
      </c>
      <c r="H386" s="4">
        <f>_xll.IMDP("STK",표.실시간[[#This Row],[nxt_code]],"시가총액")/10^12</f>
        <v>0.6784</v>
      </c>
      <c r="I386" t="str">
        <f>_xll.IMDP("","","전일대비부호")</f>
        <v>코드오류</v>
      </c>
      <c r="J386" s="5">
        <f>_xll.IMDP("STK",표.실시간[[#This Row],[nxt_code]],"전일대비")</f>
        <v>400</v>
      </c>
      <c r="K386">
        <f>_xll.IMDP("STK",표.실시간[[#This Row],[nxt_code]],"등락률")</f>
        <v>1.59</v>
      </c>
      <c r="L386" s="4">
        <f>_xll.IMDP("STK",표.실시간[[#This Row],[nxt_code]],"누적거래량")</f>
        <v>22622</v>
      </c>
      <c r="M386" s="4">
        <f>_xll.IMDP("STK",표.실시간[[#This Row],[nxt_code]],"누적거래대금")</f>
        <v>578794600</v>
      </c>
      <c r="N386" s="4">
        <f>_xll.IMDP("STK",표.실시간[[#This Row],[nxt_code]],"가중평균가")</f>
        <v>25585.474317</v>
      </c>
      <c r="O386" s="4">
        <f>_xll.IMDP("STK",표.실시간[[#This Row],[nxt_code]],"시가")</f>
        <v>25200</v>
      </c>
      <c r="P386" s="4">
        <f>_xll.IMDP("STK",표.실시간[[#This Row],[nxt_code]],"고가")</f>
        <v>25700</v>
      </c>
      <c r="Q386" s="4">
        <f>_xll.IMDP("STK",표.실시간[[#This Row],[nxt_code]],"저가")</f>
        <v>25150</v>
      </c>
      <c r="R386">
        <f>_xll.IMDP("STK",표.실시간[[#This Row],[nxt_code]],"세션명")</f>
        <v>0</v>
      </c>
      <c r="S386">
        <f>_xll.IMDP("STK",표.실시간[[#This Row],[nxt_code]],"체결시간")</f>
        <v>0</v>
      </c>
      <c r="T386" s="4">
        <f>_xll.IMDP("STK","023160","현재가")</f>
        <v>25700</v>
      </c>
      <c r="U386">
        <f>_xll.IMDP("STK","023160","누적거래량")</f>
        <v>2346</v>
      </c>
    </row>
    <row r="387" spans="3:21" x14ac:dyDescent="0.3">
      <c r="C387">
        <v>382</v>
      </c>
      <c r="D387">
        <v>32190</v>
      </c>
      <c r="E387" t="s">
        <v>399</v>
      </c>
      <c r="F387" t="str">
        <f>ConvertStockCode(표.실시간[[#This Row],[코드]])</f>
        <v>N032190</v>
      </c>
      <c r="G387" s="4">
        <f>_xll.IMDP("STK",표.실시간[[#This Row],[nxt_code]],"현재가")</f>
        <v>18140</v>
      </c>
      <c r="H387" s="4">
        <f>_xll.IMDP("STK",표.실시간[[#This Row],[nxt_code]],"시가총액")/10^12</f>
        <v>0.69476199999999999</v>
      </c>
      <c r="I387" t="str">
        <f>_xll.IMDP("","","전일대비부호")</f>
        <v>코드오류</v>
      </c>
      <c r="J387" s="5">
        <f>_xll.IMDP("STK",표.실시간[[#This Row],[nxt_code]],"전일대비")</f>
        <v>330</v>
      </c>
      <c r="K387">
        <f>_xll.IMDP("STK",표.실시간[[#This Row],[nxt_code]],"등락률")</f>
        <v>1.85</v>
      </c>
      <c r="L387" s="4">
        <f>_xll.IMDP("STK",표.실시간[[#This Row],[nxt_code]],"누적거래량")</f>
        <v>13942</v>
      </c>
      <c r="M387" s="4">
        <f>_xll.IMDP("STK",표.실시간[[#This Row],[nxt_code]],"누적거래대금")</f>
        <v>251304900</v>
      </c>
      <c r="N387" s="4">
        <f>_xll.IMDP("STK",표.실시간[[#This Row],[nxt_code]],"가중평균가")</f>
        <v>18025.025104</v>
      </c>
      <c r="O387" s="4">
        <f>_xll.IMDP("STK",표.실시간[[#This Row],[nxt_code]],"시가")</f>
        <v>17980</v>
      </c>
      <c r="P387" s="4">
        <f>_xll.IMDP("STK",표.실시간[[#This Row],[nxt_code]],"고가")</f>
        <v>18140</v>
      </c>
      <c r="Q387" s="4">
        <f>_xll.IMDP("STK",표.실시간[[#This Row],[nxt_code]],"저가")</f>
        <v>17970</v>
      </c>
      <c r="R387">
        <f>_xll.IMDP("STK",표.실시간[[#This Row],[nxt_code]],"세션명")</f>
        <v>0</v>
      </c>
      <c r="S387">
        <f>_xll.IMDP("STK",표.실시간[[#This Row],[nxt_code]],"체결시간")</f>
        <v>0</v>
      </c>
      <c r="T387" s="4">
        <f>_xll.IMDP("STK","032190","현재가")</f>
        <v>18120</v>
      </c>
      <c r="U387">
        <f>_xll.IMDP("STK","032190","누적거래량")</f>
        <v>442</v>
      </c>
    </row>
    <row r="388" spans="3:21" x14ac:dyDescent="0.3">
      <c r="C388">
        <v>383</v>
      </c>
      <c r="D388">
        <v>268280</v>
      </c>
      <c r="E388" t="s">
        <v>400</v>
      </c>
      <c r="F388" t="str">
        <f>ConvertStockCode(표.실시간[[#This Row],[코드]])</f>
        <v>N268280</v>
      </c>
      <c r="G388" s="4">
        <f>_xll.IMDP("STK",표.실시간[[#This Row],[nxt_code]],"현재가")</f>
        <v>137100</v>
      </c>
      <c r="H388" s="4">
        <f>_xll.IMDP("STK",표.실시간[[#This Row],[nxt_code]],"시가총액")/10^12</f>
        <v>0.6855</v>
      </c>
      <c r="I388" t="str">
        <f>_xll.IMDP("","","전일대비부호")</f>
        <v>코드오류</v>
      </c>
      <c r="J388" s="5">
        <f>_xll.IMDP("STK",표.실시간[[#This Row],[nxt_code]],"전일대비")</f>
        <v>-300</v>
      </c>
      <c r="K388">
        <f>_xll.IMDP("STK",표.실시간[[#This Row],[nxt_code]],"등락률")</f>
        <v>-0.22</v>
      </c>
      <c r="L388" s="4">
        <f>_xll.IMDP("STK",표.실시간[[#This Row],[nxt_code]],"누적거래량")</f>
        <v>11</v>
      </c>
      <c r="M388" s="4">
        <f>_xll.IMDP("STK",표.실시간[[#This Row],[nxt_code]],"누적거래대금")</f>
        <v>1501700</v>
      </c>
      <c r="N388" s="4">
        <f>_xll.IMDP("STK",표.실시간[[#This Row],[nxt_code]],"가중평균가")</f>
        <v>136518.18181800001</v>
      </c>
      <c r="O388" s="4">
        <f>_xll.IMDP("STK",표.실시간[[#This Row],[nxt_code]],"시가")</f>
        <v>136900</v>
      </c>
      <c r="P388" s="4">
        <f>_xll.IMDP("STK",표.실시간[[#This Row],[nxt_code]],"고가")</f>
        <v>137100</v>
      </c>
      <c r="Q388" s="4">
        <f>_xll.IMDP("STK",표.실시간[[#This Row],[nxt_code]],"저가")</f>
        <v>136400</v>
      </c>
      <c r="R388">
        <f>_xll.IMDP("STK",표.실시간[[#This Row],[nxt_code]],"세션명")</f>
        <v>0</v>
      </c>
      <c r="S388">
        <f>_xll.IMDP("STK",표.실시간[[#This Row],[nxt_code]],"체결시간")</f>
        <v>0</v>
      </c>
      <c r="T388" s="4">
        <f>_xll.IMDP("STK","268280","현재가")</f>
        <v>136600</v>
      </c>
      <c r="U388">
        <f>_xll.IMDP("STK","268280","누적거래량")</f>
        <v>533</v>
      </c>
    </row>
    <row r="389" spans="3:21" x14ac:dyDescent="0.3">
      <c r="C389">
        <v>384</v>
      </c>
      <c r="D389">
        <v>5250</v>
      </c>
      <c r="E389" t="s">
        <v>401</v>
      </c>
      <c r="F389" t="str">
        <f>ConvertStockCode(표.실시간[[#This Row],[코드]])</f>
        <v>N005250</v>
      </c>
      <c r="G389" s="4">
        <f>_xll.IMDP("STK",표.실시간[[#This Row],[nxt_code]],"현재가")</f>
        <v>14710</v>
      </c>
      <c r="H389" s="4">
        <f>_xll.IMDP("STK",표.실시간[[#This Row],[nxt_code]],"시가총액")/10^12</f>
        <v>0.69178496909999998</v>
      </c>
      <c r="I389" t="str">
        <f>_xll.IMDP("","","전일대비부호")</f>
        <v>코드오류</v>
      </c>
      <c r="J389" s="5">
        <f>_xll.IMDP("STK",표.실시간[[#This Row],[nxt_code]],"전일대비")</f>
        <v>40</v>
      </c>
      <c r="K389">
        <f>_xll.IMDP("STK",표.실시간[[#This Row],[nxt_code]],"등락률")</f>
        <v>0.27</v>
      </c>
      <c r="L389" s="4">
        <f>_xll.IMDP("STK",표.실시간[[#This Row],[nxt_code]],"누적거래량")</f>
        <v>4405</v>
      </c>
      <c r="M389" s="4">
        <f>_xll.IMDP("STK",표.실시간[[#This Row],[nxt_code]],"누적거래대금")</f>
        <v>64685820</v>
      </c>
      <c r="N389" s="4">
        <f>_xll.IMDP("STK",표.실시간[[#This Row],[nxt_code]],"가중평균가")</f>
        <v>14684.635641000001</v>
      </c>
      <c r="O389" s="4">
        <f>_xll.IMDP("STK",표.실시간[[#This Row],[nxt_code]],"시가")</f>
        <v>14670</v>
      </c>
      <c r="P389" s="4">
        <f>_xll.IMDP("STK",표.실시간[[#This Row],[nxt_code]],"고가")</f>
        <v>14780</v>
      </c>
      <c r="Q389" s="4">
        <f>_xll.IMDP("STK",표.실시간[[#This Row],[nxt_code]],"저가")</f>
        <v>14660</v>
      </c>
      <c r="R389">
        <f>_xll.IMDP("STK",표.실시간[[#This Row],[nxt_code]],"세션명")</f>
        <v>0</v>
      </c>
      <c r="S389">
        <f>_xll.IMDP("STK",표.실시간[[#This Row],[nxt_code]],"체결시간")</f>
        <v>0</v>
      </c>
      <c r="T389" s="4">
        <f>_xll.IMDP("STK","005250","현재가")</f>
        <v>14750</v>
      </c>
      <c r="U389">
        <f>_xll.IMDP("STK","005250","누적거래량")</f>
        <v>482</v>
      </c>
    </row>
    <row r="390" spans="3:21" x14ac:dyDescent="0.3">
      <c r="C390">
        <v>385</v>
      </c>
      <c r="D390">
        <v>100790</v>
      </c>
      <c r="E390" t="s">
        <v>402</v>
      </c>
      <c r="F390" t="str">
        <f>ConvertStockCode(표.실시간[[#This Row],[코드]])</f>
        <v>N100790</v>
      </c>
      <c r="G390" s="4">
        <f>_xll.IMDP("STK",표.실시간[[#This Row],[nxt_code]],"현재가")</f>
        <v>12830</v>
      </c>
      <c r="H390" s="4">
        <f>_xll.IMDP("STK",표.실시간[[#This Row],[nxt_code]],"시가총액")/10^12</f>
        <v>0.68158905422000005</v>
      </c>
      <c r="I390" t="str">
        <f>_xll.IMDP("","","전일대비부호")</f>
        <v>코드오류</v>
      </c>
      <c r="J390" s="5">
        <f>_xll.IMDP("STK",표.실시간[[#This Row],[nxt_code]],"전일대비")</f>
        <v>490</v>
      </c>
      <c r="K390">
        <f>_xll.IMDP("STK",표.실시간[[#This Row],[nxt_code]],"등락률")</f>
        <v>3.97</v>
      </c>
      <c r="L390" s="4">
        <f>_xll.IMDP("STK",표.실시간[[#This Row],[nxt_code]],"누적거래량")</f>
        <v>307318</v>
      </c>
      <c r="M390" s="4">
        <f>_xll.IMDP("STK",표.실시간[[#This Row],[nxt_code]],"누적거래대금")</f>
        <v>3909568065</v>
      </c>
      <c r="N390" s="4">
        <f>_xll.IMDP("STK",표.실시간[[#This Row],[nxt_code]],"가중평균가")</f>
        <v>12721.527529999999</v>
      </c>
      <c r="O390" s="4">
        <f>_xll.IMDP("STK",표.실시간[[#This Row],[nxt_code]],"시가")</f>
        <v>13000</v>
      </c>
      <c r="P390" s="4">
        <f>_xll.IMDP("STK",표.실시간[[#This Row],[nxt_code]],"고가")</f>
        <v>13000</v>
      </c>
      <c r="Q390" s="4">
        <f>_xll.IMDP("STK",표.실시간[[#This Row],[nxt_code]],"저가")</f>
        <v>12430</v>
      </c>
      <c r="R390">
        <f>_xll.IMDP("STK",표.실시간[[#This Row],[nxt_code]],"세션명")</f>
        <v>0</v>
      </c>
      <c r="S390">
        <f>_xll.IMDP("STK",표.실시간[[#This Row],[nxt_code]],"체결시간")</f>
        <v>0</v>
      </c>
      <c r="T390" s="4">
        <f>_xll.IMDP("STK","100790","현재가")</f>
        <v>12840</v>
      </c>
      <c r="U390">
        <f>_xll.IMDP("STK","100790","누적거래량")</f>
        <v>71626</v>
      </c>
    </row>
    <row r="391" spans="3:21" x14ac:dyDescent="0.3">
      <c r="C391">
        <v>386</v>
      </c>
      <c r="D391">
        <v>44490</v>
      </c>
      <c r="E391" t="s">
        <v>403</v>
      </c>
      <c r="F391" t="str">
        <f>ConvertStockCode(표.실시간[[#This Row],[코드]])</f>
        <v>N044490</v>
      </c>
      <c r="G391" s="4">
        <f>_xll.IMDP("STK",표.실시간[[#This Row],[nxt_code]],"현재가")</f>
        <v>32000</v>
      </c>
      <c r="H391" s="4">
        <f>_xll.IMDP("STK",표.실시간[[#This Row],[nxt_code]],"시가총액")/10^12</f>
        <v>0.64023619200000004</v>
      </c>
      <c r="I391" t="str">
        <f>_xll.IMDP("","","전일대비부호")</f>
        <v>코드오류</v>
      </c>
      <c r="J391" s="5">
        <f>_xll.IMDP("STK",표.실시간[[#This Row],[nxt_code]],"전일대비")</f>
        <v>800</v>
      </c>
      <c r="K391">
        <f>_xll.IMDP("STK",표.실시간[[#This Row],[nxt_code]],"등락률")</f>
        <v>2.56</v>
      </c>
      <c r="L391" s="4">
        <f>_xll.IMDP("STK",표.실시간[[#This Row],[nxt_code]],"누적거래량")</f>
        <v>40630</v>
      </c>
      <c r="M391" s="4">
        <f>_xll.IMDP("STK",표.실시간[[#This Row],[nxt_code]],"누적거래대금")</f>
        <v>1300373850</v>
      </c>
      <c r="N391" s="4">
        <f>_xll.IMDP("STK",표.실시간[[#This Row],[nxt_code]],"가중평균가")</f>
        <v>32005.263352000002</v>
      </c>
      <c r="O391" s="4">
        <f>_xll.IMDP("STK",표.실시간[[#This Row],[nxt_code]],"시가")</f>
        <v>31700</v>
      </c>
      <c r="P391" s="4">
        <f>_xll.IMDP("STK",표.실시간[[#This Row],[nxt_code]],"고가")</f>
        <v>32500</v>
      </c>
      <c r="Q391" s="4">
        <f>_xll.IMDP("STK",표.실시간[[#This Row],[nxt_code]],"저가")</f>
        <v>31700</v>
      </c>
      <c r="R391">
        <f>_xll.IMDP("STK",표.실시간[[#This Row],[nxt_code]],"세션명")</f>
        <v>0</v>
      </c>
      <c r="S391">
        <f>_xll.IMDP("STK",표.실시간[[#This Row],[nxt_code]],"체결시간")</f>
        <v>0</v>
      </c>
      <c r="T391" s="4">
        <f>_xll.IMDP("STK","044490","현재가")</f>
        <v>31950</v>
      </c>
      <c r="U391">
        <f>_xll.IMDP("STK","044490","누적거래량")</f>
        <v>1969</v>
      </c>
    </row>
    <row r="392" spans="3:21" x14ac:dyDescent="0.3">
      <c r="C392">
        <v>387</v>
      </c>
      <c r="D392">
        <v>2840</v>
      </c>
      <c r="E392" t="s">
        <v>404</v>
      </c>
      <c r="F392" t="str">
        <f>ConvertStockCode(표.실시간[[#This Row],[코드]])</f>
        <v>N002840</v>
      </c>
      <c r="G392" s="4">
        <f>_xll.IMDP("STK",표.실시간[[#This Row],[nxt_code]],"현재가")</f>
        <v>142200</v>
      </c>
      <c r="H392" s="4">
        <f>_xll.IMDP("STK",표.실시간[[#This Row],[nxt_code]],"시가총액")/10^12</f>
        <v>0.67544999999999999</v>
      </c>
      <c r="I392" t="str">
        <f>_xll.IMDP("","","전일대비부호")</f>
        <v>코드오류</v>
      </c>
      <c r="J392" s="5">
        <f>_xll.IMDP("STK",표.실시간[[#This Row],[nxt_code]],"전일대비")</f>
        <v>100</v>
      </c>
      <c r="K392">
        <f>_xll.IMDP("STK",표.실시간[[#This Row],[nxt_code]],"등락률")</f>
        <v>7.0000000000000007E-2</v>
      </c>
      <c r="L392" s="4">
        <f>_xll.IMDP("STK",표.실시간[[#This Row],[nxt_code]],"누적거래량")</f>
        <v>9</v>
      </c>
      <c r="M392" s="4">
        <f>_xll.IMDP("STK",표.실시간[[#This Row],[nxt_code]],"누적거래대금")</f>
        <v>1279100</v>
      </c>
      <c r="N392" s="4">
        <f>_xll.IMDP("STK",표.실시간[[#This Row],[nxt_code]],"가중평균가")</f>
        <v>142122.22222200001</v>
      </c>
      <c r="O392" s="4">
        <f>_xll.IMDP("STK",표.실시간[[#This Row],[nxt_code]],"시가")</f>
        <v>142100</v>
      </c>
      <c r="P392" s="4">
        <f>_xll.IMDP("STK",표.실시간[[#This Row],[nxt_code]],"고가")</f>
        <v>142200</v>
      </c>
      <c r="Q392" s="4">
        <f>_xll.IMDP("STK",표.실시간[[#This Row],[nxt_code]],"저가")</f>
        <v>142100</v>
      </c>
      <c r="R392">
        <f>_xll.IMDP("STK",표.실시간[[#This Row],[nxt_code]],"세션명")</f>
        <v>0</v>
      </c>
      <c r="S392">
        <f>_xll.IMDP("STK",표.실시간[[#This Row],[nxt_code]],"체결시간")</f>
        <v>0</v>
      </c>
      <c r="T392" s="4">
        <f>_xll.IMDP("STK","002840","현재가")</f>
        <v>142100</v>
      </c>
      <c r="U392">
        <f>_xll.IMDP("STK","002840","누적거래량")</f>
        <v>9</v>
      </c>
    </row>
    <row r="393" spans="3:21" x14ac:dyDescent="0.3">
      <c r="C393">
        <v>388</v>
      </c>
      <c r="D393">
        <v>251970</v>
      </c>
      <c r="E393" t="s">
        <v>405</v>
      </c>
      <c r="F393" t="str">
        <f>ConvertStockCode(표.실시간[[#This Row],[코드]])</f>
        <v>N251970</v>
      </c>
      <c r="G393" s="4">
        <f>_xll.IMDP("STK",표.실시간[[#This Row],[nxt_code]],"현재가")</f>
        <v>58500</v>
      </c>
      <c r="H393" s="4">
        <f>_xll.IMDP("STK",표.실시간[[#This Row],[nxt_code]],"시가총액")/10^12</f>
        <v>0.72540000000000004</v>
      </c>
      <c r="I393" t="str">
        <f>_xll.IMDP("","","전일대비부호")</f>
        <v>코드오류</v>
      </c>
      <c r="J393" s="5">
        <f>_xll.IMDP("STK",표.실시간[[#This Row],[nxt_code]],"전일대비")</f>
        <v>-1000</v>
      </c>
      <c r="K393">
        <f>_xll.IMDP("STK",표.실시간[[#This Row],[nxt_code]],"등락률")</f>
        <v>-1.68</v>
      </c>
      <c r="L393" s="4">
        <f>_xll.IMDP("STK",표.실시간[[#This Row],[nxt_code]],"누적거래량")</f>
        <v>6387</v>
      </c>
      <c r="M393" s="4">
        <f>_xll.IMDP("STK",표.실시간[[#This Row],[nxt_code]],"누적거래대금")</f>
        <v>381806600</v>
      </c>
      <c r="N393" s="4">
        <f>_xll.IMDP("STK",표.실시간[[#This Row],[nxt_code]],"가중평균가")</f>
        <v>59778.706747999997</v>
      </c>
      <c r="O393" s="4">
        <f>_xll.IMDP("STK",표.실시간[[#This Row],[nxt_code]],"시가")</f>
        <v>59700</v>
      </c>
      <c r="P393" s="4">
        <f>_xll.IMDP("STK",표.실시간[[#This Row],[nxt_code]],"고가")</f>
        <v>60900</v>
      </c>
      <c r="Q393" s="4">
        <f>_xll.IMDP("STK",표.실시간[[#This Row],[nxt_code]],"저가")</f>
        <v>58400</v>
      </c>
      <c r="R393">
        <f>_xll.IMDP("STK",표.실시간[[#This Row],[nxt_code]],"세션명")</f>
        <v>0</v>
      </c>
      <c r="S393">
        <f>_xll.IMDP("STK",표.실시간[[#This Row],[nxt_code]],"체결시간")</f>
        <v>0</v>
      </c>
      <c r="T393" s="4">
        <f>_xll.IMDP("STK","251970","현재가")</f>
        <v>58500</v>
      </c>
      <c r="U393">
        <f>_xll.IMDP("STK","251970","누적거래량")</f>
        <v>4074</v>
      </c>
    </row>
    <row r="394" spans="3:21" x14ac:dyDescent="0.3">
      <c r="C394">
        <v>389</v>
      </c>
      <c r="D394">
        <v>640</v>
      </c>
      <c r="E394" t="s">
        <v>406</v>
      </c>
      <c r="F394" t="str">
        <f>ConvertStockCode(표.실시간[[#This Row],[코드]])</f>
        <v>N000640</v>
      </c>
      <c r="G394" s="4">
        <f>_xll.IMDP("STK",표.실시간[[#This Row],[nxt_code]],"현재가")</f>
        <v>104300</v>
      </c>
      <c r="H394" s="4">
        <f>_xll.IMDP("STK",표.실시간[[#This Row],[nxt_code]],"시가총액")/10^12</f>
        <v>0.6817500662</v>
      </c>
      <c r="I394" t="str">
        <f>_xll.IMDP("","","전일대비부호")</f>
        <v>코드오류</v>
      </c>
      <c r="J394" s="5">
        <f>_xll.IMDP("STK",표.실시간[[#This Row],[nxt_code]],"전일대비")</f>
        <v>-500</v>
      </c>
      <c r="K394">
        <f>_xll.IMDP("STK",표.실시간[[#This Row],[nxt_code]],"등락률")</f>
        <v>-0.48</v>
      </c>
      <c r="L394" s="4">
        <f>_xll.IMDP("STK",표.실시간[[#This Row],[nxt_code]],"누적거래량")</f>
        <v>418</v>
      </c>
      <c r="M394" s="4">
        <f>_xll.IMDP("STK",표.실시간[[#This Row],[nxt_code]],"누적거래대금")</f>
        <v>43915500</v>
      </c>
      <c r="N394" s="4">
        <f>_xll.IMDP("STK",표.실시간[[#This Row],[nxt_code]],"가중평균가")</f>
        <v>105061.004785</v>
      </c>
      <c r="O394" s="4">
        <f>_xll.IMDP("STK",표.실시간[[#This Row],[nxt_code]],"시가")</f>
        <v>105500</v>
      </c>
      <c r="P394" s="4">
        <f>_xll.IMDP("STK",표.실시간[[#This Row],[nxt_code]],"고가")</f>
        <v>105800</v>
      </c>
      <c r="Q394" s="4">
        <f>_xll.IMDP("STK",표.실시간[[#This Row],[nxt_code]],"저가")</f>
        <v>104300</v>
      </c>
      <c r="R394">
        <f>_xll.IMDP("STK",표.실시간[[#This Row],[nxt_code]],"세션명")</f>
        <v>0</v>
      </c>
      <c r="S394">
        <f>_xll.IMDP("STK",표.실시간[[#This Row],[nxt_code]],"체결시간")</f>
        <v>0</v>
      </c>
      <c r="T394" s="4">
        <f>_xll.IMDP("STK","000640","현재가")</f>
        <v>104200</v>
      </c>
      <c r="U394">
        <f>_xll.IMDP("STK","000640","누적거래량")</f>
        <v>140</v>
      </c>
    </row>
    <row r="395" spans="3:21" x14ac:dyDescent="0.3">
      <c r="C395">
        <v>390</v>
      </c>
      <c r="D395">
        <v>10780</v>
      </c>
      <c r="E395" t="s">
        <v>407</v>
      </c>
      <c r="F395" t="str">
        <f>ConvertStockCode(표.실시간[[#This Row],[코드]])</f>
        <v>N010780</v>
      </c>
      <c r="G395" s="4">
        <f>_xll.IMDP("STK",표.실시간[[#This Row],[nxt_code]],"현재가")</f>
        <v>22750</v>
      </c>
      <c r="H395" s="4">
        <f>_xll.IMDP("STK",표.실시간[[#This Row],[nxt_code]],"시가총액")/10^12</f>
        <v>0.68675370400000002</v>
      </c>
      <c r="I395" t="str">
        <f>_xll.IMDP("","","전일대비부호")</f>
        <v>코드오류</v>
      </c>
      <c r="J395" s="5">
        <f>_xll.IMDP("STK",표.실시간[[#This Row],[nxt_code]],"전일대비")</f>
        <v>200</v>
      </c>
      <c r="K395">
        <f>_xll.IMDP("STK",표.실시간[[#This Row],[nxt_code]],"등락률")</f>
        <v>0.89</v>
      </c>
      <c r="L395" s="4">
        <f>_xll.IMDP("STK",표.실시간[[#This Row],[nxt_code]],"누적거래량")</f>
        <v>3739</v>
      </c>
      <c r="M395" s="4">
        <f>_xll.IMDP("STK",표.실시간[[#This Row],[nxt_code]],"누적거래대금")</f>
        <v>85295300</v>
      </c>
      <c r="N395" s="4">
        <f>_xll.IMDP("STK",표.실시간[[#This Row],[nxt_code]],"가중평균가")</f>
        <v>22812.3295</v>
      </c>
      <c r="O395" s="4">
        <f>_xll.IMDP("STK",표.실시간[[#This Row],[nxt_code]],"시가")</f>
        <v>22550</v>
      </c>
      <c r="P395" s="4">
        <f>_xll.IMDP("STK",표.실시간[[#This Row],[nxt_code]],"고가")</f>
        <v>22950</v>
      </c>
      <c r="Q395" s="4">
        <f>_xll.IMDP("STK",표.실시간[[#This Row],[nxt_code]],"저가")</f>
        <v>22550</v>
      </c>
      <c r="R395">
        <f>_xll.IMDP("STK",표.실시간[[#This Row],[nxt_code]],"세션명")</f>
        <v>0</v>
      </c>
      <c r="S395">
        <f>_xll.IMDP("STK",표.실시간[[#This Row],[nxt_code]],"체결시간")</f>
        <v>0</v>
      </c>
      <c r="T395" s="4">
        <f>_xll.IMDP("STK","010780","현재가")</f>
        <v>22850</v>
      </c>
      <c r="U395">
        <f>_xll.IMDP("STK","010780","누적거래량")</f>
        <v>401</v>
      </c>
    </row>
    <row r="396" spans="3:21" x14ac:dyDescent="0.3">
      <c r="C396">
        <v>391</v>
      </c>
      <c r="D396">
        <v>460930</v>
      </c>
      <c r="E396" t="s">
        <v>408</v>
      </c>
      <c r="F396" t="str">
        <f>ConvertStockCode(표.실시간[[#This Row],[코드]])</f>
        <v>N460930</v>
      </c>
      <c r="G396" s="4">
        <f>_xll.IMDP("STK",표.실시간[[#This Row],[nxt_code]],"현재가")</f>
        <v>18540</v>
      </c>
      <c r="H396" s="4">
        <f>_xll.IMDP("STK",표.실시간[[#This Row],[nxt_code]],"시가총액")/10^12</f>
        <v>0.65836784033999995</v>
      </c>
      <c r="I396" t="str">
        <f>_xll.IMDP("","","전일대비부호")</f>
        <v>코드오류</v>
      </c>
      <c r="J396" s="5">
        <f>_xll.IMDP("STK",표.실시간[[#This Row],[nxt_code]],"전일대비")</f>
        <v>130</v>
      </c>
      <c r="K396">
        <f>_xll.IMDP("STK",표.실시간[[#This Row],[nxt_code]],"등락률")</f>
        <v>0.71</v>
      </c>
      <c r="L396" s="4">
        <f>_xll.IMDP("STK",표.실시간[[#This Row],[nxt_code]],"누적거래량")</f>
        <v>20019</v>
      </c>
      <c r="M396" s="4">
        <f>_xll.IMDP("STK",표.실시간[[#This Row],[nxt_code]],"누적거래대금")</f>
        <v>370741610</v>
      </c>
      <c r="N396" s="4">
        <f>_xll.IMDP("STK",표.실시간[[#This Row],[nxt_code]],"가중평균가")</f>
        <v>18519.486987</v>
      </c>
      <c r="O396" s="4">
        <f>_xll.IMDP("STK",표.실시간[[#This Row],[nxt_code]],"시가")</f>
        <v>18460</v>
      </c>
      <c r="P396" s="4">
        <f>_xll.IMDP("STK",표.실시간[[#This Row],[nxt_code]],"고가")</f>
        <v>18610</v>
      </c>
      <c r="Q396" s="4">
        <f>_xll.IMDP("STK",표.실시간[[#This Row],[nxt_code]],"저가")</f>
        <v>18460</v>
      </c>
      <c r="R396">
        <f>_xll.IMDP("STK",표.실시간[[#This Row],[nxt_code]],"세션명")</f>
        <v>0</v>
      </c>
      <c r="S396">
        <f>_xll.IMDP("STK",표.실시간[[#This Row],[nxt_code]],"체결시간")</f>
        <v>0</v>
      </c>
      <c r="T396" s="4">
        <f>_xll.IMDP("STK","460930","현재가")</f>
        <v>18570</v>
      </c>
      <c r="U396">
        <f>_xll.IMDP("STK","460930","누적거래량")</f>
        <v>1095</v>
      </c>
    </row>
    <row r="397" spans="3:21" x14ac:dyDescent="0.3">
      <c r="C397">
        <v>392</v>
      </c>
      <c r="D397">
        <v>8730</v>
      </c>
      <c r="E397" t="s">
        <v>409</v>
      </c>
      <c r="F397" t="str">
        <f>ConvertStockCode(표.실시간[[#This Row],[코드]])</f>
        <v>N008730</v>
      </c>
      <c r="G397" s="4">
        <f>_xll.IMDP("STK",표.실시간[[#This Row],[nxt_code]],"현재가")</f>
        <v>27900</v>
      </c>
      <c r="H397" s="4">
        <f>_xll.IMDP("STK",표.실시간[[#This Row],[nxt_code]],"시가총액")/10^12</f>
        <v>0.69191999999999998</v>
      </c>
      <c r="I397" t="str">
        <f>_xll.IMDP("","","전일대비부호")</f>
        <v>코드오류</v>
      </c>
      <c r="J397" s="5">
        <f>_xll.IMDP("STK",표.실시간[[#This Row],[nxt_code]],"전일대비")</f>
        <v>800</v>
      </c>
      <c r="K397">
        <f>_xll.IMDP("STK",표.실시간[[#This Row],[nxt_code]],"등락률")</f>
        <v>1.45</v>
      </c>
      <c r="L397" s="4">
        <f>_xll.IMDP("STK",표.실시간[[#This Row],[nxt_code]],"누적거래량")</f>
        <v>33581</v>
      </c>
      <c r="M397" s="4">
        <f>_xll.IMDP("STK",표.실시간[[#This Row],[nxt_code]],"누적거래대금")</f>
        <v>851359850</v>
      </c>
      <c r="N397" s="4">
        <f>_xll.IMDP("STK",표.실시간[[#This Row],[nxt_code]],"가중평균가")</f>
        <v>28196.067717000002</v>
      </c>
      <c r="O397" s="4">
        <f>_xll.IMDP("STK",표.실시간[[#This Row],[nxt_code]],"시가")</f>
        <v>27950</v>
      </c>
      <c r="P397" s="4">
        <f>_xll.IMDP("STK",표.실시간[[#This Row],[nxt_code]],"고가")</f>
        <v>28550</v>
      </c>
      <c r="Q397" s="4">
        <f>_xll.IMDP("STK",표.실시간[[#This Row],[nxt_code]],"저가")</f>
        <v>27900</v>
      </c>
      <c r="R397">
        <f>_xll.IMDP("STK",표.실시간[[#This Row],[nxt_code]],"세션명")</f>
        <v>0</v>
      </c>
      <c r="S397">
        <f>_xll.IMDP("STK",표.실시간[[#This Row],[nxt_code]],"체결시간")</f>
        <v>0</v>
      </c>
      <c r="T397" s="4">
        <f>_xll.IMDP("STK","008730","현재가")</f>
        <v>28000</v>
      </c>
      <c r="U397">
        <f>_xll.IMDP("STK","008730","누적거래량")</f>
        <v>5630</v>
      </c>
    </row>
    <row r="398" spans="3:21" x14ac:dyDescent="0.3">
      <c r="C398">
        <v>393</v>
      </c>
      <c r="D398">
        <v>102710</v>
      </c>
      <c r="E398" t="s">
        <v>410</v>
      </c>
      <c r="F398" t="str">
        <f>ConvertStockCode(표.실시간[[#This Row],[코드]])</f>
        <v>N102710</v>
      </c>
      <c r="G398" s="4">
        <f>_xll.IMDP("STK",표.실시간[[#This Row],[nxt_code]],"현재가")</f>
        <v>48700</v>
      </c>
      <c r="H398" s="4">
        <f>_xll.IMDP("STK",표.실시간[[#This Row],[nxt_code]],"시가총액")/10^12</f>
        <v>0.69581761320000002</v>
      </c>
      <c r="I398" t="str">
        <f>_xll.IMDP("","","전일대비부호")</f>
        <v>코드오류</v>
      </c>
      <c r="J398" s="5">
        <f>_xll.IMDP("STK",표.실시간[[#This Row],[nxt_code]],"전일대비")</f>
        <v>400</v>
      </c>
      <c r="K398">
        <f>_xll.IMDP("STK",표.실시간[[#This Row],[nxt_code]],"등락률")</f>
        <v>0.31</v>
      </c>
      <c r="L398" s="4">
        <f>_xll.IMDP("STK",표.실시간[[#This Row],[nxt_code]],"누적거래량")</f>
        <v>16834</v>
      </c>
      <c r="M398" s="4">
        <f>_xll.IMDP("STK",표.실시간[[#This Row],[nxt_code]],"누적거래대금")</f>
        <v>826290175</v>
      </c>
      <c r="N398" s="4">
        <f>_xll.IMDP("STK",표.실시간[[#This Row],[nxt_code]],"가중평균가")</f>
        <v>49084.601105000002</v>
      </c>
      <c r="O398" s="4">
        <f>_xll.IMDP("STK",표.실시간[[#This Row],[nxt_code]],"시가")</f>
        <v>48900</v>
      </c>
      <c r="P398" s="4">
        <f>_xll.IMDP("STK",표.실시간[[#This Row],[nxt_code]],"고가")</f>
        <v>49350</v>
      </c>
      <c r="Q398" s="4">
        <f>_xll.IMDP("STK",표.실시간[[#This Row],[nxt_code]],"저가")</f>
        <v>48550</v>
      </c>
      <c r="R398">
        <f>_xll.IMDP("STK",표.실시간[[#This Row],[nxt_code]],"세션명")</f>
        <v>0</v>
      </c>
      <c r="S398">
        <f>_xll.IMDP("STK",표.실시간[[#This Row],[nxt_code]],"체결시간")</f>
        <v>0</v>
      </c>
      <c r="T398" s="4">
        <f>_xll.IMDP("STK","102710","현재가")</f>
        <v>48650</v>
      </c>
      <c r="U398">
        <f>_xll.IMDP("STK","102710","누적거래량")</f>
        <v>6925</v>
      </c>
    </row>
    <row r="399" spans="3:21" x14ac:dyDescent="0.3">
      <c r="C399">
        <v>394</v>
      </c>
      <c r="D399">
        <v>475150</v>
      </c>
      <c r="E399" t="s">
        <v>411</v>
      </c>
      <c r="F399" t="str">
        <f>ConvertStockCode(표.실시간[[#This Row],[코드]])</f>
        <v>N475150</v>
      </c>
      <c r="G399" s="4">
        <f>_xll.IMDP("STK",표.실시간[[#This Row],[nxt_code]],"현재가")</f>
        <v>20050</v>
      </c>
      <c r="H399" s="4">
        <f>_xll.IMDP("STK",표.실시간[[#This Row],[nxt_code]],"시가총액")/10^12</f>
        <v>0.67676854210000004</v>
      </c>
      <c r="I399" t="str">
        <f>_xll.IMDP("","","전일대비부호")</f>
        <v>코드오류</v>
      </c>
      <c r="J399" s="5">
        <f>_xll.IMDP("STK",표.실시간[[#This Row],[nxt_code]],"전일대비")</f>
        <v>410</v>
      </c>
      <c r="K399">
        <f>_xll.IMDP("STK",표.실시간[[#This Row],[nxt_code]],"등락률")</f>
        <v>2.09</v>
      </c>
      <c r="L399" s="4">
        <f>_xll.IMDP("STK",표.실시간[[#This Row],[nxt_code]],"누적거래량")</f>
        <v>39587</v>
      </c>
      <c r="M399" s="4">
        <f>_xll.IMDP("STK",표.실시간[[#This Row],[nxt_code]],"누적거래대금")</f>
        <v>790923370</v>
      </c>
      <c r="N399" s="4">
        <f>_xll.IMDP("STK",표.실시간[[#This Row],[nxt_code]],"가중평균가")</f>
        <v>19979.371257999999</v>
      </c>
      <c r="O399" s="4">
        <f>_xll.IMDP("STK",표.실시간[[#This Row],[nxt_code]],"시가")</f>
        <v>19670</v>
      </c>
      <c r="P399" s="4">
        <f>_xll.IMDP("STK",표.실시간[[#This Row],[nxt_code]],"고가")</f>
        <v>20300</v>
      </c>
      <c r="Q399" s="4">
        <f>_xll.IMDP("STK",표.실시간[[#This Row],[nxt_code]],"저가")</f>
        <v>19670</v>
      </c>
      <c r="R399">
        <f>_xll.IMDP("STK",표.실시간[[#This Row],[nxt_code]],"세션명")</f>
        <v>0</v>
      </c>
      <c r="S399">
        <f>_xll.IMDP("STK",표.실시간[[#This Row],[nxt_code]],"체결시간")</f>
        <v>0</v>
      </c>
      <c r="T399" s="4">
        <f>_xll.IMDP("STK","475150","현재가")</f>
        <v>19890</v>
      </c>
      <c r="U399">
        <f>_xll.IMDP("STK","475150","누적거래량")</f>
        <v>12133</v>
      </c>
    </row>
    <row r="400" spans="3:21" x14ac:dyDescent="0.3">
      <c r="C400">
        <v>395</v>
      </c>
      <c r="D400">
        <v>372320</v>
      </c>
      <c r="E400" t="s">
        <v>412</v>
      </c>
      <c r="F400" t="str">
        <f>ConvertStockCode(표.실시간[[#This Row],[코드]])</f>
        <v>N372320</v>
      </c>
      <c r="G400" s="4">
        <f>_xll.IMDP("STK",표.실시간[[#This Row],[nxt_code]],"현재가")</f>
        <v>44200</v>
      </c>
      <c r="H400" s="4">
        <f>_xll.IMDP("STK",표.실시간[[#This Row],[nxt_code]],"시가총액")/10^12</f>
        <v>0.63792153880000002</v>
      </c>
      <c r="I400" t="str">
        <f>_xll.IMDP("","","전일대비부호")</f>
        <v>코드오류</v>
      </c>
      <c r="J400" s="5">
        <f>_xll.IMDP("STK",표.실시간[[#This Row],[nxt_code]],"전일대비")</f>
        <v>400</v>
      </c>
      <c r="K400">
        <f>_xll.IMDP("STK",표.실시간[[#This Row],[nxt_code]],"등락률")</f>
        <v>0.91</v>
      </c>
      <c r="L400" s="4">
        <f>_xll.IMDP("STK",표.실시간[[#This Row],[nxt_code]],"누적거래량")</f>
        <v>7061</v>
      </c>
      <c r="M400" s="4">
        <f>_xll.IMDP("STK",표.실시간[[#This Row],[nxt_code]],"누적거래대금")</f>
        <v>313037200</v>
      </c>
      <c r="N400" s="4">
        <f>_xll.IMDP("STK",표.실시간[[#This Row],[nxt_code]],"가중평균가")</f>
        <v>44333.267243000002</v>
      </c>
      <c r="O400" s="4">
        <f>_xll.IMDP("STK",표.실시간[[#This Row],[nxt_code]],"시가")</f>
        <v>44250</v>
      </c>
      <c r="P400" s="4">
        <f>_xll.IMDP("STK",표.실시간[[#This Row],[nxt_code]],"고가")</f>
        <v>44650</v>
      </c>
      <c r="Q400" s="4">
        <f>_xll.IMDP("STK",표.실시간[[#This Row],[nxt_code]],"저가")</f>
        <v>43800</v>
      </c>
      <c r="R400">
        <f>_xll.IMDP("STK",표.실시간[[#This Row],[nxt_code]],"세션명")</f>
        <v>0</v>
      </c>
      <c r="S400">
        <f>_xll.IMDP("STK",표.실시간[[#This Row],[nxt_code]],"체결시간")</f>
        <v>0</v>
      </c>
      <c r="T400" s="4">
        <f>_xll.IMDP("STK","372320","현재가")</f>
        <v>44200</v>
      </c>
      <c r="U400">
        <f>_xll.IMDP("STK","372320","누적거래량")</f>
        <v>2339</v>
      </c>
    </row>
    <row r="401" spans="3:21" x14ac:dyDescent="0.3">
      <c r="C401">
        <v>396</v>
      </c>
      <c r="D401">
        <v>53800</v>
      </c>
      <c r="E401" t="s">
        <v>413</v>
      </c>
      <c r="F401" t="str">
        <f>ConvertStockCode(표.실시간[[#This Row],[코드]])</f>
        <v>N053800</v>
      </c>
      <c r="G401" s="4">
        <f>_xll.IMDP("STK",표.실시간[[#This Row],[nxt_code]],"현재가")</f>
        <v>59700</v>
      </c>
      <c r="H401" s="4">
        <f>_xll.IMDP("STK",표.실시간[[#This Row],[nxt_code]],"시가총액")/10^12</f>
        <v>0.66425240819999998</v>
      </c>
      <c r="I401" t="str">
        <f>_xll.IMDP("","","전일대비부호")</f>
        <v>코드오류</v>
      </c>
      <c r="J401" s="5">
        <f>_xll.IMDP("STK",표.실시간[[#This Row],[nxt_code]],"전일대비")</f>
        <v>400</v>
      </c>
      <c r="K401">
        <f>_xll.IMDP("STK",표.실시간[[#This Row],[nxt_code]],"등락률")</f>
        <v>0.67</v>
      </c>
      <c r="L401" s="4">
        <f>_xll.IMDP("STK",표.실시간[[#This Row],[nxt_code]],"누적거래량")</f>
        <v>1288</v>
      </c>
      <c r="M401" s="4">
        <f>_xll.IMDP("STK",표.실시간[[#This Row],[nxt_code]],"누적거래대금")</f>
        <v>76833900</v>
      </c>
      <c r="N401" s="4">
        <f>_xll.IMDP("STK",표.실시간[[#This Row],[nxt_code]],"가중평균가")</f>
        <v>59653.649067999999</v>
      </c>
      <c r="O401" s="4">
        <f>_xll.IMDP("STK",표.실시간[[#This Row],[nxt_code]],"시가")</f>
        <v>59400</v>
      </c>
      <c r="P401" s="4">
        <f>_xll.IMDP("STK",표.실시간[[#This Row],[nxt_code]],"고가")</f>
        <v>59800</v>
      </c>
      <c r="Q401" s="4">
        <f>_xll.IMDP("STK",표.실시간[[#This Row],[nxt_code]],"저가")</f>
        <v>59400</v>
      </c>
      <c r="R401">
        <f>_xll.IMDP("STK",표.실시간[[#This Row],[nxt_code]],"세션명")</f>
        <v>0</v>
      </c>
      <c r="S401">
        <f>_xll.IMDP("STK",표.실시간[[#This Row],[nxt_code]],"체결시간")</f>
        <v>0</v>
      </c>
      <c r="T401" s="4">
        <f>_xll.IMDP("STK","053800","현재가")</f>
        <v>59600</v>
      </c>
      <c r="U401">
        <f>_xll.IMDP("STK","053800","누적거래량")</f>
        <v>130</v>
      </c>
    </row>
    <row r="402" spans="3:21" x14ac:dyDescent="0.3">
      <c r="C402">
        <v>397</v>
      </c>
      <c r="D402">
        <v>127120</v>
      </c>
      <c r="E402" t="s">
        <v>414</v>
      </c>
      <c r="F402" t="str">
        <f>ConvertStockCode(표.실시간[[#This Row],[코드]])</f>
        <v>N127120</v>
      </c>
      <c r="G402" s="4">
        <f>_xll.IMDP("STK",표.실시간[[#This Row],[nxt_code]],"현재가")</f>
        <v>22300</v>
      </c>
      <c r="H402" s="4">
        <f>_xll.IMDP("STK",표.실시간[[#This Row],[nxt_code]],"시가총액")/10^12</f>
        <v>0.71919092220000003</v>
      </c>
      <c r="I402" t="str">
        <f>_xll.IMDP("","","전일대비부호")</f>
        <v>코드오류</v>
      </c>
      <c r="J402" s="5">
        <f>_xll.IMDP("STK",표.실시간[[#This Row],[nxt_code]],"전일대비")</f>
        <v>-400</v>
      </c>
      <c r="K402">
        <f>_xll.IMDP("STK",표.실시간[[#This Row],[nxt_code]],"등락률")</f>
        <v>-2.86</v>
      </c>
      <c r="L402" s="4">
        <f>_xll.IMDP("STK",표.실시간[[#This Row],[nxt_code]],"누적거래량")</f>
        <v>33281</v>
      </c>
      <c r="M402" s="4">
        <f>_xll.IMDP("STK",표.실시간[[#This Row],[nxt_code]],"누적거래대금")</f>
        <v>740081000</v>
      </c>
      <c r="N402" s="4">
        <f>_xll.IMDP("STK",표.실시간[[#This Row],[nxt_code]],"가중평균가")</f>
        <v>22237.342627999999</v>
      </c>
      <c r="O402" s="4">
        <f>_xll.IMDP("STK",표.실시간[[#This Row],[nxt_code]],"시가")</f>
        <v>22500</v>
      </c>
      <c r="P402" s="4">
        <f>_xll.IMDP("STK",표.실시간[[#This Row],[nxt_code]],"고가")</f>
        <v>22850</v>
      </c>
      <c r="Q402" s="4">
        <f>_xll.IMDP("STK",표.실시간[[#This Row],[nxt_code]],"저가")</f>
        <v>21950</v>
      </c>
      <c r="R402">
        <f>_xll.IMDP("STK",표.실시간[[#This Row],[nxt_code]],"세션명")</f>
        <v>0</v>
      </c>
      <c r="S402">
        <f>_xll.IMDP("STK",표.실시간[[#This Row],[nxt_code]],"체결시간")</f>
        <v>0</v>
      </c>
      <c r="T402" s="4">
        <f>_xll.IMDP("STK","127120","현재가")</f>
        <v>22300</v>
      </c>
      <c r="U402">
        <f>_xll.IMDP("STK","127120","누적거래량")</f>
        <v>5514</v>
      </c>
    </row>
    <row r="403" spans="3:21" x14ac:dyDescent="0.3">
      <c r="C403">
        <v>398</v>
      </c>
      <c r="D403">
        <v>33100</v>
      </c>
      <c r="E403" t="s">
        <v>415</v>
      </c>
      <c r="F403" t="str">
        <f>ConvertStockCode(표.실시간[[#This Row],[코드]])</f>
        <v>N033100</v>
      </c>
      <c r="G403" s="4">
        <f>_xll.IMDP("STK",표.실시간[[#This Row],[nxt_code]],"현재가")</f>
        <v>39050</v>
      </c>
      <c r="H403" s="4">
        <f>_xll.IMDP("STK",표.실시간[[#This Row],[nxt_code]],"시가총액")/10^12</f>
        <v>0.62723707144999996</v>
      </c>
      <c r="I403" t="str">
        <f>_xll.IMDP("","","전일대비부호")</f>
        <v>코드오류</v>
      </c>
      <c r="J403" s="5">
        <f>_xll.IMDP("STK",표.실시간[[#This Row],[nxt_code]],"전일대비")</f>
        <v>-750</v>
      </c>
      <c r="K403">
        <f>_xll.IMDP("STK",표.실시간[[#This Row],[nxt_code]],"등락률")</f>
        <v>-1.88</v>
      </c>
      <c r="L403" s="4">
        <f>_xll.IMDP("STK",표.실시간[[#This Row],[nxt_code]],"누적거래량")</f>
        <v>44376</v>
      </c>
      <c r="M403" s="4">
        <f>_xll.IMDP("STK",표.실시간[[#This Row],[nxt_code]],"누적거래대금")</f>
        <v>1753973600</v>
      </c>
      <c r="N403" s="4">
        <f>_xll.IMDP("STK",표.실시간[[#This Row],[nxt_code]],"가중평균가")</f>
        <v>39525.274922999997</v>
      </c>
      <c r="O403" s="4">
        <f>_xll.IMDP("STK",표.실시간[[#This Row],[nxt_code]],"시가")</f>
        <v>39950</v>
      </c>
      <c r="P403" s="4">
        <f>_xll.IMDP("STK",표.실시간[[#This Row],[nxt_code]],"고가")</f>
        <v>40000</v>
      </c>
      <c r="Q403" s="4">
        <f>_xll.IMDP("STK",표.실시간[[#This Row],[nxt_code]],"저가")</f>
        <v>39050</v>
      </c>
      <c r="R403">
        <f>_xll.IMDP("STK",표.실시간[[#This Row],[nxt_code]],"세션명")</f>
        <v>0</v>
      </c>
      <c r="S403">
        <f>_xll.IMDP("STK",표.실시간[[#This Row],[nxt_code]],"체결시간")</f>
        <v>0</v>
      </c>
      <c r="T403" s="4">
        <f>_xll.IMDP("STK","033100","현재가")</f>
        <v>39050</v>
      </c>
      <c r="U403">
        <f>_xll.IMDP("STK","033100","누적거래량")</f>
        <v>23350</v>
      </c>
    </row>
    <row r="404" spans="3:21" x14ac:dyDescent="0.3">
      <c r="C404">
        <v>399</v>
      </c>
      <c r="D404">
        <v>15750</v>
      </c>
      <c r="E404" t="s">
        <v>416</v>
      </c>
      <c r="F404" t="str">
        <f>ConvertStockCode(표.실시간[[#This Row],[코드]])</f>
        <v>N015750</v>
      </c>
      <c r="G404" s="4">
        <f>_xll.IMDP("STK",표.실시간[[#This Row],[nxt_code]],"현재가")</f>
        <v>7590</v>
      </c>
      <c r="H404" s="4">
        <f>_xll.IMDP("STK",표.실시간[[#This Row],[nxt_code]],"시가총액")/10^12</f>
        <v>0.60719999999999996</v>
      </c>
      <c r="I404" t="str">
        <f>_xll.IMDP("","","전일대비부호")</f>
        <v>코드오류</v>
      </c>
      <c r="J404" s="5">
        <f>_xll.IMDP("STK",표.실시간[[#This Row],[nxt_code]],"전일대비")</f>
        <v>-40</v>
      </c>
      <c r="K404">
        <f>_xll.IMDP("STK",표.실시간[[#This Row],[nxt_code]],"등락률")</f>
        <v>-0.52</v>
      </c>
      <c r="L404" s="4">
        <f>_xll.IMDP("STK",표.실시간[[#This Row],[nxt_code]],"누적거래량")</f>
        <v>248862</v>
      </c>
      <c r="M404" s="4">
        <f>_xll.IMDP("STK",표.실시간[[#This Row],[nxt_code]],"누적거래대금")</f>
        <v>1917149960</v>
      </c>
      <c r="N404" s="4">
        <f>_xll.IMDP("STK",표.실시간[[#This Row],[nxt_code]],"가중평균가")</f>
        <v>7703.6669320000001</v>
      </c>
      <c r="O404" s="4">
        <f>_xll.IMDP("STK",표.실시간[[#This Row],[nxt_code]],"시가")</f>
        <v>7700</v>
      </c>
      <c r="P404" s="4">
        <f>_xll.IMDP("STK",표.실시간[[#This Row],[nxt_code]],"고가")</f>
        <v>7830</v>
      </c>
      <c r="Q404" s="4">
        <f>_xll.IMDP("STK",표.실시간[[#This Row],[nxt_code]],"저가")</f>
        <v>7590</v>
      </c>
      <c r="R404">
        <f>_xll.IMDP("STK",표.실시간[[#This Row],[nxt_code]],"세션명")</f>
        <v>0</v>
      </c>
      <c r="S404">
        <f>_xll.IMDP("STK",표.실시간[[#This Row],[nxt_code]],"체결시간")</f>
        <v>0</v>
      </c>
      <c r="T404" s="4">
        <f>_xll.IMDP("STK","015750","현재가")</f>
        <v>7590</v>
      </c>
      <c r="U404">
        <f>_xll.IMDP("STK","015750","누적거래량")</f>
        <v>29737</v>
      </c>
    </row>
    <row r="405" spans="3:21" x14ac:dyDescent="0.3">
      <c r="C405">
        <v>400</v>
      </c>
      <c r="D405">
        <v>74600</v>
      </c>
      <c r="E405" t="s">
        <v>417</v>
      </c>
      <c r="F405" t="str">
        <f>ConvertStockCode(표.실시간[[#This Row],[코드]])</f>
        <v>N074600</v>
      </c>
      <c r="G405" s="4">
        <f>_xll.IMDP("STK",표.실시간[[#This Row],[nxt_code]],"현재가")</f>
        <v>23550</v>
      </c>
      <c r="H405" s="4">
        <f>_xll.IMDP("STK",표.실시간[[#This Row],[nxt_code]],"시가총액")/10^12</f>
        <v>0.61908240000000003</v>
      </c>
      <c r="I405" t="str">
        <f>_xll.IMDP("","","전일대비부호")</f>
        <v>코드오류</v>
      </c>
      <c r="J405" s="5">
        <f>_xll.IMDP("STK",표.실시간[[#This Row],[nxt_code]],"전일대비")</f>
        <v>-350</v>
      </c>
      <c r="K405">
        <f>_xll.IMDP("STK",표.실시간[[#This Row],[nxt_code]],"등락률")</f>
        <v>-1.67</v>
      </c>
      <c r="L405" s="4">
        <f>_xll.IMDP("STK",표.실시간[[#This Row],[nxt_code]],"누적거래량")</f>
        <v>21388</v>
      </c>
      <c r="M405" s="4">
        <f>_xll.IMDP("STK",표.실시간[[#This Row],[nxt_code]],"누적거래대금")</f>
        <v>510971900</v>
      </c>
      <c r="N405" s="4">
        <f>_xll.IMDP("STK",표.실시간[[#This Row],[nxt_code]],"가중평균가")</f>
        <v>23890.588179999999</v>
      </c>
      <c r="O405" s="4">
        <f>_xll.IMDP("STK",표.실시간[[#This Row],[nxt_code]],"시가")</f>
        <v>23950</v>
      </c>
      <c r="P405" s="4">
        <f>_xll.IMDP("STK",표.실시간[[#This Row],[nxt_code]],"고가")</f>
        <v>24150</v>
      </c>
      <c r="Q405" s="4">
        <f>_xll.IMDP("STK",표.실시간[[#This Row],[nxt_code]],"저가")</f>
        <v>23550</v>
      </c>
      <c r="R405">
        <f>_xll.IMDP("STK",표.실시간[[#This Row],[nxt_code]],"세션명")</f>
        <v>0</v>
      </c>
      <c r="S405">
        <f>_xll.IMDP("STK",표.실시간[[#This Row],[nxt_code]],"체결시간")</f>
        <v>0</v>
      </c>
      <c r="T405" s="4">
        <f>_xll.IMDP("STK","074600","현재가")</f>
        <v>23600</v>
      </c>
      <c r="U405">
        <f>_xll.IMDP("STK","074600","누적거래량")</f>
        <v>11683</v>
      </c>
    </row>
    <row r="406" spans="3:21" x14ac:dyDescent="0.3">
      <c r="C406">
        <v>401</v>
      </c>
      <c r="D406">
        <v>89970</v>
      </c>
      <c r="E406" t="s">
        <v>418</v>
      </c>
      <c r="F406" t="str">
        <f>ConvertStockCode(표.실시간[[#This Row],[코드]])</f>
        <v>N089970</v>
      </c>
      <c r="G406" s="4">
        <f>_xll.IMDP("STK",표.실시간[[#This Row],[nxt_code]],"현재가")</f>
        <v>24250</v>
      </c>
      <c r="H406" s="4">
        <f>_xll.IMDP("STK",표.실시간[[#This Row],[nxt_code]],"시가총액")/10^12</f>
        <v>0.59198360375000003</v>
      </c>
      <c r="I406" t="str">
        <f>_xll.IMDP("","","전일대비부호")</f>
        <v>코드오류</v>
      </c>
      <c r="J406" s="5">
        <f>_xll.IMDP("STK",표.실시간[[#This Row],[nxt_code]],"전일대비")</f>
        <v>-350</v>
      </c>
      <c r="K406">
        <f>_xll.IMDP("STK",표.실시간[[#This Row],[nxt_code]],"등락률")</f>
        <v>-1.42</v>
      </c>
      <c r="L406" s="4">
        <f>_xll.IMDP("STK",표.실시간[[#This Row],[nxt_code]],"누적거래량")</f>
        <v>27302</v>
      </c>
      <c r="M406" s="4">
        <f>_xll.IMDP("STK",표.실시간[[#This Row],[nxt_code]],"누적거래대금")</f>
        <v>676414950</v>
      </c>
      <c r="N406" s="4">
        <f>_xll.IMDP("STK",표.실시간[[#This Row],[nxt_code]],"가중평균가")</f>
        <v>24775.289356000001</v>
      </c>
      <c r="O406" s="4">
        <f>_xll.IMDP("STK",표.실시간[[#This Row],[nxt_code]],"시가")</f>
        <v>24900</v>
      </c>
      <c r="P406" s="4">
        <f>_xll.IMDP("STK",표.실시간[[#This Row],[nxt_code]],"고가")</f>
        <v>25000</v>
      </c>
      <c r="Q406" s="4">
        <f>_xll.IMDP("STK",표.실시간[[#This Row],[nxt_code]],"저가")</f>
        <v>24250</v>
      </c>
      <c r="R406">
        <f>_xll.IMDP("STK",표.실시간[[#This Row],[nxt_code]],"세션명")</f>
        <v>0</v>
      </c>
      <c r="S406">
        <f>_xll.IMDP("STK",표.실시간[[#This Row],[nxt_code]],"체결시간")</f>
        <v>0</v>
      </c>
      <c r="T406" s="4">
        <f>_xll.IMDP("STK","089970","현재가")</f>
        <v>24400</v>
      </c>
      <c r="U406">
        <f>_xll.IMDP("STK","089970","누적거래량")</f>
        <v>9649</v>
      </c>
    </row>
    <row r="407" spans="3:21" x14ac:dyDescent="0.3">
      <c r="C407">
        <v>402</v>
      </c>
      <c r="D407">
        <v>1060</v>
      </c>
      <c r="E407" t="s">
        <v>419</v>
      </c>
      <c r="F407" t="str">
        <f>ConvertStockCode(표.실시간[[#This Row],[코드]])</f>
        <v>N001060</v>
      </c>
      <c r="G407" s="4">
        <f>_xll.IMDP("STK",표.실시간[[#This Row],[nxt_code]],"현재가")</f>
        <v>27700</v>
      </c>
      <c r="H407" s="4">
        <f>_xll.IMDP("STK",표.실시간[[#This Row],[nxt_code]],"시가총액")/10^12</f>
        <v>0.64502026099999998</v>
      </c>
      <c r="I407" t="str">
        <f>_xll.IMDP("","","전일대비부호")</f>
        <v>코드오류</v>
      </c>
      <c r="J407" s="5">
        <f>_xll.IMDP("STK",표.실시간[[#This Row],[nxt_code]],"전일대비")</f>
        <v>300</v>
      </c>
      <c r="K407">
        <f>_xll.IMDP("STK",표.실시간[[#This Row],[nxt_code]],"등락률")</f>
        <v>1.0900000000000001</v>
      </c>
      <c r="L407" s="4">
        <f>_xll.IMDP("STK",표.실시간[[#This Row],[nxt_code]],"누적거래량")</f>
        <v>16838</v>
      </c>
      <c r="M407" s="4">
        <f>_xll.IMDP("STK",표.실시간[[#This Row],[nxt_code]],"누적거래대금")</f>
        <v>465066550</v>
      </c>
      <c r="N407" s="4">
        <f>_xll.IMDP("STK",표.실시간[[#This Row],[nxt_code]],"가중평균가")</f>
        <v>27620.058796000001</v>
      </c>
      <c r="O407" s="4">
        <f>_xll.IMDP("STK",표.실시간[[#This Row],[nxt_code]],"시가")</f>
        <v>27450</v>
      </c>
      <c r="P407" s="4">
        <f>_xll.IMDP("STK",표.실시간[[#This Row],[nxt_code]],"고가")</f>
        <v>27850</v>
      </c>
      <c r="Q407" s="4">
        <f>_xll.IMDP("STK",표.실시간[[#This Row],[nxt_code]],"저가")</f>
        <v>27350</v>
      </c>
      <c r="R407">
        <f>_xll.IMDP("STK",표.실시간[[#This Row],[nxt_code]],"세션명")</f>
        <v>0</v>
      </c>
      <c r="S407">
        <f>_xll.IMDP("STK",표.실시간[[#This Row],[nxt_code]],"체결시간")</f>
        <v>0</v>
      </c>
      <c r="T407" s="4">
        <f>_xll.IMDP("STK","001060","현재가")</f>
        <v>27700</v>
      </c>
      <c r="U407">
        <f>_xll.IMDP("STK","001060","누적거래량")</f>
        <v>1747</v>
      </c>
    </row>
    <row r="408" spans="3:21" x14ac:dyDescent="0.3">
      <c r="C408">
        <v>403</v>
      </c>
      <c r="D408">
        <v>19170</v>
      </c>
      <c r="E408" t="s">
        <v>420</v>
      </c>
      <c r="F408" t="str">
        <f>ConvertStockCode(표.실시간[[#This Row],[코드]])</f>
        <v>N019170</v>
      </c>
      <c r="G408" s="4">
        <f>_xll.IMDP("STK",표.실시간[[#This Row],[nxt_code]],"현재가")</f>
        <v>12330</v>
      </c>
      <c r="H408" s="4">
        <f>_xll.IMDP("STK",표.실시간[[#This Row],[nxt_code]],"시가총액")/10^12</f>
        <v>0.65330492669999995</v>
      </c>
      <c r="I408" t="str">
        <f>_xll.IMDP("","","전일대비부호")</f>
        <v>코드오류</v>
      </c>
      <c r="J408" s="5">
        <f>_xll.IMDP("STK",표.실시간[[#This Row],[nxt_code]],"전일대비")</f>
        <v>0</v>
      </c>
      <c r="K408">
        <f>_xll.IMDP("STK",표.실시간[[#This Row],[nxt_code]],"등락률")</f>
        <v>0</v>
      </c>
      <c r="L408" s="4">
        <f>_xll.IMDP("STK",표.실시간[[#This Row],[nxt_code]],"누적거래량")</f>
        <v>8566</v>
      </c>
      <c r="M408" s="4">
        <f>_xll.IMDP("STK",표.실시간[[#This Row],[nxt_code]],"누적거래대금")</f>
        <v>105356380</v>
      </c>
      <c r="N408" s="4">
        <f>_xll.IMDP("STK",표.실시간[[#This Row],[nxt_code]],"가중평균가")</f>
        <v>12292.192276</v>
      </c>
      <c r="O408" s="4">
        <f>_xll.IMDP("STK",표.실시간[[#This Row],[nxt_code]],"시가")</f>
        <v>12430</v>
      </c>
      <c r="P408" s="4">
        <f>_xll.IMDP("STK",표.실시간[[#This Row],[nxt_code]],"고가")</f>
        <v>12430</v>
      </c>
      <c r="Q408" s="4">
        <f>_xll.IMDP("STK",표.실시간[[#This Row],[nxt_code]],"저가")</f>
        <v>12250</v>
      </c>
      <c r="R408">
        <f>_xll.IMDP("STK",표.실시간[[#This Row],[nxt_code]],"세션명")</f>
        <v>0</v>
      </c>
      <c r="S408">
        <f>_xll.IMDP("STK",표.실시간[[#This Row],[nxt_code]],"체결시간")</f>
        <v>0</v>
      </c>
      <c r="T408" s="4">
        <f>_xll.IMDP("STK","019170","현재가")</f>
        <v>12340</v>
      </c>
      <c r="U408">
        <f>_xll.IMDP("STK","019170","누적거래량")</f>
        <v>3896</v>
      </c>
    </row>
    <row r="409" spans="3:21" x14ac:dyDescent="0.3">
      <c r="C409">
        <v>404</v>
      </c>
      <c r="D409">
        <v>456040</v>
      </c>
      <c r="E409" t="s">
        <v>421</v>
      </c>
      <c r="F409" t="str">
        <f>ConvertStockCode(표.실시간[[#This Row],[코드]])</f>
        <v>N456040</v>
      </c>
      <c r="G409" s="4">
        <f>_xll.IMDP("STK",표.실시간[[#This Row],[nxt_code]],"현재가")</f>
        <v>72100</v>
      </c>
      <c r="H409" s="4">
        <f>_xll.IMDP("STK",표.실시간[[#This Row],[nxt_code]],"시가총액")/10^12</f>
        <v>0.64547488949999998</v>
      </c>
      <c r="I409" t="str">
        <f>_xll.IMDP("","","전일대비부호")</f>
        <v>코드오류</v>
      </c>
      <c r="J409" s="5">
        <f>_xll.IMDP("STK",표.실시간[[#This Row],[nxt_code]],"전일대비")</f>
        <v>1200</v>
      </c>
      <c r="K409">
        <f>_xll.IMDP("STK",표.실시간[[#This Row],[nxt_code]],"등락률")</f>
        <v>1.69</v>
      </c>
      <c r="L409" s="4">
        <f>_xll.IMDP("STK",표.실시간[[#This Row],[nxt_code]],"누적거래량")</f>
        <v>6927</v>
      </c>
      <c r="M409" s="4">
        <f>_xll.IMDP("STK",표.실시간[[#This Row],[nxt_code]],"누적거래대금")</f>
        <v>495265100</v>
      </c>
      <c r="N409" s="4">
        <f>_xll.IMDP("STK",표.실시간[[#This Row],[nxt_code]],"가중평균가")</f>
        <v>71497.776815000005</v>
      </c>
      <c r="O409" s="4">
        <f>_xll.IMDP("STK",표.실시간[[#This Row],[nxt_code]],"시가")</f>
        <v>71300</v>
      </c>
      <c r="P409" s="4">
        <f>_xll.IMDP("STK",표.실시간[[#This Row],[nxt_code]],"고가")</f>
        <v>72400</v>
      </c>
      <c r="Q409" s="4">
        <f>_xll.IMDP("STK",표.실시간[[#This Row],[nxt_code]],"저가")</f>
        <v>71100</v>
      </c>
      <c r="R409">
        <f>_xll.IMDP("STK",표.실시간[[#This Row],[nxt_code]],"세션명")</f>
        <v>0</v>
      </c>
      <c r="S409">
        <f>_xll.IMDP("STK",표.실시간[[#This Row],[nxt_code]],"체결시간")</f>
        <v>0</v>
      </c>
      <c r="T409" s="4">
        <f>_xll.IMDP("STK","456040","현재가")</f>
        <v>71700</v>
      </c>
      <c r="U409">
        <f>_xll.IMDP("STK","456040","누적거래량")</f>
        <v>1007</v>
      </c>
    </row>
    <row r="410" spans="3:21" x14ac:dyDescent="0.3">
      <c r="C410">
        <v>405</v>
      </c>
      <c r="D410">
        <v>57050</v>
      </c>
      <c r="E410" t="s">
        <v>422</v>
      </c>
      <c r="F410" t="str">
        <f>ConvertStockCode(표.실시간[[#This Row],[코드]])</f>
        <v>N057050</v>
      </c>
      <c r="G410" s="4">
        <f>_xll.IMDP("STK",표.실시간[[#This Row],[nxt_code]],"현재가")</f>
        <v>53800</v>
      </c>
      <c r="H410" s="4">
        <f>_xll.IMDP("STK",표.실시간[[#This Row],[nxt_code]],"시가총액")/10^12</f>
        <v>0.64559999999999995</v>
      </c>
      <c r="I410" t="str">
        <f>_xll.IMDP("","","전일대비부호")</f>
        <v>코드오류</v>
      </c>
      <c r="J410" s="5">
        <f>_xll.IMDP("STK",표.실시간[[#This Row],[nxt_code]],"전일대비")</f>
        <v>-100</v>
      </c>
      <c r="K410">
        <f>_xll.IMDP("STK",표.실시간[[#This Row],[nxt_code]],"등락률")</f>
        <v>-0.19</v>
      </c>
      <c r="L410" s="4">
        <f>_xll.IMDP("STK",표.실시간[[#This Row],[nxt_code]],"누적거래량")</f>
        <v>164</v>
      </c>
      <c r="M410" s="4">
        <f>_xll.IMDP("STK",표.실시간[[#This Row],[nxt_code]],"누적거래대금")</f>
        <v>8828800</v>
      </c>
      <c r="N410" s="4">
        <f>_xll.IMDP("STK",표.실시간[[#This Row],[nxt_code]],"가중평균가")</f>
        <v>53834.146341</v>
      </c>
      <c r="O410" s="4">
        <f>_xll.IMDP("STK",표.실시간[[#This Row],[nxt_code]],"시가")</f>
        <v>53900</v>
      </c>
      <c r="P410" s="4">
        <f>_xll.IMDP("STK",표.실시간[[#This Row],[nxt_code]],"고가")</f>
        <v>54000</v>
      </c>
      <c r="Q410" s="4">
        <f>_xll.IMDP("STK",표.실시간[[#This Row],[nxt_code]],"저가")</f>
        <v>53800</v>
      </c>
      <c r="R410">
        <f>_xll.IMDP("STK",표.실시간[[#This Row],[nxt_code]],"세션명")</f>
        <v>0</v>
      </c>
      <c r="S410">
        <f>_xll.IMDP("STK",표.실시간[[#This Row],[nxt_code]],"체결시간")</f>
        <v>0</v>
      </c>
      <c r="T410" s="4">
        <f>_xll.IMDP("STK","057050","현재가")</f>
        <v>54000</v>
      </c>
      <c r="U410">
        <f>_xll.IMDP("STK","057050","누적거래량")</f>
        <v>30</v>
      </c>
    </row>
    <row r="411" spans="3:21" x14ac:dyDescent="0.3">
      <c r="C411">
        <v>406</v>
      </c>
      <c r="D411">
        <v>117730</v>
      </c>
      <c r="E411" t="s">
        <v>423</v>
      </c>
      <c r="F411" t="str">
        <f>ConvertStockCode(표.실시간[[#This Row],[코드]])</f>
        <v>N117730</v>
      </c>
      <c r="G411" s="4">
        <f>_xll.IMDP("STK",표.실시간[[#This Row],[nxt_code]],"현재가")</f>
        <v>26050</v>
      </c>
      <c r="H411" s="4">
        <f>_xll.IMDP("STK",표.실시간[[#This Row],[nxt_code]],"시가총액")/10^12</f>
        <v>0.57530320479999997</v>
      </c>
      <c r="I411" t="str">
        <f>_xll.IMDP("","","전일대비부호")</f>
        <v>코드오류</v>
      </c>
      <c r="J411" s="5">
        <f>_xll.IMDP("STK",표.실시간[[#This Row],[nxt_code]],"전일대비")</f>
        <v>-600</v>
      </c>
      <c r="K411">
        <f>_xll.IMDP("STK",표.실시간[[#This Row],[nxt_code]],"등락률")</f>
        <v>-2.25</v>
      </c>
      <c r="L411" s="4">
        <f>_xll.IMDP("STK",표.실시간[[#This Row],[nxt_code]],"누적거래량")</f>
        <v>357229</v>
      </c>
      <c r="M411" s="4">
        <f>_xll.IMDP("STK",표.실시간[[#This Row],[nxt_code]],"누적거래대금")</f>
        <v>9311777350</v>
      </c>
      <c r="N411" s="4">
        <f>_xll.IMDP("STK",표.실시간[[#This Row],[nxt_code]],"가중평균가")</f>
        <v>26066.689295</v>
      </c>
      <c r="O411" s="4">
        <f>_xll.IMDP("STK",표.실시간[[#This Row],[nxt_code]],"시가")</f>
        <v>27150</v>
      </c>
      <c r="P411" s="4">
        <f>_xll.IMDP("STK",표.실시간[[#This Row],[nxt_code]],"고가")</f>
        <v>27550</v>
      </c>
      <c r="Q411" s="4">
        <f>_xll.IMDP("STK",표.실시간[[#This Row],[nxt_code]],"저가")</f>
        <v>25150</v>
      </c>
      <c r="R411">
        <f>_xll.IMDP("STK",표.실시간[[#This Row],[nxt_code]],"세션명")</f>
        <v>0</v>
      </c>
      <c r="S411">
        <f>_xll.IMDP("STK",표.실시간[[#This Row],[nxt_code]],"체결시간")</f>
        <v>0</v>
      </c>
      <c r="T411" s="4">
        <f>_xll.IMDP("STK","117730","현재가")</f>
        <v>26100</v>
      </c>
      <c r="U411">
        <f>_xll.IMDP("STK","117730","누적거래량")</f>
        <v>79514</v>
      </c>
    </row>
    <row r="412" spans="3:21" x14ac:dyDescent="0.3">
      <c r="C412">
        <v>407</v>
      </c>
      <c r="D412">
        <v>1270</v>
      </c>
      <c r="E412" t="s">
        <v>424</v>
      </c>
      <c r="F412" t="str">
        <f>ConvertStockCode(표.실시간[[#This Row],[코드]])</f>
        <v>N001270</v>
      </c>
      <c r="G412" s="4">
        <f>_xll.IMDP("STK",표.실시간[[#This Row],[nxt_code]],"현재가")</f>
        <v>66800</v>
      </c>
      <c r="H412" s="4">
        <f>_xll.IMDP("STK",표.실시간[[#This Row],[nxt_code]],"시가총액")/10^12</f>
        <v>0.69270838479999997</v>
      </c>
      <c r="I412" t="str">
        <f>_xll.IMDP("","","전일대비부호")</f>
        <v>코드오류</v>
      </c>
      <c r="J412" s="5">
        <f>_xll.IMDP("STK",표.실시간[[#This Row],[nxt_code]],"전일대비")</f>
        <v>6900</v>
      </c>
      <c r="K412">
        <f>_xll.IMDP("STK",표.실시간[[#This Row],[nxt_code]],"등락률")</f>
        <v>11.52</v>
      </c>
      <c r="L412" s="4">
        <f>_xll.IMDP("STK",표.실시간[[#This Row],[nxt_code]],"누적거래량")</f>
        <v>13799</v>
      </c>
      <c r="M412" s="4">
        <f>_xll.IMDP("STK",표.실시간[[#This Row],[nxt_code]],"누적거래대금")</f>
        <v>877750300</v>
      </c>
      <c r="N412" s="4">
        <f>_xll.IMDP("STK",표.실시간[[#This Row],[nxt_code]],"가중평균가")</f>
        <v>63605.536608000002</v>
      </c>
      <c r="O412" s="4">
        <f>_xll.IMDP("STK",표.실시간[[#This Row],[nxt_code]],"시가")</f>
        <v>60900</v>
      </c>
      <c r="P412" s="4">
        <f>_xll.IMDP("STK",표.실시간[[#This Row],[nxt_code]],"고가")</f>
        <v>67000</v>
      </c>
      <c r="Q412" s="4">
        <f>_xll.IMDP("STK",표.실시간[[#This Row],[nxt_code]],"저가")</f>
        <v>60900</v>
      </c>
      <c r="R412">
        <f>_xll.IMDP("STK",표.실시간[[#This Row],[nxt_code]],"세션명")</f>
        <v>0</v>
      </c>
      <c r="S412">
        <f>_xll.IMDP("STK",표.실시간[[#This Row],[nxt_code]],"체결시간")</f>
        <v>0</v>
      </c>
      <c r="T412" s="4">
        <f>_xll.IMDP("STK","001270","현재가")</f>
        <v>68000</v>
      </c>
      <c r="U412">
        <f>_xll.IMDP("STK","001270","누적거래량")</f>
        <v>677</v>
      </c>
    </row>
    <row r="413" spans="3:21" x14ac:dyDescent="0.3">
      <c r="C413">
        <v>408</v>
      </c>
      <c r="D413">
        <v>32500</v>
      </c>
      <c r="E413" t="s">
        <v>425</v>
      </c>
      <c r="F413" t="str">
        <f>ConvertStockCode(표.실시간[[#This Row],[코드]])</f>
        <v>N032500</v>
      </c>
      <c r="G413" s="4">
        <f>_xll.IMDP("STK",표.실시간[[#This Row],[nxt_code]],"현재가")</f>
        <v>15430</v>
      </c>
      <c r="H413" s="4">
        <f>_xll.IMDP("STK",표.실시간[[#This Row],[nxt_code]],"시가총액")/10^12</f>
        <v>0.63155158187000004</v>
      </c>
      <c r="I413" t="str">
        <f>_xll.IMDP("","","전일대비부호")</f>
        <v>코드오류</v>
      </c>
      <c r="J413" s="5">
        <f>_xll.IMDP("STK",표.실시간[[#This Row],[nxt_code]],"전일대비")</f>
        <v>20</v>
      </c>
      <c r="K413">
        <f>_xll.IMDP("STK",표.실시간[[#This Row],[nxt_code]],"등락률")</f>
        <v>0.06</v>
      </c>
      <c r="L413" s="4">
        <f>_xll.IMDP("STK",표.실시간[[#This Row],[nxt_code]],"누적거래량")</f>
        <v>18018</v>
      </c>
      <c r="M413" s="4">
        <f>_xll.IMDP("STK",표.실시간[[#This Row],[nxt_code]],"누적거래대금")</f>
        <v>280625050</v>
      </c>
      <c r="N413" s="4">
        <f>_xll.IMDP("STK",표.실시간[[#This Row],[nxt_code]],"가중평균가")</f>
        <v>15564.339989</v>
      </c>
      <c r="O413" s="4">
        <f>_xll.IMDP("STK",표.실시간[[#This Row],[nxt_code]],"시가")</f>
        <v>15730</v>
      </c>
      <c r="P413" s="4">
        <f>_xll.IMDP("STK",표.실시간[[#This Row],[nxt_code]],"고가")</f>
        <v>15730</v>
      </c>
      <c r="Q413" s="4">
        <f>_xll.IMDP("STK",표.실시간[[#This Row],[nxt_code]],"저가")</f>
        <v>15430</v>
      </c>
      <c r="R413">
        <f>_xll.IMDP("STK",표.실시간[[#This Row],[nxt_code]],"세션명")</f>
        <v>0</v>
      </c>
      <c r="S413">
        <f>_xll.IMDP("STK",표.실시간[[#This Row],[nxt_code]],"체결시간")</f>
        <v>0</v>
      </c>
      <c r="T413" s="4">
        <f>_xll.IMDP("STK","032500","현재가")</f>
        <v>15480</v>
      </c>
      <c r="U413">
        <f>_xll.IMDP("STK","032500","누적거래량")</f>
        <v>14297</v>
      </c>
    </row>
    <row r="414" spans="3:21" x14ac:dyDescent="0.3">
      <c r="C414">
        <v>409</v>
      </c>
      <c r="D414">
        <v>214430</v>
      </c>
      <c r="E414" t="s">
        <v>426</v>
      </c>
      <c r="F414" t="str">
        <f>ConvertStockCode(표.실시간[[#This Row],[코드]])</f>
        <v>N214430</v>
      </c>
      <c r="G414" s="4">
        <f>_xll.IMDP("STK",표.실시간[[#This Row],[nxt_code]],"현재가")</f>
        <v>85900</v>
      </c>
      <c r="H414" s="4">
        <f>_xll.IMDP("STK",표.실시간[[#This Row],[nxt_code]],"시가총액")/10^12</f>
        <v>0.62768976850000002</v>
      </c>
      <c r="I414" t="str">
        <f>_xll.IMDP("","","전일대비부호")</f>
        <v>코드오류</v>
      </c>
      <c r="J414" s="5">
        <f>_xll.IMDP("STK",표.실시간[[#This Row],[nxt_code]],"전일대비")</f>
        <v>200</v>
      </c>
      <c r="K414">
        <f>_xll.IMDP("STK",표.실시간[[#This Row],[nxt_code]],"등락률")</f>
        <v>-1.83</v>
      </c>
      <c r="L414" s="4">
        <f>_xll.IMDP("STK",표.실시간[[#This Row],[nxt_code]],"누적거래량")</f>
        <v>4877</v>
      </c>
      <c r="M414" s="4">
        <f>_xll.IMDP("STK",표.실시간[[#This Row],[nxt_code]],"누적거래대금")</f>
        <v>426869200</v>
      </c>
      <c r="N414" s="4">
        <f>_xll.IMDP("STK",표.실시간[[#This Row],[nxt_code]],"가중평균가")</f>
        <v>87527.004306000003</v>
      </c>
      <c r="O414" s="4">
        <f>_xll.IMDP("STK",표.실시간[[#This Row],[nxt_code]],"시가")</f>
        <v>87200</v>
      </c>
      <c r="P414" s="4">
        <f>_xll.IMDP("STK",표.실시간[[#This Row],[nxt_code]],"고가")</f>
        <v>88200</v>
      </c>
      <c r="Q414" s="4">
        <f>_xll.IMDP("STK",표.실시간[[#This Row],[nxt_code]],"저가")</f>
        <v>85800</v>
      </c>
      <c r="R414">
        <f>_xll.IMDP("STK",표.실시간[[#This Row],[nxt_code]],"세션명")</f>
        <v>0</v>
      </c>
      <c r="S414">
        <f>_xll.IMDP("STK",표.실시간[[#This Row],[nxt_code]],"체결시간")</f>
        <v>0</v>
      </c>
      <c r="T414" s="4">
        <f>_xll.IMDP("STK","214430","현재가")</f>
        <v>85900</v>
      </c>
      <c r="U414">
        <f>_xll.IMDP("STK","214430","누적거래량")</f>
        <v>681</v>
      </c>
    </row>
    <row r="415" spans="3:21" x14ac:dyDescent="0.3">
      <c r="C415">
        <v>410</v>
      </c>
      <c r="D415">
        <v>455900</v>
      </c>
      <c r="E415" t="s">
        <v>427</v>
      </c>
      <c r="F415" t="str">
        <f>ConvertStockCode(표.실시간[[#This Row],[코드]])</f>
        <v>N455900</v>
      </c>
      <c r="G415" s="4">
        <f>_xll.IMDP("STK",표.실시간[[#This Row],[nxt_code]],"현재가")</f>
        <v>38750</v>
      </c>
      <c r="H415" s="4">
        <f>_xll.IMDP("STK",표.실시간[[#This Row],[nxt_code]],"시가총액")/10^12</f>
        <v>0.58969955375000005</v>
      </c>
      <c r="I415" t="str">
        <f>_xll.IMDP("","","전일대비부호")</f>
        <v>코드오류</v>
      </c>
      <c r="J415" s="5">
        <f>_xll.IMDP("STK",표.실시간[[#This Row],[nxt_code]],"전일대비")</f>
        <v>100</v>
      </c>
      <c r="K415">
        <f>_xll.IMDP("STK",표.실시간[[#This Row],[nxt_code]],"등락률")</f>
        <v>0.13</v>
      </c>
      <c r="L415" s="4">
        <f>_xll.IMDP("STK",표.실시간[[#This Row],[nxt_code]],"누적거래량")</f>
        <v>291269</v>
      </c>
      <c r="M415" s="4">
        <f>_xll.IMDP("STK",표.실시간[[#This Row],[nxt_code]],"누적거래대금")</f>
        <v>11568543300</v>
      </c>
      <c r="N415" s="4">
        <f>_xll.IMDP("STK",표.실시간[[#This Row],[nxt_code]],"가중평균가")</f>
        <v>39717.729315999997</v>
      </c>
      <c r="O415" s="4">
        <f>_xll.IMDP("STK",표.실시간[[#This Row],[nxt_code]],"시가")</f>
        <v>39450</v>
      </c>
      <c r="P415" s="4">
        <f>_xll.IMDP("STK",표.실시간[[#This Row],[nxt_code]],"고가")</f>
        <v>40800</v>
      </c>
      <c r="Q415" s="4">
        <f>_xll.IMDP("STK",표.실시간[[#This Row],[nxt_code]],"저가")</f>
        <v>38400</v>
      </c>
      <c r="R415">
        <f>_xll.IMDP("STK",표.실시간[[#This Row],[nxt_code]],"세션명")</f>
        <v>0</v>
      </c>
      <c r="S415">
        <f>_xll.IMDP("STK",표.실시간[[#This Row],[nxt_code]],"체결시간")</f>
        <v>0</v>
      </c>
      <c r="T415" s="4">
        <f>_xll.IMDP("STK","455900","현재가")</f>
        <v>38750</v>
      </c>
      <c r="U415">
        <f>_xll.IMDP("STK","455900","누적거래량")</f>
        <v>26247</v>
      </c>
    </row>
    <row r="416" spans="3:21" x14ac:dyDescent="0.3">
      <c r="C416">
        <v>411</v>
      </c>
      <c r="D416">
        <v>121600</v>
      </c>
      <c r="E416" t="s">
        <v>428</v>
      </c>
      <c r="F416" t="str">
        <f>ConvertStockCode(표.실시간[[#This Row],[코드]])</f>
        <v>N121600</v>
      </c>
      <c r="G416" s="4">
        <f>_xll.IMDP("STK",표.실시간[[#This Row],[nxt_code]],"현재가")</f>
        <v>58100</v>
      </c>
      <c r="H416" s="4">
        <f>_xll.IMDP("STK",표.실시간[[#This Row],[nxt_code]],"시가총액")/10^12</f>
        <v>0.70947019710000003</v>
      </c>
      <c r="I416" t="str">
        <f>_xll.IMDP("","","전일대비부호")</f>
        <v>코드오류</v>
      </c>
      <c r="J416" s="5">
        <f>_xll.IMDP("STK",표.실시간[[#This Row],[nxt_code]],"전일대비")</f>
        <v>2500</v>
      </c>
      <c r="K416">
        <f>_xll.IMDP("STK",표.실시간[[#This Row],[nxt_code]],"등락률")</f>
        <v>4.5</v>
      </c>
      <c r="L416" s="4">
        <f>_xll.IMDP("STK",표.실시간[[#This Row],[nxt_code]],"누적거래량")</f>
        <v>128903</v>
      </c>
      <c r="M416" s="4">
        <f>_xll.IMDP("STK",표.실시간[[#This Row],[nxt_code]],"누적거래대금")</f>
        <v>7645606200</v>
      </c>
      <c r="N416" s="4">
        <f>_xll.IMDP("STK",표.실시간[[#This Row],[nxt_code]],"가중평균가")</f>
        <v>59312.864712000002</v>
      </c>
      <c r="O416" s="4">
        <f>_xll.IMDP("STK",표.실시간[[#This Row],[nxt_code]],"시가")</f>
        <v>56300</v>
      </c>
      <c r="P416" s="4">
        <f>_xll.IMDP("STK",표.실시간[[#This Row],[nxt_code]],"고가")</f>
        <v>60900</v>
      </c>
      <c r="Q416" s="4">
        <f>_xll.IMDP("STK",표.실시간[[#This Row],[nxt_code]],"저가")</f>
        <v>56300</v>
      </c>
      <c r="R416">
        <f>_xll.IMDP("STK",표.실시간[[#This Row],[nxt_code]],"세션명")</f>
        <v>0</v>
      </c>
      <c r="S416">
        <f>_xll.IMDP("STK",표.실시간[[#This Row],[nxt_code]],"체결시간")</f>
        <v>0</v>
      </c>
      <c r="T416" s="4">
        <f>_xll.IMDP("STK","121600","현재가")</f>
        <v>57900</v>
      </c>
      <c r="U416">
        <f>_xll.IMDP("STK","121600","누적거래량")</f>
        <v>27431</v>
      </c>
    </row>
    <row r="417" spans="3:21" x14ac:dyDescent="0.3">
      <c r="C417">
        <v>412</v>
      </c>
      <c r="D417">
        <v>383800</v>
      </c>
      <c r="E417" t="s">
        <v>429</v>
      </c>
      <c r="F417" t="str">
        <f>ConvertStockCode(표.실시간[[#This Row],[코드]])</f>
        <v>N383800</v>
      </c>
      <c r="G417" s="4">
        <f>_xll.IMDP("STK",표.실시간[[#This Row],[nxt_code]],"현재가")</f>
        <v>8240</v>
      </c>
      <c r="H417" s="4">
        <f>_xll.IMDP("STK",표.실시간[[#This Row],[nxt_code]],"시가총액")/10^12</f>
        <v>0.6285528856</v>
      </c>
      <c r="I417" t="str">
        <f>_xll.IMDP("","","전일대비부호")</f>
        <v>코드오류</v>
      </c>
      <c r="J417" s="5">
        <f>_xll.IMDP("STK",표.실시간[[#This Row],[nxt_code]],"전일대비")</f>
        <v>120</v>
      </c>
      <c r="K417">
        <f>_xll.IMDP("STK",표.실시간[[#This Row],[nxt_code]],"등락률")</f>
        <v>1.48</v>
      </c>
      <c r="L417" s="4">
        <f>_xll.IMDP("STK",표.실시간[[#This Row],[nxt_code]],"누적거래량")</f>
        <v>16869</v>
      </c>
      <c r="M417" s="4">
        <f>_xll.IMDP("STK",표.실시간[[#This Row],[nxt_code]],"누적거래대금")</f>
        <v>138709030</v>
      </c>
      <c r="N417" s="4">
        <f>_xll.IMDP("STK",표.실시간[[#This Row],[nxt_code]],"가중평균가")</f>
        <v>8222.718003</v>
      </c>
      <c r="O417" s="4">
        <f>_xll.IMDP("STK",표.실시간[[#This Row],[nxt_code]],"시가")</f>
        <v>8180</v>
      </c>
      <c r="P417" s="4">
        <f>_xll.IMDP("STK",표.실시간[[#This Row],[nxt_code]],"고가")</f>
        <v>8240</v>
      </c>
      <c r="Q417" s="4">
        <f>_xll.IMDP("STK",표.실시간[[#This Row],[nxt_code]],"저가")</f>
        <v>8170</v>
      </c>
      <c r="R417">
        <f>_xll.IMDP("STK",표.실시간[[#This Row],[nxt_code]],"세션명")</f>
        <v>0</v>
      </c>
      <c r="S417">
        <f>_xll.IMDP("STK",표.실시간[[#This Row],[nxt_code]],"체결시간")</f>
        <v>0</v>
      </c>
      <c r="T417" s="4">
        <f>_xll.IMDP("STK","383800","현재가")</f>
        <v>8230</v>
      </c>
      <c r="U417">
        <f>_xll.IMDP("STK","383800","누적거래량")</f>
        <v>6405</v>
      </c>
    </row>
    <row r="418" spans="3:21" x14ac:dyDescent="0.3">
      <c r="C418">
        <v>413</v>
      </c>
      <c r="D418">
        <v>52400</v>
      </c>
      <c r="E418" t="s">
        <v>430</v>
      </c>
      <c r="F418" t="str">
        <f>ConvertStockCode(표.실시간[[#This Row],[코드]])</f>
        <v>N052400</v>
      </c>
      <c r="G418" s="4">
        <f>_xll.IMDP("STK",표.실시간[[#This Row],[nxt_code]],"현재가")</f>
        <v>42800</v>
      </c>
      <c r="H418" s="4">
        <f>_xll.IMDP("STK",표.실시간[[#This Row],[nxt_code]],"시가총액")/10^12</f>
        <v>0.62330885479999998</v>
      </c>
      <c r="I418" t="str">
        <f>_xll.IMDP("","","전일대비부호")</f>
        <v>코드오류</v>
      </c>
      <c r="J418" s="5">
        <f>_xll.IMDP("STK",표.실시간[[#This Row],[nxt_code]],"전일대비")</f>
        <v>200</v>
      </c>
      <c r="K418">
        <f>_xll.IMDP("STK",표.실시간[[#This Row],[nxt_code]],"등락률")</f>
        <v>0.94</v>
      </c>
      <c r="L418" s="4">
        <f>_xll.IMDP("STK",표.실시간[[#This Row],[nxt_code]],"누적거래량")</f>
        <v>5622</v>
      </c>
      <c r="M418" s="4">
        <f>_xll.IMDP("STK",표.실시간[[#This Row],[nxt_code]],"누적거래대금")</f>
        <v>238426700</v>
      </c>
      <c r="N418" s="4">
        <f>_xll.IMDP("STK",표.실시간[[#This Row],[nxt_code]],"가중평균가")</f>
        <v>42409.587334999997</v>
      </c>
      <c r="O418" s="4">
        <f>_xll.IMDP("STK",표.실시간[[#This Row],[nxt_code]],"시가")</f>
        <v>42400</v>
      </c>
      <c r="P418" s="4">
        <f>_xll.IMDP("STK",표.실시간[[#This Row],[nxt_code]],"고가")</f>
        <v>42800</v>
      </c>
      <c r="Q418" s="4">
        <f>_xll.IMDP("STK",표.실시간[[#This Row],[nxt_code]],"저가")</f>
        <v>42250</v>
      </c>
      <c r="R418">
        <f>_xll.IMDP("STK",표.실시간[[#This Row],[nxt_code]],"세션명")</f>
        <v>0</v>
      </c>
      <c r="S418">
        <f>_xll.IMDP("STK",표.실시간[[#This Row],[nxt_code]],"체결시간")</f>
        <v>0</v>
      </c>
      <c r="T418" s="4">
        <f>_xll.IMDP("STK","052400","현재가")</f>
        <v>42800</v>
      </c>
      <c r="U418">
        <f>_xll.IMDP("STK","052400","누적거래량")</f>
        <v>3616</v>
      </c>
    </row>
    <row r="419" spans="3:21" x14ac:dyDescent="0.3">
      <c r="C419">
        <v>414</v>
      </c>
      <c r="D419">
        <v>365340</v>
      </c>
      <c r="E419" t="s">
        <v>431</v>
      </c>
      <c r="F419" t="str">
        <f>ConvertStockCode(표.실시간[[#This Row],[코드]])</f>
        <v>N365340</v>
      </c>
      <c r="G419" s="4">
        <f>_xll.IMDP("STK",표.실시간[[#This Row],[nxt_code]],"현재가")</f>
        <v>55200</v>
      </c>
      <c r="H419" s="4">
        <f>_xll.IMDP("STK",표.실시간[[#This Row],[nxt_code]],"시가총액")/10^12</f>
        <v>0.67539661920000005</v>
      </c>
      <c r="I419" t="str">
        <f>_xll.IMDP("","","전일대비부호")</f>
        <v>코드오류</v>
      </c>
      <c r="J419" s="5">
        <f>_xll.IMDP("STK",표.실시간[[#This Row],[nxt_code]],"전일대비")</f>
        <v>-1800</v>
      </c>
      <c r="K419">
        <f>_xll.IMDP("STK",표.실시간[[#This Row],[nxt_code]],"등락률")</f>
        <v>-3.16</v>
      </c>
      <c r="L419" s="4">
        <f>_xll.IMDP("STK",표.실시간[[#This Row],[nxt_code]],"누적거래량")</f>
        <v>47502</v>
      </c>
      <c r="M419" s="4">
        <f>_xll.IMDP("STK",표.실시간[[#This Row],[nxt_code]],"누적거래대금")</f>
        <v>2675088500</v>
      </c>
      <c r="N419" s="4">
        <f>_xll.IMDP("STK",표.실시간[[#This Row],[nxt_code]],"가중평균가")</f>
        <v>56315.281461999999</v>
      </c>
      <c r="O419" s="4">
        <f>_xll.IMDP("STK",표.실시간[[#This Row],[nxt_code]],"시가")</f>
        <v>57300</v>
      </c>
      <c r="P419" s="4">
        <f>_xll.IMDP("STK",표.실시간[[#This Row],[nxt_code]],"고가")</f>
        <v>58200</v>
      </c>
      <c r="Q419" s="4">
        <f>_xll.IMDP("STK",표.실시간[[#This Row],[nxt_code]],"저가")</f>
        <v>55300</v>
      </c>
      <c r="R419">
        <f>_xll.IMDP("STK",표.실시간[[#This Row],[nxt_code]],"세션명")</f>
        <v>0</v>
      </c>
      <c r="S419">
        <f>_xll.IMDP("STK",표.실시간[[#This Row],[nxt_code]],"체결시간")</f>
        <v>0</v>
      </c>
      <c r="T419" s="4">
        <f>_xll.IMDP("STK","365340","현재가")</f>
        <v>55100</v>
      </c>
      <c r="U419">
        <f>_xll.IMDP("STK","365340","누적거래량")</f>
        <v>9127</v>
      </c>
    </row>
    <row r="420" spans="3:21" x14ac:dyDescent="0.3">
      <c r="C420">
        <v>415</v>
      </c>
      <c r="D420">
        <v>322000</v>
      </c>
      <c r="E420" t="s">
        <v>432</v>
      </c>
      <c r="F420" t="str">
        <f>ConvertStockCode(표.실시간[[#This Row],[코드]])</f>
        <v>N322000</v>
      </c>
      <c r="G420" s="4">
        <f>_xll.IMDP("STK",표.실시간[[#This Row],[nxt_code]],"현재가")</f>
        <v>59200</v>
      </c>
      <c r="H420" s="4">
        <f>_xll.IMDP("STK",표.실시간[[#This Row],[nxt_code]],"시가총액")/10^12</f>
        <v>0.66303999999999996</v>
      </c>
      <c r="I420" t="str">
        <f>_xll.IMDP("","","전일대비부호")</f>
        <v>코드오류</v>
      </c>
      <c r="J420" s="5">
        <f>_xll.IMDP("STK",표.실시간[[#This Row],[nxt_code]],"전일대비")</f>
        <v>4500</v>
      </c>
      <c r="K420">
        <f>_xll.IMDP("STK",표.실시간[[#This Row],[nxt_code]],"등락률")</f>
        <v>8.23</v>
      </c>
      <c r="L420" s="4">
        <f>_xll.IMDP("STK",표.실시간[[#This Row],[nxt_code]],"누적거래량")</f>
        <v>58430</v>
      </c>
      <c r="M420" s="4">
        <f>_xll.IMDP("STK",표.실시간[[#This Row],[nxt_code]],"누적거래대금")</f>
        <v>3335219550</v>
      </c>
      <c r="N420" s="4">
        <f>_xll.IMDP("STK",표.실시간[[#This Row],[nxt_code]],"가중평균가")</f>
        <v>57080.601575000001</v>
      </c>
      <c r="O420" s="4">
        <f>_xll.IMDP("STK",표.실시간[[#This Row],[nxt_code]],"시가")</f>
        <v>56000</v>
      </c>
      <c r="P420" s="4">
        <f>_xll.IMDP("STK",표.실시간[[#This Row],[nxt_code]],"고가")</f>
        <v>59500</v>
      </c>
      <c r="Q420" s="4">
        <f>_xll.IMDP("STK",표.실시간[[#This Row],[nxt_code]],"저가")</f>
        <v>55800</v>
      </c>
      <c r="R420">
        <f>_xll.IMDP("STK",표.실시간[[#This Row],[nxt_code]],"세션명")</f>
        <v>0</v>
      </c>
      <c r="S420">
        <f>_xll.IMDP("STK",표.실시간[[#This Row],[nxt_code]],"체결시간")</f>
        <v>0</v>
      </c>
      <c r="T420" s="4">
        <f>_xll.IMDP("STK","322000","현재가")</f>
        <v>59300</v>
      </c>
      <c r="U420">
        <f>_xll.IMDP("STK","322000","누적거래량")</f>
        <v>38416</v>
      </c>
    </row>
    <row r="421" spans="3:21" x14ac:dyDescent="0.3">
      <c r="C421">
        <v>416</v>
      </c>
      <c r="D421">
        <v>211050</v>
      </c>
      <c r="E421" t="s">
        <v>433</v>
      </c>
      <c r="F421" t="str">
        <f>ConvertStockCode(표.실시간[[#This Row],[코드]])</f>
        <v>N211050</v>
      </c>
      <c r="G421" s="4">
        <f>_xll.IMDP("STK",표.실시간[[#This Row],[nxt_code]],"현재가")</f>
        <v>13220</v>
      </c>
      <c r="H421" s="4">
        <f>_xll.IMDP("STK",표.실시간[[#This Row],[nxt_code]],"시가총액")/10^12</f>
        <v>0.65126554554000005</v>
      </c>
      <c r="I421" t="str">
        <f>_xll.IMDP("","","전일대비부호")</f>
        <v>코드오류</v>
      </c>
      <c r="J421" s="5">
        <f>_xll.IMDP("STK",표.실시간[[#This Row],[nxt_code]],"전일대비")</f>
        <v>10</v>
      </c>
      <c r="K421">
        <f>_xll.IMDP("STK",표.실시간[[#This Row],[nxt_code]],"등락률")</f>
        <v>0.08</v>
      </c>
      <c r="L421" s="4">
        <f>_xll.IMDP("STK",표.실시간[[#This Row],[nxt_code]],"누적거래량")</f>
        <v>1921</v>
      </c>
      <c r="M421" s="4">
        <f>_xll.IMDP("STK",표.실시간[[#This Row],[nxt_code]],"누적거래대금")</f>
        <v>25365370</v>
      </c>
      <c r="N421" s="4">
        <f>_xll.IMDP("STK",표.실시간[[#This Row],[nxt_code]],"가중평균가")</f>
        <v>13204.252993</v>
      </c>
      <c r="O421" s="4">
        <f>_xll.IMDP("STK",표.실시간[[#This Row],[nxt_code]],"시가")</f>
        <v>13210</v>
      </c>
      <c r="P421" s="4">
        <f>_xll.IMDP("STK",표.실시간[[#This Row],[nxt_code]],"고가")</f>
        <v>13220</v>
      </c>
      <c r="Q421" s="4">
        <f>_xll.IMDP("STK",표.실시간[[#This Row],[nxt_code]],"저가")</f>
        <v>13190</v>
      </c>
      <c r="R421">
        <f>_xll.IMDP("STK",표.실시간[[#This Row],[nxt_code]],"세션명")</f>
        <v>0</v>
      </c>
      <c r="S421">
        <f>_xll.IMDP("STK",표.실시간[[#This Row],[nxt_code]],"체결시간")</f>
        <v>0</v>
      </c>
      <c r="T421" s="4">
        <f>_xll.IMDP("STK","211050","현재가")</f>
        <v>13230</v>
      </c>
      <c r="U421">
        <f>_xll.IMDP("STK","211050","누적거래량")</f>
        <v>579</v>
      </c>
    </row>
    <row r="422" spans="3:21" x14ac:dyDescent="0.3">
      <c r="C422">
        <v>417</v>
      </c>
      <c r="D422">
        <v>478340</v>
      </c>
      <c r="E422" t="s">
        <v>434</v>
      </c>
      <c r="F422" t="str">
        <f>ConvertStockCode(표.실시간[[#This Row],[코드]])</f>
        <v>N478340</v>
      </c>
      <c r="G422" s="4">
        <f>_xll.IMDP("STK",표.실시간[[#This Row],[nxt_code]],"현재가")</f>
        <v>53800</v>
      </c>
      <c r="H422" s="4">
        <f>_xll.IMDP("STK",표.실시간[[#This Row],[nxt_code]],"시가총액")/10^12</f>
        <v>0.62050719580000002</v>
      </c>
      <c r="I422" t="str">
        <f>_xll.IMDP("","","전일대비부호")</f>
        <v>코드오류</v>
      </c>
      <c r="J422" s="5">
        <f>_xll.IMDP("STK",표.실시간[[#This Row],[nxt_code]],"전일대비")</f>
        <v>2700</v>
      </c>
      <c r="K422">
        <f>_xll.IMDP("STK",표.실시간[[#This Row],[nxt_code]],"등락률")</f>
        <v>5.28</v>
      </c>
      <c r="L422" s="4">
        <f>_xll.IMDP("STK",표.실시간[[#This Row],[nxt_code]],"누적거래량")</f>
        <v>834011</v>
      </c>
      <c r="M422" s="4">
        <f>_xll.IMDP("STK",표.실시간[[#This Row],[nxt_code]],"누적거래대금")</f>
        <v>45151079650</v>
      </c>
      <c r="N422" s="4">
        <f>_xll.IMDP("STK",표.실시간[[#This Row],[nxt_code]],"가중평균가")</f>
        <v>54137.271151000001</v>
      </c>
      <c r="O422" s="4">
        <f>_xll.IMDP("STK",표.실시간[[#This Row],[nxt_code]],"시가")</f>
        <v>53100</v>
      </c>
      <c r="P422" s="4">
        <f>_xll.IMDP("STK",표.실시간[[#This Row],[nxt_code]],"고가")</f>
        <v>55400</v>
      </c>
      <c r="Q422" s="4">
        <f>_xll.IMDP("STK",표.실시간[[#This Row],[nxt_code]],"저가")</f>
        <v>52000</v>
      </c>
      <c r="R422">
        <f>_xll.IMDP("STK",표.실시간[[#This Row],[nxt_code]],"세션명")</f>
        <v>0</v>
      </c>
      <c r="S422">
        <f>_xll.IMDP("STK",표.실시간[[#This Row],[nxt_code]],"체결시간")</f>
        <v>0</v>
      </c>
      <c r="T422" s="4">
        <f>_xll.IMDP("STK","478340","현재가")</f>
        <v>53800</v>
      </c>
      <c r="U422">
        <f>_xll.IMDP("STK","478340","누적거래량")</f>
        <v>67414</v>
      </c>
    </row>
    <row r="423" spans="3:21" x14ac:dyDescent="0.3">
      <c r="C423">
        <v>418</v>
      </c>
      <c r="D423">
        <v>84110</v>
      </c>
      <c r="E423" t="s">
        <v>435</v>
      </c>
      <c r="F423" t="str">
        <f>ConvertStockCode(표.실시간[[#This Row],[코드]])</f>
        <v>N084110</v>
      </c>
      <c r="G423" s="4">
        <f>_xll.IMDP("STK",표.실시간[[#This Row],[nxt_code]],"현재가")</f>
        <v>50000</v>
      </c>
      <c r="H423" s="4">
        <f>_xll.IMDP("STK",표.실시간[[#This Row],[nxt_code]],"시가총액")/10^12</f>
        <v>0.63678854360000003</v>
      </c>
      <c r="I423" t="str">
        <f>_xll.IMDP("","","전일대비부호")</f>
        <v>코드오류</v>
      </c>
      <c r="J423" s="5">
        <f>_xll.IMDP("STK",표.실시간[[#This Row],[nxt_code]],"전일대비")</f>
        <v>-900</v>
      </c>
      <c r="K423">
        <f>_xll.IMDP("STK",표.실시간[[#This Row],[nxt_code]],"등락률")</f>
        <v>-1.18</v>
      </c>
      <c r="L423" s="4">
        <f>_xll.IMDP("STK",표.실시간[[#This Row],[nxt_code]],"누적거래량")</f>
        <v>1475</v>
      </c>
      <c r="M423" s="4">
        <f>_xll.IMDP("STK",표.실시간[[#This Row],[nxt_code]],"누적거래대금")</f>
        <v>74569600</v>
      </c>
      <c r="N423" s="4">
        <f>_xll.IMDP("STK",표.실시간[[#This Row],[nxt_code]],"가중평균가")</f>
        <v>50316.881355999998</v>
      </c>
      <c r="O423" s="4">
        <f>_xll.IMDP("STK",표.실시간[[#This Row],[nxt_code]],"시가")</f>
        <v>50700</v>
      </c>
      <c r="P423" s="4">
        <f>_xll.IMDP("STK",표.실시간[[#This Row],[nxt_code]],"고가")</f>
        <v>50700</v>
      </c>
      <c r="Q423" s="4">
        <f>_xll.IMDP("STK",표.실시간[[#This Row],[nxt_code]],"저가")</f>
        <v>49850</v>
      </c>
      <c r="R423">
        <f>_xll.IMDP("STK",표.실시간[[#This Row],[nxt_code]],"세션명")</f>
        <v>0</v>
      </c>
      <c r="S423">
        <f>_xll.IMDP("STK",표.실시간[[#This Row],[nxt_code]],"체결시간")</f>
        <v>0</v>
      </c>
      <c r="T423" s="4">
        <f>_xll.IMDP("STK","084110","현재가")</f>
        <v>50300</v>
      </c>
      <c r="U423">
        <f>_xll.IMDP("STK","084110","누적거래량")</f>
        <v>793</v>
      </c>
    </row>
    <row r="424" spans="3:21" x14ac:dyDescent="0.3">
      <c r="C424">
        <v>419</v>
      </c>
      <c r="D424">
        <v>102940</v>
      </c>
      <c r="E424" t="s">
        <v>436</v>
      </c>
      <c r="F424" t="str">
        <f>ConvertStockCode(표.실시간[[#This Row],[코드]])</f>
        <v>N102940</v>
      </c>
      <c r="G424" s="4">
        <f>_xll.IMDP("STK",표.실시간[[#This Row],[nxt_code]],"현재가")</f>
        <v>49950</v>
      </c>
      <c r="H424" s="4">
        <f>_xll.IMDP("STK",표.실시간[[#This Row],[nxt_code]],"시가총액")/10^12</f>
        <v>0.64471059404999997</v>
      </c>
      <c r="I424" t="str">
        <f>_xll.IMDP("","","전일대비부호")</f>
        <v>코드오류</v>
      </c>
      <c r="J424" s="5">
        <f>_xll.IMDP("STK",표.실시간[[#This Row],[nxt_code]],"전일대비")</f>
        <v>-150</v>
      </c>
      <c r="K424">
        <f>_xll.IMDP("STK",표.실시간[[#This Row],[nxt_code]],"등락률")</f>
        <v>0.91</v>
      </c>
      <c r="L424" s="4">
        <f>_xll.IMDP("STK",표.실시간[[#This Row],[nxt_code]],"누적거래량")</f>
        <v>1547</v>
      </c>
      <c r="M424" s="4">
        <f>_xll.IMDP("STK",표.실시간[[#This Row],[nxt_code]],"누적거래대금")</f>
        <v>79863550</v>
      </c>
      <c r="N424" s="4">
        <f>_xll.IMDP("STK",표.실시간[[#This Row],[nxt_code]],"가중평균가")</f>
        <v>49852.403246000002</v>
      </c>
      <c r="O424" s="4">
        <f>_xll.IMDP("STK",표.실시간[[#This Row],[nxt_code]],"시가")</f>
        <v>50000</v>
      </c>
      <c r="P424" s="4">
        <f>_xll.IMDP("STK",표.실시간[[#This Row],[nxt_code]],"고가")</f>
        <v>50400</v>
      </c>
      <c r="Q424" s="4">
        <f>_xll.IMDP("STK",표.실시간[[#This Row],[nxt_code]],"저가")</f>
        <v>49200</v>
      </c>
      <c r="R424">
        <f>_xll.IMDP("STK",표.실시간[[#This Row],[nxt_code]],"세션명")</f>
        <v>0</v>
      </c>
      <c r="S424">
        <f>_xll.IMDP("STK",표.실시간[[#This Row],[nxt_code]],"체결시간")</f>
        <v>0</v>
      </c>
      <c r="T424" s="4">
        <f>_xll.IMDP("STK","102940","현재가")</f>
        <v>49900</v>
      </c>
      <c r="U424">
        <f>_xll.IMDP("STK","102940","누적거래량")</f>
        <v>1540</v>
      </c>
    </row>
    <row r="425" spans="3:21" x14ac:dyDescent="0.3">
      <c r="C425">
        <v>420</v>
      </c>
      <c r="D425">
        <v>41190</v>
      </c>
      <c r="E425" t="s">
        <v>437</v>
      </c>
      <c r="F425" t="str">
        <f>ConvertStockCode(표.실시간[[#This Row],[코드]])</f>
        <v>N041190</v>
      </c>
      <c r="G425" s="4">
        <f>_xll.IMDP("STK",표.실시간[[#This Row],[nxt_code]],"현재가")</f>
        <v>7360</v>
      </c>
      <c r="H425" s="4">
        <f>_xll.IMDP("STK",표.실시간[[#This Row],[nxt_code]],"시가총액")/10^12</f>
        <v>0.61824000000000001</v>
      </c>
      <c r="I425" t="str">
        <f>_xll.IMDP("","","전일대비부호")</f>
        <v>코드오류</v>
      </c>
      <c r="J425" s="5">
        <f>_xll.IMDP("STK",표.실시간[[#This Row],[nxt_code]],"전일대비")</f>
        <v>200</v>
      </c>
      <c r="K425">
        <f>_xll.IMDP("STK",표.실시간[[#This Row],[nxt_code]],"등락률")</f>
        <v>1.38</v>
      </c>
      <c r="L425" s="4">
        <f>_xll.IMDP("STK",표.실시간[[#This Row],[nxt_code]],"누적거래량")</f>
        <v>84228</v>
      </c>
      <c r="M425" s="4">
        <f>_xll.IMDP("STK",표.실시간[[#This Row],[nxt_code]],"누적거래대금")</f>
        <v>615569820</v>
      </c>
      <c r="N425" s="4">
        <f>_xll.IMDP("STK",표.실시간[[#This Row],[nxt_code]],"가중평균가")</f>
        <v>7308.3751249999996</v>
      </c>
      <c r="O425" s="4">
        <f>_xll.IMDP("STK",표.실시간[[#This Row],[nxt_code]],"시가")</f>
        <v>7300</v>
      </c>
      <c r="P425" s="4">
        <f>_xll.IMDP("STK",표.실시간[[#This Row],[nxt_code]],"고가")</f>
        <v>7470</v>
      </c>
      <c r="Q425" s="4">
        <f>_xll.IMDP("STK",표.실시간[[#This Row],[nxt_code]],"저가")</f>
        <v>7240</v>
      </c>
      <c r="R425">
        <f>_xll.IMDP("STK",표.실시간[[#This Row],[nxt_code]],"세션명")</f>
        <v>0</v>
      </c>
      <c r="S425">
        <f>_xll.IMDP("STK",표.실시간[[#This Row],[nxt_code]],"체결시간")</f>
        <v>0</v>
      </c>
      <c r="T425" s="4">
        <f>_xll.IMDP("STK","041190","현재가")</f>
        <v>7350</v>
      </c>
      <c r="U425">
        <f>_xll.IMDP("STK","041190","누적거래량")</f>
        <v>71236</v>
      </c>
    </row>
    <row r="426" spans="3:21" x14ac:dyDescent="0.3">
      <c r="C426">
        <v>421</v>
      </c>
      <c r="D426">
        <v>2240</v>
      </c>
      <c r="E426" t="s">
        <v>438</v>
      </c>
      <c r="F426" t="str">
        <f>ConvertStockCode(표.실시간[[#This Row],[코드]])</f>
        <v>N002240</v>
      </c>
      <c r="G426" s="4">
        <f>_xll.IMDP("STK",표.실시간[[#This Row],[nxt_code]],"현재가")</f>
        <v>21900</v>
      </c>
      <c r="H426" s="4">
        <f>_xll.IMDP("STK",표.실시간[[#This Row],[nxt_code]],"시가총액")/10^12</f>
        <v>0.59130000000000005</v>
      </c>
      <c r="I426" t="str">
        <f>_xll.IMDP("","","전일대비부호")</f>
        <v>코드오류</v>
      </c>
      <c r="J426" s="5">
        <f>_xll.IMDP("STK",표.실시간[[#This Row],[nxt_code]],"전일대비")</f>
        <v>300</v>
      </c>
      <c r="K426">
        <f>_xll.IMDP("STK",표.실시간[[#This Row],[nxt_code]],"등락률")</f>
        <v>1.39</v>
      </c>
      <c r="L426" s="4">
        <f>_xll.IMDP("STK",표.실시간[[#This Row],[nxt_code]],"누적거래량")</f>
        <v>2202</v>
      </c>
      <c r="M426" s="4">
        <f>_xll.IMDP("STK",표.실시간[[#This Row],[nxt_code]],"누적거래대금")</f>
        <v>48298800</v>
      </c>
      <c r="N426" s="4">
        <f>_xll.IMDP("STK",표.실시간[[#This Row],[nxt_code]],"가중평균가")</f>
        <v>21934.059946000001</v>
      </c>
      <c r="O426" s="4">
        <f>_xll.IMDP("STK",표.실시간[[#This Row],[nxt_code]],"시가")</f>
        <v>22200</v>
      </c>
      <c r="P426" s="4">
        <f>_xll.IMDP("STK",표.실시간[[#This Row],[nxt_code]],"고가")</f>
        <v>22250</v>
      </c>
      <c r="Q426" s="4">
        <f>_xll.IMDP("STK",표.실시간[[#This Row],[nxt_code]],"저가")</f>
        <v>21900</v>
      </c>
      <c r="R426">
        <f>_xll.IMDP("STK",표.실시간[[#This Row],[nxt_code]],"세션명")</f>
        <v>0</v>
      </c>
      <c r="S426">
        <f>_xll.IMDP("STK",표.실시간[[#This Row],[nxt_code]],"체결시간")</f>
        <v>0</v>
      </c>
      <c r="T426" s="4">
        <f>_xll.IMDP("STK","002240","현재가")</f>
        <v>21950</v>
      </c>
      <c r="U426">
        <f>_xll.IMDP("STK","002240","누적거래량")</f>
        <v>1407</v>
      </c>
    </row>
    <row r="427" spans="3:21" x14ac:dyDescent="0.3">
      <c r="C427">
        <v>422</v>
      </c>
      <c r="D427">
        <v>389650</v>
      </c>
      <c r="E427" t="s">
        <v>439</v>
      </c>
      <c r="F427" t="str">
        <f>ConvertStockCode(표.실시간[[#This Row],[코드]])</f>
        <v>N389650</v>
      </c>
      <c r="G427" s="4">
        <f>_xll.IMDP("STK",표.실시간[[#This Row],[nxt_code]],"현재가")</f>
        <v>76200</v>
      </c>
      <c r="H427" s="4">
        <f>_xll.IMDP("STK",표.실시간[[#This Row],[nxt_code]],"시가총액")/10^12</f>
        <v>0.62513611319999995</v>
      </c>
      <c r="I427" t="str">
        <f>_xll.IMDP("","","전일대비부호")</f>
        <v>코드오류</v>
      </c>
      <c r="J427" s="5">
        <f>_xll.IMDP("STK",표.실시간[[#This Row],[nxt_code]],"전일대비")</f>
        <v>1400</v>
      </c>
      <c r="K427">
        <f>_xll.IMDP("STK",표.실시간[[#This Row],[nxt_code]],"등락률")</f>
        <v>1.87</v>
      </c>
      <c r="L427" s="4">
        <f>_xll.IMDP("STK",표.실시간[[#This Row],[nxt_code]],"누적거래량")</f>
        <v>8691</v>
      </c>
      <c r="M427" s="4">
        <f>_xll.IMDP("STK",표.실시간[[#This Row],[nxt_code]],"누적거래대금")</f>
        <v>659142300</v>
      </c>
      <c r="N427" s="4">
        <f>_xll.IMDP("STK",표.실시간[[#This Row],[nxt_code]],"가중평균가")</f>
        <v>75841.939937999996</v>
      </c>
      <c r="O427" s="4">
        <f>_xll.IMDP("STK",표.실시간[[#This Row],[nxt_code]],"시가")</f>
        <v>76300</v>
      </c>
      <c r="P427" s="4">
        <f>_xll.IMDP("STK",표.실시간[[#This Row],[nxt_code]],"고가")</f>
        <v>76700</v>
      </c>
      <c r="Q427" s="4">
        <f>_xll.IMDP("STK",표.실시간[[#This Row],[nxt_code]],"저가")</f>
        <v>75100</v>
      </c>
      <c r="R427">
        <f>_xll.IMDP("STK",표.실시간[[#This Row],[nxt_code]],"세션명")</f>
        <v>0</v>
      </c>
      <c r="S427">
        <f>_xll.IMDP("STK",표.실시간[[#This Row],[nxt_code]],"체결시간")</f>
        <v>0</v>
      </c>
      <c r="T427" s="4">
        <f>_xll.IMDP("STK","389650","현재가")</f>
        <v>76200</v>
      </c>
      <c r="U427">
        <f>_xll.IMDP("STK","389650","누적거래량")</f>
        <v>1913</v>
      </c>
    </row>
    <row r="428" spans="3:21" x14ac:dyDescent="0.3">
      <c r="C428">
        <v>423</v>
      </c>
      <c r="D428">
        <v>475960</v>
      </c>
      <c r="E428" t="s">
        <v>440</v>
      </c>
      <c r="F428" t="str">
        <f>ConvertStockCode(표.실시간[[#This Row],[코드]])</f>
        <v>N475960</v>
      </c>
      <c r="G428" s="4">
        <f>_xll.IMDP("STK",표.실시간[[#This Row],[nxt_code]],"현재가")</f>
        <v>44300</v>
      </c>
      <c r="H428" s="4">
        <f>_xll.IMDP("STK",표.실시간[[#This Row],[nxt_code]],"시가총액")/10^12</f>
        <v>0.5901545882</v>
      </c>
      <c r="I428" t="str">
        <f>_xll.IMDP("","","전일대비부호")</f>
        <v>코드오류</v>
      </c>
      <c r="J428" s="5">
        <f>_xll.IMDP("STK",표.실시간[[#This Row],[nxt_code]],"전일대비")</f>
        <v>0</v>
      </c>
      <c r="K428">
        <f>_xll.IMDP("STK",표.실시간[[#This Row],[nxt_code]],"등락률")</f>
        <v>0</v>
      </c>
      <c r="L428" s="4">
        <f>_xll.IMDP("STK",표.실시간[[#This Row],[nxt_code]],"누적거래량")</f>
        <v>10754</v>
      </c>
      <c r="M428" s="4">
        <f>_xll.IMDP("STK",표.실시간[[#This Row],[nxt_code]],"누적거래대금")</f>
        <v>481901400</v>
      </c>
      <c r="N428" s="4">
        <f>_xll.IMDP("STK",표.실시간[[#This Row],[nxt_code]],"가중평균가")</f>
        <v>44811.363213999997</v>
      </c>
      <c r="O428" s="4">
        <f>_xll.IMDP("STK",표.실시간[[#This Row],[nxt_code]],"시가")</f>
        <v>44450</v>
      </c>
      <c r="P428" s="4">
        <f>_xll.IMDP("STK",표.실시간[[#This Row],[nxt_code]],"고가")</f>
        <v>45100</v>
      </c>
      <c r="Q428" s="4">
        <f>_xll.IMDP("STK",표.실시간[[#This Row],[nxt_code]],"저가")</f>
        <v>44300</v>
      </c>
      <c r="R428">
        <f>_xll.IMDP("STK",표.실시간[[#This Row],[nxt_code]],"세션명")</f>
        <v>0</v>
      </c>
      <c r="S428">
        <f>_xll.IMDP("STK",표.실시간[[#This Row],[nxt_code]],"체결시간")</f>
        <v>0</v>
      </c>
      <c r="T428" s="4">
        <f>_xll.IMDP("STK","475960","현재가")</f>
        <v>44400</v>
      </c>
      <c r="U428">
        <f>_xll.IMDP("STK","475960","누적거래량")</f>
        <v>1114</v>
      </c>
    </row>
    <row r="429" spans="3:21" x14ac:dyDescent="0.3">
      <c r="C429">
        <v>424</v>
      </c>
      <c r="D429">
        <v>93320</v>
      </c>
      <c r="E429" t="s">
        <v>441</v>
      </c>
      <c r="F429" t="str">
        <f>ConvertStockCode(표.실시간[[#This Row],[코드]])</f>
        <v>N093320</v>
      </c>
      <c r="G429" s="4">
        <f>_xll.IMDP("STK",표.실시간[[#This Row],[nxt_code]],"현재가")</f>
        <v>119600</v>
      </c>
      <c r="H429" s="4">
        <f>_xll.IMDP("STK",표.실시간[[#This Row],[nxt_code]],"시가총액")/10^12</f>
        <v>0.58364799999999994</v>
      </c>
      <c r="I429" t="str">
        <f>_xll.IMDP("","","전일대비부호")</f>
        <v>코드오류</v>
      </c>
      <c r="J429" s="5">
        <f>_xll.IMDP("STK",표.실시간[[#This Row],[nxt_code]],"전일대비")</f>
        <v>-1400</v>
      </c>
      <c r="K429">
        <f>_xll.IMDP("STK",표.실시간[[#This Row],[nxt_code]],"등락률")</f>
        <v>-1.1599999999999999</v>
      </c>
      <c r="L429" s="4">
        <f>_xll.IMDP("STK",표.실시간[[#This Row],[nxt_code]],"누적거래량")</f>
        <v>389</v>
      </c>
      <c r="M429" s="4">
        <f>_xll.IMDP("STK",표.실시간[[#This Row],[nxt_code]],"누적거래대금")</f>
        <v>46481300</v>
      </c>
      <c r="N429" s="4">
        <f>_xll.IMDP("STK",표.실시간[[#This Row],[nxt_code]],"가중평균가")</f>
        <v>119489.203085</v>
      </c>
      <c r="O429" s="4">
        <f>_xll.IMDP("STK",표.실시간[[#This Row],[nxt_code]],"시가")</f>
        <v>119700</v>
      </c>
      <c r="P429" s="4">
        <f>_xll.IMDP("STK",표.실시간[[#This Row],[nxt_code]],"고가")</f>
        <v>119800</v>
      </c>
      <c r="Q429" s="4">
        <f>_xll.IMDP("STK",표.실시간[[#This Row],[nxt_code]],"저가")</f>
        <v>119300</v>
      </c>
      <c r="R429">
        <f>_xll.IMDP("STK",표.실시간[[#This Row],[nxt_code]],"세션명")</f>
        <v>0</v>
      </c>
      <c r="S429">
        <f>_xll.IMDP("STK",표.실시간[[#This Row],[nxt_code]],"체결시간")</f>
        <v>0</v>
      </c>
      <c r="T429" s="4">
        <f>_xll.IMDP("STK","093320","현재가")</f>
        <v>122500</v>
      </c>
      <c r="U429">
        <f>_xll.IMDP("STK","093320","누적거래량")</f>
        <v>274</v>
      </c>
    </row>
    <row r="430" spans="3:21" x14ac:dyDescent="0.3">
      <c r="C430">
        <v>425</v>
      </c>
      <c r="D430">
        <v>2030</v>
      </c>
      <c r="E430" t="s">
        <v>442</v>
      </c>
      <c r="F430" t="str">
        <f>ConvertStockCode(표.실시간[[#This Row],[코드]])</f>
        <v>N002030</v>
      </c>
      <c r="G430" s="4">
        <f>_xll.IMDP("STK",표.실시간[[#This Row],[nxt_code]],"현재가")</f>
        <v>288500</v>
      </c>
      <c r="H430" s="4">
        <f>_xll.IMDP("STK",표.실시간[[#This Row],[nxt_code]],"시가총액")/10^12</f>
        <v>0.59795837100000004</v>
      </c>
      <c r="I430" t="str">
        <f>_xll.IMDP("","","전일대비부호")</f>
        <v>코드오류</v>
      </c>
      <c r="J430" s="5">
        <f>_xll.IMDP("STK",표.실시간[[#This Row],[nxt_code]],"전일대비")</f>
        <v>-500</v>
      </c>
      <c r="K430">
        <f>_xll.IMDP("STK",표.실시간[[#This Row],[nxt_code]],"등락률")</f>
        <v>-0.17</v>
      </c>
      <c r="L430" s="4">
        <f>_xll.IMDP("STK",표.실시간[[#This Row],[nxt_code]],"누적거래량")</f>
        <v>4</v>
      </c>
      <c r="M430" s="4">
        <f>_xll.IMDP("STK",표.실시간[[#This Row],[nxt_code]],"누적거래대금")</f>
        <v>1155500</v>
      </c>
      <c r="N430" s="4">
        <f>_xll.IMDP("STK",표.실시간[[#This Row],[nxt_code]],"가중평균가")</f>
        <v>288875</v>
      </c>
      <c r="O430" s="4">
        <f>_xll.IMDP("STK",표.실시간[[#This Row],[nxt_code]],"시가")</f>
        <v>289000</v>
      </c>
      <c r="P430" s="4">
        <f>_xll.IMDP("STK",표.실시간[[#This Row],[nxt_code]],"고가")</f>
        <v>289000</v>
      </c>
      <c r="Q430" s="4">
        <f>_xll.IMDP("STK",표.실시간[[#This Row],[nxt_code]],"저가")</f>
        <v>288500</v>
      </c>
      <c r="R430">
        <f>_xll.IMDP("STK",표.실시간[[#This Row],[nxt_code]],"세션명")</f>
        <v>0</v>
      </c>
      <c r="S430">
        <f>_xll.IMDP("STK",표.실시간[[#This Row],[nxt_code]],"체결시간")</f>
        <v>0</v>
      </c>
      <c r="T430" s="4">
        <f>_xll.IMDP("STK","002030","현재가")</f>
        <v>288000</v>
      </c>
      <c r="U430">
        <f>_xll.IMDP("STK","002030","누적거래량")</f>
        <v>5</v>
      </c>
    </row>
    <row r="431" spans="3:21" x14ac:dyDescent="0.3">
      <c r="C431">
        <v>426</v>
      </c>
      <c r="D431">
        <v>126340</v>
      </c>
      <c r="E431" t="s">
        <v>443</v>
      </c>
      <c r="F431" t="str">
        <f>ConvertStockCode(표.실시간[[#This Row],[코드]])</f>
        <v>N126340</v>
      </c>
      <c r="G431" s="4">
        <f>_xll.IMDP("STK",표.실시간[[#This Row],[nxt_code]],"현재가")</f>
        <v>87400</v>
      </c>
      <c r="H431" s="4">
        <f>_xll.IMDP("STK",표.실시간[[#This Row],[nxt_code]],"시가총액")/10^12</f>
        <v>0.5885260792</v>
      </c>
      <c r="I431" t="str">
        <f>_xll.IMDP("","","전일대비부호")</f>
        <v>코드오류</v>
      </c>
      <c r="J431" s="5">
        <f>_xll.IMDP("STK",표.실시간[[#This Row],[nxt_code]],"전일대비")</f>
        <v>-3500</v>
      </c>
      <c r="K431">
        <f>_xll.IMDP("STK",표.실시간[[#This Row],[nxt_code]],"등락률")</f>
        <v>-3.85</v>
      </c>
      <c r="L431" s="4">
        <f>_xll.IMDP("STK",표.실시간[[#This Row],[nxt_code]],"누적거래량")</f>
        <v>8875</v>
      </c>
      <c r="M431" s="4">
        <f>_xll.IMDP("STK",표.실시간[[#This Row],[nxt_code]],"누적거래대금")</f>
        <v>795553200</v>
      </c>
      <c r="N431" s="4">
        <f>_xll.IMDP("STK",표.실시간[[#This Row],[nxt_code]],"가중평균가")</f>
        <v>89639.797183000002</v>
      </c>
      <c r="O431" s="4">
        <f>_xll.IMDP("STK",표.실시간[[#This Row],[nxt_code]],"시가")</f>
        <v>89100</v>
      </c>
      <c r="P431" s="4">
        <f>_xll.IMDP("STK",표.실시간[[#This Row],[nxt_code]],"고가")</f>
        <v>90800</v>
      </c>
      <c r="Q431" s="4">
        <f>_xll.IMDP("STK",표.실시간[[#This Row],[nxt_code]],"저가")</f>
        <v>87100</v>
      </c>
      <c r="R431">
        <f>_xll.IMDP("STK",표.실시간[[#This Row],[nxt_code]],"세션명")</f>
        <v>0</v>
      </c>
      <c r="S431">
        <f>_xll.IMDP("STK",표.실시간[[#This Row],[nxt_code]],"체결시간")</f>
        <v>0</v>
      </c>
      <c r="T431" s="4">
        <f>_xll.IMDP("STK","126340","현재가")</f>
        <v>87200</v>
      </c>
      <c r="U431">
        <f>_xll.IMDP("STK","126340","누적거래량")</f>
        <v>3235</v>
      </c>
    </row>
    <row r="432" spans="3:21" x14ac:dyDescent="0.3">
      <c r="C432">
        <v>427</v>
      </c>
      <c r="D432">
        <v>119850</v>
      </c>
      <c r="E432" t="s">
        <v>444</v>
      </c>
      <c r="F432" t="str">
        <f>ConvertStockCode(표.실시간[[#This Row],[코드]])</f>
        <v>N119850</v>
      </c>
      <c r="G432" s="4">
        <f>_xll.IMDP("STK",표.실시간[[#This Row],[nxt_code]],"현재가")</f>
        <v>34400</v>
      </c>
      <c r="H432" s="4">
        <f>_xll.IMDP("STK",표.실시간[[#This Row],[nxt_code]],"시가총액")/10^12</f>
        <v>0.57324447864999994</v>
      </c>
      <c r="I432" t="str">
        <f>_xll.IMDP("","","전일대비부호")</f>
        <v>코드오류</v>
      </c>
      <c r="J432" s="5">
        <f>_xll.IMDP("STK",표.실시간[[#This Row],[nxt_code]],"전일대비")</f>
        <v>450</v>
      </c>
      <c r="K432">
        <f>_xll.IMDP("STK",표.실시간[[#This Row],[nxt_code]],"등락률")</f>
        <v>0</v>
      </c>
      <c r="L432" s="4">
        <f>_xll.IMDP("STK",표.실시간[[#This Row],[nxt_code]],"누적거래량")</f>
        <v>21520</v>
      </c>
      <c r="M432" s="4">
        <f>_xll.IMDP("STK",표.실시간[[#This Row],[nxt_code]],"누적거래대금")</f>
        <v>748729950</v>
      </c>
      <c r="N432" s="4">
        <f>_xll.IMDP("STK",표.실시간[[#This Row],[nxt_code]],"가중평균가")</f>
        <v>34792.283922000002</v>
      </c>
      <c r="O432" s="4">
        <f>_xll.IMDP("STK",표.실시간[[#This Row],[nxt_code]],"시가")</f>
        <v>35200</v>
      </c>
      <c r="P432" s="4">
        <f>_xll.IMDP("STK",표.실시간[[#This Row],[nxt_code]],"고가")</f>
        <v>35200</v>
      </c>
      <c r="Q432" s="4">
        <f>_xll.IMDP("STK",표.실시간[[#This Row],[nxt_code]],"저가")</f>
        <v>34700</v>
      </c>
      <c r="R432">
        <f>_xll.IMDP("STK",표.실시간[[#This Row],[nxt_code]],"세션명")</f>
        <v>0</v>
      </c>
      <c r="S432">
        <f>_xll.IMDP("STK",표.실시간[[#This Row],[nxt_code]],"체결시간")</f>
        <v>0</v>
      </c>
      <c r="T432" s="4">
        <f>_xll.IMDP("STK","119850","현재가")</f>
        <v>34200</v>
      </c>
      <c r="U432">
        <f>_xll.IMDP("STK","119850","누적거래량")</f>
        <v>5422</v>
      </c>
    </row>
    <row r="433" spans="3:21" x14ac:dyDescent="0.3">
      <c r="C433">
        <v>428</v>
      </c>
      <c r="D433" t="s">
        <v>713</v>
      </c>
      <c r="E433" t="s">
        <v>445</v>
      </c>
      <c r="F433" t="str">
        <f>ConvertStockCode(표.실시간[[#This Row],[코드]])</f>
        <v>N0120G0</v>
      </c>
      <c r="G433" s="4">
        <f>_xll.IMDP("STK",표.실시간[[#This Row],[nxt_code]],"현재가")</f>
        <v>91400</v>
      </c>
      <c r="H433" s="4">
        <f>_xll.IMDP("STK",표.실시간[[#This Row],[nxt_code]],"시가총액")/10^12</f>
        <v>0.67963851799999997</v>
      </c>
      <c r="I433" t="str">
        <f>_xll.IMDP("","","전일대비부호")</f>
        <v>코드오류</v>
      </c>
      <c r="J433" s="5">
        <f>_xll.IMDP("STK",표.실시간[[#This Row],[nxt_code]],"전일대비")</f>
        <v>-1500</v>
      </c>
      <c r="K433">
        <f>_xll.IMDP("STK",표.실시간[[#This Row],[nxt_code]],"등락률")</f>
        <v>-1.61</v>
      </c>
      <c r="L433" s="4">
        <f>_xll.IMDP("STK",표.실시간[[#This Row],[nxt_code]],"누적거래량")</f>
        <v>28604</v>
      </c>
      <c r="M433" s="4">
        <f>_xll.IMDP("STK",표.실시간[[#This Row],[nxt_code]],"누적거래대금")</f>
        <v>2596301100</v>
      </c>
      <c r="N433" s="4">
        <f>_xll.IMDP("STK",표.실시간[[#This Row],[nxt_code]],"가중평균가")</f>
        <v>90767.064047000007</v>
      </c>
      <c r="O433" s="4">
        <f>_xll.IMDP("STK",표.실시간[[#This Row],[nxt_code]],"시가")</f>
        <v>90500</v>
      </c>
      <c r="P433" s="4">
        <f>_xll.IMDP("STK",표.실시간[[#This Row],[nxt_code]],"고가")</f>
        <v>93600</v>
      </c>
      <c r="Q433" s="4">
        <f>_xll.IMDP("STK",표.실시간[[#This Row],[nxt_code]],"저가")</f>
        <v>89100</v>
      </c>
      <c r="R433">
        <f>_xll.IMDP("STK",표.실시간[[#This Row],[nxt_code]],"세션명")</f>
        <v>0</v>
      </c>
      <c r="S433">
        <f>_xll.IMDP("STK",표.실시간[[#This Row],[nxt_code]],"체결시간")</f>
        <v>0</v>
      </c>
      <c r="T433" s="4">
        <f>_xll.IMDP("STK","0120G0","현재가")</f>
        <v>91700</v>
      </c>
      <c r="U433">
        <f>_xll.IMDP("STK","0120G0","누적거래량")</f>
        <v>9643</v>
      </c>
    </row>
    <row r="434" spans="3:21" x14ac:dyDescent="0.3">
      <c r="C434">
        <v>429</v>
      </c>
      <c r="D434">
        <v>278280</v>
      </c>
      <c r="E434" t="s">
        <v>446</v>
      </c>
      <c r="F434" t="str">
        <f>ConvertStockCode(표.실시간[[#This Row],[코드]])</f>
        <v>N278280</v>
      </c>
      <c r="G434" s="4">
        <f>_xll.IMDP("STK",표.실시간[[#This Row],[nxt_code]],"현재가")</f>
        <v>53200</v>
      </c>
      <c r="H434" s="4">
        <f>_xll.IMDP("STK",표.실시간[[#This Row],[nxt_code]],"시가총액")/10^12</f>
        <v>0.62193257840000005</v>
      </c>
      <c r="I434" t="str">
        <f>_xll.IMDP("","","전일대비부호")</f>
        <v>코드오류</v>
      </c>
      <c r="J434" s="5">
        <f>_xll.IMDP("STK",표.실시간[[#This Row],[nxt_code]],"전일대비")</f>
        <v>1000</v>
      </c>
      <c r="K434">
        <f>_xll.IMDP("STK",표.실시간[[#This Row],[nxt_code]],"등락률")</f>
        <v>1.92</v>
      </c>
      <c r="L434" s="4">
        <f>_xll.IMDP("STK",표.실시간[[#This Row],[nxt_code]],"누적거래량")</f>
        <v>80558</v>
      </c>
      <c r="M434" s="4">
        <f>_xll.IMDP("STK",표.실시간[[#This Row],[nxt_code]],"누적거래대금")</f>
        <v>4345354100</v>
      </c>
      <c r="N434" s="4">
        <f>_xll.IMDP("STK",표.실시간[[#This Row],[nxt_code]],"가중평균가")</f>
        <v>53920.609768000002</v>
      </c>
      <c r="O434" s="4">
        <f>_xll.IMDP("STK",표.실시간[[#This Row],[nxt_code]],"시가")</f>
        <v>55200</v>
      </c>
      <c r="P434" s="4">
        <f>_xll.IMDP("STK",표.실시간[[#This Row],[nxt_code]],"고가")</f>
        <v>55700</v>
      </c>
      <c r="Q434" s="4">
        <f>_xll.IMDP("STK",표.실시간[[#This Row],[nxt_code]],"저가")</f>
        <v>53100</v>
      </c>
      <c r="R434">
        <f>_xll.IMDP("STK",표.실시간[[#This Row],[nxt_code]],"세션명")</f>
        <v>0</v>
      </c>
      <c r="S434">
        <f>_xll.IMDP("STK",표.실시간[[#This Row],[nxt_code]],"체결시간")</f>
        <v>0</v>
      </c>
      <c r="T434" s="4">
        <f>_xll.IMDP("STK","278280","현재가")</f>
        <v>53200</v>
      </c>
      <c r="U434">
        <f>_xll.IMDP("STK","278280","누적거래량")</f>
        <v>14860</v>
      </c>
    </row>
    <row r="435" spans="3:21" x14ac:dyDescent="0.3">
      <c r="C435">
        <v>430</v>
      </c>
      <c r="D435">
        <v>78160</v>
      </c>
      <c r="E435" t="s">
        <v>447</v>
      </c>
      <c r="F435" t="str">
        <f>ConvertStockCode(표.실시간[[#This Row],[코드]])</f>
        <v>N078160</v>
      </c>
      <c r="G435" s="4">
        <f>_xll.IMDP("STK",표.실시간[[#This Row],[nxt_code]],"현재가")</f>
        <v>14880</v>
      </c>
      <c r="H435" s="4">
        <f>_xll.IMDP("STK",표.실시간[[#This Row],[nxt_code]],"시가총액")/10^12</f>
        <v>0.58336449264000001</v>
      </c>
      <c r="I435" t="str">
        <f>_xll.IMDP("","","전일대비부호")</f>
        <v>코드오류</v>
      </c>
      <c r="J435" s="5">
        <f>_xll.IMDP("STK",표.실시간[[#This Row],[nxt_code]],"전일대비")</f>
        <v>80</v>
      </c>
      <c r="K435">
        <f>_xll.IMDP("STK",표.실시간[[#This Row],[nxt_code]],"등락률")</f>
        <v>0.54</v>
      </c>
      <c r="L435" s="4">
        <f>_xll.IMDP("STK",표.실시간[[#This Row],[nxt_code]],"누적거래량")</f>
        <v>2322</v>
      </c>
      <c r="M435" s="4">
        <f>_xll.IMDP("STK",표.실시간[[#This Row],[nxt_code]],"누적거래대금")</f>
        <v>34472880</v>
      </c>
      <c r="N435" s="4">
        <f>_xll.IMDP("STK",표.실시간[[#This Row],[nxt_code]],"가중평균가")</f>
        <v>14846.20155</v>
      </c>
      <c r="O435" s="4">
        <f>_xll.IMDP("STK",표.실시간[[#This Row],[nxt_code]],"시가")</f>
        <v>14970</v>
      </c>
      <c r="P435" s="4">
        <f>_xll.IMDP("STK",표.실시간[[#This Row],[nxt_code]],"고가")</f>
        <v>14970</v>
      </c>
      <c r="Q435" s="4">
        <f>_xll.IMDP("STK",표.실시간[[#This Row],[nxt_code]],"저가")</f>
        <v>14800</v>
      </c>
      <c r="R435">
        <f>_xll.IMDP("STK",표.실시간[[#This Row],[nxt_code]],"세션명")</f>
        <v>0</v>
      </c>
      <c r="S435">
        <f>_xll.IMDP("STK",표.실시간[[#This Row],[nxt_code]],"체결시간")</f>
        <v>0</v>
      </c>
      <c r="T435" s="4">
        <f>_xll.IMDP("STK","078160","현재가")</f>
        <v>15060</v>
      </c>
      <c r="U435">
        <f>_xll.IMDP("STK","078160","누적거래량")</f>
        <v>2389</v>
      </c>
    </row>
    <row r="436" spans="3:21" x14ac:dyDescent="0.3">
      <c r="C436">
        <v>431</v>
      </c>
      <c r="D436">
        <v>94170</v>
      </c>
      <c r="E436" t="s">
        <v>448</v>
      </c>
      <c r="F436" t="str">
        <f>ConvertStockCode(표.실시간[[#This Row],[코드]])</f>
        <v>N094170</v>
      </c>
      <c r="G436" s="4">
        <f>_xll.IMDP("STK",표.실시간[[#This Row],[nxt_code]],"현재가")</f>
        <v>26600</v>
      </c>
      <c r="H436" s="4">
        <f>_xll.IMDP("STK",표.실시간[[#This Row],[nxt_code]],"시가총액")/10^12</f>
        <v>0.55620429760000001</v>
      </c>
      <c r="I436" t="str">
        <f>_xll.IMDP("","","전일대비부호")</f>
        <v>코드오류</v>
      </c>
      <c r="J436" s="5">
        <f>_xll.IMDP("STK",표.실시간[[#This Row],[nxt_code]],"전일대비")</f>
        <v>-400</v>
      </c>
      <c r="K436">
        <f>_xll.IMDP("STK",표.실시간[[#This Row],[nxt_code]],"등락률")</f>
        <v>-1.48</v>
      </c>
      <c r="L436" s="4">
        <f>_xll.IMDP("STK",표.실시간[[#This Row],[nxt_code]],"누적거래량")</f>
        <v>18589</v>
      </c>
      <c r="M436" s="4">
        <f>_xll.IMDP("STK",표.실시간[[#This Row],[nxt_code]],"누적거래대금")</f>
        <v>496882250</v>
      </c>
      <c r="N436" s="4">
        <f>_xll.IMDP("STK",표.실시간[[#This Row],[nxt_code]],"가중평균가")</f>
        <v>26729.907471999999</v>
      </c>
      <c r="O436" s="4">
        <f>_xll.IMDP("STK",표.실시간[[#This Row],[nxt_code]],"시가")</f>
        <v>26850</v>
      </c>
      <c r="P436" s="4">
        <f>_xll.IMDP("STK",표.실시간[[#This Row],[nxt_code]],"고가")</f>
        <v>26950</v>
      </c>
      <c r="Q436" s="4">
        <f>_xll.IMDP("STK",표.실시간[[#This Row],[nxt_code]],"저가")</f>
        <v>26550</v>
      </c>
      <c r="R436">
        <f>_xll.IMDP("STK",표.실시간[[#This Row],[nxt_code]],"세션명")</f>
        <v>0</v>
      </c>
      <c r="S436">
        <f>_xll.IMDP("STK",표.실시간[[#This Row],[nxt_code]],"체결시간")</f>
        <v>0</v>
      </c>
      <c r="T436" s="4">
        <f>_xll.IMDP("STK","094170","현재가")</f>
        <v>26650</v>
      </c>
      <c r="U436">
        <f>_xll.IMDP("STK","094170","누적거래량")</f>
        <v>2173</v>
      </c>
    </row>
    <row r="437" spans="3:21" x14ac:dyDescent="0.3">
      <c r="C437">
        <v>432</v>
      </c>
      <c r="D437">
        <v>60250</v>
      </c>
      <c r="E437" t="s">
        <v>449</v>
      </c>
      <c r="F437" t="str">
        <f>ConvertStockCode(표.실시간[[#This Row],[코드]])</f>
        <v>N060250</v>
      </c>
      <c r="G437" s="4">
        <f>_xll.IMDP("STK",표.실시간[[#This Row],[nxt_code]],"현재가")</f>
        <v>14350</v>
      </c>
      <c r="H437" s="4">
        <f>_xll.IMDP("STK",표.실시간[[#This Row],[nxt_code]],"시가총액")/10^12</f>
        <v>0.57630476784999995</v>
      </c>
      <c r="I437" t="str">
        <f>_xll.IMDP("","","전일대비부호")</f>
        <v>코드오류</v>
      </c>
      <c r="J437" s="5">
        <f>_xll.IMDP("STK",표.실시간[[#This Row],[nxt_code]],"전일대비")</f>
        <v>120</v>
      </c>
      <c r="K437">
        <f>_xll.IMDP("STK",표.실시간[[#This Row],[nxt_code]],"등락률")</f>
        <v>0.84</v>
      </c>
      <c r="L437" s="4">
        <f>_xll.IMDP("STK",표.실시간[[#This Row],[nxt_code]],"누적거래량")</f>
        <v>21207</v>
      </c>
      <c r="M437" s="4">
        <f>_xll.IMDP("STK",표.실시간[[#This Row],[nxt_code]],"누적거래대금")</f>
        <v>302355050</v>
      </c>
      <c r="N437" s="4">
        <f>_xll.IMDP("STK",표.실시간[[#This Row],[nxt_code]],"가중평균가")</f>
        <v>14257.323054</v>
      </c>
      <c r="O437" s="4">
        <f>_xll.IMDP("STK",표.실시간[[#This Row],[nxt_code]],"시가")</f>
        <v>14230</v>
      </c>
      <c r="P437" s="4">
        <f>_xll.IMDP("STK",표.실시간[[#This Row],[nxt_code]],"고가")</f>
        <v>14400</v>
      </c>
      <c r="Q437" s="4">
        <f>_xll.IMDP("STK",표.실시간[[#This Row],[nxt_code]],"저가")</f>
        <v>14200</v>
      </c>
      <c r="R437">
        <f>_xll.IMDP("STK",표.실시간[[#This Row],[nxt_code]],"세션명")</f>
        <v>0</v>
      </c>
      <c r="S437">
        <f>_xll.IMDP("STK",표.실시간[[#This Row],[nxt_code]],"체결시간")</f>
        <v>0</v>
      </c>
      <c r="T437" s="4">
        <f>_xll.IMDP("STK","060250","현재가")</f>
        <v>14360</v>
      </c>
      <c r="U437">
        <f>_xll.IMDP("STK","060250","누적거래량")</f>
        <v>2687</v>
      </c>
    </row>
    <row r="438" spans="3:21" x14ac:dyDescent="0.3">
      <c r="C438">
        <v>433</v>
      </c>
      <c r="D438">
        <v>222080</v>
      </c>
      <c r="E438" t="s">
        <v>450</v>
      </c>
      <c r="F438" t="str">
        <f>ConvertStockCode(표.실시간[[#This Row],[코드]])</f>
        <v>N222080</v>
      </c>
      <c r="G438" s="4">
        <f>_xll.IMDP("STK",표.실시간[[#This Row],[nxt_code]],"현재가")</f>
        <v>10060</v>
      </c>
      <c r="H438" s="4">
        <f>_xll.IMDP("STK",표.실시간[[#This Row],[nxt_code]],"시가총액")/10^12</f>
        <v>0.77836070034000004</v>
      </c>
      <c r="I438" t="str">
        <f>_xll.IMDP("","","전일대비부호")</f>
        <v>코드오류</v>
      </c>
      <c r="J438" s="5">
        <f>_xll.IMDP("STK",표.실시간[[#This Row],[nxt_code]],"전일대비")</f>
        <v>850</v>
      </c>
      <c r="K438">
        <f>_xll.IMDP("STK",표.실시간[[#This Row],[nxt_code]],"등락률")</f>
        <v>8.8699999999999992</v>
      </c>
      <c r="L438" s="4">
        <f>_xll.IMDP("STK",표.실시간[[#This Row],[nxt_code]],"누적거래량")</f>
        <v>8390174</v>
      </c>
      <c r="M438" s="4">
        <f>_xll.IMDP("STK",표.실시간[[#This Row],[nxt_code]],"누적거래대금")</f>
        <v>82120910830</v>
      </c>
      <c r="N438" s="4">
        <f>_xll.IMDP("STK",표.실시간[[#This Row],[nxt_code]],"가중평균가")</f>
        <v>9787.748243</v>
      </c>
      <c r="O438" s="4">
        <f>_xll.IMDP("STK",표.실시간[[#This Row],[nxt_code]],"시가")</f>
        <v>9690</v>
      </c>
      <c r="P438" s="4">
        <f>_xll.IMDP("STK",표.실시간[[#This Row],[nxt_code]],"고가")</f>
        <v>10380</v>
      </c>
      <c r="Q438" s="4">
        <f>_xll.IMDP("STK",표.실시간[[#This Row],[nxt_code]],"저가")</f>
        <v>9180</v>
      </c>
      <c r="R438">
        <f>_xll.IMDP("STK",표.실시간[[#This Row],[nxt_code]],"세션명")</f>
        <v>0</v>
      </c>
      <c r="S438">
        <f>_xll.IMDP("STK",표.실시간[[#This Row],[nxt_code]],"체결시간")</f>
        <v>0</v>
      </c>
      <c r="T438" s="4">
        <f>_xll.IMDP("STK","222080","현재가")</f>
        <v>10070</v>
      </c>
      <c r="U438">
        <f>_xll.IMDP("STK","222080","누적거래량")</f>
        <v>1229755</v>
      </c>
    </row>
    <row r="439" spans="3:21" x14ac:dyDescent="0.3">
      <c r="C439">
        <v>434</v>
      </c>
      <c r="D439">
        <v>18290</v>
      </c>
      <c r="E439" t="s">
        <v>451</v>
      </c>
      <c r="F439" t="str">
        <f>ConvertStockCode(표.실시간[[#This Row],[코드]])</f>
        <v>N018290</v>
      </c>
      <c r="G439" s="4">
        <f>_xll.IMDP("STK",표.실시간[[#This Row],[nxt_code]],"현재가")</f>
        <v>16910</v>
      </c>
      <c r="H439" s="4">
        <f>_xll.IMDP("STK",표.실시간[[#This Row],[nxt_code]],"시가총액")/10^12</f>
        <v>0.59086648058000002</v>
      </c>
      <c r="I439" t="str">
        <f>_xll.IMDP("","","전일대비부호")</f>
        <v>코드오류</v>
      </c>
      <c r="J439" s="5">
        <f>_xll.IMDP("STK",표.실시간[[#This Row],[nxt_code]],"전일대비")</f>
        <v>250</v>
      </c>
      <c r="K439">
        <f>_xll.IMDP("STK",표.실시간[[#This Row],[nxt_code]],"등락률")</f>
        <v>1.5</v>
      </c>
      <c r="L439" s="4">
        <f>_xll.IMDP("STK",표.실시간[[#This Row],[nxt_code]],"누적거래량")</f>
        <v>36511</v>
      </c>
      <c r="M439" s="4">
        <f>_xll.IMDP("STK",표.실시간[[#This Row],[nxt_code]],"누적거래대금")</f>
        <v>617350950</v>
      </c>
      <c r="N439" s="4">
        <f>_xll.IMDP("STK",표.실시간[[#This Row],[nxt_code]],"가중평균가")</f>
        <v>16908.628906000002</v>
      </c>
      <c r="O439" s="4">
        <f>_xll.IMDP("STK",표.실시간[[#This Row],[nxt_code]],"시가")</f>
        <v>16790</v>
      </c>
      <c r="P439" s="4">
        <f>_xll.IMDP("STK",표.실시간[[#This Row],[nxt_code]],"고가")</f>
        <v>17000</v>
      </c>
      <c r="Q439" s="4">
        <f>_xll.IMDP("STK",표.실시간[[#This Row],[nxt_code]],"저가")</f>
        <v>16720</v>
      </c>
      <c r="R439">
        <f>_xll.IMDP("STK",표.실시간[[#This Row],[nxt_code]],"세션명")</f>
        <v>0</v>
      </c>
      <c r="S439">
        <f>_xll.IMDP("STK",표.실시간[[#This Row],[nxt_code]],"체결시간")</f>
        <v>0</v>
      </c>
      <c r="T439" s="4">
        <f>_xll.IMDP("STK","018290","현재가")</f>
        <v>16780</v>
      </c>
      <c r="U439">
        <f>_xll.IMDP("STK","018290","누적거래량")</f>
        <v>8643</v>
      </c>
    </row>
    <row r="440" spans="3:21" x14ac:dyDescent="0.3">
      <c r="C440">
        <v>435</v>
      </c>
      <c r="D440">
        <v>2020</v>
      </c>
      <c r="E440" t="s">
        <v>452</v>
      </c>
      <c r="F440" t="str">
        <f>ConvertStockCode(표.실시간[[#This Row],[코드]])</f>
        <v>N002020</v>
      </c>
      <c r="G440" s="4">
        <f>_xll.IMDP("STK",표.실시간[[#This Row],[nxt_code]],"현재가")</f>
        <v>45950</v>
      </c>
      <c r="H440" s="4">
        <f>_xll.IMDP("STK",표.실시간[[#This Row],[nxt_code]],"시가총액")/10^12</f>
        <v>0.59310789600000002</v>
      </c>
      <c r="I440" t="str">
        <f>_xll.IMDP("","","전일대비부호")</f>
        <v>코드오류</v>
      </c>
      <c r="J440" s="5">
        <f>_xll.IMDP("STK",표.실시간[[#This Row],[nxt_code]],"전일대비")</f>
        <v>1400</v>
      </c>
      <c r="K440">
        <f>_xll.IMDP("STK",표.실시간[[#This Row],[nxt_code]],"등락률")</f>
        <v>3.14</v>
      </c>
      <c r="L440" s="4">
        <f>_xll.IMDP("STK",표.실시간[[#This Row],[nxt_code]],"누적거래량")</f>
        <v>9007</v>
      </c>
      <c r="M440" s="4">
        <f>_xll.IMDP("STK",표.실시간[[#This Row],[nxt_code]],"누적거래대금")</f>
        <v>409902750</v>
      </c>
      <c r="N440" s="4">
        <f>_xll.IMDP("STK",표.실시간[[#This Row],[nxt_code]],"가중평균가")</f>
        <v>45509.353836000002</v>
      </c>
      <c r="O440" s="4">
        <f>_xll.IMDP("STK",표.실시간[[#This Row],[nxt_code]],"시가")</f>
        <v>45000</v>
      </c>
      <c r="P440" s="4">
        <f>_xll.IMDP("STK",표.실시간[[#This Row],[nxt_code]],"고가")</f>
        <v>46400</v>
      </c>
      <c r="Q440" s="4">
        <f>_xll.IMDP("STK",표.실시간[[#This Row],[nxt_code]],"저가")</f>
        <v>44950</v>
      </c>
      <c r="R440">
        <f>_xll.IMDP("STK",표.실시간[[#This Row],[nxt_code]],"세션명")</f>
        <v>0</v>
      </c>
      <c r="S440">
        <f>_xll.IMDP("STK",표.실시간[[#This Row],[nxt_code]],"체결시간")</f>
        <v>0</v>
      </c>
      <c r="T440" s="4">
        <f>_xll.IMDP("STK","002020","현재가")</f>
        <v>45950</v>
      </c>
      <c r="U440">
        <f>_xll.IMDP("STK","002020","누적거래량")</f>
        <v>5275</v>
      </c>
    </row>
    <row r="441" spans="3:21" x14ac:dyDescent="0.3">
      <c r="C441">
        <v>436</v>
      </c>
      <c r="D441">
        <v>105630</v>
      </c>
      <c r="E441" t="s">
        <v>453</v>
      </c>
      <c r="F441" t="str">
        <f>ConvertStockCode(표.실시간[[#This Row],[코드]])</f>
        <v>N105630</v>
      </c>
      <c r="G441" s="4">
        <f>_xll.IMDP("STK",표.실시간[[#This Row],[nxt_code]],"현재가")</f>
        <v>14190</v>
      </c>
      <c r="H441" s="4">
        <f>_xll.IMDP("STK",표.실시간[[#This Row],[nxt_code]],"시가총액")/10^12</f>
        <v>0.56759999999999999</v>
      </c>
      <c r="I441" t="str">
        <f>_xll.IMDP("","","전일대비부호")</f>
        <v>코드오류</v>
      </c>
      <c r="J441" s="5">
        <f>_xll.IMDP("STK",표.실시간[[#This Row],[nxt_code]],"전일대비")</f>
        <v>0</v>
      </c>
      <c r="K441">
        <f>_xll.IMDP("STK",표.실시간[[#This Row],[nxt_code]],"등락률")</f>
        <v>0</v>
      </c>
      <c r="L441" s="4">
        <f>_xll.IMDP("STK",표.실시간[[#This Row],[nxt_code]],"누적거래량")</f>
        <v>1743</v>
      </c>
      <c r="M441" s="4">
        <f>_xll.IMDP("STK",표.실시간[[#This Row],[nxt_code]],"누적거래대금")</f>
        <v>24726350</v>
      </c>
      <c r="N441" s="4">
        <f>_xll.IMDP("STK",표.실시간[[#This Row],[nxt_code]],"가중평균가")</f>
        <v>14186.087206</v>
      </c>
      <c r="O441" s="4">
        <f>_xll.IMDP("STK",표.실시간[[#This Row],[nxt_code]],"시가")</f>
        <v>14130</v>
      </c>
      <c r="P441" s="4">
        <f>_xll.IMDP("STK",표.실시간[[#This Row],[nxt_code]],"고가")</f>
        <v>14200</v>
      </c>
      <c r="Q441" s="4">
        <f>_xll.IMDP("STK",표.실시간[[#This Row],[nxt_code]],"저가")</f>
        <v>14130</v>
      </c>
      <c r="R441">
        <f>_xll.IMDP("STK",표.실시간[[#This Row],[nxt_code]],"세션명")</f>
        <v>0</v>
      </c>
      <c r="S441">
        <f>_xll.IMDP("STK",표.실시간[[#This Row],[nxt_code]],"체결시간")</f>
        <v>0</v>
      </c>
      <c r="T441" s="4">
        <f>_xll.IMDP("STK","105630","현재가")</f>
        <v>14110</v>
      </c>
      <c r="U441">
        <f>_xll.IMDP("STK","105630","누적거래량")</f>
        <v>197</v>
      </c>
    </row>
    <row r="442" spans="3:21" x14ac:dyDescent="0.3">
      <c r="C442">
        <v>437</v>
      </c>
      <c r="D442">
        <v>2960</v>
      </c>
      <c r="E442" t="s">
        <v>454</v>
      </c>
      <c r="F442" t="str">
        <f>ConvertStockCode(표.실시간[[#This Row],[코드]])</f>
        <v>N002960</v>
      </c>
      <c r="G442" s="4">
        <f>_xll.IMDP("STK",표.실시간[[#This Row],[nxt_code]],"현재가")</f>
        <v>434000</v>
      </c>
      <c r="H442" s="4">
        <f>_xll.IMDP("STK",표.실시간[[#This Row],[nxt_code]],"시가총액")/10^12</f>
        <v>0.56420000000000003</v>
      </c>
      <c r="I442" t="str">
        <f>_xll.IMDP("","","전일대비부호")</f>
        <v>코드오류</v>
      </c>
      <c r="J442" s="5">
        <f>_xll.IMDP("STK",표.실시간[[#This Row],[nxt_code]],"전일대비")</f>
        <v>0</v>
      </c>
      <c r="K442">
        <f>_xll.IMDP("STK",표.실시간[[#This Row],[nxt_code]],"등락률")</f>
        <v>0</v>
      </c>
      <c r="L442" s="4">
        <f>_xll.IMDP("STK",표.실시간[[#This Row],[nxt_code]],"누적거래량")</f>
        <v>13</v>
      </c>
      <c r="M442" s="4">
        <f>_xll.IMDP("STK",표.실시간[[#This Row],[nxt_code]],"누적거래대금")</f>
        <v>5644000</v>
      </c>
      <c r="N442" s="4">
        <f>_xll.IMDP("STK",표.실시간[[#This Row],[nxt_code]],"가중평균가")</f>
        <v>434153.84615400003</v>
      </c>
      <c r="O442" s="4">
        <f>_xll.IMDP("STK",표.실시간[[#This Row],[nxt_code]],"시가")</f>
        <v>435000</v>
      </c>
      <c r="P442" s="4">
        <f>_xll.IMDP("STK",표.실시간[[#This Row],[nxt_code]],"고가")</f>
        <v>435000</v>
      </c>
      <c r="Q442" s="4">
        <f>_xll.IMDP("STK",표.실시간[[#This Row],[nxt_code]],"저가")</f>
        <v>434000</v>
      </c>
      <c r="R442">
        <f>_xll.IMDP("STK",표.실시간[[#This Row],[nxt_code]],"세션명")</f>
        <v>0</v>
      </c>
      <c r="S442">
        <f>_xll.IMDP("STK",표.실시간[[#This Row],[nxt_code]],"체결시간")</f>
        <v>0</v>
      </c>
      <c r="T442" s="4">
        <f>_xll.IMDP("STK","002960","현재가")</f>
        <v>433000</v>
      </c>
      <c r="U442">
        <f>_xll.IMDP("STK","002960","누적거래량")</f>
        <v>23</v>
      </c>
    </row>
    <row r="443" spans="3:21" x14ac:dyDescent="0.3">
      <c r="C443">
        <v>438</v>
      </c>
      <c r="D443">
        <v>5420</v>
      </c>
      <c r="E443" t="s">
        <v>455</v>
      </c>
      <c r="F443" t="str">
        <f>ConvertStockCode(표.실시간[[#This Row],[코드]])</f>
        <v>N005420</v>
      </c>
      <c r="G443" s="4">
        <f>_xll.IMDP("STK",표.실시간[[#This Row],[nxt_code]],"현재가")</f>
        <v>16200</v>
      </c>
      <c r="H443" s="4">
        <f>_xll.IMDP("STK",표.실시간[[#This Row],[nxt_code]],"시가총액")/10^12</f>
        <v>0.62221329359999999</v>
      </c>
      <c r="I443" t="str">
        <f>_xll.IMDP("","","전일대비부호")</f>
        <v>코드오류</v>
      </c>
      <c r="J443" s="5">
        <f>_xll.IMDP("STK",표.실시간[[#This Row],[nxt_code]],"전일대비")</f>
        <v>440</v>
      </c>
      <c r="K443">
        <f>_xll.IMDP("STK",표.실시간[[#This Row],[nxt_code]],"등락률")</f>
        <v>3.25</v>
      </c>
      <c r="L443" s="4">
        <f>_xll.IMDP("STK",표.실시간[[#This Row],[nxt_code]],"누적거래량")</f>
        <v>311919</v>
      </c>
      <c r="M443" s="4">
        <f>_xll.IMDP("STK",표.실시간[[#This Row],[nxt_code]],"누적거래대금")</f>
        <v>5172199670</v>
      </c>
      <c r="N443" s="4">
        <f>_xll.IMDP("STK",표.실시간[[#This Row],[nxt_code]],"가중평균가")</f>
        <v>16581.867953000001</v>
      </c>
      <c r="O443" s="4">
        <f>_xll.IMDP("STK",표.실시간[[#This Row],[nxt_code]],"시가")</f>
        <v>16110</v>
      </c>
      <c r="P443" s="4">
        <f>_xll.IMDP("STK",표.실시간[[#This Row],[nxt_code]],"고가")</f>
        <v>16970</v>
      </c>
      <c r="Q443" s="4">
        <f>_xll.IMDP("STK",표.실시간[[#This Row],[nxt_code]],"저가")</f>
        <v>15810</v>
      </c>
      <c r="R443">
        <f>_xll.IMDP("STK",표.실시간[[#This Row],[nxt_code]],"세션명")</f>
        <v>0</v>
      </c>
      <c r="S443">
        <f>_xll.IMDP("STK",표.실시간[[#This Row],[nxt_code]],"체결시간")</f>
        <v>0</v>
      </c>
      <c r="T443" s="4">
        <f>_xll.IMDP("STK","005420","현재가")</f>
        <v>16200</v>
      </c>
      <c r="U443">
        <f>_xll.IMDP("STK","005420","누적거래량")</f>
        <v>49643</v>
      </c>
    </row>
    <row r="444" spans="3:21" x14ac:dyDescent="0.3">
      <c r="C444">
        <v>439</v>
      </c>
      <c r="D444">
        <v>17940</v>
      </c>
      <c r="E444" t="s">
        <v>456</v>
      </c>
      <c r="F444" t="str">
        <f>ConvertStockCode(표.실시간[[#This Row],[코드]])</f>
        <v>N017940</v>
      </c>
      <c r="G444" s="4">
        <f>_xll.IMDP("STK",표.실시간[[#This Row],[nxt_code]],"현재가")</f>
        <v>82500</v>
      </c>
      <c r="H444" s="4">
        <f>_xll.IMDP("STK",표.실시간[[#This Row],[nxt_code]],"시가총액")/10^12</f>
        <v>0.56594999999999995</v>
      </c>
      <c r="I444" t="str">
        <f>_xll.IMDP("","","전일대비부호")</f>
        <v>코드오류</v>
      </c>
      <c r="J444" s="5">
        <f>_xll.IMDP("STK",표.실시간[[#This Row],[nxt_code]],"전일대비")</f>
        <v>600</v>
      </c>
      <c r="K444">
        <f>_xll.IMDP("STK",표.실시간[[#This Row],[nxt_code]],"등락률")</f>
        <v>0.73</v>
      </c>
      <c r="L444" s="4">
        <f>_xll.IMDP("STK",표.실시간[[#This Row],[nxt_code]],"누적거래량")</f>
        <v>483</v>
      </c>
      <c r="M444" s="4">
        <f>_xll.IMDP("STK",표.실시간[[#This Row],[nxt_code]],"누적거래대금")</f>
        <v>39855400</v>
      </c>
      <c r="N444" s="4">
        <f>_xll.IMDP("STK",표.실시간[[#This Row],[nxt_code]],"가중평균가")</f>
        <v>82516.356108000007</v>
      </c>
      <c r="O444" s="4">
        <f>_xll.IMDP("STK",표.실시간[[#This Row],[nxt_code]],"시가")</f>
        <v>82600</v>
      </c>
      <c r="P444" s="4">
        <f>_xll.IMDP("STK",표.실시간[[#This Row],[nxt_code]],"고가")</f>
        <v>83000</v>
      </c>
      <c r="Q444" s="4">
        <f>_xll.IMDP("STK",표.실시간[[#This Row],[nxt_code]],"저가")</f>
        <v>82400</v>
      </c>
      <c r="R444">
        <f>_xll.IMDP("STK",표.실시간[[#This Row],[nxt_code]],"세션명")</f>
        <v>0</v>
      </c>
      <c r="S444">
        <f>_xll.IMDP("STK",표.실시간[[#This Row],[nxt_code]],"체결시간")</f>
        <v>0</v>
      </c>
      <c r="T444" s="4">
        <f>_xll.IMDP("STK","017940","현재가")</f>
        <v>82500</v>
      </c>
      <c r="U444">
        <f>_xll.IMDP("STK","017940","누적거래량")</f>
        <v>76</v>
      </c>
    </row>
    <row r="445" spans="3:21" x14ac:dyDescent="0.3">
      <c r="C445">
        <v>440</v>
      </c>
      <c r="D445">
        <v>95660</v>
      </c>
      <c r="E445" t="s">
        <v>457</v>
      </c>
      <c r="F445" t="str">
        <f>ConvertStockCode(표.실시간[[#This Row],[코드]])</f>
        <v>N095660</v>
      </c>
      <c r="G445" s="4">
        <f>_xll.IMDP("STK",표.실시간[[#This Row],[nxt_code]],"현재가")</f>
        <v>25950</v>
      </c>
      <c r="H445" s="4">
        <f>_xll.IMDP("STK",표.실시간[[#This Row],[nxt_code]],"시가총액")/10^12</f>
        <v>0.56718437519999998</v>
      </c>
      <c r="I445" t="str">
        <f>_xll.IMDP("","","전일대비부호")</f>
        <v>코드오류</v>
      </c>
      <c r="J445" s="5">
        <f>_xll.IMDP("STK",표.실시간[[#This Row],[nxt_code]],"전일대비")</f>
        <v>150</v>
      </c>
      <c r="K445">
        <f>_xll.IMDP("STK",표.실시간[[#This Row],[nxt_code]],"등락률")</f>
        <v>0.57999999999999996</v>
      </c>
      <c r="L445" s="4">
        <f>_xll.IMDP("STK",표.실시간[[#This Row],[nxt_code]],"누적거래량")</f>
        <v>1279</v>
      </c>
      <c r="M445" s="4">
        <f>_xll.IMDP("STK",표.실시간[[#This Row],[nxt_code]],"누적거래대금")</f>
        <v>33185400</v>
      </c>
      <c r="N445" s="4">
        <f>_xll.IMDP("STK",표.실시간[[#This Row],[nxt_code]],"가중평균가")</f>
        <v>25946.364346999999</v>
      </c>
      <c r="O445" s="4">
        <f>_xll.IMDP("STK",표.실시간[[#This Row],[nxt_code]],"시가")</f>
        <v>25800</v>
      </c>
      <c r="P445" s="4">
        <f>_xll.IMDP("STK",표.실시간[[#This Row],[nxt_code]],"고가")</f>
        <v>26050</v>
      </c>
      <c r="Q445" s="4">
        <f>_xll.IMDP("STK",표.실시간[[#This Row],[nxt_code]],"저가")</f>
        <v>25800</v>
      </c>
      <c r="R445">
        <f>_xll.IMDP("STK",표.실시간[[#This Row],[nxt_code]],"세션명")</f>
        <v>0</v>
      </c>
      <c r="S445">
        <f>_xll.IMDP("STK",표.실시간[[#This Row],[nxt_code]],"체결시간")</f>
        <v>0</v>
      </c>
      <c r="T445" s="4">
        <f>_xll.IMDP("STK","095660","현재가")</f>
        <v>25800</v>
      </c>
      <c r="U445">
        <f>_xll.IMDP("STK","095660","누적거래량")</f>
        <v>636</v>
      </c>
    </row>
    <row r="446" spans="3:21" x14ac:dyDescent="0.3">
      <c r="C446">
        <v>441</v>
      </c>
      <c r="D446">
        <v>5810</v>
      </c>
      <c r="E446" t="s">
        <v>458</v>
      </c>
      <c r="F446" t="str">
        <f>ConvertStockCode(표.실시간[[#This Row],[코드]])</f>
        <v>N005810</v>
      </c>
      <c r="G446" s="4">
        <f>_xll.IMDP("STK",표.실시간[[#This Row],[nxt_code]],"현재가")</f>
        <v>38650</v>
      </c>
      <c r="H446" s="4">
        <f>_xll.IMDP("STK",표.실시간[[#This Row],[nxt_code]],"시가총액")/10^12</f>
        <v>0.55722833579999997</v>
      </c>
      <c r="I446" t="str">
        <f>_xll.IMDP("","","전일대비부호")</f>
        <v>코드오류</v>
      </c>
      <c r="J446" s="5">
        <f>_xll.IMDP("STK",표.실시간[[#This Row],[nxt_code]],"전일대비")</f>
        <v>350</v>
      </c>
      <c r="K446">
        <f>_xll.IMDP("STK",표.실시간[[#This Row],[nxt_code]],"등락률")</f>
        <v>0.91</v>
      </c>
      <c r="L446" s="4">
        <f>_xll.IMDP("STK",표.실시간[[#This Row],[nxt_code]],"누적거래량")</f>
        <v>1156</v>
      </c>
      <c r="M446" s="4">
        <f>_xll.IMDP("STK",표.실시간[[#This Row],[nxt_code]],"누적거래대금")</f>
        <v>44713850</v>
      </c>
      <c r="N446" s="4">
        <f>_xll.IMDP("STK",표.실시간[[#This Row],[nxt_code]],"가중평균가")</f>
        <v>38679.801037999998</v>
      </c>
      <c r="O446" s="4">
        <f>_xll.IMDP("STK",표.실시간[[#This Row],[nxt_code]],"시가")</f>
        <v>39900</v>
      </c>
      <c r="P446" s="4">
        <f>_xll.IMDP("STK",표.실시간[[#This Row],[nxt_code]],"고가")</f>
        <v>39900</v>
      </c>
      <c r="Q446" s="4">
        <f>_xll.IMDP("STK",표.실시간[[#This Row],[nxt_code]],"저가")</f>
        <v>38300</v>
      </c>
      <c r="R446">
        <f>_xll.IMDP("STK",표.실시간[[#This Row],[nxt_code]],"세션명")</f>
        <v>0</v>
      </c>
      <c r="S446">
        <f>_xll.IMDP("STK",표.실시간[[#This Row],[nxt_code]],"체결시간")</f>
        <v>0</v>
      </c>
      <c r="T446" s="4">
        <f>_xll.IMDP("STK","005810","현재가")</f>
        <v>38750</v>
      </c>
      <c r="U446">
        <f>_xll.IMDP("STK","005810","누적거래량")</f>
        <v>393</v>
      </c>
    </row>
    <row r="447" spans="3:21" x14ac:dyDescent="0.3">
      <c r="C447">
        <v>442</v>
      </c>
      <c r="D447">
        <v>97520</v>
      </c>
      <c r="E447" t="s">
        <v>459</v>
      </c>
      <c r="F447" t="str">
        <f>ConvertStockCode(표.실시간[[#This Row],[코드]])</f>
        <v>N097520</v>
      </c>
      <c r="G447" s="4">
        <f>_xll.IMDP("STK",표.실시간[[#This Row],[nxt_code]],"현재가")</f>
        <v>30500</v>
      </c>
      <c r="H447" s="4">
        <f>_xll.IMDP("STK",표.실시간[[#This Row],[nxt_code]],"시가총액")/10^12</f>
        <v>0.53074575000000002</v>
      </c>
      <c r="I447" t="str">
        <f>_xll.IMDP("","","전일대비부호")</f>
        <v>코드오류</v>
      </c>
      <c r="J447" s="5">
        <f>_xll.IMDP("STK",표.실시간[[#This Row],[nxt_code]],"전일대비")</f>
        <v>-100</v>
      </c>
      <c r="K447">
        <f>_xll.IMDP("STK",표.실시간[[#This Row],[nxt_code]],"등락률")</f>
        <v>-0.33</v>
      </c>
      <c r="L447" s="4">
        <f>_xll.IMDP("STK",표.실시간[[#This Row],[nxt_code]],"누적거래량")</f>
        <v>7844</v>
      </c>
      <c r="M447" s="4">
        <f>_xll.IMDP("STK",표.실시간[[#This Row],[nxt_code]],"누적거래대금")</f>
        <v>239449250</v>
      </c>
      <c r="N447" s="4">
        <f>_xll.IMDP("STK",표.실시간[[#This Row],[nxt_code]],"가중평균가")</f>
        <v>30526.421469000001</v>
      </c>
      <c r="O447" s="4">
        <f>_xll.IMDP("STK",표.실시간[[#This Row],[nxt_code]],"시가")</f>
        <v>30600</v>
      </c>
      <c r="P447" s="4">
        <f>_xll.IMDP("STK",표.실시간[[#This Row],[nxt_code]],"고가")</f>
        <v>30800</v>
      </c>
      <c r="Q447" s="4">
        <f>_xll.IMDP("STK",표.실시간[[#This Row],[nxt_code]],"저가")</f>
        <v>30300</v>
      </c>
      <c r="R447">
        <f>_xll.IMDP("STK",표.실시간[[#This Row],[nxt_code]],"세션명")</f>
        <v>0</v>
      </c>
      <c r="S447">
        <f>_xll.IMDP("STK",표.실시간[[#This Row],[nxt_code]],"체결시간")</f>
        <v>0</v>
      </c>
      <c r="T447" s="4">
        <f>_xll.IMDP("STK","097520","현재가")</f>
        <v>30150</v>
      </c>
      <c r="U447">
        <f>_xll.IMDP("STK","097520","누적거래량")</f>
        <v>1754</v>
      </c>
    </row>
    <row r="448" spans="3:21" x14ac:dyDescent="0.3">
      <c r="C448">
        <v>443</v>
      </c>
      <c r="D448">
        <v>47920</v>
      </c>
      <c r="E448" t="s">
        <v>460</v>
      </c>
      <c r="F448" t="str">
        <f>ConvertStockCode(표.실시간[[#This Row],[코드]])</f>
        <v>N047920</v>
      </c>
      <c r="G448" s="4">
        <f>_xll.IMDP("STK",표.실시간[[#This Row],[nxt_code]],"현재가")</f>
        <v>17730</v>
      </c>
      <c r="H448" s="4">
        <f>_xll.IMDP("STK",표.실시간[[#This Row],[nxt_code]],"시가총액")/10^12</f>
        <v>0.58153258188000001</v>
      </c>
      <c r="I448" t="str">
        <f>_xll.IMDP("","","전일대비부호")</f>
        <v>코드오류</v>
      </c>
      <c r="J448" s="5">
        <f>_xll.IMDP("STK",표.실시간[[#This Row],[nxt_code]],"전일대비")</f>
        <v>-10</v>
      </c>
      <c r="K448">
        <f>_xll.IMDP("STK",표.실시간[[#This Row],[nxt_code]],"등락률")</f>
        <v>-0.06</v>
      </c>
      <c r="L448" s="4">
        <f>_xll.IMDP("STK",표.실시간[[#This Row],[nxt_code]],"누적거래량")</f>
        <v>22842</v>
      </c>
      <c r="M448" s="4">
        <f>_xll.IMDP("STK",표.실시간[[#This Row],[nxt_code]],"누적거래대금")</f>
        <v>401459590</v>
      </c>
      <c r="N448" s="4">
        <f>_xll.IMDP("STK",표.실시간[[#This Row],[nxt_code]],"가중평균가")</f>
        <v>17575.500832000002</v>
      </c>
      <c r="O448" s="4">
        <f>_xll.IMDP("STK",표.실시간[[#This Row],[nxt_code]],"시가")</f>
        <v>17750</v>
      </c>
      <c r="P448" s="4">
        <f>_xll.IMDP("STK",표.실시간[[#This Row],[nxt_code]],"고가")</f>
        <v>17750</v>
      </c>
      <c r="Q448" s="4">
        <f>_xll.IMDP("STK",표.실시간[[#This Row],[nxt_code]],"저가")</f>
        <v>17450</v>
      </c>
      <c r="R448">
        <f>_xll.IMDP("STK",표.실시간[[#This Row],[nxt_code]],"세션명")</f>
        <v>0</v>
      </c>
      <c r="S448">
        <f>_xll.IMDP("STK",표.실시간[[#This Row],[nxt_code]],"체결시간")</f>
        <v>0</v>
      </c>
      <c r="T448" s="4">
        <f>_xll.IMDP("STK","047920","현재가")</f>
        <v>17790</v>
      </c>
      <c r="U448">
        <f>_xll.IMDP("STK","047920","누적거래량")</f>
        <v>3045</v>
      </c>
    </row>
    <row r="449" spans="3:21" x14ac:dyDescent="0.3">
      <c r="C449">
        <v>444</v>
      </c>
      <c r="D449">
        <v>228760</v>
      </c>
      <c r="E449" t="s">
        <v>461</v>
      </c>
      <c r="F449" t="str">
        <f>ConvertStockCode(표.실시간[[#This Row],[코드]])</f>
        <v>N228760</v>
      </c>
      <c r="G449" s="4">
        <f>_xll.IMDP("STK",표.실시간[[#This Row],[nxt_code]],"현재가")</f>
        <v>23050</v>
      </c>
      <c r="H449" s="4">
        <f>_xll.IMDP("STK",표.실시간[[#This Row],[nxt_code]],"시가총액")/10^12</f>
        <v>0.56200673655</v>
      </c>
      <c r="I449" t="str">
        <f>_xll.IMDP("","","전일대비부호")</f>
        <v>코드오류</v>
      </c>
      <c r="J449" s="5">
        <f>_xll.IMDP("STK",표.실시간[[#This Row],[nxt_code]],"전일대비")</f>
        <v>0</v>
      </c>
      <c r="K449">
        <f>_xll.IMDP("STK",표.실시간[[#This Row],[nxt_code]],"등락률")</f>
        <v>0</v>
      </c>
      <c r="L449" s="4">
        <f>_xll.IMDP("STK",표.실시간[[#This Row],[nxt_code]],"누적거래량")</f>
        <v>11659</v>
      </c>
      <c r="M449" s="4">
        <f>_xll.IMDP("STK",표.실시간[[#This Row],[nxt_code]],"누적거래대금")</f>
        <v>270329850</v>
      </c>
      <c r="N449" s="4">
        <f>_xll.IMDP("STK",표.실시간[[#This Row],[nxt_code]],"가중평균가")</f>
        <v>23186.366754999999</v>
      </c>
      <c r="O449" s="4">
        <f>_xll.IMDP("STK",표.실시간[[#This Row],[nxt_code]],"시가")</f>
        <v>23300</v>
      </c>
      <c r="P449" s="4">
        <f>_xll.IMDP("STK",표.실시간[[#This Row],[nxt_code]],"고가")</f>
        <v>23400</v>
      </c>
      <c r="Q449" s="4">
        <f>_xll.IMDP("STK",표.실시간[[#This Row],[nxt_code]],"저가")</f>
        <v>23000</v>
      </c>
      <c r="R449">
        <f>_xll.IMDP("STK",표.실시간[[#This Row],[nxt_code]],"세션명")</f>
        <v>0</v>
      </c>
      <c r="S449">
        <f>_xll.IMDP("STK",표.실시간[[#This Row],[nxt_code]],"체결시간")</f>
        <v>0</v>
      </c>
      <c r="T449" s="4">
        <f>_xll.IMDP("STK","228760","현재가")</f>
        <v>23150</v>
      </c>
      <c r="U449">
        <f>_xll.IMDP("STK","228760","누적거래량")</f>
        <v>524</v>
      </c>
    </row>
    <row r="450" spans="3:21" x14ac:dyDescent="0.3">
      <c r="C450">
        <v>445</v>
      </c>
      <c r="D450">
        <v>484590</v>
      </c>
      <c r="E450" t="s">
        <v>462</v>
      </c>
      <c r="F450" t="str">
        <f>ConvertStockCode(표.실시간[[#This Row],[코드]])</f>
        <v>N484590</v>
      </c>
      <c r="G450" s="4">
        <f>_xll.IMDP("STK",표.실시간[[#This Row],[nxt_code]],"현재가")</f>
        <v>12860</v>
      </c>
      <c r="H450" s="4">
        <f>_xll.IMDP("STK",표.실시간[[#This Row],[nxt_code]],"시가총액")/10^12</f>
        <v>0.52996638699999998</v>
      </c>
      <c r="I450" t="str">
        <f>_xll.IMDP("","","전일대비부호")</f>
        <v>코드오류</v>
      </c>
      <c r="J450" s="5">
        <f>_xll.IMDP("STK",표.실시간[[#This Row],[nxt_code]],"전일대비")</f>
        <v>130</v>
      </c>
      <c r="K450">
        <f>_xll.IMDP("STK",표.실시간[[#This Row],[nxt_code]],"등락률")</f>
        <v>1.02</v>
      </c>
      <c r="L450" s="4">
        <f>_xll.IMDP("STK",표.실시간[[#This Row],[nxt_code]],"누적거래량")</f>
        <v>21822</v>
      </c>
      <c r="M450" s="4">
        <f>_xll.IMDP("STK",표.실시간[[#This Row],[nxt_code]],"누적거래대금")</f>
        <v>280672020</v>
      </c>
      <c r="N450" s="4">
        <f>_xll.IMDP("STK",표.실시간[[#This Row],[nxt_code]],"가중평균가")</f>
        <v>12861.88342</v>
      </c>
      <c r="O450" s="4">
        <f>_xll.IMDP("STK",표.실시간[[#This Row],[nxt_code]],"시가")</f>
        <v>12810</v>
      </c>
      <c r="P450" s="4">
        <f>_xll.IMDP("STK",표.실시간[[#This Row],[nxt_code]],"고가")</f>
        <v>13080</v>
      </c>
      <c r="Q450" s="4">
        <f>_xll.IMDP("STK",표.실시간[[#This Row],[nxt_code]],"저가")</f>
        <v>12790</v>
      </c>
      <c r="R450">
        <f>_xll.IMDP("STK",표.실시간[[#This Row],[nxt_code]],"세션명")</f>
        <v>0</v>
      </c>
      <c r="S450">
        <f>_xll.IMDP("STK",표.실시간[[#This Row],[nxt_code]],"체결시간")</f>
        <v>0</v>
      </c>
      <c r="T450" s="4">
        <f>_xll.IMDP("STK","484590","현재가")</f>
        <v>12860</v>
      </c>
      <c r="U450">
        <f>_xll.IMDP("STK","484590","누적거래량")</f>
        <v>5996</v>
      </c>
    </row>
    <row r="451" spans="3:21" x14ac:dyDescent="0.3">
      <c r="C451">
        <v>446</v>
      </c>
      <c r="D451">
        <v>105840</v>
      </c>
      <c r="E451" t="s">
        <v>463</v>
      </c>
      <c r="F451" t="str">
        <f>ConvertStockCode(표.실시간[[#This Row],[코드]])</f>
        <v>N105840</v>
      </c>
      <c r="G451" s="4">
        <f>_xll.IMDP("STK",표.실시간[[#This Row],[nxt_code]],"현재가")</f>
        <v>24950</v>
      </c>
      <c r="H451" s="4">
        <f>_xll.IMDP("STK",표.실시간[[#This Row],[nxt_code]],"시가총액")/10^12</f>
        <v>0.50393186649999999</v>
      </c>
      <c r="I451" t="str">
        <f>_xll.IMDP("","","전일대비부호")</f>
        <v>코드오류</v>
      </c>
      <c r="J451" s="5">
        <f>_xll.IMDP("STK",표.실시간[[#This Row],[nxt_code]],"전일대비")</f>
        <v>200</v>
      </c>
      <c r="K451">
        <f>_xll.IMDP("STK",표.실시간[[#This Row],[nxt_code]],"등락률")</f>
        <v>0.81</v>
      </c>
      <c r="L451" s="4">
        <f>_xll.IMDP("STK",표.실시간[[#This Row],[nxt_code]],"누적거래량")</f>
        <v>179920</v>
      </c>
      <c r="M451" s="4">
        <f>_xll.IMDP("STK",표.실시간[[#This Row],[nxt_code]],"누적거래대금")</f>
        <v>4547096050</v>
      </c>
      <c r="N451" s="4">
        <f>_xll.IMDP("STK",표.실시간[[#This Row],[nxt_code]],"가중평균가")</f>
        <v>25272.877111999998</v>
      </c>
      <c r="O451" s="4">
        <f>_xll.IMDP("STK",표.실시간[[#This Row],[nxt_code]],"시가")</f>
        <v>25000</v>
      </c>
      <c r="P451" s="4">
        <f>_xll.IMDP("STK",표.실시간[[#This Row],[nxt_code]],"고가")</f>
        <v>25750</v>
      </c>
      <c r="Q451" s="4">
        <f>_xll.IMDP("STK",표.실시간[[#This Row],[nxt_code]],"저가")</f>
        <v>24800</v>
      </c>
      <c r="R451">
        <f>_xll.IMDP("STK",표.실시간[[#This Row],[nxt_code]],"세션명")</f>
        <v>0</v>
      </c>
      <c r="S451">
        <f>_xll.IMDP("STK",표.실시간[[#This Row],[nxt_code]],"체결시간")</f>
        <v>0</v>
      </c>
      <c r="T451" s="4">
        <f>_xll.IMDP("STK","105840","현재가")</f>
        <v>24950</v>
      </c>
      <c r="U451">
        <f>_xll.IMDP("STK","105840","누적거래량")</f>
        <v>25468</v>
      </c>
    </row>
    <row r="452" spans="3:21" x14ac:dyDescent="0.3">
      <c r="C452">
        <v>447</v>
      </c>
      <c r="D452">
        <v>48410</v>
      </c>
      <c r="E452" t="s">
        <v>464</v>
      </c>
      <c r="F452" t="str">
        <f>ConvertStockCode(표.실시간[[#This Row],[코드]])</f>
        <v>N048410</v>
      </c>
      <c r="G452" s="4">
        <f>_xll.IMDP("STK",표.실시간[[#This Row],[nxt_code]],"현재가")</f>
        <v>5800</v>
      </c>
      <c r="H452" s="4">
        <f>_xll.IMDP("STK",표.실시간[[#This Row],[nxt_code]],"시가총액")/10^12</f>
        <v>0.55703756800000004</v>
      </c>
      <c r="I452" t="str">
        <f>_xll.IMDP("","","전일대비부호")</f>
        <v>코드오류</v>
      </c>
      <c r="J452" s="5">
        <f>_xll.IMDP("STK",표.실시간[[#This Row],[nxt_code]],"전일대비")</f>
        <v>-90</v>
      </c>
      <c r="K452">
        <f>_xll.IMDP("STK",표.실시간[[#This Row],[nxt_code]],"등락률")</f>
        <v>-1.53</v>
      </c>
      <c r="L452" s="4">
        <f>_xll.IMDP("STK",표.실시간[[#This Row],[nxt_code]],"누적거래량")</f>
        <v>102755</v>
      </c>
      <c r="M452" s="4">
        <f>_xll.IMDP("STK",표.실시간[[#This Row],[nxt_code]],"누적거래대금")</f>
        <v>600419910</v>
      </c>
      <c r="N452" s="4">
        <f>_xll.IMDP("STK",표.실시간[[#This Row],[nxt_code]],"가중평균가")</f>
        <v>5843.2184319999997</v>
      </c>
      <c r="O452" s="4">
        <f>_xll.IMDP("STK",표.실시간[[#This Row],[nxt_code]],"시가")</f>
        <v>4890</v>
      </c>
      <c r="P452" s="4">
        <f>_xll.IMDP("STK",표.실시간[[#This Row],[nxt_code]],"고가")</f>
        <v>5980</v>
      </c>
      <c r="Q452" s="4">
        <f>_xll.IMDP("STK",표.실시간[[#This Row],[nxt_code]],"저가")</f>
        <v>4890</v>
      </c>
      <c r="R452">
        <f>_xll.IMDP("STK",표.실시간[[#This Row],[nxt_code]],"세션명")</f>
        <v>0</v>
      </c>
      <c r="S452">
        <f>_xll.IMDP("STK",표.실시간[[#This Row],[nxt_code]],"체결시간")</f>
        <v>0</v>
      </c>
      <c r="T452" s="4">
        <f>_xll.IMDP("STK","048410","현재가")</f>
        <v>5820</v>
      </c>
      <c r="U452">
        <f>_xll.IMDP("STK","048410","누적거래량")</f>
        <v>26156</v>
      </c>
    </row>
    <row r="453" spans="3:21" x14ac:dyDescent="0.3">
      <c r="C453">
        <v>448</v>
      </c>
      <c r="D453">
        <v>356860</v>
      </c>
      <c r="E453" t="s">
        <v>465</v>
      </c>
      <c r="F453" t="str">
        <f>ConvertStockCode(표.실시간[[#This Row],[코드]])</f>
        <v>N356860</v>
      </c>
      <c r="G453" s="4">
        <f>_xll.IMDP("STK",표.실시간[[#This Row],[nxt_code]],"현재가")</f>
        <v>55400</v>
      </c>
      <c r="H453" s="4">
        <f>_xll.IMDP("STK",표.실시간[[#This Row],[nxt_code]],"시가총액")/10^12</f>
        <v>0.54472770199999998</v>
      </c>
      <c r="I453" t="str">
        <f>_xll.IMDP("","","전일대비부호")</f>
        <v>코드오류</v>
      </c>
      <c r="J453" s="5">
        <f>_xll.IMDP("STK",표.실시간[[#This Row],[nxt_code]],"전일대비")</f>
        <v>-400</v>
      </c>
      <c r="K453">
        <f>_xll.IMDP("STK",표.실시간[[#This Row],[nxt_code]],"등락률")</f>
        <v>-0.72</v>
      </c>
      <c r="L453" s="4">
        <f>_xll.IMDP("STK",표.실시간[[#This Row],[nxt_code]],"누적거래량")</f>
        <v>7222</v>
      </c>
      <c r="M453" s="4">
        <f>_xll.IMDP("STK",표.실시간[[#This Row],[nxt_code]],"누적거래대금")</f>
        <v>404949400</v>
      </c>
      <c r="N453" s="4">
        <f>_xll.IMDP("STK",표.실시간[[#This Row],[nxt_code]],"가중평균가")</f>
        <v>56071.642204000003</v>
      </c>
      <c r="O453" s="4">
        <f>_xll.IMDP("STK",표.실시간[[#This Row],[nxt_code]],"시가")</f>
        <v>55800</v>
      </c>
      <c r="P453" s="4">
        <f>_xll.IMDP("STK",표.실시간[[#This Row],[nxt_code]],"고가")</f>
        <v>56500</v>
      </c>
      <c r="Q453" s="4">
        <f>_xll.IMDP("STK",표.실시간[[#This Row],[nxt_code]],"저가")</f>
        <v>55400</v>
      </c>
      <c r="R453">
        <f>_xll.IMDP("STK",표.실시간[[#This Row],[nxt_code]],"세션명")</f>
        <v>0</v>
      </c>
      <c r="S453">
        <f>_xll.IMDP("STK",표.실시간[[#This Row],[nxt_code]],"체결시간")</f>
        <v>0</v>
      </c>
      <c r="T453" s="4">
        <f>_xll.IMDP("STK","356860","현재가")</f>
        <v>55500</v>
      </c>
      <c r="U453">
        <f>_xll.IMDP("STK","356860","누적거래량")</f>
        <v>1951</v>
      </c>
    </row>
    <row r="454" spans="3:21" x14ac:dyDescent="0.3">
      <c r="C454">
        <v>449</v>
      </c>
      <c r="D454">
        <v>30520</v>
      </c>
      <c r="E454" t="s">
        <v>466</v>
      </c>
      <c r="F454" t="str">
        <f>ConvertStockCode(표.실시간[[#This Row],[코드]])</f>
        <v>N030520</v>
      </c>
      <c r="G454" s="4">
        <f>_xll.IMDP("STK",표.실시간[[#This Row],[nxt_code]],"현재가")</f>
        <v>23000</v>
      </c>
      <c r="H454" s="4">
        <f>_xll.IMDP("STK",표.실시간[[#This Row],[nxt_code]],"시가총액")/10^12</f>
        <v>0.55613411199999996</v>
      </c>
      <c r="I454" t="str">
        <f>_xll.IMDP("","","전일대비부호")</f>
        <v>코드오류</v>
      </c>
      <c r="J454" s="5">
        <f>_xll.IMDP("STK",표.실시간[[#This Row],[nxt_code]],"전일대비")</f>
        <v>250</v>
      </c>
      <c r="K454">
        <f>_xll.IMDP("STK",표.실시간[[#This Row],[nxt_code]],"등락률")</f>
        <v>1.1000000000000001</v>
      </c>
      <c r="L454" s="4">
        <f>_xll.IMDP("STK",표.실시간[[#This Row],[nxt_code]],"누적거래량")</f>
        <v>28895</v>
      </c>
      <c r="M454" s="4">
        <f>_xll.IMDP("STK",표.실시간[[#This Row],[nxt_code]],"누적거래대금")</f>
        <v>665237800</v>
      </c>
      <c r="N454" s="4">
        <f>_xll.IMDP("STK",표.실시간[[#This Row],[nxt_code]],"가중평균가")</f>
        <v>23022.592143999998</v>
      </c>
      <c r="O454" s="4">
        <f>_xll.IMDP("STK",표.실시간[[#This Row],[nxt_code]],"시가")</f>
        <v>22950</v>
      </c>
      <c r="P454" s="4">
        <f>_xll.IMDP("STK",표.실시간[[#This Row],[nxt_code]],"고가")</f>
        <v>23100</v>
      </c>
      <c r="Q454" s="4">
        <f>_xll.IMDP("STK",표.실시간[[#This Row],[nxt_code]],"저가")</f>
        <v>22850</v>
      </c>
      <c r="R454">
        <f>_xll.IMDP("STK",표.실시간[[#This Row],[nxt_code]],"세션명")</f>
        <v>0</v>
      </c>
      <c r="S454">
        <f>_xll.IMDP("STK",표.실시간[[#This Row],[nxt_code]],"체결시간")</f>
        <v>0</v>
      </c>
      <c r="T454" s="4">
        <f>_xll.IMDP("STK","030520","현재가")</f>
        <v>22950</v>
      </c>
      <c r="U454">
        <f>_xll.IMDP("STK","030520","누적거래량")</f>
        <v>670</v>
      </c>
    </row>
    <row r="455" spans="3:21" x14ac:dyDescent="0.3">
      <c r="C455">
        <v>450</v>
      </c>
      <c r="D455">
        <v>90460</v>
      </c>
      <c r="E455" t="s">
        <v>467</v>
      </c>
      <c r="F455" t="str">
        <f>ConvertStockCode(표.실시간[[#This Row],[코드]])</f>
        <v>N090460</v>
      </c>
      <c r="G455" s="4">
        <f>_xll.IMDP("STK",표.실시간[[#This Row],[nxt_code]],"현재가")</f>
        <v>16470</v>
      </c>
      <c r="H455" s="4">
        <f>_xll.IMDP("STK",표.실시간[[#This Row],[nxt_code]],"시가총액")/10^12</f>
        <v>0.55522903085999997</v>
      </c>
      <c r="I455" t="str">
        <f>_xll.IMDP("","","전일대비부호")</f>
        <v>코드오류</v>
      </c>
      <c r="J455" s="5">
        <f>_xll.IMDP("STK",표.실시간[[#This Row],[nxt_code]],"전일대비")</f>
        <v>-20</v>
      </c>
      <c r="K455">
        <f>_xll.IMDP("STK",표.실시간[[#This Row],[nxt_code]],"등락률")</f>
        <v>-0.36</v>
      </c>
      <c r="L455" s="4">
        <f>_xll.IMDP("STK",표.실시간[[#This Row],[nxt_code]],"누적거래량")</f>
        <v>6169</v>
      </c>
      <c r="M455" s="4">
        <f>_xll.IMDP("STK",표.실시간[[#This Row],[nxt_code]],"누적거래대금")</f>
        <v>101973590</v>
      </c>
      <c r="N455" s="4">
        <f>_xll.IMDP("STK",표.실시간[[#This Row],[nxt_code]],"가중평균가")</f>
        <v>16530.003241999999</v>
      </c>
      <c r="O455" s="4">
        <f>_xll.IMDP("STK",표.실시간[[#This Row],[nxt_code]],"시가")</f>
        <v>16720</v>
      </c>
      <c r="P455" s="4">
        <f>_xll.IMDP("STK",표.실시간[[#This Row],[nxt_code]],"고가")</f>
        <v>16720</v>
      </c>
      <c r="Q455" s="4">
        <f>_xll.IMDP("STK",표.실시간[[#This Row],[nxt_code]],"저가")</f>
        <v>16430</v>
      </c>
      <c r="R455">
        <f>_xll.IMDP("STK",표.실시간[[#This Row],[nxt_code]],"세션명")</f>
        <v>0</v>
      </c>
      <c r="S455">
        <f>_xll.IMDP("STK",표.실시간[[#This Row],[nxt_code]],"체결시간")</f>
        <v>0</v>
      </c>
      <c r="T455" s="4">
        <f>_xll.IMDP("STK","090460","현재가")</f>
        <v>16500</v>
      </c>
      <c r="U455">
        <f>_xll.IMDP("STK","090460","누적거래량")</f>
        <v>4464</v>
      </c>
    </row>
    <row r="456" spans="3:21" x14ac:dyDescent="0.3">
      <c r="C456">
        <v>451</v>
      </c>
      <c r="D456">
        <v>171090</v>
      </c>
      <c r="E456" t="s">
        <v>468</v>
      </c>
      <c r="F456" t="str">
        <f>ConvertStockCode(표.실시간[[#This Row],[코드]])</f>
        <v>N171090</v>
      </c>
      <c r="G456" s="4">
        <f>_xll.IMDP("STK",표.실시간[[#This Row],[nxt_code]],"현재가")</f>
        <v>58700</v>
      </c>
      <c r="H456" s="4">
        <f>_xll.IMDP("STK",표.실시간[[#This Row],[nxt_code]],"시가총액")/10^12</f>
        <v>0.56126028480000001</v>
      </c>
      <c r="I456" t="str">
        <f>_xll.IMDP("","","전일대비부호")</f>
        <v>코드오류</v>
      </c>
      <c r="J456" s="5">
        <f>_xll.IMDP("STK",표.실시간[[#This Row],[nxt_code]],"전일대비")</f>
        <v>800</v>
      </c>
      <c r="K456">
        <f>_xll.IMDP("STK",표.실시간[[#This Row],[nxt_code]],"등락률")</f>
        <v>1.03</v>
      </c>
      <c r="L456" s="4">
        <f>_xll.IMDP("STK",표.실시간[[#This Row],[nxt_code]],"누적거래량")</f>
        <v>27598</v>
      </c>
      <c r="M456" s="4">
        <f>_xll.IMDP("STK",표.실시간[[#This Row],[nxt_code]],"누적거래대금")</f>
        <v>1661888000</v>
      </c>
      <c r="N456" s="4">
        <f>_xll.IMDP("STK",표.실시간[[#This Row],[nxt_code]],"가중평균가")</f>
        <v>60082.718726999999</v>
      </c>
      <c r="O456" s="4">
        <f>_xll.IMDP("STK",표.실시간[[#This Row],[nxt_code]],"시가")</f>
        <v>59900</v>
      </c>
      <c r="P456" s="4">
        <f>_xll.IMDP("STK",표.실시간[[#This Row],[nxt_code]],"고가")</f>
        <v>61000</v>
      </c>
      <c r="Q456" s="4">
        <f>_xll.IMDP("STK",표.실시간[[#This Row],[nxt_code]],"저가")</f>
        <v>58400</v>
      </c>
      <c r="R456">
        <f>_xll.IMDP("STK",표.실시간[[#This Row],[nxt_code]],"세션명")</f>
        <v>0</v>
      </c>
      <c r="S456">
        <f>_xll.IMDP("STK",표.실시간[[#This Row],[nxt_code]],"체결시간")</f>
        <v>0</v>
      </c>
      <c r="T456" s="4">
        <f>_xll.IMDP("STK","171090","현재가")</f>
        <v>59200</v>
      </c>
      <c r="U456">
        <f>_xll.IMDP("STK","171090","누적거래량")</f>
        <v>4731</v>
      </c>
    </row>
    <row r="457" spans="3:21" x14ac:dyDescent="0.3">
      <c r="C457">
        <v>452</v>
      </c>
      <c r="D457">
        <v>336370</v>
      </c>
      <c r="E457" t="s">
        <v>469</v>
      </c>
      <c r="F457" t="str">
        <f>ConvertStockCode(표.실시간[[#This Row],[코드]])</f>
        <v>N336370</v>
      </c>
      <c r="G457" s="4">
        <f>_xll.IMDP("STK",표.실시간[[#This Row],[nxt_code]],"현재가")</f>
        <v>7940</v>
      </c>
      <c r="H457" s="4">
        <f>_xll.IMDP("STK",표.실시간[[#This Row],[nxt_code]],"시가총액")/10^12</f>
        <v>0.55752571135999995</v>
      </c>
      <c r="I457" t="str">
        <f>_xll.IMDP("","","전일대비부호")</f>
        <v>코드오류</v>
      </c>
      <c r="J457" s="5">
        <f>_xll.IMDP("STK",표.실시간[[#This Row],[nxt_code]],"전일대비")</f>
        <v>70</v>
      </c>
      <c r="K457">
        <f>_xll.IMDP("STK",표.실시간[[#This Row],[nxt_code]],"등락률")</f>
        <v>0.89</v>
      </c>
      <c r="L457" s="4">
        <f>_xll.IMDP("STK",표.실시간[[#This Row],[nxt_code]],"누적거래량")</f>
        <v>121871</v>
      </c>
      <c r="M457" s="4">
        <f>_xll.IMDP("STK",표.실시간[[#This Row],[nxt_code]],"누적거래대금")</f>
        <v>982264080</v>
      </c>
      <c r="N457" s="4">
        <f>_xll.IMDP("STK",표.실시간[[#This Row],[nxt_code]],"가중평균가")</f>
        <v>8059.8672370000004</v>
      </c>
      <c r="O457" s="4">
        <f>_xll.IMDP("STK",표.실시간[[#This Row],[nxt_code]],"시가")</f>
        <v>8050</v>
      </c>
      <c r="P457" s="4">
        <f>_xll.IMDP("STK",표.실시간[[#This Row],[nxt_code]],"고가")</f>
        <v>8150</v>
      </c>
      <c r="Q457" s="4">
        <f>_xll.IMDP("STK",표.실시간[[#This Row],[nxt_code]],"저가")</f>
        <v>7930</v>
      </c>
      <c r="R457">
        <f>_xll.IMDP("STK",표.실시간[[#This Row],[nxt_code]],"세션명")</f>
        <v>0</v>
      </c>
      <c r="S457">
        <f>_xll.IMDP("STK",표.실시간[[#This Row],[nxt_code]],"체결시간")</f>
        <v>0</v>
      </c>
      <c r="T457" s="4">
        <f>_xll.IMDP("STK","336370","현재가")</f>
        <v>7930</v>
      </c>
      <c r="U457">
        <f>_xll.IMDP("STK","336370","누적거래량")</f>
        <v>37208</v>
      </c>
    </row>
    <row r="458" spans="3:21" x14ac:dyDescent="0.3">
      <c r="C458">
        <v>453</v>
      </c>
      <c r="D458">
        <v>220100</v>
      </c>
      <c r="E458" t="s">
        <v>470</v>
      </c>
      <c r="F458" t="str">
        <f>ConvertStockCode(표.실시간[[#This Row],[코드]])</f>
        <v>N220100</v>
      </c>
      <c r="G458" s="4">
        <f>_xll.IMDP("STK",표.실시간[[#This Row],[nxt_code]],"현재가")</f>
        <v>23500</v>
      </c>
      <c r="H458" s="4">
        <f>_xll.IMDP("STK",표.실시간[[#This Row],[nxt_code]],"시가총액")/10^12</f>
        <v>0.52704437000000004</v>
      </c>
      <c r="I458" t="str">
        <f>_xll.IMDP("","","전일대비부호")</f>
        <v>코드오류</v>
      </c>
      <c r="J458" s="5">
        <f>_xll.IMDP("STK",표.실시간[[#This Row],[nxt_code]],"전일대비")</f>
        <v>250</v>
      </c>
      <c r="K458">
        <f>_xll.IMDP("STK",표.실시간[[#This Row],[nxt_code]],"등락률")</f>
        <v>1.08</v>
      </c>
      <c r="L458" s="4">
        <f>_xll.IMDP("STK",표.실시간[[#This Row],[nxt_code]],"누적거래량")</f>
        <v>13295</v>
      </c>
      <c r="M458" s="4">
        <f>_xll.IMDP("STK",표.실시간[[#This Row],[nxt_code]],"누적거래대금")</f>
        <v>309150550</v>
      </c>
      <c r="N458" s="4">
        <f>_xll.IMDP("STK",표.실시간[[#This Row],[nxt_code]],"가중평균가")</f>
        <v>23253.144038999999</v>
      </c>
      <c r="O458" s="4">
        <f>_xll.IMDP("STK",표.실시간[[#This Row],[nxt_code]],"시가")</f>
        <v>23500</v>
      </c>
      <c r="P458" s="4">
        <f>_xll.IMDP("STK",표.실시간[[#This Row],[nxt_code]],"고가")</f>
        <v>23500</v>
      </c>
      <c r="Q458" s="4">
        <f>_xll.IMDP("STK",표.실시간[[#This Row],[nxt_code]],"저가")</f>
        <v>23000</v>
      </c>
      <c r="R458">
        <f>_xll.IMDP("STK",표.실시간[[#This Row],[nxt_code]],"세션명")</f>
        <v>0</v>
      </c>
      <c r="S458">
        <f>_xll.IMDP("STK",표.실시간[[#This Row],[nxt_code]],"체결시간")</f>
        <v>0</v>
      </c>
      <c r="T458" s="4">
        <f>_xll.IMDP("STK","220100","현재가")</f>
        <v>23200</v>
      </c>
      <c r="U458">
        <f>_xll.IMDP("STK","220100","누적거래량")</f>
        <v>3325</v>
      </c>
    </row>
    <row r="459" spans="3:21" x14ac:dyDescent="0.3">
      <c r="C459">
        <v>454</v>
      </c>
      <c r="D459">
        <v>1500</v>
      </c>
      <c r="E459" t="s">
        <v>471</v>
      </c>
      <c r="F459" t="str">
        <f>ConvertStockCode(표.실시간[[#This Row],[코드]])</f>
        <v>N001500</v>
      </c>
      <c r="G459" s="4">
        <f>_xll.IMDP("STK",표.실시간[[#This Row],[nxt_code]],"현재가")</f>
        <v>8660</v>
      </c>
      <c r="H459" s="4">
        <f>_xll.IMDP("STK",표.실시간[[#This Row],[nxt_code]],"시가총액")/10^12</f>
        <v>0.53547416104000001</v>
      </c>
      <c r="I459" t="str">
        <f>_xll.IMDP("","","전일대비부호")</f>
        <v>코드오류</v>
      </c>
      <c r="J459" s="5">
        <f>_xll.IMDP("STK",표.실시간[[#This Row],[nxt_code]],"전일대비")</f>
        <v>70</v>
      </c>
      <c r="K459">
        <f>_xll.IMDP("STK",표.실시간[[#This Row],[nxt_code]],"등락률")</f>
        <v>0.81</v>
      </c>
      <c r="L459" s="4">
        <f>_xll.IMDP("STK",표.실시간[[#This Row],[nxt_code]],"누적거래량")</f>
        <v>28308</v>
      </c>
      <c r="M459" s="4">
        <f>_xll.IMDP("STK",표.실시간[[#This Row],[nxt_code]],"누적거래대금")</f>
        <v>246052380</v>
      </c>
      <c r="N459" s="4">
        <f>_xll.IMDP("STK",표.실시간[[#This Row],[nxt_code]],"가중평균가")</f>
        <v>8691.9732939999994</v>
      </c>
      <c r="O459" s="4">
        <f>_xll.IMDP("STK",표.실시간[[#This Row],[nxt_code]],"시가")</f>
        <v>8680</v>
      </c>
      <c r="P459" s="4">
        <f>_xll.IMDP("STK",표.실시간[[#This Row],[nxt_code]],"고가")</f>
        <v>8760</v>
      </c>
      <c r="Q459" s="4">
        <f>_xll.IMDP("STK",표.실시간[[#This Row],[nxt_code]],"저가")</f>
        <v>8610</v>
      </c>
      <c r="R459">
        <f>_xll.IMDP("STK",표.실시간[[#This Row],[nxt_code]],"세션명")</f>
        <v>0</v>
      </c>
      <c r="S459">
        <f>_xll.IMDP("STK",표.실시간[[#This Row],[nxt_code]],"체결시간")</f>
        <v>0</v>
      </c>
      <c r="T459" s="4">
        <f>_xll.IMDP("STK","001500","현재가")</f>
        <v>8710</v>
      </c>
      <c r="U459">
        <f>_xll.IMDP("STK","001500","누적거래량")</f>
        <v>3886</v>
      </c>
    </row>
    <row r="460" spans="3:21" x14ac:dyDescent="0.3">
      <c r="C460">
        <v>455</v>
      </c>
      <c r="D460">
        <v>475400</v>
      </c>
      <c r="E460" t="s">
        <v>472</v>
      </c>
      <c r="F460" t="str">
        <f>ConvertStockCode(표.실시간[[#This Row],[코드]])</f>
        <v>N475400</v>
      </c>
      <c r="G460" s="4">
        <f>_xll.IMDP("STK",표.실시간[[#This Row],[nxt_code]],"현재가")</f>
        <v>39150</v>
      </c>
      <c r="H460" s="4">
        <f>_xll.IMDP("STK",표.실시간[[#This Row],[nxt_code]],"시가총액")/10^12</f>
        <v>0.45812006729999999</v>
      </c>
      <c r="I460" t="str">
        <f>_xll.IMDP("","","전일대비부호")</f>
        <v>코드오류</v>
      </c>
      <c r="J460" s="5">
        <f>_xll.IMDP("STK",표.실시간[[#This Row],[nxt_code]],"전일대비")</f>
        <v>-750</v>
      </c>
      <c r="K460">
        <f>_xll.IMDP("STK",표.실시간[[#This Row],[nxt_code]],"등락률")</f>
        <v>-1.88</v>
      </c>
      <c r="L460" s="4">
        <f>_xll.IMDP("STK",표.실시간[[#This Row],[nxt_code]],"누적거래량")</f>
        <v>56457</v>
      </c>
      <c r="M460" s="4">
        <f>_xll.IMDP("STK",표.실시간[[#This Row],[nxt_code]],"누적거래대금")</f>
        <v>2256475250</v>
      </c>
      <c r="N460" s="4">
        <f>_xll.IMDP("STK",표.실시간[[#This Row],[nxt_code]],"가중평균가")</f>
        <v>39944.6849</v>
      </c>
      <c r="O460" s="4">
        <f>_xll.IMDP("STK",표.실시간[[#This Row],[nxt_code]],"시가")</f>
        <v>41400</v>
      </c>
      <c r="P460" s="4">
        <f>_xll.IMDP("STK",표.실시간[[#This Row],[nxt_code]],"고가")</f>
        <v>42300</v>
      </c>
      <c r="Q460" s="4">
        <f>_xll.IMDP("STK",표.실시간[[#This Row],[nxt_code]],"저가")</f>
        <v>38950</v>
      </c>
      <c r="R460">
        <f>_xll.IMDP("STK",표.실시간[[#This Row],[nxt_code]],"세션명")</f>
        <v>0</v>
      </c>
      <c r="S460">
        <f>_xll.IMDP("STK",표.실시간[[#This Row],[nxt_code]],"체결시간")</f>
        <v>0</v>
      </c>
      <c r="T460" s="4">
        <f>_xll.IMDP("STK","475400","현재가")</f>
        <v>39150</v>
      </c>
      <c r="U460">
        <f>_xll.IMDP("STK","475400","누적거래량")</f>
        <v>9233</v>
      </c>
    </row>
    <row r="461" spans="3:21" x14ac:dyDescent="0.3">
      <c r="C461">
        <v>456</v>
      </c>
      <c r="D461">
        <v>33240</v>
      </c>
      <c r="E461" t="s">
        <v>473</v>
      </c>
      <c r="F461" t="str">
        <f>ConvertStockCode(표.실시간[[#This Row],[코드]])</f>
        <v>N033240</v>
      </c>
      <c r="G461" s="4">
        <f>_xll.IMDP("STK",표.실시간[[#This Row],[nxt_code]],"현재가")</f>
        <v>22600</v>
      </c>
      <c r="H461" s="4">
        <f>_xll.IMDP("STK",표.실시간[[#This Row],[nxt_code]],"시가총액")/10^12</f>
        <v>0.49169997360000001</v>
      </c>
      <c r="I461" t="str">
        <f>_xll.IMDP("","","전일대비부호")</f>
        <v>코드오류</v>
      </c>
      <c r="J461" s="5">
        <f>_xll.IMDP("STK",표.실시간[[#This Row],[nxt_code]],"전일대비")</f>
        <v>-100</v>
      </c>
      <c r="K461">
        <f>_xll.IMDP("STK",표.실시간[[#This Row],[nxt_code]],"등락률")</f>
        <v>-0.44</v>
      </c>
      <c r="L461" s="4">
        <f>_xll.IMDP("STK",표.실시간[[#This Row],[nxt_code]],"누적거래량")</f>
        <v>29386</v>
      </c>
      <c r="M461" s="4">
        <f>_xll.IMDP("STK",표.실시간[[#This Row],[nxt_code]],"누적거래대금")</f>
        <v>673922600</v>
      </c>
      <c r="N461" s="4">
        <f>_xll.IMDP("STK",표.실시간[[#This Row],[nxt_code]],"가중평균가")</f>
        <v>22933.458108999999</v>
      </c>
      <c r="O461" s="4">
        <f>_xll.IMDP("STK",표.실시간[[#This Row],[nxt_code]],"시가")</f>
        <v>23050</v>
      </c>
      <c r="P461" s="4">
        <f>_xll.IMDP("STK",표.실시간[[#This Row],[nxt_code]],"고가")</f>
        <v>23100</v>
      </c>
      <c r="Q461" s="4">
        <f>_xll.IMDP("STK",표.실시간[[#This Row],[nxt_code]],"저가")</f>
        <v>22600</v>
      </c>
      <c r="R461">
        <f>_xll.IMDP("STK",표.실시간[[#This Row],[nxt_code]],"세션명")</f>
        <v>0</v>
      </c>
      <c r="S461">
        <f>_xll.IMDP("STK",표.실시간[[#This Row],[nxt_code]],"체결시간")</f>
        <v>0</v>
      </c>
      <c r="T461" s="4">
        <f>_xll.IMDP("STK","033240","현재가")</f>
        <v>22550</v>
      </c>
      <c r="U461">
        <f>_xll.IMDP("STK","033240","누적거래량")</f>
        <v>15407</v>
      </c>
    </row>
    <row r="462" spans="3:21" x14ac:dyDescent="0.3">
      <c r="C462">
        <v>457</v>
      </c>
      <c r="D462">
        <v>16590</v>
      </c>
      <c r="E462" t="s">
        <v>474</v>
      </c>
      <c r="F462" t="str">
        <f>ConvertStockCode(표.실시간[[#This Row],[코드]])</f>
        <v>N016590</v>
      </c>
      <c r="G462" s="4">
        <f>_xll.IMDP("STK",표.실시간[[#This Row],[nxt_code]],"현재가")</f>
        <v>12280</v>
      </c>
      <c r="H462" s="4">
        <f>_xll.IMDP("STK",표.실시간[[#This Row],[nxt_code]],"시가총액")/10^12</f>
        <v>0.4948572296</v>
      </c>
      <c r="I462" t="str">
        <f>_xll.IMDP("","","전일대비부호")</f>
        <v>코드오류</v>
      </c>
      <c r="J462" s="5">
        <f>_xll.IMDP("STK",표.실시간[[#This Row],[nxt_code]],"전일대비")</f>
        <v>30</v>
      </c>
      <c r="K462">
        <f>_xll.IMDP("STK",표.실시간[[#This Row],[nxt_code]],"등락률")</f>
        <v>0.24</v>
      </c>
      <c r="L462" s="4">
        <f>_xll.IMDP("STK",표.실시간[[#This Row],[nxt_code]],"누적거래량")</f>
        <v>279</v>
      </c>
      <c r="M462" s="4">
        <f>_xll.IMDP("STK",표.실시간[[#This Row],[nxt_code]],"누적거래대금")</f>
        <v>3424700</v>
      </c>
      <c r="N462" s="4">
        <f>_xll.IMDP("STK",표.실시간[[#This Row],[nxt_code]],"가중평균가")</f>
        <v>12274.910394</v>
      </c>
      <c r="O462" s="4">
        <f>_xll.IMDP("STK",표.실시간[[#This Row],[nxt_code]],"시가")</f>
        <v>12270</v>
      </c>
      <c r="P462" s="4">
        <f>_xll.IMDP("STK",표.실시간[[#This Row],[nxt_code]],"고가")</f>
        <v>12280</v>
      </c>
      <c r="Q462" s="4">
        <f>_xll.IMDP("STK",표.실시간[[#This Row],[nxt_code]],"저가")</f>
        <v>12270</v>
      </c>
      <c r="R462">
        <f>_xll.IMDP("STK",표.실시간[[#This Row],[nxt_code]],"세션명")</f>
        <v>0</v>
      </c>
      <c r="S462">
        <f>_xll.IMDP("STK",표.실시간[[#This Row],[nxt_code]],"체결시간")</f>
        <v>0</v>
      </c>
      <c r="T462" s="4">
        <f>_xll.IMDP("STK","016590","현재가")</f>
        <v>12270</v>
      </c>
      <c r="U462">
        <f>_xll.IMDP("STK","016590","누적거래량")</f>
        <v>51</v>
      </c>
    </row>
    <row r="463" spans="3:21" x14ac:dyDescent="0.3">
      <c r="C463">
        <v>458</v>
      </c>
      <c r="D463">
        <v>89010</v>
      </c>
      <c r="E463" t="s">
        <v>475</v>
      </c>
      <c r="F463" t="str">
        <f>ConvertStockCode(표.실시간[[#This Row],[코드]])</f>
        <v>N089010</v>
      </c>
      <c r="G463" s="4">
        <f>_xll.IMDP("STK",표.실시간[[#This Row],[nxt_code]],"현재가")</f>
        <v>32100</v>
      </c>
      <c r="H463" s="4">
        <f>_xll.IMDP("STK",표.실시간[[#This Row],[nxt_code]],"시가총액")/10^12</f>
        <v>0.52449226829999995</v>
      </c>
      <c r="I463" t="str">
        <f>_xll.IMDP("","","전일대비부호")</f>
        <v>코드오류</v>
      </c>
      <c r="J463" s="5">
        <f>_xll.IMDP("STK",표.실시간[[#This Row],[nxt_code]],"전일대비")</f>
        <v>-700</v>
      </c>
      <c r="K463">
        <f>_xll.IMDP("STK",표.실시간[[#This Row],[nxt_code]],"등락률")</f>
        <v>-2.2799999999999998</v>
      </c>
      <c r="L463" s="4">
        <f>_xll.IMDP("STK",표.실시간[[#This Row],[nxt_code]],"누적거래량")</f>
        <v>203766</v>
      </c>
      <c r="M463" s="4">
        <f>_xll.IMDP("STK",표.실시간[[#This Row],[nxt_code]],"누적거래대금")</f>
        <v>6772967225</v>
      </c>
      <c r="N463" s="4">
        <f>_xll.IMDP("STK",표.실시간[[#This Row],[nxt_code]],"가중평균가")</f>
        <v>33238.946757999998</v>
      </c>
      <c r="O463" s="4">
        <f>_xll.IMDP("STK",표.실시간[[#This Row],[nxt_code]],"시가")</f>
        <v>33350</v>
      </c>
      <c r="P463" s="4">
        <f>_xll.IMDP("STK",표.실시간[[#This Row],[nxt_code]],"고가")</f>
        <v>34000</v>
      </c>
      <c r="Q463" s="4">
        <f>_xll.IMDP("STK",표.실시간[[#This Row],[nxt_code]],"저가")</f>
        <v>32100</v>
      </c>
      <c r="R463">
        <f>_xll.IMDP("STK",표.실시간[[#This Row],[nxt_code]],"세션명")</f>
        <v>0</v>
      </c>
      <c r="S463">
        <f>_xll.IMDP("STK",표.실시간[[#This Row],[nxt_code]],"체결시간")</f>
        <v>0</v>
      </c>
      <c r="T463" s="4">
        <f>_xll.IMDP("STK","089010","현재가")</f>
        <v>32100</v>
      </c>
      <c r="U463">
        <f>_xll.IMDP("STK","089010","누적거래량")</f>
        <v>30886</v>
      </c>
    </row>
    <row r="464" spans="3:21" x14ac:dyDescent="0.3">
      <c r="C464">
        <v>459</v>
      </c>
      <c r="D464">
        <v>9900</v>
      </c>
      <c r="E464" t="s">
        <v>476</v>
      </c>
      <c r="F464" t="str">
        <f>ConvertStockCode(표.실시간[[#This Row],[코드]])</f>
        <v>N009900</v>
      </c>
      <c r="G464" s="4">
        <f>_xll.IMDP("STK",표.실시간[[#This Row],[nxt_code]],"현재가")</f>
        <v>9490</v>
      </c>
      <c r="H464" s="4">
        <f>_xll.IMDP("STK",표.실시간[[#This Row],[nxt_code]],"시가총액")/10^12</f>
        <v>0.49794156217000002</v>
      </c>
      <c r="I464" t="str">
        <f>_xll.IMDP("","","전일대비부호")</f>
        <v>코드오류</v>
      </c>
      <c r="J464" s="5">
        <f>_xll.IMDP("STK",표.실시간[[#This Row],[nxt_code]],"전일대비")</f>
        <v>20</v>
      </c>
      <c r="K464">
        <f>_xll.IMDP("STK",표.실시간[[#This Row],[nxt_code]],"등락률")</f>
        <v>-0.52</v>
      </c>
      <c r="L464" s="4">
        <f>_xll.IMDP("STK",표.실시간[[#This Row],[nxt_code]],"누적거래량")</f>
        <v>23261</v>
      </c>
      <c r="M464" s="4">
        <f>_xll.IMDP("STK",표.실시간[[#This Row],[nxt_code]],"누적거래대금")</f>
        <v>222842810</v>
      </c>
      <c r="N464" s="4">
        <f>_xll.IMDP("STK",표.실시간[[#This Row],[nxt_code]],"가중평균가")</f>
        <v>9580.1044669999992</v>
      </c>
      <c r="O464" s="4">
        <f>_xll.IMDP("STK",표.실시간[[#This Row],[nxt_code]],"시가")</f>
        <v>9370</v>
      </c>
      <c r="P464" s="4">
        <f>_xll.IMDP("STK",표.실시간[[#This Row],[nxt_code]],"고가")</f>
        <v>9660</v>
      </c>
      <c r="Q464" s="4">
        <f>_xll.IMDP("STK",표.실시간[[#This Row],[nxt_code]],"저가")</f>
        <v>9370</v>
      </c>
      <c r="R464">
        <f>_xll.IMDP("STK",표.실시간[[#This Row],[nxt_code]],"세션명")</f>
        <v>0</v>
      </c>
      <c r="S464">
        <f>_xll.IMDP("STK",표.실시간[[#This Row],[nxt_code]],"체결시간")</f>
        <v>0</v>
      </c>
      <c r="T464" s="4">
        <f>_xll.IMDP("STK","009900","현재가")</f>
        <v>9500</v>
      </c>
      <c r="U464">
        <f>_xll.IMDP("STK","009900","누적거래량")</f>
        <v>5267</v>
      </c>
    </row>
    <row r="465" spans="3:21" x14ac:dyDescent="0.3">
      <c r="C465">
        <v>460</v>
      </c>
      <c r="D465">
        <v>4690</v>
      </c>
      <c r="E465" t="s">
        <v>477</v>
      </c>
      <c r="F465" t="str">
        <f>ConvertStockCode(표.실시간[[#This Row],[코드]])</f>
        <v>N004690</v>
      </c>
      <c r="G465" s="4">
        <f>_xll.IMDP("STK",표.실시간[[#This Row],[nxt_code]],"현재가")</f>
        <v>128500</v>
      </c>
      <c r="H465" s="4">
        <f>_xll.IMDP("STK",표.실시간[[#This Row],[nxt_code]],"시가총액")/10^12</f>
        <v>0.52107071250000003</v>
      </c>
      <c r="I465" t="str">
        <f>_xll.IMDP("","","전일대비부호")</f>
        <v>코드오류</v>
      </c>
      <c r="J465" s="5">
        <f>_xll.IMDP("STK",표.실시간[[#This Row],[nxt_code]],"전일대비")</f>
        <v>1700</v>
      </c>
      <c r="K465">
        <f>_xll.IMDP("STK",표.실시간[[#This Row],[nxt_code]],"등락률")</f>
        <v>1.34</v>
      </c>
      <c r="L465" s="4">
        <f>_xll.IMDP("STK",표.실시간[[#This Row],[nxt_code]],"누적거래량")</f>
        <v>1055</v>
      </c>
      <c r="M465" s="4">
        <f>_xll.IMDP("STK",표.실시간[[#This Row],[nxt_code]],"누적거래대금")</f>
        <v>134657900</v>
      </c>
      <c r="N465" s="4">
        <f>_xll.IMDP("STK",표.실시간[[#This Row],[nxt_code]],"가중평균가")</f>
        <v>127637.819905</v>
      </c>
      <c r="O465" s="4">
        <f>_xll.IMDP("STK",표.실시간[[#This Row],[nxt_code]],"시가")</f>
        <v>126900</v>
      </c>
      <c r="P465" s="4">
        <f>_xll.IMDP("STK",표.실시간[[#This Row],[nxt_code]],"고가")</f>
        <v>128500</v>
      </c>
      <c r="Q465" s="4">
        <f>_xll.IMDP("STK",표.실시간[[#This Row],[nxt_code]],"저가")</f>
        <v>125100</v>
      </c>
      <c r="R465">
        <f>_xll.IMDP("STK",표.실시간[[#This Row],[nxt_code]],"세션명")</f>
        <v>0</v>
      </c>
      <c r="S465">
        <f>_xll.IMDP("STK",표.실시간[[#This Row],[nxt_code]],"체결시간")</f>
        <v>0</v>
      </c>
      <c r="T465" s="4">
        <f>_xll.IMDP("STK","004690","현재가")</f>
        <v>129300</v>
      </c>
      <c r="U465">
        <f>_xll.IMDP("STK","004690","누적거래량")</f>
        <v>411</v>
      </c>
    </row>
    <row r="466" spans="3:21" x14ac:dyDescent="0.3">
      <c r="C466">
        <v>461</v>
      </c>
      <c r="D466">
        <v>3030</v>
      </c>
      <c r="E466" t="s">
        <v>478</v>
      </c>
      <c r="F466" t="str">
        <f>ConvertStockCode(표.실시간[[#This Row],[코드]])</f>
        <v>N003030</v>
      </c>
      <c r="G466" s="4">
        <f>_xll.IMDP("STK",표.실시간[[#This Row],[nxt_code]],"현재가")</f>
        <v>131000</v>
      </c>
      <c r="H466" s="4">
        <f>_xll.IMDP("STK",표.실시간[[#This Row],[nxt_code]],"시가총액")/10^12</f>
        <v>0.54255706699999995</v>
      </c>
      <c r="I466" t="str">
        <f>_xll.IMDP("","","전일대비부호")</f>
        <v>코드오류</v>
      </c>
      <c r="J466" s="5">
        <f>_xll.IMDP("STK",표.실시간[[#This Row],[nxt_code]],"전일대비")</f>
        <v>600</v>
      </c>
      <c r="K466">
        <f>_xll.IMDP("STK",표.실시간[[#This Row],[nxt_code]],"등락률")</f>
        <v>0.46</v>
      </c>
      <c r="L466" s="4">
        <f>_xll.IMDP("STK",표.실시간[[#This Row],[nxt_code]],"누적거래량")</f>
        <v>960</v>
      </c>
      <c r="M466" s="4">
        <f>_xll.IMDP("STK",표.실시간[[#This Row],[nxt_code]],"누적거래대금")</f>
        <v>125646100</v>
      </c>
      <c r="N466" s="4">
        <f>_xll.IMDP("STK",표.실시간[[#This Row],[nxt_code]],"가중평균가")</f>
        <v>130881.354167</v>
      </c>
      <c r="O466" s="4">
        <f>_xll.IMDP("STK",표.실시간[[#This Row],[nxt_code]],"시가")</f>
        <v>129200</v>
      </c>
      <c r="P466" s="4">
        <f>_xll.IMDP("STK",표.실시간[[#This Row],[nxt_code]],"고가")</f>
        <v>131300</v>
      </c>
      <c r="Q466" s="4">
        <f>_xll.IMDP("STK",표.실시간[[#This Row],[nxt_code]],"저가")</f>
        <v>129000</v>
      </c>
      <c r="R466">
        <f>_xll.IMDP("STK",표.실시간[[#This Row],[nxt_code]],"세션명")</f>
        <v>0</v>
      </c>
      <c r="S466">
        <f>_xll.IMDP("STK",표.실시간[[#This Row],[nxt_code]],"체결시간")</f>
        <v>0</v>
      </c>
      <c r="T466" s="4">
        <f>_xll.IMDP("STK","003030","현재가")</f>
        <v>130800</v>
      </c>
      <c r="U466">
        <f>_xll.IMDP("STK","003030","누적거래량")</f>
        <v>133</v>
      </c>
    </row>
    <row r="467" spans="3:21" x14ac:dyDescent="0.3">
      <c r="C467">
        <v>462</v>
      </c>
      <c r="D467">
        <v>145720</v>
      </c>
      <c r="E467" t="s">
        <v>479</v>
      </c>
      <c r="F467" t="str">
        <f>ConvertStockCode(표.실시간[[#This Row],[코드]])</f>
        <v>N145720</v>
      </c>
      <c r="G467" s="4">
        <f>_xll.IMDP("STK",표.실시간[[#This Row],[nxt_code]],"현재가")</f>
        <v>46900</v>
      </c>
      <c r="H467" s="4">
        <f>_xll.IMDP("STK",표.실시간[[#This Row],[nxt_code]],"시가총액")/10^12</f>
        <v>0.51912812699999999</v>
      </c>
      <c r="I467" t="str">
        <f>_xll.IMDP("","","전일대비부호")</f>
        <v>코드오류</v>
      </c>
      <c r="J467" s="5">
        <f>_xll.IMDP("STK",표.실시간[[#This Row],[nxt_code]],"전일대비")</f>
        <v>-200</v>
      </c>
      <c r="K467">
        <f>_xll.IMDP("STK",표.실시간[[#This Row],[nxt_code]],"등락률")</f>
        <v>-0.42</v>
      </c>
      <c r="L467" s="4">
        <f>_xll.IMDP("STK",표.실시간[[#This Row],[nxt_code]],"누적거래량")</f>
        <v>593</v>
      </c>
      <c r="M467" s="4">
        <f>_xll.IMDP("STK",표.실시간[[#This Row],[nxt_code]],"누적거래대금")</f>
        <v>27902050</v>
      </c>
      <c r="N467" s="4">
        <f>_xll.IMDP("STK",표.실시간[[#This Row],[nxt_code]],"가중평균가")</f>
        <v>47052.360876999999</v>
      </c>
      <c r="O467" s="4">
        <f>_xll.IMDP("STK",표.실시간[[#This Row],[nxt_code]],"시가")</f>
        <v>47400</v>
      </c>
      <c r="P467" s="4">
        <f>_xll.IMDP("STK",표.실시간[[#This Row],[nxt_code]],"고가")</f>
        <v>47400</v>
      </c>
      <c r="Q467" s="4">
        <f>_xll.IMDP("STK",표.실시간[[#This Row],[nxt_code]],"저가")</f>
        <v>46550</v>
      </c>
      <c r="R467">
        <f>_xll.IMDP("STK",표.실시간[[#This Row],[nxt_code]],"세션명")</f>
        <v>0</v>
      </c>
      <c r="S467">
        <f>_xll.IMDP("STK",표.실시간[[#This Row],[nxt_code]],"체결시간")</f>
        <v>0</v>
      </c>
      <c r="T467" s="4">
        <f>_xll.IMDP("STK","145720","현재가")</f>
        <v>46850</v>
      </c>
      <c r="U467">
        <f>_xll.IMDP("STK","145720","누적거래량")</f>
        <v>226</v>
      </c>
    </row>
    <row r="468" spans="3:21" x14ac:dyDescent="0.3">
      <c r="C468">
        <v>463</v>
      </c>
      <c r="D468">
        <v>93050</v>
      </c>
      <c r="E468" t="s">
        <v>480</v>
      </c>
      <c r="F468" t="str">
        <f>ConvertStockCode(표.실시간[[#This Row],[코드]])</f>
        <v>N093050</v>
      </c>
      <c r="G468" s="4">
        <f>_xll.IMDP("STK",표.실시간[[#This Row],[nxt_code]],"현재가")</f>
        <v>17450</v>
      </c>
      <c r="H468" s="4">
        <f>_xll.IMDP("STK",표.실시간[[#This Row],[nxt_code]],"시가총액")/10^12</f>
        <v>0.51023799999999997</v>
      </c>
      <c r="I468" t="str">
        <f>_xll.IMDP("","","전일대비부호")</f>
        <v>코드오류</v>
      </c>
      <c r="J468" s="5">
        <f>_xll.IMDP("STK",표.실시간[[#This Row],[nxt_code]],"전일대비")</f>
        <v>70</v>
      </c>
      <c r="K468">
        <f>_xll.IMDP("STK",표.실시간[[#This Row],[nxt_code]],"등락률")</f>
        <v>0.4</v>
      </c>
      <c r="L468" s="4">
        <f>_xll.IMDP("STK",표.실시간[[#This Row],[nxt_code]],"누적거래량")</f>
        <v>157</v>
      </c>
      <c r="M468" s="4">
        <f>_xll.IMDP("STK",표.실시간[[#This Row],[nxt_code]],"누적거래대금")</f>
        <v>2722690</v>
      </c>
      <c r="N468" s="4">
        <f>_xll.IMDP("STK",표.실시간[[#This Row],[nxt_code]],"가중평균가")</f>
        <v>17341.974522</v>
      </c>
      <c r="O468" s="4">
        <f>_xll.IMDP("STK",표.실시간[[#This Row],[nxt_code]],"시가")</f>
        <v>17270</v>
      </c>
      <c r="P468" s="4">
        <f>_xll.IMDP("STK",표.실시간[[#This Row],[nxt_code]],"고가")</f>
        <v>17480</v>
      </c>
      <c r="Q468" s="4">
        <f>_xll.IMDP("STK",표.실시간[[#This Row],[nxt_code]],"저가")</f>
        <v>17260</v>
      </c>
      <c r="R468">
        <f>_xll.IMDP("STK",표.실시간[[#This Row],[nxt_code]],"세션명")</f>
        <v>0</v>
      </c>
      <c r="S468">
        <f>_xll.IMDP("STK",표.실시간[[#This Row],[nxt_code]],"체결시간")</f>
        <v>0</v>
      </c>
      <c r="T468" s="4">
        <f>_xll.IMDP("STK","093050","현재가")</f>
        <v>17370</v>
      </c>
      <c r="U468">
        <f>_xll.IMDP("STK","093050","누적거래량")</f>
        <v>432</v>
      </c>
    </row>
    <row r="469" spans="3:21" x14ac:dyDescent="0.3">
      <c r="C469">
        <v>464</v>
      </c>
      <c r="D469">
        <v>272290</v>
      </c>
      <c r="E469" t="s">
        <v>481</v>
      </c>
      <c r="F469" t="str">
        <f>ConvertStockCode(표.실시간[[#This Row],[코드]])</f>
        <v>N272290</v>
      </c>
      <c r="G469" s="4">
        <f>_xll.IMDP("STK",표.실시간[[#This Row],[nxt_code]],"현재가")</f>
        <v>27850</v>
      </c>
      <c r="H469" s="4">
        <f>_xll.IMDP("STK",표.실시간[[#This Row],[nxt_code]],"시가총액")/10^12</f>
        <v>0.55498527529999997</v>
      </c>
      <c r="I469" t="str">
        <f>_xll.IMDP("","","전일대비부호")</f>
        <v>코드오류</v>
      </c>
      <c r="J469" s="5">
        <f>_xll.IMDP("STK",표.실시간[[#This Row],[nxt_code]],"전일대비")</f>
        <v>1000</v>
      </c>
      <c r="K469">
        <f>_xll.IMDP("STK",표.실시간[[#This Row],[nxt_code]],"등락률")</f>
        <v>3.72</v>
      </c>
      <c r="L469" s="4">
        <f>_xll.IMDP("STK",표.실시간[[#This Row],[nxt_code]],"누적거래량")</f>
        <v>516123</v>
      </c>
      <c r="M469" s="4">
        <f>_xll.IMDP("STK",표.실시간[[#This Row],[nxt_code]],"누적거래대금")</f>
        <v>14530330800</v>
      </c>
      <c r="N469" s="4">
        <f>_xll.IMDP("STK",표.실시간[[#This Row],[nxt_code]],"가중평균가")</f>
        <v>28152.844960999999</v>
      </c>
      <c r="O469" s="4">
        <f>_xll.IMDP("STK",표.실시간[[#This Row],[nxt_code]],"시가")</f>
        <v>27400</v>
      </c>
      <c r="P469" s="4">
        <f>_xll.IMDP("STK",표.실시간[[#This Row],[nxt_code]],"고가")</f>
        <v>28700</v>
      </c>
      <c r="Q469" s="4">
        <f>_xll.IMDP("STK",표.실시간[[#This Row],[nxt_code]],"저가")</f>
        <v>27050</v>
      </c>
      <c r="R469">
        <f>_xll.IMDP("STK",표.실시간[[#This Row],[nxt_code]],"세션명")</f>
        <v>0</v>
      </c>
      <c r="S469">
        <f>_xll.IMDP("STK",표.실시간[[#This Row],[nxt_code]],"체결시간")</f>
        <v>0</v>
      </c>
      <c r="T469" s="4">
        <f>_xll.IMDP("STK","272290","현재가")</f>
        <v>27850</v>
      </c>
      <c r="U469">
        <f>_xll.IMDP("STK","272290","누적거래량")</f>
        <v>74323</v>
      </c>
    </row>
    <row r="470" spans="3:21" x14ac:dyDescent="0.3">
      <c r="C470">
        <v>465</v>
      </c>
      <c r="D470">
        <v>284740</v>
      </c>
      <c r="E470" t="s">
        <v>482</v>
      </c>
      <c r="F470" t="str">
        <f>ConvertStockCode(표.실시간[[#This Row],[코드]])</f>
        <v>N284740</v>
      </c>
      <c r="G470" s="4">
        <f>_xll.IMDP("STK",표.실시간[[#This Row],[nxt_code]],"현재가")</f>
        <v>22850</v>
      </c>
      <c r="H470" s="4">
        <f>_xll.IMDP("STK",표.실시간[[#This Row],[nxt_code]],"시가총액")/10^12</f>
        <v>0.51269299049999995</v>
      </c>
      <c r="I470" t="str">
        <f>_xll.IMDP("","","전일대비부호")</f>
        <v>코드오류</v>
      </c>
      <c r="J470" s="5">
        <f>_xll.IMDP("STK",표.실시간[[#This Row],[nxt_code]],"전일대비")</f>
        <v>200</v>
      </c>
      <c r="K470">
        <f>_xll.IMDP("STK",표.실시간[[#This Row],[nxt_code]],"등락률")</f>
        <v>0.88</v>
      </c>
      <c r="L470" s="4">
        <f>_xll.IMDP("STK",표.실시간[[#This Row],[nxt_code]],"누적거래량")</f>
        <v>615</v>
      </c>
      <c r="M470" s="4">
        <f>_xll.IMDP("STK",표.실시간[[#This Row],[nxt_code]],"누적거래대금")</f>
        <v>13990400</v>
      </c>
      <c r="N470" s="4">
        <f>_xll.IMDP("STK",표.실시간[[#This Row],[nxt_code]],"가중평균가")</f>
        <v>22748.617886</v>
      </c>
      <c r="O470" s="4">
        <f>_xll.IMDP("STK",표.실시간[[#This Row],[nxt_code]],"시가")</f>
        <v>22700</v>
      </c>
      <c r="P470" s="4">
        <f>_xll.IMDP("STK",표.실시간[[#This Row],[nxt_code]],"고가")</f>
        <v>22900</v>
      </c>
      <c r="Q470" s="4">
        <f>_xll.IMDP("STK",표.실시간[[#This Row],[nxt_code]],"저가")</f>
        <v>22650</v>
      </c>
      <c r="R470">
        <f>_xll.IMDP("STK",표.실시간[[#This Row],[nxt_code]],"세션명")</f>
        <v>0</v>
      </c>
      <c r="S470">
        <f>_xll.IMDP("STK",표.실시간[[#This Row],[nxt_code]],"체결시간")</f>
        <v>0</v>
      </c>
      <c r="T470" s="4">
        <f>_xll.IMDP("STK","284740","현재가")</f>
        <v>22600</v>
      </c>
      <c r="U470">
        <f>_xll.IMDP("STK","284740","누적거래량")</f>
        <v>71</v>
      </c>
    </row>
    <row r="471" spans="3:21" x14ac:dyDescent="0.3">
      <c r="C471">
        <v>466</v>
      </c>
      <c r="D471">
        <v>199800</v>
      </c>
      <c r="E471" t="s">
        <v>483</v>
      </c>
      <c r="F471" t="str">
        <f>ConvertStockCode(표.실시간[[#This Row],[코드]])</f>
        <v>N199800</v>
      </c>
      <c r="G471" s="4">
        <f>_xll.IMDP("STK",표.실시간[[#This Row],[nxt_code]],"현재가")</f>
        <v>59000</v>
      </c>
      <c r="H471" s="4">
        <f>_xll.IMDP("STK",표.실시간[[#This Row],[nxt_code]],"시가총액")/10^12</f>
        <v>0.52952718300000001</v>
      </c>
      <c r="I471" t="str">
        <f>_xll.IMDP("","","전일대비부호")</f>
        <v>코드오류</v>
      </c>
      <c r="J471" s="5">
        <f>_xll.IMDP("STK",표.실시간[[#This Row],[nxt_code]],"전일대비")</f>
        <v>3700</v>
      </c>
      <c r="K471">
        <f>_xll.IMDP("STK",표.실시간[[#This Row],[nxt_code]],"등락률")</f>
        <v>6.69</v>
      </c>
      <c r="L471" s="4">
        <f>_xll.IMDP("STK",표.실시간[[#This Row],[nxt_code]],"누적거래량")</f>
        <v>7424</v>
      </c>
      <c r="M471" s="4">
        <f>_xll.IMDP("STK",표.실시간[[#This Row],[nxt_code]],"누적거래대금")</f>
        <v>425685700</v>
      </c>
      <c r="N471" s="4">
        <f>_xll.IMDP("STK",표.실시간[[#This Row],[nxt_code]],"가중평균가")</f>
        <v>57339.129848999997</v>
      </c>
      <c r="O471" s="4">
        <f>_xll.IMDP("STK",표.실시간[[#This Row],[nxt_code]],"시가")</f>
        <v>56500</v>
      </c>
      <c r="P471" s="4">
        <f>_xll.IMDP("STK",표.실시간[[#This Row],[nxt_code]],"고가")</f>
        <v>59000</v>
      </c>
      <c r="Q471" s="4">
        <f>_xll.IMDP("STK",표.실시간[[#This Row],[nxt_code]],"저가")</f>
        <v>55600</v>
      </c>
      <c r="R471">
        <f>_xll.IMDP("STK",표.실시간[[#This Row],[nxt_code]],"세션명")</f>
        <v>0</v>
      </c>
      <c r="S471">
        <f>_xll.IMDP("STK",표.실시간[[#This Row],[nxt_code]],"체결시간")</f>
        <v>0</v>
      </c>
      <c r="T471" s="4">
        <f>_xll.IMDP("STK","199800","현재가")</f>
        <v>58400</v>
      </c>
      <c r="U471">
        <f>_xll.IMDP("STK","199800","누적거래량")</f>
        <v>2370</v>
      </c>
    </row>
    <row r="472" spans="3:21" x14ac:dyDescent="0.3">
      <c r="C472">
        <v>467</v>
      </c>
      <c r="D472">
        <v>101730</v>
      </c>
      <c r="E472" t="s">
        <v>484</v>
      </c>
      <c r="F472" t="str">
        <f>ConvertStockCode(표.실시간[[#This Row],[코드]])</f>
        <v>N101730</v>
      </c>
      <c r="G472" s="4">
        <f>_xll.IMDP("STK",표.실시간[[#This Row],[nxt_code]],"현재가")</f>
        <v>6040</v>
      </c>
      <c r="H472" s="4">
        <f>_xll.IMDP("STK",표.실시간[[#This Row],[nxt_code]],"시가총액")/10^12</f>
        <v>0.50617184743999999</v>
      </c>
      <c r="I472" t="str">
        <f>_xll.IMDP("","","전일대비부호")</f>
        <v>코드오류</v>
      </c>
      <c r="J472" s="5">
        <f>_xll.IMDP("STK",표.실시간[[#This Row],[nxt_code]],"전일대비")</f>
        <v>0</v>
      </c>
      <c r="K472">
        <f>_xll.IMDP("STK",표.실시간[[#This Row],[nxt_code]],"등락률")</f>
        <v>0</v>
      </c>
      <c r="L472" s="4">
        <f>_xll.IMDP("STK",표.실시간[[#This Row],[nxt_code]],"누적거래량")</f>
        <v>845</v>
      </c>
      <c r="M472" s="4">
        <f>_xll.IMDP("STK",표.실시간[[#This Row],[nxt_code]],"누적거래대금")</f>
        <v>5108480</v>
      </c>
      <c r="N472" s="4">
        <f>_xll.IMDP("STK",표.실시간[[#This Row],[nxt_code]],"가중평균가")</f>
        <v>6045.5384620000004</v>
      </c>
      <c r="O472" s="4">
        <f>_xll.IMDP("STK",표.실시간[[#This Row],[nxt_code]],"시가")</f>
        <v>6040</v>
      </c>
      <c r="P472" s="4">
        <f>_xll.IMDP("STK",표.실시간[[#This Row],[nxt_code]],"고가")</f>
        <v>6080</v>
      </c>
      <c r="Q472" s="4">
        <f>_xll.IMDP("STK",표.실시간[[#This Row],[nxt_code]],"저가")</f>
        <v>6020</v>
      </c>
      <c r="R472">
        <f>_xll.IMDP("STK",표.실시간[[#This Row],[nxt_code]],"세션명")</f>
        <v>0</v>
      </c>
      <c r="S472">
        <f>_xll.IMDP("STK",표.실시간[[#This Row],[nxt_code]],"체결시간")</f>
        <v>0</v>
      </c>
      <c r="T472" s="4">
        <f>_xll.IMDP("STK","101730","현재가")</f>
        <v>6040</v>
      </c>
      <c r="U472">
        <f>_xll.IMDP("STK","101730","누적거래량")</f>
        <v>253</v>
      </c>
    </row>
    <row r="473" spans="3:21" x14ac:dyDescent="0.3">
      <c r="C473">
        <v>468</v>
      </c>
      <c r="D473">
        <v>25320</v>
      </c>
      <c r="E473" t="s">
        <v>485</v>
      </c>
      <c r="F473" t="str">
        <f>ConvertStockCode(표.실시간[[#This Row],[코드]])</f>
        <v>N025320</v>
      </c>
      <c r="G473" s="4">
        <f>_xll.IMDP("STK",표.실시간[[#This Row],[nxt_code]],"현재가")</f>
        <v>5730</v>
      </c>
      <c r="H473" s="4">
        <f>_xll.IMDP("STK",표.실시간[[#This Row],[nxt_code]],"시가총액")/10^12</f>
        <v>0.50271321857999995</v>
      </c>
      <c r="I473" t="str">
        <f>_xll.IMDP("","","전일대비부호")</f>
        <v>코드오류</v>
      </c>
      <c r="J473" s="5">
        <f>_xll.IMDP("STK",표.실시간[[#This Row],[nxt_code]],"전일대비")</f>
        <v>50</v>
      </c>
      <c r="K473">
        <f>_xll.IMDP("STK",표.실시간[[#This Row],[nxt_code]],"등락률")</f>
        <v>0.88</v>
      </c>
      <c r="L473" s="4">
        <f>_xll.IMDP("STK",표.실시간[[#This Row],[nxt_code]],"누적거래량")</f>
        <v>36941</v>
      </c>
      <c r="M473" s="4">
        <f>_xll.IMDP("STK",표.실시간[[#This Row],[nxt_code]],"누적거래대금")</f>
        <v>211226300</v>
      </c>
      <c r="N473" s="4">
        <f>_xll.IMDP("STK",표.실시간[[#This Row],[nxt_code]],"가중평균가")</f>
        <v>5717.9367099999999</v>
      </c>
      <c r="O473" s="4">
        <f>_xll.IMDP("STK",표.실시간[[#This Row],[nxt_code]],"시가")</f>
        <v>5700</v>
      </c>
      <c r="P473" s="4">
        <f>_xll.IMDP("STK",표.실시간[[#This Row],[nxt_code]],"고가")</f>
        <v>5740</v>
      </c>
      <c r="Q473" s="4">
        <f>_xll.IMDP("STK",표.실시간[[#This Row],[nxt_code]],"저가")</f>
        <v>5690</v>
      </c>
      <c r="R473">
        <f>_xll.IMDP("STK",표.실시간[[#This Row],[nxt_code]],"세션명")</f>
        <v>0</v>
      </c>
      <c r="S473">
        <f>_xll.IMDP("STK",표.실시간[[#This Row],[nxt_code]],"체결시간")</f>
        <v>0</v>
      </c>
      <c r="T473" s="4">
        <f>_xll.IMDP("STK","025320","현재가")</f>
        <v>5730</v>
      </c>
      <c r="U473">
        <f>_xll.IMDP("STK","025320","누적거래량")</f>
        <v>5340</v>
      </c>
    </row>
    <row r="474" spans="3:21" x14ac:dyDescent="0.3">
      <c r="C474">
        <v>469</v>
      </c>
      <c r="D474">
        <v>253590</v>
      </c>
      <c r="E474" t="s">
        <v>486</v>
      </c>
      <c r="F474" t="str">
        <f>ConvertStockCode(표.실시간[[#This Row],[코드]])</f>
        <v>N253590</v>
      </c>
      <c r="G474" s="4">
        <f>_xll.IMDP("STK",표.실시간[[#This Row],[nxt_code]],"현재가")</f>
        <v>11310</v>
      </c>
      <c r="H474" s="4">
        <f>_xll.IMDP("STK",표.실시간[[#This Row],[nxt_code]],"시가총액")/10^12</f>
        <v>0.49616024483999999</v>
      </c>
      <c r="I474" t="str">
        <f>_xll.IMDP("","","전일대비부호")</f>
        <v>코드오류</v>
      </c>
      <c r="J474" s="5">
        <f>_xll.IMDP("STK",표.실시간[[#This Row],[nxt_code]],"전일대비")</f>
        <v>10</v>
      </c>
      <c r="K474">
        <f>_xll.IMDP("STK",표.실시간[[#This Row],[nxt_code]],"등락률")</f>
        <v>0.09</v>
      </c>
      <c r="L474" s="4">
        <f>_xll.IMDP("STK",표.실시간[[#This Row],[nxt_code]],"누적거래량")</f>
        <v>119135</v>
      </c>
      <c r="M474" s="4">
        <f>_xll.IMDP("STK",표.실시간[[#This Row],[nxt_code]],"누적거래대금")</f>
        <v>1373861850</v>
      </c>
      <c r="N474" s="4">
        <f>_xll.IMDP("STK",표.실시간[[#This Row],[nxt_code]],"가중평균가")</f>
        <v>11532.161549</v>
      </c>
      <c r="O474" s="4">
        <f>_xll.IMDP("STK",표.실시간[[#This Row],[nxt_code]],"시가")</f>
        <v>11540</v>
      </c>
      <c r="P474" s="4">
        <f>_xll.IMDP("STK",표.실시간[[#This Row],[nxt_code]],"고가")</f>
        <v>11680</v>
      </c>
      <c r="Q474" s="4">
        <f>_xll.IMDP("STK",표.실시간[[#This Row],[nxt_code]],"저가")</f>
        <v>11310</v>
      </c>
      <c r="R474">
        <f>_xll.IMDP("STK",표.실시간[[#This Row],[nxt_code]],"세션명")</f>
        <v>0</v>
      </c>
      <c r="S474">
        <f>_xll.IMDP("STK",표.실시간[[#This Row],[nxt_code]],"체결시간")</f>
        <v>0</v>
      </c>
      <c r="T474" s="4">
        <f>_xll.IMDP("STK","253590","현재가")</f>
        <v>11320</v>
      </c>
      <c r="U474">
        <f>_xll.IMDP("STK","253590","누적거래량")</f>
        <v>17724</v>
      </c>
    </row>
    <row r="475" spans="3:21" x14ac:dyDescent="0.3">
      <c r="C475">
        <v>470</v>
      </c>
      <c r="D475">
        <v>16800</v>
      </c>
      <c r="E475" t="s">
        <v>487</v>
      </c>
      <c r="F475" t="str">
        <f>ConvertStockCode(표.실시간[[#This Row],[코드]])</f>
        <v>N016800</v>
      </c>
      <c r="G475" s="4">
        <f>_xll.IMDP("STK",표.실시간[[#This Row],[nxt_code]],"현재가")</f>
        <v>43350</v>
      </c>
      <c r="H475" s="4">
        <f>_xll.IMDP("STK",표.실시간[[#This Row],[nxt_code]],"시가총액")/10^12</f>
        <v>0.498525</v>
      </c>
      <c r="I475" t="str">
        <f>_xll.IMDP("","","전일대비부호")</f>
        <v>코드오류</v>
      </c>
      <c r="J475" s="5">
        <f>_xll.IMDP("STK",표.실시간[[#This Row],[nxt_code]],"전일대비")</f>
        <v>450</v>
      </c>
      <c r="K475">
        <f>_xll.IMDP("STK",표.실시간[[#This Row],[nxt_code]],"등락률")</f>
        <v>1.05</v>
      </c>
      <c r="L475" s="4">
        <f>_xll.IMDP("STK",표.실시간[[#This Row],[nxt_code]],"누적거래량")</f>
        <v>23</v>
      </c>
      <c r="M475" s="4">
        <f>_xll.IMDP("STK",표.실시간[[#This Row],[nxt_code]],"누적거래대금")</f>
        <v>996400</v>
      </c>
      <c r="N475" s="4">
        <f>_xll.IMDP("STK",표.실시간[[#This Row],[nxt_code]],"가중평균가")</f>
        <v>43321.739130000002</v>
      </c>
      <c r="O475" s="4">
        <f>_xll.IMDP("STK",표.실시간[[#This Row],[nxt_code]],"시가")</f>
        <v>42700</v>
      </c>
      <c r="P475" s="4">
        <f>_xll.IMDP("STK",표.실시간[[#This Row],[nxt_code]],"고가")</f>
        <v>43350</v>
      </c>
      <c r="Q475" s="4">
        <f>_xll.IMDP("STK",표.실시간[[#This Row],[nxt_code]],"저가")</f>
        <v>42700</v>
      </c>
      <c r="R475">
        <f>_xll.IMDP("STK",표.실시간[[#This Row],[nxt_code]],"세션명")</f>
        <v>0</v>
      </c>
      <c r="S475">
        <f>_xll.IMDP("STK",표.실시간[[#This Row],[nxt_code]],"체결시간")</f>
        <v>0</v>
      </c>
      <c r="T475" s="4">
        <f>_xll.IMDP("STK","016800","현재가")</f>
        <v>43600</v>
      </c>
      <c r="U475">
        <f>_xll.IMDP("STK","016800","누적거래량")</f>
        <v>3</v>
      </c>
    </row>
    <row r="476" spans="3:21" x14ac:dyDescent="0.3">
      <c r="C476">
        <v>471</v>
      </c>
      <c r="D476">
        <v>383310</v>
      </c>
      <c r="E476" t="s">
        <v>488</v>
      </c>
      <c r="F476" t="str">
        <f>ConvertStockCode(표.실시간[[#This Row],[코드]])</f>
        <v>N383310</v>
      </c>
      <c r="G476" s="4">
        <f>_xll.IMDP("STK",표.실시간[[#This Row],[nxt_code]],"현재가")</f>
        <v>24400</v>
      </c>
      <c r="H476" s="4">
        <f>_xll.IMDP("STK",표.실시간[[#This Row],[nxt_code]],"시가총액")/10^12</f>
        <v>0.51178834080000002</v>
      </c>
      <c r="I476" t="str">
        <f>_xll.IMDP("","","전일대비부호")</f>
        <v>코드오류</v>
      </c>
      <c r="J476" s="5">
        <f>_xll.IMDP("STK",표.실시간[[#This Row],[nxt_code]],"전일대비")</f>
        <v>150</v>
      </c>
      <c r="K476">
        <f>_xll.IMDP("STK",표.실시간[[#This Row],[nxt_code]],"등락률")</f>
        <v>0.41</v>
      </c>
      <c r="L476" s="4">
        <f>_xll.IMDP("STK",표.실시간[[#This Row],[nxt_code]],"누적거래량")</f>
        <v>39570</v>
      </c>
      <c r="M476" s="4">
        <f>_xll.IMDP("STK",표.실시간[[#This Row],[nxt_code]],"누적거래대금")</f>
        <v>975618250</v>
      </c>
      <c r="N476" s="4">
        <f>_xll.IMDP("STK",표.실시간[[#This Row],[nxt_code]],"가중평균가")</f>
        <v>24655.502906000002</v>
      </c>
      <c r="O476" s="4">
        <f>_xll.IMDP("STK",표.실시간[[#This Row],[nxt_code]],"시가")</f>
        <v>24600</v>
      </c>
      <c r="P476" s="4">
        <f>_xll.IMDP("STK",표.실시간[[#This Row],[nxt_code]],"고가")</f>
        <v>24900</v>
      </c>
      <c r="Q476" s="4">
        <f>_xll.IMDP("STK",표.실시간[[#This Row],[nxt_code]],"저가")</f>
        <v>24400</v>
      </c>
      <c r="R476">
        <f>_xll.IMDP("STK",표.실시간[[#This Row],[nxt_code]],"세션명")</f>
        <v>0</v>
      </c>
      <c r="S476">
        <f>_xll.IMDP("STK",표.실시간[[#This Row],[nxt_code]],"체결시간")</f>
        <v>0</v>
      </c>
      <c r="T476" s="4">
        <f>_xll.IMDP("STK","383310","현재가")</f>
        <v>24400</v>
      </c>
      <c r="U476">
        <f>_xll.IMDP("STK","383310","누적거래량")</f>
        <v>10275</v>
      </c>
    </row>
    <row r="477" spans="3:21" x14ac:dyDescent="0.3">
      <c r="C477">
        <v>472</v>
      </c>
      <c r="D477">
        <v>83450</v>
      </c>
      <c r="E477" t="s">
        <v>489</v>
      </c>
      <c r="F477" t="str">
        <f>ConvertStockCode(표.실시간[[#This Row],[코드]])</f>
        <v>N083450</v>
      </c>
      <c r="G477" s="4">
        <f>_xll.IMDP("STK",표.실시간[[#This Row],[nxt_code]],"현재가")</f>
        <v>25900</v>
      </c>
      <c r="H477" s="4">
        <f>_xll.IMDP("STK",표.실시간[[#This Row],[nxt_code]],"시가총액")/10^12</f>
        <v>0.47733700000000001</v>
      </c>
      <c r="I477" t="str">
        <f>_xll.IMDP("","","전일대비부호")</f>
        <v>코드오류</v>
      </c>
      <c r="J477" s="5">
        <f>_xll.IMDP("STK",표.실시간[[#This Row],[nxt_code]],"전일대비")</f>
        <v>150</v>
      </c>
      <c r="K477">
        <f>_xll.IMDP("STK",표.실시간[[#This Row],[nxt_code]],"등락률")</f>
        <v>0.57999999999999996</v>
      </c>
      <c r="L477" s="4">
        <f>_xll.IMDP("STK",표.실시간[[#This Row],[nxt_code]],"누적거래량")</f>
        <v>25398</v>
      </c>
      <c r="M477" s="4">
        <f>_xll.IMDP("STK",표.실시간[[#This Row],[nxt_code]],"누적거래대금")</f>
        <v>662549200</v>
      </c>
      <c r="N477" s="4">
        <f>_xll.IMDP("STK",표.실시간[[#This Row],[nxt_code]],"가중평균가")</f>
        <v>25849.525965000001</v>
      </c>
      <c r="O477" s="4">
        <f>_xll.IMDP("STK",표.실시간[[#This Row],[nxt_code]],"시가")</f>
        <v>26000</v>
      </c>
      <c r="P477" s="4">
        <f>_xll.IMDP("STK",표.실시간[[#This Row],[nxt_code]],"고가")</f>
        <v>26000</v>
      </c>
      <c r="Q477" s="4">
        <f>_xll.IMDP("STK",표.실시간[[#This Row],[nxt_code]],"저가")</f>
        <v>25800</v>
      </c>
      <c r="R477">
        <f>_xll.IMDP("STK",표.실시간[[#This Row],[nxt_code]],"세션명")</f>
        <v>0</v>
      </c>
      <c r="S477">
        <f>_xll.IMDP("STK",표.실시간[[#This Row],[nxt_code]],"체결시간")</f>
        <v>0</v>
      </c>
      <c r="T477" s="4">
        <f>_xll.IMDP("STK","083450","현재가")</f>
        <v>25600</v>
      </c>
      <c r="U477">
        <f>_xll.IMDP("STK","083450","누적거래량")</f>
        <v>18183</v>
      </c>
    </row>
    <row r="478" spans="3:21" x14ac:dyDescent="0.3">
      <c r="C478">
        <v>473</v>
      </c>
      <c r="D478">
        <v>36620</v>
      </c>
      <c r="E478" t="s">
        <v>490</v>
      </c>
      <c r="F478" t="str">
        <f>ConvertStockCode(표.실시간[[#This Row],[코드]])</f>
        <v>N036620</v>
      </c>
      <c r="G478" s="4">
        <f>_xll.IMDP("STK",표.실시간[[#This Row],[nxt_code]],"현재가")</f>
        <v>5520</v>
      </c>
      <c r="H478" s="4">
        <f>_xll.IMDP("STK",표.실시간[[#This Row],[nxt_code]],"시가총액")/10^12</f>
        <v>0.49958081591999998</v>
      </c>
      <c r="I478" t="str">
        <f>_xll.IMDP("","","전일대비부호")</f>
        <v>코드오류</v>
      </c>
      <c r="J478" s="5">
        <f>_xll.IMDP("STK",표.실시간[[#This Row],[nxt_code]],"전일대비")</f>
        <v>-50</v>
      </c>
      <c r="K478">
        <f>_xll.IMDP("STK",표.실시간[[#This Row],[nxt_code]],"등락률")</f>
        <v>-0.9</v>
      </c>
      <c r="L478" s="4">
        <f>_xll.IMDP("STK",표.실시간[[#This Row],[nxt_code]],"누적거래량")</f>
        <v>19492</v>
      </c>
      <c r="M478" s="4">
        <f>_xll.IMDP("STK",표.실시간[[#This Row],[nxt_code]],"누적거래대금")</f>
        <v>108703080</v>
      </c>
      <c r="N478" s="4">
        <f>_xll.IMDP("STK",표.실시간[[#This Row],[nxt_code]],"가중평균가")</f>
        <v>5576.8048429999999</v>
      </c>
      <c r="O478" s="4">
        <f>_xll.IMDP("STK",표.실시간[[#This Row],[nxt_code]],"시가")</f>
        <v>5600</v>
      </c>
      <c r="P478" s="4">
        <f>_xll.IMDP("STK",표.실시간[[#This Row],[nxt_code]],"고가")</f>
        <v>5650</v>
      </c>
      <c r="Q478" s="4">
        <f>_xll.IMDP("STK",표.실시간[[#This Row],[nxt_code]],"저가")</f>
        <v>5520</v>
      </c>
      <c r="R478">
        <f>_xll.IMDP("STK",표.실시간[[#This Row],[nxt_code]],"세션명")</f>
        <v>0</v>
      </c>
      <c r="S478">
        <f>_xll.IMDP("STK",표.실시간[[#This Row],[nxt_code]],"체결시간")</f>
        <v>0</v>
      </c>
      <c r="T478" s="4">
        <f>_xll.IMDP("STK","036620","현재가")</f>
        <v>5520</v>
      </c>
      <c r="U478">
        <f>_xll.IMDP("STK","036620","누적거래량")</f>
        <v>12455</v>
      </c>
    </row>
    <row r="479" spans="3:21" x14ac:dyDescent="0.3">
      <c r="C479">
        <v>474</v>
      </c>
      <c r="D479">
        <v>17810</v>
      </c>
      <c r="E479" t="s">
        <v>491</v>
      </c>
      <c r="F479" t="str">
        <f>ConvertStockCode(표.실시간[[#This Row],[코드]])</f>
        <v>N017810</v>
      </c>
      <c r="G479" s="4">
        <f>_xll.IMDP("STK",표.실시간[[#This Row],[nxt_code]],"현재가")</f>
        <v>12960</v>
      </c>
      <c r="H479" s="4">
        <f>_xll.IMDP("STK",표.실시간[[#This Row],[nxt_code]],"시가총액")/10^12</f>
        <v>0.49404222432</v>
      </c>
      <c r="I479" t="str">
        <f>_xll.IMDP("","","전일대비부호")</f>
        <v>코드오류</v>
      </c>
      <c r="J479" s="5">
        <f>_xll.IMDP("STK",표.실시간[[#This Row],[nxt_code]],"전일대비")</f>
        <v>60</v>
      </c>
      <c r="K479">
        <f>_xll.IMDP("STK",표.실시간[[#This Row],[nxt_code]],"등락률")</f>
        <v>0.47</v>
      </c>
      <c r="L479" s="4">
        <f>_xll.IMDP("STK",표.실시간[[#This Row],[nxt_code]],"누적거래량")</f>
        <v>2253</v>
      </c>
      <c r="M479" s="4">
        <f>_xll.IMDP("STK",표.실시간[[#This Row],[nxt_code]],"누적거래대금")</f>
        <v>29157380</v>
      </c>
      <c r="N479" s="4">
        <f>_xll.IMDP("STK",표.실시간[[#This Row],[nxt_code]],"가중평균가")</f>
        <v>12941.580115000001</v>
      </c>
      <c r="O479" s="4">
        <f>_xll.IMDP("STK",표.실시간[[#This Row],[nxt_code]],"시가")</f>
        <v>12970</v>
      </c>
      <c r="P479" s="4">
        <f>_xll.IMDP("STK",표.실시간[[#This Row],[nxt_code]],"고가")</f>
        <v>13200</v>
      </c>
      <c r="Q479" s="4">
        <f>_xll.IMDP("STK",표.실시간[[#This Row],[nxt_code]],"저가")</f>
        <v>12890</v>
      </c>
      <c r="R479">
        <f>_xll.IMDP("STK",표.실시간[[#This Row],[nxt_code]],"세션명")</f>
        <v>0</v>
      </c>
      <c r="S479">
        <f>_xll.IMDP("STK",표.실시간[[#This Row],[nxt_code]],"체결시간")</f>
        <v>0</v>
      </c>
      <c r="T479" s="4">
        <f>_xll.IMDP("STK","017810","현재가")</f>
        <v>12860</v>
      </c>
      <c r="U479">
        <f>_xll.IMDP("STK","017810","누적거래량")</f>
        <v>2155</v>
      </c>
    </row>
    <row r="480" spans="3:21" x14ac:dyDescent="0.3">
      <c r="C480">
        <v>475</v>
      </c>
      <c r="D480">
        <v>453340</v>
      </c>
      <c r="E480" t="s">
        <v>492</v>
      </c>
      <c r="F480" t="str">
        <f>ConvertStockCode(표.실시간[[#This Row],[코드]])</f>
        <v>N453340</v>
      </c>
      <c r="G480" s="4">
        <f>_xll.IMDP("STK",표.실시간[[#This Row],[nxt_code]],"현재가")</f>
        <v>15060</v>
      </c>
      <c r="H480" s="4">
        <f>_xll.IMDP("STK",표.실시간[[#This Row],[nxt_code]],"시가총액")/10^12</f>
        <v>0.49425935075999999</v>
      </c>
      <c r="I480" t="str">
        <f>_xll.IMDP("","","전일대비부호")</f>
        <v>코드오류</v>
      </c>
      <c r="J480" s="5">
        <f>_xll.IMDP("STK",표.실시간[[#This Row],[nxt_code]],"전일대비")</f>
        <v>0</v>
      </c>
      <c r="K480">
        <f>_xll.IMDP("STK",표.실시간[[#This Row],[nxt_code]],"등락률")</f>
        <v>0</v>
      </c>
      <c r="L480" s="4">
        <f>_xll.IMDP("STK",표.실시간[[#This Row],[nxt_code]],"누적거래량")</f>
        <v>1156</v>
      </c>
      <c r="M480" s="4">
        <f>_xll.IMDP("STK",표.실시간[[#This Row],[nxt_code]],"누적거래대금")</f>
        <v>17311950</v>
      </c>
      <c r="N480" s="4">
        <f>_xll.IMDP("STK",표.실시간[[#This Row],[nxt_code]],"가중평균가")</f>
        <v>14975.735294</v>
      </c>
      <c r="O480" s="4">
        <f>_xll.IMDP("STK",표.실시간[[#This Row],[nxt_code]],"시가")</f>
        <v>15060</v>
      </c>
      <c r="P480" s="4">
        <f>_xll.IMDP("STK",표.실시간[[#This Row],[nxt_code]],"고가")</f>
        <v>15120</v>
      </c>
      <c r="Q480" s="4">
        <f>_xll.IMDP("STK",표.실시간[[#This Row],[nxt_code]],"저가")</f>
        <v>14950</v>
      </c>
      <c r="R480">
        <f>_xll.IMDP("STK",표.실시간[[#This Row],[nxt_code]],"세션명")</f>
        <v>0</v>
      </c>
      <c r="S480">
        <f>_xll.IMDP("STK",표.실시간[[#This Row],[nxt_code]],"체결시간")</f>
        <v>0</v>
      </c>
      <c r="T480" s="4">
        <f>_xll.IMDP("STK","453340","현재가")</f>
        <v>15060</v>
      </c>
      <c r="U480">
        <f>_xll.IMDP("STK","453340","누적거래량")</f>
        <v>23</v>
      </c>
    </row>
    <row r="481" spans="3:21" x14ac:dyDescent="0.3">
      <c r="C481">
        <v>476</v>
      </c>
      <c r="D481">
        <v>271940</v>
      </c>
      <c r="E481" t="s">
        <v>493</v>
      </c>
      <c r="F481" t="str">
        <f>ConvertStockCode(표.실시간[[#This Row],[코드]])</f>
        <v>N271940</v>
      </c>
      <c r="G481" s="4">
        <f>_xll.IMDP("STK",표.실시간[[#This Row],[nxt_code]],"현재가")</f>
        <v>14080</v>
      </c>
      <c r="H481" s="4">
        <f>_xll.IMDP("STK",표.실시간[[#This Row],[nxt_code]],"시가총액")/10^12</f>
        <v>0.51128971519999999</v>
      </c>
      <c r="I481" t="str">
        <f>_xll.IMDP("","","전일대비부호")</f>
        <v>코드오류</v>
      </c>
      <c r="J481" s="5">
        <f>_xll.IMDP("STK",표.실시간[[#This Row],[nxt_code]],"전일대비")</f>
        <v>220</v>
      </c>
      <c r="K481">
        <f>_xll.IMDP("STK",표.실시간[[#This Row],[nxt_code]],"등락률")</f>
        <v>1.59</v>
      </c>
      <c r="L481" s="4">
        <f>_xll.IMDP("STK",표.실시간[[#This Row],[nxt_code]],"누적거래량")</f>
        <v>4565</v>
      </c>
      <c r="M481" s="4">
        <f>_xll.IMDP("STK",표.실시간[[#This Row],[nxt_code]],"누적거래대금")</f>
        <v>63892440</v>
      </c>
      <c r="N481" s="4">
        <f>_xll.IMDP("STK",표.실시간[[#This Row],[nxt_code]],"가중평균가")</f>
        <v>13996.153340999999</v>
      </c>
      <c r="O481" s="4">
        <f>_xll.IMDP("STK",표.실시간[[#This Row],[nxt_code]],"시가")</f>
        <v>13860</v>
      </c>
      <c r="P481" s="4">
        <f>_xll.IMDP("STK",표.실시간[[#This Row],[nxt_code]],"고가")</f>
        <v>14100</v>
      </c>
      <c r="Q481" s="4">
        <f>_xll.IMDP("STK",표.실시간[[#This Row],[nxt_code]],"저가")</f>
        <v>13800</v>
      </c>
      <c r="R481">
        <f>_xll.IMDP("STK",표.실시간[[#This Row],[nxt_code]],"세션명")</f>
        <v>0</v>
      </c>
      <c r="S481">
        <f>_xll.IMDP("STK",표.실시간[[#This Row],[nxt_code]],"체결시간")</f>
        <v>0</v>
      </c>
      <c r="T481" s="4">
        <f>_xll.IMDP("STK","271940","현재가")</f>
        <v>14100</v>
      </c>
      <c r="U481">
        <f>_xll.IMDP("STK","271940","누적거래량")</f>
        <v>444</v>
      </c>
    </row>
    <row r="482" spans="3:21" x14ac:dyDescent="0.3">
      <c r="C482">
        <v>477</v>
      </c>
      <c r="D482">
        <v>230360</v>
      </c>
      <c r="E482" t="s">
        <v>494</v>
      </c>
      <c r="F482" t="str">
        <f>ConvertStockCode(표.실시간[[#This Row],[코드]])</f>
        <v>N230360</v>
      </c>
      <c r="G482" s="4">
        <f>_xll.IMDP("STK",표.실시간[[#This Row],[nxt_code]],"현재가")</f>
        <v>15860</v>
      </c>
      <c r="H482" s="4">
        <f>_xll.IMDP("STK",표.실시간[[#This Row],[nxt_code]],"시가총액")/10^12</f>
        <v>0.49164030188000002</v>
      </c>
      <c r="I482" t="str">
        <f>_xll.IMDP("","","전일대비부호")</f>
        <v>코드오류</v>
      </c>
      <c r="J482" s="5">
        <f>_xll.IMDP("STK",표.실시간[[#This Row],[nxt_code]],"전일대비")</f>
        <v>60</v>
      </c>
      <c r="K482">
        <f>_xll.IMDP("STK",표.실시간[[#This Row],[nxt_code]],"등락률")</f>
        <v>0.38</v>
      </c>
      <c r="L482" s="4">
        <f>_xll.IMDP("STK",표.실시간[[#This Row],[nxt_code]],"누적거래량")</f>
        <v>1994</v>
      </c>
      <c r="M482" s="4">
        <f>_xll.IMDP("STK",표.실시간[[#This Row],[nxt_code]],"누적거래대금")</f>
        <v>31549650</v>
      </c>
      <c r="N482" s="4">
        <f>_xll.IMDP("STK",표.실시간[[#This Row],[nxt_code]],"가중평균가")</f>
        <v>15822.291875999999</v>
      </c>
      <c r="O482" s="4">
        <f>_xll.IMDP("STK",표.실시간[[#This Row],[nxt_code]],"시가")</f>
        <v>15820</v>
      </c>
      <c r="P482" s="4">
        <f>_xll.IMDP("STK",표.실시간[[#This Row],[nxt_code]],"고가")</f>
        <v>15860</v>
      </c>
      <c r="Q482" s="4">
        <f>_xll.IMDP("STK",표.실시간[[#This Row],[nxt_code]],"저가")</f>
        <v>15810</v>
      </c>
      <c r="R482">
        <f>_xll.IMDP("STK",표.실시간[[#This Row],[nxt_code]],"세션명")</f>
        <v>0</v>
      </c>
      <c r="S482">
        <f>_xll.IMDP("STK",표.실시간[[#This Row],[nxt_code]],"체결시간")</f>
        <v>0</v>
      </c>
      <c r="T482" s="4">
        <f>_xll.IMDP("STK","230360","현재가")</f>
        <v>15900</v>
      </c>
      <c r="U482">
        <f>_xll.IMDP("STK","230360","누적거래량")</f>
        <v>3</v>
      </c>
    </row>
    <row r="483" spans="3:21" x14ac:dyDescent="0.3">
      <c r="C483">
        <v>478</v>
      </c>
      <c r="D483">
        <v>16610</v>
      </c>
      <c r="E483" t="s">
        <v>495</v>
      </c>
      <c r="F483" t="str">
        <f>ConvertStockCode(표.실시간[[#This Row],[코드]])</f>
        <v>N016610</v>
      </c>
      <c r="G483" s="4">
        <f>_xll.IMDP("STK",표.실시간[[#This Row],[nxt_code]],"현재가")</f>
        <v>11900</v>
      </c>
      <c r="H483" s="4">
        <f>_xll.IMDP("STK",표.실시간[[#This Row],[nxt_code]],"시가총액")/10^12</f>
        <v>0.50511202909999997</v>
      </c>
      <c r="I483" t="str">
        <f>_xll.IMDP("","","전일대비부호")</f>
        <v>코드오류</v>
      </c>
      <c r="J483" s="5">
        <f>_xll.IMDP("STK",표.실시간[[#This Row],[nxt_code]],"전일대비")</f>
        <v>340</v>
      </c>
      <c r="K483">
        <f>_xll.IMDP("STK",표.실시간[[#This Row],[nxt_code]],"등락률")</f>
        <v>2.94</v>
      </c>
      <c r="L483" s="4">
        <f>_xll.IMDP("STK",표.실시간[[#This Row],[nxt_code]],"누적거래량")</f>
        <v>13005</v>
      </c>
      <c r="M483" s="4">
        <f>_xll.IMDP("STK",표.실시간[[#This Row],[nxt_code]],"누적거래대금")</f>
        <v>154932160</v>
      </c>
      <c r="N483" s="4">
        <f>_xll.IMDP("STK",표.실시간[[#This Row],[nxt_code]],"가중평균가")</f>
        <v>11913.276432000001</v>
      </c>
      <c r="O483" s="4">
        <f>_xll.IMDP("STK",표.실시간[[#This Row],[nxt_code]],"시가")</f>
        <v>11800</v>
      </c>
      <c r="P483" s="4">
        <f>_xll.IMDP("STK",표.실시간[[#This Row],[nxt_code]],"고가")</f>
        <v>11980</v>
      </c>
      <c r="Q483" s="4">
        <f>_xll.IMDP("STK",표.실시간[[#This Row],[nxt_code]],"저가")</f>
        <v>11690</v>
      </c>
      <c r="R483">
        <f>_xll.IMDP("STK",표.실시간[[#This Row],[nxt_code]],"세션명")</f>
        <v>0</v>
      </c>
      <c r="S483">
        <f>_xll.IMDP("STK",표.실시간[[#This Row],[nxt_code]],"체결시간")</f>
        <v>0</v>
      </c>
      <c r="T483" s="4">
        <f>_xll.IMDP("STK","016610","현재가")</f>
        <v>11880</v>
      </c>
      <c r="U483">
        <f>_xll.IMDP("STK","016610","누적거래량")</f>
        <v>8255</v>
      </c>
    </row>
    <row r="484" spans="3:21" x14ac:dyDescent="0.3">
      <c r="C484">
        <v>479</v>
      </c>
      <c r="D484">
        <v>14830</v>
      </c>
      <c r="E484" t="s">
        <v>496</v>
      </c>
      <c r="F484" t="str">
        <f>ConvertStockCode(표.실시간[[#This Row],[코드]])</f>
        <v>N014830</v>
      </c>
      <c r="G484" s="4">
        <f>_xll.IMDP("STK",표.실시간[[#This Row],[nxt_code]],"현재가")</f>
        <v>82500</v>
      </c>
      <c r="H484" s="4">
        <f>_xll.IMDP("STK",표.실시간[[#This Row],[nxt_code]],"시가총액")/10^12</f>
        <v>0.55765023999999996</v>
      </c>
      <c r="I484" t="str">
        <f>_xll.IMDP("","","전일대비부호")</f>
        <v>코드오류</v>
      </c>
      <c r="J484" s="5">
        <f>_xll.IMDP("STK",표.실시간[[#This Row],[nxt_code]],"전일대비")</f>
        <v>8100</v>
      </c>
      <c r="K484">
        <f>_xll.IMDP("STK",표.실시간[[#This Row],[nxt_code]],"등락률")</f>
        <v>11.19</v>
      </c>
      <c r="L484" s="4">
        <f>_xll.IMDP("STK",표.실시간[[#This Row],[nxt_code]],"누적거래량")</f>
        <v>77321</v>
      </c>
      <c r="M484" s="4">
        <f>_xll.IMDP("STK",표.실시간[[#This Row],[nxt_code]],"누적거래대금")</f>
        <v>6117162950</v>
      </c>
      <c r="N484" s="4">
        <f>_xll.IMDP("STK",표.실시간[[#This Row],[nxt_code]],"가중평균가")</f>
        <v>79113.862340000007</v>
      </c>
      <c r="O484" s="4">
        <f>_xll.IMDP("STK",표.실시간[[#This Row],[nxt_code]],"시가")</f>
        <v>75800</v>
      </c>
      <c r="P484" s="4">
        <f>_xll.IMDP("STK",표.실시간[[#This Row],[nxt_code]],"고가")</f>
        <v>82500</v>
      </c>
      <c r="Q484" s="4">
        <f>_xll.IMDP("STK",표.실시간[[#This Row],[nxt_code]],"저가")</f>
        <v>75700</v>
      </c>
      <c r="R484">
        <f>_xll.IMDP("STK",표.실시간[[#This Row],[nxt_code]],"세션명")</f>
        <v>0</v>
      </c>
      <c r="S484">
        <f>_xll.IMDP("STK",표.실시간[[#This Row],[nxt_code]],"체결시간")</f>
        <v>0</v>
      </c>
      <c r="T484" s="4">
        <f>_xll.IMDP("STK","014830","현재가")</f>
        <v>82400</v>
      </c>
      <c r="U484">
        <f>_xll.IMDP("STK","014830","누적거래량")</f>
        <v>26629</v>
      </c>
    </row>
    <row r="485" spans="3:21" x14ac:dyDescent="0.3">
      <c r="C485">
        <v>480</v>
      </c>
      <c r="D485">
        <v>199430</v>
      </c>
      <c r="E485" t="s">
        <v>497</v>
      </c>
      <c r="F485" t="str">
        <f>ConvertStockCode(표.실시간[[#This Row],[코드]])</f>
        <v>N199430</v>
      </c>
      <c r="G485" s="4">
        <f>_xll.IMDP("STK",표.실시간[[#This Row],[nxt_code]],"현재가")</f>
        <v>39900</v>
      </c>
      <c r="H485" s="4">
        <f>_xll.IMDP("STK",표.실시간[[#This Row],[nxt_code]],"시가총액")/10^12</f>
        <v>0.43882191570000001</v>
      </c>
      <c r="I485" t="str">
        <f>_xll.IMDP("","","전일대비부호")</f>
        <v>코드오류</v>
      </c>
      <c r="J485" s="5">
        <f>_xll.IMDP("STK",표.실시간[[#This Row],[nxt_code]],"전일대비")</f>
        <v>750</v>
      </c>
      <c r="K485">
        <f>_xll.IMDP("STK",표.실시간[[#This Row],[nxt_code]],"등락률")</f>
        <v>1.92</v>
      </c>
      <c r="L485" s="4">
        <f>_xll.IMDP("STK",표.실시간[[#This Row],[nxt_code]],"누적거래량")</f>
        <v>201427</v>
      </c>
      <c r="M485" s="4">
        <f>_xll.IMDP("STK",표.실시간[[#This Row],[nxt_code]],"누적거래대금")</f>
        <v>8143849050</v>
      </c>
      <c r="N485" s="4">
        <f>_xll.IMDP("STK",표.실시간[[#This Row],[nxt_code]],"가중평균가")</f>
        <v>40430.771694000003</v>
      </c>
      <c r="O485" s="4">
        <f>_xll.IMDP("STK",표.실시간[[#This Row],[nxt_code]],"시가")</f>
        <v>38000</v>
      </c>
      <c r="P485" s="4">
        <f>_xll.IMDP("STK",표.실시간[[#This Row],[nxt_code]],"고가")</f>
        <v>42050</v>
      </c>
      <c r="Q485" s="4">
        <f>_xll.IMDP("STK",표.실시간[[#This Row],[nxt_code]],"저가")</f>
        <v>38000</v>
      </c>
      <c r="R485">
        <f>_xll.IMDP("STK",표.실시간[[#This Row],[nxt_code]],"세션명")</f>
        <v>0</v>
      </c>
      <c r="S485">
        <f>_xll.IMDP("STK",표.실시간[[#This Row],[nxt_code]],"체결시간")</f>
        <v>0</v>
      </c>
      <c r="T485" s="4">
        <f>_xll.IMDP("STK","199430","현재가")</f>
        <v>39900</v>
      </c>
      <c r="U485">
        <f>_xll.IMDP("STK","199430","누적거래량")</f>
        <v>12581</v>
      </c>
    </row>
    <row r="486" spans="3:21" x14ac:dyDescent="0.3">
      <c r="C486">
        <v>481</v>
      </c>
      <c r="D486">
        <v>448900</v>
      </c>
      <c r="E486" t="s">
        <v>498</v>
      </c>
      <c r="F486" t="str">
        <f>ConvertStockCode(표.실시간[[#This Row],[코드]])</f>
        <v>N448900</v>
      </c>
      <c r="G486" s="4">
        <f>_xll.IMDP("STK",표.실시간[[#This Row],[nxt_code]],"현재가")</f>
        <v>70400</v>
      </c>
      <c r="H486" s="4">
        <f>_xll.IMDP("STK",표.실시간[[#This Row],[nxt_code]],"시가총액")/10^12</f>
        <v>0.4227137728</v>
      </c>
      <c r="I486" t="str">
        <f>_xll.IMDP("","","전일대비부호")</f>
        <v>코드오류</v>
      </c>
      <c r="J486" s="5">
        <f>_xll.IMDP("STK",표.실시간[[#This Row],[nxt_code]],"전일대비")</f>
        <v>300</v>
      </c>
      <c r="K486">
        <f>_xll.IMDP("STK",표.실시간[[#This Row],[nxt_code]],"등락률")</f>
        <v>0.43</v>
      </c>
      <c r="L486" s="4">
        <f>_xll.IMDP("STK",표.실시간[[#This Row],[nxt_code]],"누적거래량")</f>
        <v>21773</v>
      </c>
      <c r="M486" s="4">
        <f>_xll.IMDP("STK",표.실시간[[#This Row],[nxt_code]],"누적거래대금")</f>
        <v>1551524400</v>
      </c>
      <c r="N486" s="4">
        <f>_xll.IMDP("STK",표.실시간[[#This Row],[nxt_code]],"가중평균가")</f>
        <v>71229.657514999999</v>
      </c>
      <c r="O486" s="4">
        <f>_xll.IMDP("STK",표.실시간[[#This Row],[nxt_code]],"시가")</f>
        <v>73100</v>
      </c>
      <c r="P486" s="4">
        <f>_xll.IMDP("STK",표.실시간[[#This Row],[nxt_code]],"고가")</f>
        <v>73100</v>
      </c>
      <c r="Q486" s="4">
        <f>_xll.IMDP("STK",표.실시간[[#This Row],[nxt_code]],"저가")</f>
        <v>70300</v>
      </c>
      <c r="R486">
        <f>_xll.IMDP("STK",표.실시간[[#This Row],[nxt_code]],"세션명")</f>
        <v>0</v>
      </c>
      <c r="S486">
        <f>_xll.IMDP("STK",표.실시간[[#This Row],[nxt_code]],"체결시간")</f>
        <v>0</v>
      </c>
      <c r="T486" s="4">
        <f>_xll.IMDP("STK","448900","현재가")</f>
        <v>70300</v>
      </c>
      <c r="U486">
        <f>_xll.IMDP("STK","448900","누적거래량")</f>
        <v>2738</v>
      </c>
    </row>
    <row r="487" spans="3:21" x14ac:dyDescent="0.3">
      <c r="C487">
        <v>482</v>
      </c>
      <c r="D487">
        <v>79370</v>
      </c>
      <c r="E487" t="s">
        <v>499</v>
      </c>
      <c r="F487" t="str">
        <f>ConvertStockCode(표.실시간[[#This Row],[코드]])</f>
        <v>N079370</v>
      </c>
      <c r="G487" s="4">
        <f>_xll.IMDP("STK",표.실시간[[#This Row],[nxt_code]],"현재가")</f>
        <v>15320</v>
      </c>
      <c r="H487" s="4">
        <f>_xll.IMDP("STK",표.실시간[[#This Row],[nxt_code]],"시가총액")/10^12</f>
        <v>0.47518028680000002</v>
      </c>
      <c r="I487" t="str">
        <f>_xll.IMDP("","","전일대비부호")</f>
        <v>코드오류</v>
      </c>
      <c r="J487" s="5">
        <f>_xll.IMDP("STK",표.실시간[[#This Row],[nxt_code]],"전일대비")</f>
        <v>60</v>
      </c>
      <c r="K487">
        <f>_xll.IMDP("STK",표.실시간[[#This Row],[nxt_code]],"등락률")</f>
        <v>0.39</v>
      </c>
      <c r="L487" s="4">
        <f>_xll.IMDP("STK",표.실시간[[#This Row],[nxt_code]],"누적거래량")</f>
        <v>41427</v>
      </c>
      <c r="M487" s="4">
        <f>_xll.IMDP("STK",표.실시간[[#This Row],[nxt_code]],"누적거래대금")</f>
        <v>640499870</v>
      </c>
      <c r="N487" s="4">
        <f>_xll.IMDP("STK",표.실시간[[#This Row],[nxt_code]],"가중평균가")</f>
        <v>15460.928139</v>
      </c>
      <c r="O487" s="4">
        <f>_xll.IMDP("STK",표.실시간[[#This Row],[nxt_code]],"시가")</f>
        <v>15390</v>
      </c>
      <c r="P487" s="4">
        <f>_xll.IMDP("STK",표.실시간[[#This Row],[nxt_code]],"고가")</f>
        <v>15550</v>
      </c>
      <c r="Q487" s="4">
        <f>_xll.IMDP("STK",표.실시간[[#This Row],[nxt_code]],"저가")</f>
        <v>15320</v>
      </c>
      <c r="R487">
        <f>_xll.IMDP("STK",표.실시간[[#This Row],[nxt_code]],"세션명")</f>
        <v>0</v>
      </c>
      <c r="S487">
        <f>_xll.IMDP("STK",표.실시간[[#This Row],[nxt_code]],"체결시간")</f>
        <v>0</v>
      </c>
      <c r="T487" s="4">
        <f>_xll.IMDP("STK","079370","현재가")</f>
        <v>15320</v>
      </c>
      <c r="U487">
        <f>_xll.IMDP("STK","079370","누적거래량")</f>
        <v>14573</v>
      </c>
    </row>
    <row r="488" spans="3:21" x14ac:dyDescent="0.3">
      <c r="C488">
        <v>483</v>
      </c>
      <c r="D488">
        <v>34310</v>
      </c>
      <c r="E488" t="s">
        <v>500</v>
      </c>
      <c r="F488" t="str">
        <f>ConvertStockCode(표.실시간[[#This Row],[코드]])</f>
        <v>N034310</v>
      </c>
      <c r="G488" s="4">
        <f>_xll.IMDP("STK",표.실시간[[#This Row],[nxt_code]],"현재가")</f>
        <v>13070</v>
      </c>
      <c r="H488" s="4">
        <f>_xll.IMDP("STK",표.실시간[[#This Row],[nxt_code]],"시가총액")/10^12</f>
        <v>0.48041604198999999</v>
      </c>
      <c r="I488" t="str">
        <f>_xll.IMDP("","","전일대비부호")</f>
        <v>코드오류</v>
      </c>
      <c r="J488" s="5">
        <f>_xll.IMDP("STK",표.실시간[[#This Row],[nxt_code]],"전일대비")</f>
        <v>10</v>
      </c>
      <c r="K488">
        <f>_xll.IMDP("STK",표.실시간[[#This Row],[nxt_code]],"등락률")</f>
        <v>0.08</v>
      </c>
      <c r="L488" s="4">
        <f>_xll.IMDP("STK",표.실시간[[#This Row],[nxt_code]],"누적거래량")</f>
        <v>3092</v>
      </c>
      <c r="M488" s="4">
        <f>_xll.IMDP("STK",표.실시간[[#This Row],[nxt_code]],"누적거래대금")</f>
        <v>40489280</v>
      </c>
      <c r="N488" s="4">
        <f>_xll.IMDP("STK",표.실시간[[#This Row],[nxt_code]],"가중평균가")</f>
        <v>13094.851229</v>
      </c>
      <c r="O488" s="4">
        <f>_xll.IMDP("STK",표.실시간[[#This Row],[nxt_code]],"시가")</f>
        <v>16970</v>
      </c>
      <c r="P488" s="4">
        <f>_xll.IMDP("STK",표.실시간[[#This Row],[nxt_code]],"고가")</f>
        <v>16970</v>
      </c>
      <c r="Q488" s="4">
        <f>_xll.IMDP("STK",표.실시간[[#This Row],[nxt_code]],"저가")</f>
        <v>13050</v>
      </c>
      <c r="R488">
        <f>_xll.IMDP("STK",표.실시간[[#This Row],[nxt_code]],"세션명")</f>
        <v>0</v>
      </c>
      <c r="S488">
        <f>_xll.IMDP("STK",표.실시간[[#This Row],[nxt_code]],"체결시간")</f>
        <v>0</v>
      </c>
      <c r="T488" s="4">
        <f>_xll.IMDP("STK","034310","현재가")</f>
        <v>13080</v>
      </c>
      <c r="U488">
        <f>_xll.IMDP("STK","034310","누적거래량")</f>
        <v>41</v>
      </c>
    </row>
    <row r="489" spans="3:21" x14ac:dyDescent="0.3">
      <c r="C489">
        <v>484</v>
      </c>
      <c r="D489">
        <v>3300</v>
      </c>
      <c r="E489" t="s">
        <v>501</v>
      </c>
      <c r="F489" t="str">
        <f>ConvertStockCode(표.실시간[[#This Row],[코드]])</f>
        <v>N003300</v>
      </c>
      <c r="G489" s="4">
        <f>_xll.IMDP("STK",표.실시간[[#This Row],[nxt_code]],"현재가")</f>
        <v>15600</v>
      </c>
      <c r="H489" s="4">
        <f>_xll.IMDP("STK",표.실시간[[#This Row],[nxt_code]],"시가총액")/10^12</f>
        <v>0.48099299039999999</v>
      </c>
      <c r="I489" t="str">
        <f>_xll.IMDP("","","전일대비부호")</f>
        <v>코드오류</v>
      </c>
      <c r="J489" s="5">
        <f>_xll.IMDP("STK",표.실시간[[#This Row],[nxt_code]],"전일대비")</f>
        <v>150</v>
      </c>
      <c r="K489">
        <f>_xll.IMDP("STK",표.실시간[[#This Row],[nxt_code]],"등락률")</f>
        <v>0.97</v>
      </c>
      <c r="L489" s="4">
        <f>_xll.IMDP("STK",표.실시간[[#This Row],[nxt_code]],"누적거래량")</f>
        <v>20</v>
      </c>
      <c r="M489" s="4">
        <f>_xll.IMDP("STK",표.실시간[[#This Row],[nxt_code]],"누적거래대금")</f>
        <v>312000</v>
      </c>
      <c r="N489" s="4">
        <f>_xll.IMDP("STK",표.실시간[[#This Row],[nxt_code]],"가중평균가")</f>
        <v>15600</v>
      </c>
      <c r="O489" s="4">
        <f>_xll.IMDP("STK",표.실시간[[#This Row],[nxt_code]],"시가")</f>
        <v>15600</v>
      </c>
      <c r="P489" s="4">
        <f>_xll.IMDP("STK",표.실시간[[#This Row],[nxt_code]],"고가")</f>
        <v>15600</v>
      </c>
      <c r="Q489" s="4">
        <f>_xll.IMDP("STK",표.실시간[[#This Row],[nxt_code]],"저가")</f>
        <v>15600</v>
      </c>
      <c r="R489">
        <f>_xll.IMDP("STK",표.실시간[[#This Row],[nxt_code]],"세션명")</f>
        <v>0</v>
      </c>
      <c r="S489">
        <f>_xll.IMDP("STK",표.실시간[[#This Row],[nxt_code]],"체결시간")</f>
        <v>0</v>
      </c>
      <c r="T489" s="4">
        <f>_xll.IMDP("STK","003300","현재가")</f>
        <v>15530</v>
      </c>
      <c r="U489">
        <f>_xll.IMDP("STK","003300","누적거래량")</f>
        <v>182</v>
      </c>
    </row>
    <row r="490" spans="3:21" x14ac:dyDescent="0.3">
      <c r="C490">
        <v>485</v>
      </c>
      <c r="D490">
        <v>459510</v>
      </c>
      <c r="E490" t="s">
        <v>502</v>
      </c>
      <c r="F490" t="str">
        <f>ConvertStockCode(표.실시간[[#This Row],[코드]])</f>
        <v>N459510</v>
      </c>
      <c r="G490" s="4">
        <f>_xll.IMDP("STK",표.실시간[[#This Row],[nxt_code]],"현재가")</f>
        <v>32150</v>
      </c>
      <c r="H490" s="4">
        <f>_xll.IMDP("STK",표.실시간[[#This Row],[nxt_code]],"시가총액")/10^12</f>
        <v>0.41651553130000002</v>
      </c>
      <c r="I490" t="str">
        <f>_xll.IMDP("","","전일대비부호")</f>
        <v>코드오류</v>
      </c>
      <c r="J490" s="5">
        <f>_xll.IMDP("STK",표.실시간[[#This Row],[nxt_code]],"전일대비")</f>
        <v>-1100</v>
      </c>
      <c r="K490">
        <f>_xll.IMDP("STK",표.실시간[[#This Row],[nxt_code]],"등락률")</f>
        <v>-3.31</v>
      </c>
      <c r="L490" s="4">
        <f>_xll.IMDP("STK",표.실시간[[#This Row],[nxt_code]],"누적거래량")</f>
        <v>170143</v>
      </c>
      <c r="M490" s="4">
        <f>_xll.IMDP("STK",표.실시간[[#This Row],[nxt_code]],"누적거래대금")</f>
        <v>5571142000</v>
      </c>
      <c r="N490" s="4">
        <f>_xll.IMDP("STK",표.실시간[[#This Row],[nxt_code]],"가중평균가")</f>
        <v>32743.880148</v>
      </c>
      <c r="O490" s="4">
        <f>_xll.IMDP("STK",표.실시간[[#This Row],[nxt_code]],"시가")</f>
        <v>33250</v>
      </c>
      <c r="P490" s="4">
        <f>_xll.IMDP("STK",표.실시간[[#This Row],[nxt_code]],"고가")</f>
        <v>33500</v>
      </c>
      <c r="Q490" s="4">
        <f>_xll.IMDP("STK",표.실시간[[#This Row],[nxt_code]],"저가")</f>
        <v>31800</v>
      </c>
      <c r="R490">
        <f>_xll.IMDP("STK",표.실시간[[#This Row],[nxt_code]],"세션명")</f>
        <v>0</v>
      </c>
      <c r="S490">
        <f>_xll.IMDP("STK",표.실시간[[#This Row],[nxt_code]],"체결시간")</f>
        <v>0</v>
      </c>
      <c r="T490" s="4">
        <f>_xll.IMDP("STK","459510","현재가")</f>
        <v>32200</v>
      </c>
      <c r="U490">
        <f>_xll.IMDP("STK","459510","누적거래량")</f>
        <v>28752</v>
      </c>
    </row>
    <row r="491" spans="3:21" x14ac:dyDescent="0.3">
      <c r="C491">
        <v>486</v>
      </c>
      <c r="D491">
        <v>200710</v>
      </c>
      <c r="E491" t="s">
        <v>503</v>
      </c>
      <c r="F491" t="str">
        <f>ConvertStockCode(표.실시간[[#This Row],[코드]])</f>
        <v>N200710</v>
      </c>
      <c r="G491" s="4">
        <f>_xll.IMDP("STK",표.실시간[[#This Row],[nxt_code]],"현재가")</f>
        <v>33600</v>
      </c>
      <c r="H491" s="4">
        <f>_xll.IMDP("STK",표.실시간[[#This Row],[nxt_code]],"시가총액")/10^12</f>
        <v>0.45161161919999998</v>
      </c>
      <c r="I491" t="str">
        <f>_xll.IMDP("","","전일대비부호")</f>
        <v>코드오류</v>
      </c>
      <c r="J491" s="5">
        <f>_xll.IMDP("STK",표.실시간[[#This Row],[nxt_code]],"전일대비")</f>
        <v>-300</v>
      </c>
      <c r="K491">
        <f>_xll.IMDP("STK",표.실시간[[#This Row],[nxt_code]],"등락률")</f>
        <v>-0.88</v>
      </c>
      <c r="L491" s="4">
        <f>_xll.IMDP("STK",표.실시간[[#This Row],[nxt_code]],"누적거래량")</f>
        <v>30661</v>
      </c>
      <c r="M491" s="4">
        <f>_xll.IMDP("STK",표.실시간[[#This Row],[nxt_code]],"누적거래대금")</f>
        <v>1047349300</v>
      </c>
      <c r="N491" s="4">
        <f>_xll.IMDP("STK",표.실시간[[#This Row],[nxt_code]],"가중평균가")</f>
        <v>34159.006556</v>
      </c>
      <c r="O491" s="4">
        <f>_xll.IMDP("STK",표.실시간[[#This Row],[nxt_code]],"시가")</f>
        <v>33900</v>
      </c>
      <c r="P491" s="4">
        <f>_xll.IMDP("STK",표.실시간[[#This Row],[nxt_code]],"고가")</f>
        <v>34650</v>
      </c>
      <c r="Q491" s="4">
        <f>_xll.IMDP("STK",표.실시간[[#This Row],[nxt_code]],"저가")</f>
        <v>33600</v>
      </c>
      <c r="R491">
        <f>_xll.IMDP("STK",표.실시간[[#This Row],[nxt_code]],"세션명")</f>
        <v>0</v>
      </c>
      <c r="S491">
        <f>_xll.IMDP("STK",표.실시간[[#This Row],[nxt_code]],"체결시간")</f>
        <v>0</v>
      </c>
      <c r="T491" s="4">
        <f>_xll.IMDP("STK","200710","현재가")</f>
        <v>33650</v>
      </c>
      <c r="U491">
        <f>_xll.IMDP("STK","200710","누적거래량")</f>
        <v>8306</v>
      </c>
    </row>
    <row r="492" spans="3:21" x14ac:dyDescent="0.3">
      <c r="C492">
        <v>487</v>
      </c>
      <c r="D492">
        <v>145990</v>
      </c>
      <c r="E492" t="s">
        <v>504</v>
      </c>
      <c r="F492" t="str">
        <f>ConvertStockCode(표.실시간[[#This Row],[코드]])</f>
        <v>N145990</v>
      </c>
      <c r="G492" s="4">
        <f>_xll.IMDP("STK",표.실시간[[#This Row],[nxt_code]],"현재가")</f>
        <v>46600</v>
      </c>
      <c r="H492" s="4">
        <f>_xll.IMDP("STK",표.실시간[[#This Row],[nxt_code]],"시가총액")/10^12</f>
        <v>0.48060672339999999</v>
      </c>
      <c r="I492" t="str">
        <f>_xll.IMDP("","","전일대비부호")</f>
        <v>코드오류</v>
      </c>
      <c r="J492" s="5">
        <f>_xll.IMDP("STK",표.실시간[[#This Row],[nxt_code]],"전일대비")</f>
        <v>350</v>
      </c>
      <c r="K492">
        <f>_xll.IMDP("STK",표.실시간[[#This Row],[nxt_code]],"등락률")</f>
        <v>0.76</v>
      </c>
      <c r="L492" s="4">
        <f>_xll.IMDP("STK",표.실시간[[#This Row],[nxt_code]],"누적거래량")</f>
        <v>219</v>
      </c>
      <c r="M492" s="4">
        <f>_xll.IMDP("STK",표.실시간[[#This Row],[nxt_code]],"누적거래대금")</f>
        <v>10230800</v>
      </c>
      <c r="N492" s="4">
        <f>_xll.IMDP("STK",표.실시간[[#This Row],[nxt_code]],"가중평균가")</f>
        <v>46715.981735000001</v>
      </c>
      <c r="O492" s="4">
        <f>_xll.IMDP("STK",표.실시간[[#This Row],[nxt_code]],"시가")</f>
        <v>46200</v>
      </c>
      <c r="P492" s="4">
        <f>_xll.IMDP("STK",표.실시간[[#This Row],[nxt_code]],"고가")</f>
        <v>46800</v>
      </c>
      <c r="Q492" s="4">
        <f>_xll.IMDP("STK",표.실시간[[#This Row],[nxt_code]],"저가")</f>
        <v>46200</v>
      </c>
      <c r="R492">
        <f>_xll.IMDP("STK",표.실시간[[#This Row],[nxt_code]],"세션명")</f>
        <v>0</v>
      </c>
      <c r="S492">
        <f>_xll.IMDP("STK",표.실시간[[#This Row],[nxt_code]],"체결시간")</f>
        <v>0</v>
      </c>
      <c r="T492" s="4">
        <f>_xll.IMDP("STK","145990","현재가")</f>
        <v>46500</v>
      </c>
      <c r="U492">
        <f>_xll.IMDP("STK","145990","누적거래량")</f>
        <v>316</v>
      </c>
    </row>
    <row r="493" spans="3:21" x14ac:dyDescent="0.3">
      <c r="C493">
        <v>488</v>
      </c>
      <c r="D493">
        <v>50890</v>
      </c>
      <c r="E493" t="s">
        <v>505</v>
      </c>
      <c r="F493" t="str">
        <f>ConvertStockCode(표.실시간[[#This Row],[코드]])</f>
        <v>N050890</v>
      </c>
      <c r="G493" s="4">
        <f>_xll.IMDP("STK",표.실시간[[#This Row],[nxt_code]],"현재가")</f>
        <v>7640</v>
      </c>
      <c r="H493" s="4">
        <f>_xll.IMDP("STK",표.실시간[[#This Row],[nxt_code]],"시가총액")/10^12</f>
        <v>0.46417991976</v>
      </c>
      <c r="I493" t="str">
        <f>_xll.IMDP("","","전일대비부호")</f>
        <v>코드오류</v>
      </c>
      <c r="J493" s="5">
        <f>_xll.IMDP("STK",표.실시간[[#This Row],[nxt_code]],"전일대비")</f>
        <v>60</v>
      </c>
      <c r="K493">
        <f>_xll.IMDP("STK",표.실시간[[#This Row],[nxt_code]],"등락률")</f>
        <v>0.79</v>
      </c>
      <c r="L493" s="4">
        <f>_xll.IMDP("STK",표.실시간[[#This Row],[nxt_code]],"누적거래량")</f>
        <v>47364</v>
      </c>
      <c r="M493" s="4">
        <f>_xll.IMDP("STK",표.실시간[[#This Row],[nxt_code]],"누적거래대금")</f>
        <v>363061250</v>
      </c>
      <c r="N493" s="4">
        <f>_xll.IMDP("STK",표.실시간[[#This Row],[nxt_code]],"가중평균가")</f>
        <v>7665.341821</v>
      </c>
      <c r="O493" s="4">
        <f>_xll.IMDP("STK",표.실시간[[#This Row],[nxt_code]],"시가")</f>
        <v>7680</v>
      </c>
      <c r="P493" s="4">
        <f>_xll.IMDP("STK",표.실시간[[#This Row],[nxt_code]],"고가")</f>
        <v>7690</v>
      </c>
      <c r="Q493" s="4">
        <f>_xll.IMDP("STK",표.실시간[[#This Row],[nxt_code]],"저가")</f>
        <v>7620</v>
      </c>
      <c r="R493">
        <f>_xll.IMDP("STK",표.실시간[[#This Row],[nxt_code]],"세션명")</f>
        <v>0</v>
      </c>
      <c r="S493">
        <f>_xll.IMDP("STK",표.실시간[[#This Row],[nxt_code]],"체결시간")</f>
        <v>0</v>
      </c>
      <c r="T493" s="4">
        <f>_xll.IMDP("STK","050890","현재가")</f>
        <v>7650</v>
      </c>
      <c r="U493">
        <f>_xll.IMDP("STK","050890","누적거래량")</f>
        <v>10795</v>
      </c>
    </row>
    <row r="494" spans="3:21" x14ac:dyDescent="0.3">
      <c r="C494">
        <v>489</v>
      </c>
      <c r="D494">
        <v>39440</v>
      </c>
      <c r="E494" t="s">
        <v>506</v>
      </c>
      <c r="F494" t="str">
        <f>ConvertStockCode(표.실시간[[#This Row],[코드]])</f>
        <v>N039440</v>
      </c>
      <c r="G494" s="4">
        <f>_xll.IMDP("STK",표.실시간[[#This Row],[nxt_code]],"현재가")</f>
        <v>29450</v>
      </c>
      <c r="H494" s="4">
        <f>_xll.IMDP("STK",표.실시간[[#This Row],[nxt_code]],"시가총액")/10^12</f>
        <v>0.45668253414999999</v>
      </c>
      <c r="I494" t="str">
        <f>_xll.IMDP("","","전일대비부호")</f>
        <v>코드오류</v>
      </c>
      <c r="J494" s="5">
        <f>_xll.IMDP("STK",표.실시간[[#This Row],[nxt_code]],"전일대비")</f>
        <v>0</v>
      </c>
      <c r="K494">
        <f>_xll.IMDP("STK",표.실시간[[#This Row],[nxt_code]],"등락률")</f>
        <v>-0.34</v>
      </c>
      <c r="L494" s="4">
        <f>_xll.IMDP("STK",표.실시간[[#This Row],[nxt_code]],"누적거래량")</f>
        <v>27861</v>
      </c>
      <c r="M494" s="4">
        <f>_xll.IMDP("STK",표.실시간[[#This Row],[nxt_code]],"누적거래대금")</f>
        <v>837535050</v>
      </c>
      <c r="N494" s="4">
        <f>_xll.IMDP("STK",표.실시간[[#This Row],[nxt_code]],"가중평균가")</f>
        <v>29798.094781</v>
      </c>
      <c r="O494" s="4">
        <f>_xll.IMDP("STK",표.실시간[[#This Row],[nxt_code]],"시가")</f>
        <v>30950</v>
      </c>
      <c r="P494" s="4">
        <f>_xll.IMDP("STK",표.실시간[[#This Row],[nxt_code]],"고가")</f>
        <v>30950</v>
      </c>
      <c r="Q494" s="4">
        <f>_xll.IMDP("STK",표.실시간[[#This Row],[nxt_code]],"저가")</f>
        <v>29400</v>
      </c>
      <c r="R494">
        <f>_xll.IMDP("STK",표.실시간[[#This Row],[nxt_code]],"세션명")</f>
        <v>0</v>
      </c>
      <c r="S494">
        <f>_xll.IMDP("STK",표.실시간[[#This Row],[nxt_code]],"체결시간")</f>
        <v>0</v>
      </c>
      <c r="T494" s="4">
        <f>_xll.IMDP("STK","039440","현재가")</f>
        <v>29450</v>
      </c>
      <c r="U494">
        <f>_xll.IMDP("STK","039440","누적거래량")</f>
        <v>4462</v>
      </c>
    </row>
    <row r="495" spans="3:21" x14ac:dyDescent="0.3">
      <c r="C495">
        <v>490</v>
      </c>
      <c r="D495">
        <v>394800</v>
      </c>
      <c r="E495" t="s">
        <v>507</v>
      </c>
      <c r="F495" t="str">
        <f>ConvertStockCode(표.실시간[[#This Row],[코드]])</f>
        <v>N394800</v>
      </c>
      <c r="G495" s="4">
        <f>_xll.IMDP("STK",표.실시간[[#This Row],[nxt_code]],"현재가")</f>
        <v>14280</v>
      </c>
      <c r="H495" s="4">
        <f>_xll.IMDP("STK",표.실시간[[#This Row],[nxt_code]],"시가총액")/10^12</f>
        <v>0.45355387728000002</v>
      </c>
      <c r="I495" t="str">
        <f>_xll.IMDP("","","전일대비부호")</f>
        <v>코드오류</v>
      </c>
      <c r="J495" s="5">
        <f>_xll.IMDP("STK",표.실시간[[#This Row],[nxt_code]],"전일대비")</f>
        <v>40</v>
      </c>
      <c r="K495">
        <f>_xll.IMDP("STK",표.실시간[[#This Row],[nxt_code]],"등락률")</f>
        <v>0.28000000000000003</v>
      </c>
      <c r="L495" s="4">
        <f>_xll.IMDP("STK",표.실시간[[#This Row],[nxt_code]],"누적거래량")</f>
        <v>9947</v>
      </c>
      <c r="M495" s="4">
        <f>_xll.IMDP("STK",표.실시간[[#This Row],[nxt_code]],"누적거래대금")</f>
        <v>142360150</v>
      </c>
      <c r="N495" s="4">
        <f>_xll.IMDP("STK",표.실시간[[#This Row],[nxt_code]],"가중평균가")</f>
        <v>14311.867899999999</v>
      </c>
      <c r="O495" s="4">
        <f>_xll.IMDP("STK",표.실시간[[#This Row],[nxt_code]],"시가")</f>
        <v>14500</v>
      </c>
      <c r="P495" s="4">
        <f>_xll.IMDP("STK",표.실시간[[#This Row],[nxt_code]],"고가")</f>
        <v>14500</v>
      </c>
      <c r="Q495" s="4">
        <f>_xll.IMDP("STK",표.실시간[[#This Row],[nxt_code]],"저가")</f>
        <v>14280</v>
      </c>
      <c r="R495">
        <f>_xll.IMDP("STK",표.실시간[[#This Row],[nxt_code]],"세션명")</f>
        <v>0</v>
      </c>
      <c r="S495">
        <f>_xll.IMDP("STK",표.실시간[[#This Row],[nxt_code]],"체결시간")</f>
        <v>0</v>
      </c>
      <c r="T495" s="4">
        <f>_xll.IMDP("STK","394800","현재가")</f>
        <v>14330</v>
      </c>
      <c r="U495">
        <f>_xll.IMDP("STK","394800","누적거래량")</f>
        <v>1270</v>
      </c>
    </row>
    <row r="496" spans="3:21" x14ac:dyDescent="0.3">
      <c r="C496">
        <v>491</v>
      </c>
      <c r="D496">
        <v>170900</v>
      </c>
      <c r="E496" t="s">
        <v>508</v>
      </c>
      <c r="F496" t="str">
        <f>ConvertStockCode(표.실시간[[#This Row],[코드]])</f>
        <v>N170900</v>
      </c>
      <c r="G496" s="4">
        <f>_xll.IMDP("STK",표.실시간[[#This Row],[nxt_code]],"현재가")</f>
        <v>50200</v>
      </c>
      <c r="H496" s="4">
        <f>_xll.IMDP("STK",표.실시간[[#This Row],[nxt_code]],"시가총액")/10^12</f>
        <v>0.46950308019999998</v>
      </c>
      <c r="I496" t="str">
        <f>_xll.IMDP("","","전일대비부호")</f>
        <v>코드오류</v>
      </c>
      <c r="J496" s="5">
        <f>_xll.IMDP("STK",표.실시간[[#This Row],[nxt_code]],"전일대비")</f>
        <v>0</v>
      </c>
      <c r="K496">
        <f>_xll.IMDP("STK",표.실시간[[#This Row],[nxt_code]],"등락률")</f>
        <v>0</v>
      </c>
      <c r="L496" s="4">
        <f>_xll.IMDP("STK",표.실시간[[#This Row],[nxt_code]],"누적거래량")</f>
        <v>983</v>
      </c>
      <c r="M496" s="4">
        <f>_xll.IMDP("STK",표.실시간[[#This Row],[nxt_code]],"누적거래대금")</f>
        <v>49435000</v>
      </c>
      <c r="N496" s="4">
        <f>_xll.IMDP("STK",표.실시간[[#This Row],[nxt_code]],"가중평균가")</f>
        <v>50289.928788999998</v>
      </c>
      <c r="O496" s="4">
        <f>_xll.IMDP("STK",표.실시간[[#This Row],[nxt_code]],"시가")</f>
        <v>50200</v>
      </c>
      <c r="P496" s="4">
        <f>_xll.IMDP("STK",표.실시간[[#This Row],[nxt_code]],"고가")</f>
        <v>50400</v>
      </c>
      <c r="Q496" s="4">
        <f>_xll.IMDP("STK",표.실시간[[#This Row],[nxt_code]],"저가")</f>
        <v>50200</v>
      </c>
      <c r="R496">
        <f>_xll.IMDP("STK",표.실시간[[#This Row],[nxt_code]],"세션명")</f>
        <v>0</v>
      </c>
      <c r="S496">
        <f>_xll.IMDP("STK",표.실시간[[#This Row],[nxt_code]],"체결시간")</f>
        <v>0</v>
      </c>
      <c r="T496" s="4">
        <f>_xll.IMDP("STK","170900","현재가")</f>
        <v>50100</v>
      </c>
      <c r="U496">
        <f>_xll.IMDP("STK","170900","누적거래량")</f>
        <v>168</v>
      </c>
    </row>
    <row r="497" spans="3:21" x14ac:dyDescent="0.3">
      <c r="C497">
        <v>492</v>
      </c>
      <c r="D497">
        <v>4700</v>
      </c>
      <c r="E497" t="s">
        <v>509</v>
      </c>
      <c r="F497" t="str">
        <f>ConvertStockCode(표.실시간[[#This Row],[코드]])</f>
        <v>N004700</v>
      </c>
      <c r="G497" s="4">
        <f>_xll.IMDP("STK",표.실시간[[#This Row],[nxt_code]],"현재가")</f>
        <v>73800</v>
      </c>
      <c r="H497" s="4">
        <f>_xll.IMDP("STK",표.실시간[[#This Row],[nxt_code]],"시가총액")/10^12</f>
        <v>0.49070638439999997</v>
      </c>
      <c r="I497" t="str">
        <f>_xll.IMDP("","","전일대비부호")</f>
        <v>코드오류</v>
      </c>
      <c r="J497" s="5">
        <f>_xll.IMDP("STK",표.실시간[[#This Row],[nxt_code]],"전일대비")</f>
        <v>2500</v>
      </c>
      <c r="K497">
        <f>_xll.IMDP("STK",표.실시간[[#This Row],[nxt_code]],"등락률")</f>
        <v>6.03</v>
      </c>
      <c r="L497" s="4">
        <f>_xll.IMDP("STK",표.실시간[[#This Row],[nxt_code]],"누적거래량")</f>
        <v>2615</v>
      </c>
      <c r="M497" s="4">
        <f>_xll.IMDP("STK",표.실시간[[#This Row],[nxt_code]],"누적거래대금")</f>
        <v>189663100</v>
      </c>
      <c r="N497" s="4">
        <f>_xll.IMDP("STK",표.실시간[[#This Row],[nxt_code]],"가중평균가")</f>
        <v>72528.910134000005</v>
      </c>
      <c r="O497" s="4">
        <f>_xll.IMDP("STK",표.실시간[[#This Row],[nxt_code]],"시가")</f>
        <v>70000</v>
      </c>
      <c r="P497" s="4">
        <f>_xll.IMDP("STK",표.실시간[[#This Row],[nxt_code]],"고가")</f>
        <v>73500</v>
      </c>
      <c r="Q497" s="4">
        <f>_xll.IMDP("STK",표.실시간[[#This Row],[nxt_code]],"저가")</f>
        <v>70000</v>
      </c>
      <c r="R497">
        <f>_xll.IMDP("STK",표.실시간[[#This Row],[nxt_code]],"세션명")</f>
        <v>0</v>
      </c>
      <c r="S497">
        <f>_xll.IMDP("STK",표.실시간[[#This Row],[nxt_code]],"체결시간")</f>
        <v>0</v>
      </c>
      <c r="T497" s="4">
        <f>_xll.IMDP("STK","004700","현재가")</f>
        <v>73700</v>
      </c>
      <c r="U497">
        <f>_xll.IMDP("STK","004700","누적거래량")</f>
        <v>99</v>
      </c>
    </row>
    <row r="498" spans="3:21" x14ac:dyDescent="0.3">
      <c r="C498">
        <v>493</v>
      </c>
      <c r="D498">
        <v>450950</v>
      </c>
      <c r="E498" t="s">
        <v>510</v>
      </c>
      <c r="F498" t="str">
        <f>ConvertStockCode(표.실시간[[#This Row],[코드]])</f>
        <v>N450950</v>
      </c>
      <c r="G498" s="4">
        <f>_xll.IMDP("STK",표.실시간[[#This Row],[nxt_code]],"현재가")</f>
        <v>13190</v>
      </c>
      <c r="H498" s="4">
        <f>_xll.IMDP("STK",표.실시간[[#This Row],[nxt_code]],"시가총액")/10^12</f>
        <v>0.49471854347999999</v>
      </c>
      <c r="I498" t="str">
        <f>_xll.IMDP("","","전일대비부호")</f>
        <v>코드오류</v>
      </c>
      <c r="J498" s="5">
        <f>_xll.IMDP("STK",표.실시간[[#This Row],[nxt_code]],"전일대비")</f>
        <v>60</v>
      </c>
      <c r="K498">
        <f>_xll.IMDP("STK",표.실시간[[#This Row],[nxt_code]],"등락률")</f>
        <v>0.46</v>
      </c>
      <c r="L498" s="4">
        <f>_xll.IMDP("STK",표.실시간[[#This Row],[nxt_code]],"누적거래량")</f>
        <v>4527</v>
      </c>
      <c r="M498" s="4">
        <f>_xll.IMDP("STK",표.실시간[[#This Row],[nxt_code]],"누적거래대금")</f>
        <v>59704450</v>
      </c>
      <c r="N498" s="4">
        <f>_xll.IMDP("STK",표.실시간[[#This Row],[nxt_code]],"가중평균가")</f>
        <v>13188.524409</v>
      </c>
      <c r="O498" s="4">
        <f>_xll.IMDP("STK",표.실시간[[#This Row],[nxt_code]],"시가")</f>
        <v>13190</v>
      </c>
      <c r="P498" s="4">
        <f>_xll.IMDP("STK",표.실시간[[#This Row],[nxt_code]],"고가")</f>
        <v>13300</v>
      </c>
      <c r="Q498" s="4">
        <f>_xll.IMDP("STK",표.실시간[[#This Row],[nxt_code]],"저가")</f>
        <v>13040</v>
      </c>
      <c r="R498">
        <f>_xll.IMDP("STK",표.실시간[[#This Row],[nxt_code]],"세션명")</f>
        <v>0</v>
      </c>
      <c r="S498">
        <f>_xll.IMDP("STK",표.실시간[[#This Row],[nxt_code]],"체결시간")</f>
        <v>0</v>
      </c>
      <c r="T498" s="4">
        <f>_xll.IMDP("STK","450950","현재가")</f>
        <v>13080</v>
      </c>
      <c r="U498">
        <f>_xll.IMDP("STK","450950","누적거래량")</f>
        <v>3261</v>
      </c>
    </row>
    <row r="499" spans="3:21" x14ac:dyDescent="0.3">
      <c r="C499">
        <v>494</v>
      </c>
      <c r="D499">
        <v>29530</v>
      </c>
      <c r="E499" t="s">
        <v>511</v>
      </c>
      <c r="F499" t="str">
        <f>ConvertStockCode(표.실시간[[#This Row],[코드]])</f>
        <v>N029530</v>
      </c>
      <c r="G499" s="4">
        <f>_xll.IMDP("STK",표.실시간[[#This Row],[nxt_code]],"현재가")</f>
        <v>46250</v>
      </c>
      <c r="H499" s="4">
        <f>_xll.IMDP("STK",표.실시간[[#This Row],[nxt_code]],"시가총액")/10^12</f>
        <v>0.46620134125000001</v>
      </c>
      <c r="I499" t="str">
        <f>_xll.IMDP("","","전일대비부호")</f>
        <v>코드오류</v>
      </c>
      <c r="J499" s="5">
        <f>_xll.IMDP("STK",표.실시간[[#This Row],[nxt_code]],"전일대비")</f>
        <v>250</v>
      </c>
      <c r="K499">
        <f>_xll.IMDP("STK",표.실시간[[#This Row],[nxt_code]],"등락률")</f>
        <v>0.54</v>
      </c>
      <c r="L499" s="4">
        <f>_xll.IMDP("STK",표.실시간[[#This Row],[nxt_code]],"누적거래량")</f>
        <v>130</v>
      </c>
      <c r="M499" s="4">
        <f>_xll.IMDP("STK",표.실시간[[#This Row],[nxt_code]],"누적거래대금")</f>
        <v>6014500</v>
      </c>
      <c r="N499" s="4">
        <f>_xll.IMDP("STK",표.실시간[[#This Row],[nxt_code]],"가중평균가")</f>
        <v>46265.384615000003</v>
      </c>
      <c r="O499" s="4">
        <f>_xll.IMDP("STK",표.실시간[[#This Row],[nxt_code]],"시가")</f>
        <v>46300</v>
      </c>
      <c r="P499" s="4">
        <f>_xll.IMDP("STK",표.실시간[[#This Row],[nxt_code]],"고가")</f>
        <v>46300</v>
      </c>
      <c r="Q499" s="4">
        <f>_xll.IMDP("STK",표.실시간[[#This Row],[nxt_code]],"저가")</f>
        <v>46250</v>
      </c>
      <c r="R499">
        <f>_xll.IMDP("STK",표.실시간[[#This Row],[nxt_code]],"세션명")</f>
        <v>0</v>
      </c>
      <c r="S499">
        <f>_xll.IMDP("STK",표.실시간[[#This Row],[nxt_code]],"체결시간")</f>
        <v>0</v>
      </c>
      <c r="T499" s="4">
        <f>_xll.IMDP("STK","029530","현재가")</f>
        <v>46050</v>
      </c>
      <c r="U499">
        <f>_xll.IMDP("STK","029530","누적거래량")</f>
        <v>10</v>
      </c>
    </row>
    <row r="500" spans="3:21" x14ac:dyDescent="0.3">
      <c r="C500">
        <v>495</v>
      </c>
      <c r="D500">
        <v>45100</v>
      </c>
      <c r="E500" t="s">
        <v>512</v>
      </c>
      <c r="F500" t="str">
        <f>ConvertStockCode(표.실시간[[#This Row],[코드]])</f>
        <v>N045100</v>
      </c>
      <c r="G500" s="4">
        <f>_xll.IMDP("STK",표.실시간[[#This Row],[nxt_code]],"현재가")</f>
        <v>24300</v>
      </c>
      <c r="H500" s="4">
        <f>_xll.IMDP("STK",표.실시간[[#This Row],[nxt_code]],"시가총액")/10^12</f>
        <v>0.43740000000000001</v>
      </c>
      <c r="I500" t="str">
        <f>_xll.IMDP("","","전일대비부호")</f>
        <v>코드오류</v>
      </c>
      <c r="J500" s="5">
        <f>_xll.IMDP("STK",표.실시간[[#This Row],[nxt_code]],"전일대비")</f>
        <v>150</v>
      </c>
      <c r="K500">
        <f>_xll.IMDP("STK",표.실시간[[#This Row],[nxt_code]],"등락률")</f>
        <v>0.62</v>
      </c>
      <c r="L500" s="4">
        <f>_xll.IMDP("STK",표.실시간[[#This Row],[nxt_code]],"누적거래량")</f>
        <v>7753</v>
      </c>
      <c r="M500" s="4">
        <f>_xll.IMDP("STK",표.실시간[[#This Row],[nxt_code]],"누적거래대금")</f>
        <v>191123650</v>
      </c>
      <c r="N500" s="4">
        <f>_xll.IMDP("STK",표.실시간[[#This Row],[nxt_code]],"가중평균가")</f>
        <v>24402.917517999998</v>
      </c>
      <c r="O500" s="4">
        <f>_xll.IMDP("STK",표.실시간[[#This Row],[nxt_code]],"시가")</f>
        <v>24300</v>
      </c>
      <c r="P500" s="4">
        <f>_xll.IMDP("STK",표.실시간[[#This Row],[nxt_code]],"고가")</f>
        <v>24550</v>
      </c>
      <c r="Q500" s="4">
        <f>_xll.IMDP("STK",표.실시간[[#This Row],[nxt_code]],"저가")</f>
        <v>24250</v>
      </c>
      <c r="R500">
        <f>_xll.IMDP("STK",표.실시간[[#This Row],[nxt_code]],"세션명")</f>
        <v>0</v>
      </c>
      <c r="S500">
        <f>_xll.IMDP("STK",표.실시간[[#This Row],[nxt_code]],"체결시간")</f>
        <v>0</v>
      </c>
      <c r="T500" s="4">
        <f>_xll.IMDP("STK","045100","현재가")</f>
        <v>24200</v>
      </c>
      <c r="U500">
        <f>_xll.IMDP("STK","045100","누적거래량")</f>
        <v>2637</v>
      </c>
    </row>
    <row r="501" spans="3:21" x14ac:dyDescent="0.3">
      <c r="C501">
        <v>496</v>
      </c>
      <c r="D501">
        <v>178920</v>
      </c>
      <c r="E501" t="s">
        <v>513</v>
      </c>
      <c r="F501" t="str">
        <f>ConvertStockCode(표.실시간[[#This Row],[코드]])</f>
        <v>N178920</v>
      </c>
      <c r="G501" s="4">
        <f>_xll.IMDP("STK",표.실시간[[#This Row],[nxt_code]],"현재가")</f>
        <v>16250</v>
      </c>
      <c r="H501" s="4">
        <f>_xll.IMDP("STK",표.실시간[[#This Row],[nxt_code]],"시가총액")/10^12</f>
        <v>0.4772027325</v>
      </c>
      <c r="I501" t="str">
        <f>_xll.IMDP("","","전일대비부호")</f>
        <v>코드오류</v>
      </c>
      <c r="J501" s="5">
        <f>_xll.IMDP("STK",표.실시간[[#This Row],[nxt_code]],"전일대비")</f>
        <v>160</v>
      </c>
      <c r="K501">
        <f>_xll.IMDP("STK",표.실시간[[#This Row],[nxt_code]],"등락률")</f>
        <v>0.99</v>
      </c>
      <c r="L501" s="4">
        <f>_xll.IMDP("STK",표.실시간[[#This Row],[nxt_code]],"누적거래량")</f>
        <v>13863</v>
      </c>
      <c r="M501" s="4">
        <f>_xll.IMDP("STK",표.실시간[[#This Row],[nxt_code]],"누적거래대금")</f>
        <v>225697270</v>
      </c>
      <c r="N501" s="4">
        <f>_xll.IMDP("STK",표.실시간[[#This Row],[nxt_code]],"가중평균가")</f>
        <v>16280.550386000001</v>
      </c>
      <c r="O501" s="4">
        <f>_xll.IMDP("STK",표.실시간[[#This Row],[nxt_code]],"시가")</f>
        <v>16200</v>
      </c>
      <c r="P501" s="4">
        <f>_xll.IMDP("STK",표.실시간[[#This Row],[nxt_code]],"고가")</f>
        <v>16820</v>
      </c>
      <c r="Q501" s="4">
        <f>_xll.IMDP("STK",표.실시간[[#This Row],[nxt_code]],"저가")</f>
        <v>16080</v>
      </c>
      <c r="R501">
        <f>_xll.IMDP("STK",표.실시간[[#This Row],[nxt_code]],"세션명")</f>
        <v>0</v>
      </c>
      <c r="S501">
        <f>_xll.IMDP("STK",표.실시간[[#This Row],[nxt_code]],"체결시간")</f>
        <v>0</v>
      </c>
      <c r="T501" s="4">
        <f>_xll.IMDP("STK","178920","현재가")</f>
        <v>16250</v>
      </c>
      <c r="U501">
        <f>_xll.IMDP("STK","178920","누적거래량")</f>
        <v>3205</v>
      </c>
    </row>
    <row r="502" spans="3:21" x14ac:dyDescent="0.3">
      <c r="C502">
        <v>497</v>
      </c>
      <c r="D502">
        <v>70</v>
      </c>
      <c r="E502" t="s">
        <v>514</v>
      </c>
      <c r="F502" t="str">
        <f>ConvertStockCode(표.실시간[[#This Row],[코드]])</f>
        <v>N000070</v>
      </c>
      <c r="G502" s="4">
        <f>_xll.IMDP("STK",표.실시간[[#This Row],[nxt_code]],"현재가")</f>
        <v>59000</v>
      </c>
      <c r="H502" s="4">
        <f>_xll.IMDP("STK",표.실시간[[#This Row],[nxt_code]],"시가총액")/10^12</f>
        <v>0.45802826899999999</v>
      </c>
      <c r="I502" t="str">
        <f>_xll.IMDP("","","전일대비부호")</f>
        <v>코드오류</v>
      </c>
      <c r="J502" s="5">
        <f>_xll.IMDP("STK",표.실시간[[#This Row],[nxt_code]],"전일대비")</f>
        <v>400</v>
      </c>
      <c r="K502">
        <f>_xll.IMDP("STK",표.실시간[[#This Row],[nxt_code]],"등락률")</f>
        <v>0.68</v>
      </c>
      <c r="L502" s="4">
        <f>_xll.IMDP("STK",표.실시간[[#This Row],[nxt_code]],"누적거래량")</f>
        <v>2630</v>
      </c>
      <c r="M502" s="4">
        <f>_xll.IMDP("STK",표.실시간[[#This Row],[nxt_code]],"누적거래대금")</f>
        <v>155647700</v>
      </c>
      <c r="N502" s="4">
        <f>_xll.IMDP("STK",표.실시간[[#This Row],[nxt_code]],"가중평균가")</f>
        <v>59181.634981000003</v>
      </c>
      <c r="O502" s="4">
        <f>_xll.IMDP("STK",표.실시간[[#This Row],[nxt_code]],"시가")</f>
        <v>60000</v>
      </c>
      <c r="P502" s="4">
        <f>_xll.IMDP("STK",표.실시간[[#This Row],[nxt_code]],"고가")</f>
        <v>60000</v>
      </c>
      <c r="Q502" s="4">
        <f>_xll.IMDP("STK",표.실시간[[#This Row],[nxt_code]],"저가")</f>
        <v>58800</v>
      </c>
      <c r="R502">
        <f>_xll.IMDP("STK",표.실시간[[#This Row],[nxt_code]],"세션명")</f>
        <v>0</v>
      </c>
      <c r="S502">
        <f>_xll.IMDP("STK",표.실시간[[#This Row],[nxt_code]],"체결시간")</f>
        <v>0</v>
      </c>
      <c r="T502" s="4">
        <f>_xll.IMDP("STK","000070","현재가")</f>
        <v>59200</v>
      </c>
      <c r="U502">
        <f>_xll.IMDP("STK","000070","누적거래량")</f>
        <v>1223</v>
      </c>
    </row>
    <row r="503" spans="3:21" x14ac:dyDescent="0.3">
      <c r="C503">
        <v>498</v>
      </c>
      <c r="D503">
        <v>200880</v>
      </c>
      <c r="E503" t="s">
        <v>515</v>
      </c>
      <c r="F503" t="str">
        <f>ConvertStockCode(표.실시간[[#This Row],[코드]])</f>
        <v>N200880</v>
      </c>
      <c r="G503" s="4">
        <f>_xll.IMDP("STK",표.실시간[[#This Row],[nxt_code]],"현재가")</f>
        <v>15350</v>
      </c>
      <c r="H503" s="4">
        <f>_xll.IMDP("STK",표.실시간[[#This Row],[nxt_code]],"시가총액")/10^12</f>
        <v>0.41488650794999998</v>
      </c>
      <c r="I503" t="str">
        <f>_xll.IMDP("","","전일대비부호")</f>
        <v>코드오류</v>
      </c>
      <c r="J503" s="5">
        <f>_xll.IMDP("STK",표.실시간[[#This Row],[nxt_code]],"전일대비")</f>
        <v>-220</v>
      </c>
      <c r="K503">
        <f>_xll.IMDP("STK",표.실시간[[#This Row],[nxt_code]],"등락률")</f>
        <v>-1.41</v>
      </c>
      <c r="L503" s="4">
        <f>_xll.IMDP("STK",표.실시간[[#This Row],[nxt_code]],"누적거래량")</f>
        <v>71400</v>
      </c>
      <c r="M503" s="4">
        <f>_xll.IMDP("STK",표.실시간[[#This Row],[nxt_code]],"누적거래대금")</f>
        <v>1107945350</v>
      </c>
      <c r="N503" s="4">
        <f>_xll.IMDP("STK",표.실시간[[#This Row],[nxt_code]],"가중평균가")</f>
        <v>15499.641168</v>
      </c>
      <c r="O503" s="4">
        <f>_xll.IMDP("STK",표.실시간[[#This Row],[nxt_code]],"시가")</f>
        <v>15570</v>
      </c>
      <c r="P503" s="4">
        <f>_xll.IMDP("STK",표.실시간[[#This Row],[nxt_code]],"고가")</f>
        <v>15720</v>
      </c>
      <c r="Q503" s="4">
        <f>_xll.IMDP("STK",표.실시간[[#This Row],[nxt_code]],"저가")</f>
        <v>15300</v>
      </c>
      <c r="R503">
        <f>_xll.IMDP("STK",표.실시간[[#This Row],[nxt_code]],"세션명")</f>
        <v>0</v>
      </c>
      <c r="S503">
        <f>_xll.IMDP("STK",표.실시간[[#This Row],[nxt_code]],"체결시간")</f>
        <v>0</v>
      </c>
      <c r="T503" s="4">
        <f>_xll.IMDP("STK","200880","현재가")</f>
        <v>15370</v>
      </c>
      <c r="U503">
        <f>_xll.IMDP("STK","200880","누적거래량")</f>
        <v>14964</v>
      </c>
    </row>
    <row r="504" spans="3:21" x14ac:dyDescent="0.3">
      <c r="C504">
        <v>499</v>
      </c>
      <c r="D504">
        <v>104830</v>
      </c>
      <c r="E504" t="s">
        <v>516</v>
      </c>
      <c r="F504" t="str">
        <f>ConvertStockCode(표.실시간[[#This Row],[코드]])</f>
        <v>N104830</v>
      </c>
      <c r="G504" s="4">
        <f>_xll.IMDP("STK",표.실시간[[#This Row],[nxt_code]],"현재가")</f>
        <v>35800</v>
      </c>
      <c r="H504" s="4">
        <f>_xll.IMDP("STK",표.실시간[[#This Row],[nxt_code]],"시가총액")/10^12</f>
        <v>0.4513664</v>
      </c>
      <c r="I504" t="str">
        <f>_xll.IMDP("","","전일대비부호")</f>
        <v>코드오류</v>
      </c>
      <c r="J504" s="5">
        <f>_xll.IMDP("STK",표.실시간[[#This Row],[nxt_code]],"전일대비")</f>
        <v>-1100</v>
      </c>
      <c r="K504">
        <f>_xll.IMDP("STK",표.실시간[[#This Row],[nxt_code]],"등락률")</f>
        <v>-2.98</v>
      </c>
      <c r="L504" s="4">
        <f>_xll.IMDP("STK",표.실시간[[#This Row],[nxt_code]],"누적거래량")</f>
        <v>12705</v>
      </c>
      <c r="M504" s="4">
        <f>_xll.IMDP("STK",표.실시간[[#This Row],[nxt_code]],"누적거래대금")</f>
        <v>463404000</v>
      </c>
      <c r="N504" s="4">
        <f>_xll.IMDP("STK",표.실시간[[#This Row],[nxt_code]],"가중평균가")</f>
        <v>36474.144037999999</v>
      </c>
      <c r="O504" s="4">
        <f>_xll.IMDP("STK",표.실시간[[#This Row],[nxt_code]],"시가")</f>
        <v>37050</v>
      </c>
      <c r="P504" s="4">
        <f>_xll.IMDP("STK",표.실시간[[#This Row],[nxt_code]],"고가")</f>
        <v>37500</v>
      </c>
      <c r="Q504" s="4">
        <f>_xll.IMDP("STK",표.실시간[[#This Row],[nxt_code]],"저가")</f>
        <v>36250</v>
      </c>
      <c r="R504">
        <f>_xll.IMDP("STK",표.실시간[[#This Row],[nxt_code]],"세션명")</f>
        <v>0</v>
      </c>
      <c r="S504">
        <f>_xll.IMDP("STK",표.실시간[[#This Row],[nxt_code]],"체결시간")</f>
        <v>0</v>
      </c>
      <c r="T504" s="4">
        <f>_xll.IMDP("STK","104830","현재가")</f>
        <v>35750</v>
      </c>
      <c r="U504">
        <f>_xll.IMDP("STK","104830","누적거래량")</f>
        <v>2640</v>
      </c>
    </row>
    <row r="505" spans="3:21" x14ac:dyDescent="0.3">
      <c r="C505">
        <v>500</v>
      </c>
      <c r="D505">
        <v>60980</v>
      </c>
      <c r="E505" t="s">
        <v>517</v>
      </c>
      <c r="F505" t="str">
        <f>ConvertStockCode(표.실시간[[#This Row],[코드]])</f>
        <v>N060980</v>
      </c>
      <c r="G505" s="4">
        <f>_xll.IMDP("STK",표.실시간[[#This Row],[nxt_code]],"현재가")</f>
        <v>46150</v>
      </c>
      <c r="H505" s="4">
        <f>_xll.IMDP("STK",표.실시간[[#This Row],[nxt_code]],"시가총액")/10^12</f>
        <v>0.42520196355000001</v>
      </c>
      <c r="I505" t="str">
        <f>_xll.IMDP("","","전일대비부호")</f>
        <v>코드오류</v>
      </c>
      <c r="J505" s="5">
        <f>_xll.IMDP("STK",표.실시간[[#This Row],[nxt_code]],"전일대비")</f>
        <v>-150</v>
      </c>
      <c r="K505">
        <f>_xll.IMDP("STK",표.실시간[[#This Row],[nxt_code]],"등락률")</f>
        <v>-0.32</v>
      </c>
      <c r="L505" s="4">
        <f>_xll.IMDP("STK",표.실시간[[#This Row],[nxt_code]],"누적거래량")</f>
        <v>3028</v>
      </c>
      <c r="M505" s="4">
        <f>_xll.IMDP("STK",표.실시간[[#This Row],[nxt_code]],"누적거래대금")</f>
        <v>140345450</v>
      </c>
      <c r="N505" s="4">
        <f>_xll.IMDP("STK",표.실시간[[#This Row],[nxt_code]],"가중평균가")</f>
        <v>46349.223910000001</v>
      </c>
      <c r="O505" s="4">
        <f>_xll.IMDP("STK",표.실시간[[#This Row],[nxt_code]],"시가")</f>
        <v>46450</v>
      </c>
      <c r="P505" s="4">
        <f>_xll.IMDP("STK",표.실시간[[#This Row],[nxt_code]],"고가")</f>
        <v>47350</v>
      </c>
      <c r="Q505" s="4">
        <f>_xll.IMDP("STK",표.실시간[[#This Row],[nxt_code]],"저가")</f>
        <v>46000</v>
      </c>
      <c r="R505">
        <f>_xll.IMDP("STK",표.실시간[[#This Row],[nxt_code]],"세션명")</f>
        <v>0</v>
      </c>
      <c r="S505">
        <f>_xll.IMDP("STK",표.실시간[[#This Row],[nxt_code]],"체결시간")</f>
        <v>0</v>
      </c>
      <c r="T505" s="4">
        <f>_xll.IMDP("STK","060980","현재가")</f>
        <v>46300</v>
      </c>
      <c r="U505">
        <f>_xll.IMDP("STK","060980","누적거래량")</f>
        <v>49</v>
      </c>
    </row>
    <row r="506" spans="3:21" x14ac:dyDescent="0.3">
      <c r="C506">
        <v>501</v>
      </c>
      <c r="D506">
        <v>53030</v>
      </c>
      <c r="E506" t="s">
        <v>518</v>
      </c>
      <c r="F506" t="str">
        <f>ConvertStockCode(표.실시간[[#This Row],[코드]])</f>
        <v>N053030</v>
      </c>
      <c r="G506" s="4">
        <f>_xll.IMDP("STK",표.실시간[[#This Row],[nxt_code]],"현재가")</f>
        <v>13460</v>
      </c>
      <c r="H506" s="4">
        <f>_xll.IMDP("STK",표.실시간[[#This Row],[nxt_code]],"시가총액")/10^12</f>
        <v>0.43992917048000002</v>
      </c>
      <c r="I506" t="str">
        <f>_xll.IMDP("","","전일대비부호")</f>
        <v>코드오류</v>
      </c>
      <c r="J506" s="5">
        <f>_xll.IMDP("STK",표.실시간[[#This Row],[nxt_code]],"전일대비")</f>
        <v>80</v>
      </c>
      <c r="K506">
        <f>_xll.IMDP("STK",표.실시간[[#This Row],[nxt_code]],"등락률")</f>
        <v>0.37</v>
      </c>
      <c r="L506" s="4">
        <f>_xll.IMDP("STK",표.실시간[[#This Row],[nxt_code]],"누적거래량")</f>
        <v>9006</v>
      </c>
      <c r="M506" s="4">
        <f>_xll.IMDP("STK",표.실시간[[#This Row],[nxt_code]],"누적거래대금")</f>
        <v>125493500</v>
      </c>
      <c r="N506" s="4">
        <f>_xll.IMDP("STK",표.실시간[[#This Row],[nxt_code]],"가중평균가")</f>
        <v>13483.775653000001</v>
      </c>
      <c r="O506" s="4">
        <f>_xll.IMDP("STK",표.실시간[[#This Row],[nxt_code]],"시가")</f>
        <v>13540</v>
      </c>
      <c r="P506" s="4">
        <f>_xll.IMDP("STK",표.실시간[[#This Row],[nxt_code]],"고가")</f>
        <v>13540</v>
      </c>
      <c r="Q506" s="4">
        <f>_xll.IMDP("STK",표.실시간[[#This Row],[nxt_code]],"저가")</f>
        <v>13430</v>
      </c>
      <c r="R506">
        <f>_xll.IMDP("STK",표.실시간[[#This Row],[nxt_code]],"세션명")</f>
        <v>0</v>
      </c>
      <c r="S506">
        <f>_xll.IMDP("STK",표.실시간[[#This Row],[nxt_code]],"체결시간")</f>
        <v>0</v>
      </c>
      <c r="T506" s="4">
        <f>_xll.IMDP("STK","053030","현재가")</f>
        <v>13460</v>
      </c>
      <c r="U506">
        <f>_xll.IMDP("STK","053030","누적거래량")</f>
        <v>3222</v>
      </c>
    </row>
    <row r="507" spans="3:21" x14ac:dyDescent="0.3">
      <c r="C507">
        <v>502</v>
      </c>
      <c r="D507">
        <v>200670</v>
      </c>
      <c r="E507" t="s">
        <v>519</v>
      </c>
      <c r="F507" t="str">
        <f>ConvertStockCode(표.실시간[[#This Row],[코드]])</f>
        <v>N200670</v>
      </c>
      <c r="G507" s="4">
        <f>_xll.IMDP("STK",표.실시간[[#This Row],[nxt_code]],"현재가")</f>
        <v>41450</v>
      </c>
      <c r="H507" s="4">
        <f>_xll.IMDP("STK",표.실시간[[#This Row],[nxt_code]],"시가총액")/10^12</f>
        <v>0.46548059850000001</v>
      </c>
      <c r="I507" t="str">
        <f>_xll.IMDP("","","전일대비부호")</f>
        <v>코드오류</v>
      </c>
      <c r="J507" s="5">
        <f>_xll.IMDP("STK",표.실시간[[#This Row],[nxt_code]],"전일대비")</f>
        <v>150</v>
      </c>
      <c r="K507">
        <f>_xll.IMDP("STK",표.실시간[[#This Row],[nxt_code]],"등락률")</f>
        <v>0.36</v>
      </c>
      <c r="L507" s="4">
        <f>_xll.IMDP("STK",표.실시간[[#This Row],[nxt_code]],"누적거래량")</f>
        <v>5348</v>
      </c>
      <c r="M507" s="4">
        <f>_xll.IMDP("STK",표.실시간[[#This Row],[nxt_code]],"누적거래대금")</f>
        <v>223622400</v>
      </c>
      <c r="N507" s="4">
        <f>_xll.IMDP("STK",표.실시간[[#This Row],[nxt_code]],"가중평균가")</f>
        <v>41821.961480999998</v>
      </c>
      <c r="O507" s="4">
        <f>_xll.IMDP("STK",표.실시간[[#This Row],[nxt_code]],"시가")</f>
        <v>42000</v>
      </c>
      <c r="P507" s="4">
        <f>_xll.IMDP("STK",표.실시간[[#This Row],[nxt_code]],"고가")</f>
        <v>42000</v>
      </c>
      <c r="Q507" s="4">
        <f>_xll.IMDP("STK",표.실시간[[#This Row],[nxt_code]],"저가")</f>
        <v>41400</v>
      </c>
      <c r="R507">
        <f>_xll.IMDP("STK",표.실시간[[#This Row],[nxt_code]],"세션명")</f>
        <v>0</v>
      </c>
      <c r="S507">
        <f>_xll.IMDP("STK",표.실시간[[#This Row],[nxt_code]],"체결시간")</f>
        <v>0</v>
      </c>
      <c r="T507" s="4">
        <f>_xll.IMDP("STK","200670","현재가")</f>
        <v>41450</v>
      </c>
      <c r="U507">
        <f>_xll.IMDP("STK","200670","누적거래량")</f>
        <v>1227</v>
      </c>
    </row>
    <row r="508" spans="3:21" x14ac:dyDescent="0.3">
      <c r="C508">
        <v>503</v>
      </c>
      <c r="D508">
        <v>34950</v>
      </c>
      <c r="E508" t="s">
        <v>520</v>
      </c>
      <c r="F508" t="str">
        <f>ConvertStockCode(표.실시간[[#This Row],[코드]])</f>
        <v>N034950</v>
      </c>
      <c r="G508" s="4">
        <f>_xll.IMDP("STK",표.실시간[[#This Row],[nxt_code]],"현재가")</f>
        <v>97200</v>
      </c>
      <c r="H508" s="4">
        <f>_xll.IMDP("STK",표.실시간[[#This Row],[nxt_code]],"시가총액")/10^12</f>
        <v>0.44133796079999998</v>
      </c>
      <c r="I508" t="str">
        <f>_xll.IMDP("","","전일대비부호")</f>
        <v>코드오류</v>
      </c>
      <c r="J508" s="5">
        <f>_xll.IMDP("STK",표.실시간[[#This Row],[nxt_code]],"전일대비")</f>
        <v>0</v>
      </c>
      <c r="K508">
        <f>_xll.IMDP("STK",표.실시간[[#This Row],[nxt_code]],"등락률")</f>
        <v>0</v>
      </c>
      <c r="L508" s="4">
        <f>_xll.IMDP("STK",표.실시간[[#This Row],[nxt_code]],"누적거래량")</f>
        <v>83</v>
      </c>
      <c r="M508" s="4">
        <f>_xll.IMDP("STK",표.실시간[[#This Row],[nxt_code]],"누적거래대금")</f>
        <v>8064200</v>
      </c>
      <c r="N508" s="4">
        <f>_xll.IMDP("STK",표.실시간[[#This Row],[nxt_code]],"가중평균가")</f>
        <v>97159.036145000005</v>
      </c>
      <c r="O508" s="4">
        <f>_xll.IMDP("STK",표.실시간[[#This Row],[nxt_code]],"시가")</f>
        <v>97100</v>
      </c>
      <c r="P508" s="4">
        <f>_xll.IMDP("STK",표.실시간[[#This Row],[nxt_code]],"고가")</f>
        <v>97200</v>
      </c>
      <c r="Q508" s="4">
        <f>_xll.IMDP("STK",표.실시간[[#This Row],[nxt_code]],"저가")</f>
        <v>97100</v>
      </c>
      <c r="R508">
        <f>_xll.IMDP("STK",표.실시간[[#This Row],[nxt_code]],"세션명")</f>
        <v>0</v>
      </c>
      <c r="S508">
        <f>_xll.IMDP("STK",표.실시간[[#This Row],[nxt_code]],"체결시간")</f>
        <v>0</v>
      </c>
      <c r="T508" s="4">
        <f>_xll.IMDP("STK","034950","현재가")</f>
        <v>97000</v>
      </c>
      <c r="U508">
        <f>_xll.IMDP("STK","034950","누적거래량")</f>
        <v>223</v>
      </c>
    </row>
    <row r="509" spans="3:21" x14ac:dyDescent="0.3">
      <c r="C509">
        <v>504</v>
      </c>
      <c r="D509">
        <v>58970</v>
      </c>
      <c r="E509" t="s">
        <v>521</v>
      </c>
      <c r="F509" t="str">
        <f>ConvertStockCode(표.실시간[[#This Row],[코드]])</f>
        <v>N058970</v>
      </c>
      <c r="G509" s="4">
        <f>_xll.IMDP("STK",표.실시간[[#This Row],[nxt_code]],"현재가")</f>
        <v>35600</v>
      </c>
      <c r="H509" s="4">
        <f>_xll.IMDP("STK",표.실시간[[#This Row],[nxt_code]],"시가총액")/10^12</f>
        <v>0.43999955280000003</v>
      </c>
      <c r="I509" t="str">
        <f>_xll.IMDP("","","전일대비부호")</f>
        <v>코드오류</v>
      </c>
      <c r="J509" s="5">
        <f>_xll.IMDP("STK",표.실시간[[#This Row],[nxt_code]],"전일대비")</f>
        <v>0</v>
      </c>
      <c r="K509">
        <f>_xll.IMDP("STK",표.실시간[[#This Row],[nxt_code]],"등락률")</f>
        <v>0</v>
      </c>
      <c r="L509" s="4">
        <f>_xll.IMDP("STK",표.실시간[[#This Row],[nxt_code]],"누적거래량")</f>
        <v>5937</v>
      </c>
      <c r="M509" s="4">
        <f>_xll.IMDP("STK",표.실시간[[#This Row],[nxt_code]],"누적거래대금")</f>
        <v>211063400</v>
      </c>
      <c r="N509" s="4">
        <f>_xll.IMDP("STK",표.실시간[[#This Row],[nxt_code]],"가중평균가")</f>
        <v>35550.513726999998</v>
      </c>
      <c r="O509" s="4">
        <f>_xll.IMDP("STK",표.실시간[[#This Row],[nxt_code]],"시가")</f>
        <v>35650</v>
      </c>
      <c r="P509" s="4">
        <f>_xll.IMDP("STK",표.실시간[[#This Row],[nxt_code]],"고가")</f>
        <v>35850</v>
      </c>
      <c r="Q509" s="4">
        <f>_xll.IMDP("STK",표.실시간[[#This Row],[nxt_code]],"저가")</f>
        <v>35250</v>
      </c>
      <c r="R509">
        <f>_xll.IMDP("STK",표.실시간[[#This Row],[nxt_code]],"세션명")</f>
        <v>0</v>
      </c>
      <c r="S509">
        <f>_xll.IMDP("STK",표.실시간[[#This Row],[nxt_code]],"체결시간")</f>
        <v>0</v>
      </c>
      <c r="T509" s="4">
        <f>_xll.IMDP("STK","058970","현재가")</f>
        <v>35700</v>
      </c>
      <c r="U509">
        <f>_xll.IMDP("STK","058970","누적거래량")</f>
        <v>1423</v>
      </c>
    </row>
    <row r="510" spans="3:21" x14ac:dyDescent="0.3">
      <c r="C510">
        <v>505</v>
      </c>
      <c r="D510">
        <v>98070</v>
      </c>
      <c r="E510" t="s">
        <v>522</v>
      </c>
      <c r="F510" t="str">
        <f>ConvertStockCode(표.실시간[[#This Row],[코드]])</f>
        <v>N098070</v>
      </c>
      <c r="G510" s="4">
        <f>_xll.IMDP("STK",표.실시간[[#This Row],[nxt_code]],"현재가")</f>
        <v>37300</v>
      </c>
      <c r="H510" s="4">
        <f>_xll.IMDP("STK",표.실시간[[#This Row],[nxt_code]],"시가총액")/10^12</f>
        <v>0.4148185593</v>
      </c>
      <c r="I510" t="str">
        <f>_xll.IMDP("","","전일대비부호")</f>
        <v>코드오류</v>
      </c>
      <c r="J510" s="5">
        <f>_xll.IMDP("STK",표.실시간[[#This Row],[nxt_code]],"전일대비")</f>
        <v>-550</v>
      </c>
      <c r="K510">
        <f>_xll.IMDP("STK",표.실시간[[#This Row],[nxt_code]],"등락률")</f>
        <v>-1.45</v>
      </c>
      <c r="L510" s="4">
        <f>_xll.IMDP("STK",표.실시간[[#This Row],[nxt_code]],"누적거래량")</f>
        <v>24930</v>
      </c>
      <c r="M510" s="4">
        <f>_xll.IMDP("STK",표.실시간[[#This Row],[nxt_code]],"누적거래대금")</f>
        <v>947003100</v>
      </c>
      <c r="N510" s="4">
        <f>_xll.IMDP("STK",표.실시간[[#This Row],[nxt_code]],"가중평균가")</f>
        <v>37986.486161000001</v>
      </c>
      <c r="O510" s="4">
        <f>_xll.IMDP("STK",표.실시간[[#This Row],[nxt_code]],"시가")</f>
        <v>38300</v>
      </c>
      <c r="P510" s="4">
        <f>_xll.IMDP("STK",표.실시간[[#This Row],[nxt_code]],"고가")</f>
        <v>38800</v>
      </c>
      <c r="Q510" s="4">
        <f>_xll.IMDP("STK",표.실시간[[#This Row],[nxt_code]],"저가")</f>
        <v>37300</v>
      </c>
      <c r="R510">
        <f>_xll.IMDP("STK",표.실시간[[#This Row],[nxt_code]],"세션명")</f>
        <v>0</v>
      </c>
      <c r="S510">
        <f>_xll.IMDP("STK",표.실시간[[#This Row],[nxt_code]],"체결시간")</f>
        <v>0</v>
      </c>
      <c r="T510" s="4">
        <f>_xll.IMDP("STK","098070","현재가")</f>
        <v>37750</v>
      </c>
      <c r="U510">
        <f>_xll.IMDP("STK","098070","누적거래량")</f>
        <v>5004</v>
      </c>
    </row>
    <row r="511" spans="3:21" x14ac:dyDescent="0.3">
      <c r="C511">
        <v>506</v>
      </c>
      <c r="D511">
        <v>5610</v>
      </c>
      <c r="E511" t="s">
        <v>523</v>
      </c>
      <c r="F511" t="str">
        <f>ConvertStockCode(표.실시간[[#This Row],[코드]])</f>
        <v>N005610</v>
      </c>
      <c r="G511" s="4">
        <f>_xll.IMDP("STK",표.실시간[[#This Row],[nxt_code]],"현재가")</f>
        <v>50300</v>
      </c>
      <c r="H511" s="4">
        <f>_xll.IMDP("STK",표.실시간[[#This Row],[nxt_code]],"시가총액")/10^12</f>
        <v>0.43403915269999999</v>
      </c>
      <c r="I511" t="str">
        <f>_xll.IMDP("","","전일대비부호")</f>
        <v>코드오류</v>
      </c>
      <c r="J511" s="5">
        <f>_xll.IMDP("STK",표.실시간[[#This Row],[nxt_code]],"전일대비")</f>
        <v>-100</v>
      </c>
      <c r="K511">
        <f>_xll.IMDP("STK",표.실시간[[#This Row],[nxt_code]],"등락률")</f>
        <v>-0.2</v>
      </c>
      <c r="L511" s="4">
        <f>_xll.IMDP("STK",표.실시간[[#This Row],[nxt_code]],"누적거래량")</f>
        <v>88</v>
      </c>
      <c r="M511" s="4">
        <f>_xll.IMDP("STK",표.실시간[[#This Row],[nxt_code]],"누적거래대금")</f>
        <v>4429000</v>
      </c>
      <c r="N511" s="4">
        <f>_xll.IMDP("STK",표.실시간[[#This Row],[nxt_code]],"가중평균가")</f>
        <v>50329.545454999999</v>
      </c>
      <c r="O511" s="4">
        <f>_xll.IMDP("STK",표.실시간[[#This Row],[nxt_code]],"시가")</f>
        <v>50400</v>
      </c>
      <c r="P511" s="4">
        <f>_xll.IMDP("STK",표.실시간[[#This Row],[nxt_code]],"고가")</f>
        <v>50500</v>
      </c>
      <c r="Q511" s="4">
        <f>_xll.IMDP("STK",표.실시간[[#This Row],[nxt_code]],"저가")</f>
        <v>50300</v>
      </c>
      <c r="R511">
        <f>_xll.IMDP("STK",표.실시간[[#This Row],[nxt_code]],"세션명")</f>
        <v>0</v>
      </c>
      <c r="S511">
        <f>_xll.IMDP("STK",표.실시간[[#This Row],[nxt_code]],"체결시간")</f>
        <v>0</v>
      </c>
      <c r="T511" s="4">
        <f>_xll.IMDP("STK","005610","현재가")</f>
        <v>50400</v>
      </c>
      <c r="U511">
        <f>_xll.IMDP("STK","005610","누적거래량")</f>
        <v>13</v>
      </c>
    </row>
    <row r="512" spans="3:21" x14ac:dyDescent="0.3">
      <c r="C512">
        <v>507</v>
      </c>
      <c r="D512">
        <v>6220</v>
      </c>
      <c r="E512" t="s">
        <v>524</v>
      </c>
      <c r="F512" t="str">
        <f>ConvertStockCode(표.실시간[[#This Row],[코드]])</f>
        <v>N006220</v>
      </c>
      <c r="G512" s="4">
        <f>_xll.IMDP("STK",표.실시간[[#This Row],[nxt_code]],"현재가")</f>
        <v>11520</v>
      </c>
      <c r="H512" s="4">
        <f>_xll.IMDP("STK",표.실시간[[#This Row],[nxt_code]],"시가총액")/10^12</f>
        <v>0.43543937663999999</v>
      </c>
      <c r="I512" t="str">
        <f>_xll.IMDP("","","전일대비부호")</f>
        <v>코드오류</v>
      </c>
      <c r="J512" s="5">
        <f>_xll.IMDP("STK",표.실시간[[#This Row],[nxt_code]],"전일대비")</f>
        <v>10</v>
      </c>
      <c r="K512">
        <f>_xll.IMDP("STK",표.실시간[[#This Row],[nxt_code]],"등락률")</f>
        <v>0.35</v>
      </c>
      <c r="L512" s="4">
        <f>_xll.IMDP("STK",표.실시간[[#This Row],[nxt_code]],"누적거래량")</f>
        <v>9536</v>
      </c>
      <c r="M512" s="4">
        <f>_xll.IMDP("STK",표.실시간[[#This Row],[nxt_code]],"누적거래대금")</f>
        <v>122762040</v>
      </c>
      <c r="N512" s="4">
        <f>_xll.IMDP("STK",표.실시간[[#This Row],[nxt_code]],"가중평균가")</f>
        <v>11487.044072000001</v>
      </c>
      <c r="O512" s="4">
        <f>_xll.IMDP("STK",표.실시간[[#This Row],[nxt_code]],"시가")</f>
        <v>11480</v>
      </c>
      <c r="P512" s="4">
        <f>_xll.IMDP("STK",표.실시간[[#This Row],[nxt_code]],"고가")</f>
        <v>11590</v>
      </c>
      <c r="Q512" s="4">
        <f>_xll.IMDP("STK",표.실시간[[#This Row],[nxt_code]],"저가")</f>
        <v>11450</v>
      </c>
      <c r="R512">
        <f>_xll.IMDP("STK",표.실시간[[#This Row],[nxt_code]],"세션명")</f>
        <v>0</v>
      </c>
      <c r="S512">
        <f>_xll.IMDP("STK",표.실시간[[#This Row],[nxt_code]],"체결시간")</f>
        <v>0</v>
      </c>
      <c r="T512" s="4">
        <f>_xll.IMDP("STK","006220","현재가")</f>
        <v>11490</v>
      </c>
      <c r="U512">
        <f>_xll.IMDP("STK","006220","누적거래량")</f>
        <v>546</v>
      </c>
    </row>
    <row r="513" spans="3:21" x14ac:dyDescent="0.3">
      <c r="C513">
        <v>508</v>
      </c>
      <c r="D513">
        <v>183190</v>
      </c>
      <c r="E513" t="s">
        <v>525</v>
      </c>
      <c r="F513" t="str">
        <f>ConvertStockCode(표.실시간[[#This Row],[코드]])</f>
        <v>N183190</v>
      </c>
      <c r="G513" s="4">
        <f>_xll.IMDP("STK",표.실시간[[#This Row],[nxt_code]],"현재가")</f>
        <v>11810</v>
      </c>
      <c r="H513" s="4">
        <f>_xll.IMDP("STK",표.실시간[[#This Row],[nxt_code]],"시가총액")/10^12</f>
        <v>0.43611564098</v>
      </c>
      <c r="I513" t="str">
        <f>_xll.IMDP("","","전일대비부호")</f>
        <v>코드오류</v>
      </c>
      <c r="J513" s="5">
        <f>_xll.IMDP("STK",표.실시간[[#This Row],[nxt_code]],"전일대비")</f>
        <v>90</v>
      </c>
      <c r="K513">
        <f>_xll.IMDP("STK",표.실시간[[#This Row],[nxt_code]],"등락률")</f>
        <v>0.77</v>
      </c>
      <c r="L513" s="4">
        <f>_xll.IMDP("STK",표.실시간[[#This Row],[nxt_code]],"누적거래량")</f>
        <v>304</v>
      </c>
      <c r="M513" s="4">
        <f>_xll.IMDP("STK",표.실시간[[#This Row],[nxt_code]],"누적거래대금")</f>
        <v>3571110</v>
      </c>
      <c r="N513" s="4">
        <f>_xll.IMDP("STK",표.실시간[[#This Row],[nxt_code]],"가중평균가")</f>
        <v>11747.072367999999</v>
      </c>
      <c r="O513" s="4">
        <f>_xll.IMDP("STK",표.실시간[[#This Row],[nxt_code]],"시가")</f>
        <v>11760</v>
      </c>
      <c r="P513" s="4">
        <f>_xll.IMDP("STK",표.실시간[[#This Row],[nxt_code]],"고가")</f>
        <v>11810</v>
      </c>
      <c r="Q513" s="4">
        <f>_xll.IMDP("STK",표.실시간[[#This Row],[nxt_code]],"저가")</f>
        <v>11720</v>
      </c>
      <c r="R513">
        <f>_xll.IMDP("STK",표.실시간[[#This Row],[nxt_code]],"세션명")</f>
        <v>0</v>
      </c>
      <c r="S513">
        <f>_xll.IMDP("STK",표.실시간[[#This Row],[nxt_code]],"체결시간")</f>
        <v>0</v>
      </c>
      <c r="T513" s="4">
        <f>_xll.IMDP("STK","183190","현재가")</f>
        <v>11800</v>
      </c>
      <c r="U513">
        <f>_xll.IMDP("STK","183190","누적거래량")</f>
        <v>26</v>
      </c>
    </row>
    <row r="514" spans="3:21" x14ac:dyDescent="0.3">
      <c r="C514">
        <v>509</v>
      </c>
      <c r="D514">
        <v>309710</v>
      </c>
      <c r="E514" t="s">
        <v>526</v>
      </c>
      <c r="F514" t="str">
        <f>ConvertStockCode(표.실시간[[#This Row],[코드]])</f>
        <v>N309710</v>
      </c>
      <c r="G514" s="4">
        <f>_xll.IMDP("STK",표.실시간[[#This Row],[nxt_code]],"현재가")</f>
        <v>32350</v>
      </c>
      <c r="H514" s="4">
        <f>_xll.IMDP("STK",표.실시간[[#This Row],[nxt_code]],"시가총액")/10^12</f>
        <v>0.41353008234999999</v>
      </c>
      <c r="I514" t="str">
        <f>_xll.IMDP("","","전일대비부호")</f>
        <v>코드오류</v>
      </c>
      <c r="J514" s="5">
        <f>_xll.IMDP("STK",표.실시간[[#This Row],[nxt_code]],"전일대비")</f>
        <v>-500</v>
      </c>
      <c r="K514">
        <f>_xll.IMDP("STK",표.실시간[[#This Row],[nxt_code]],"등락률")</f>
        <v>-2.12</v>
      </c>
      <c r="L514" s="4">
        <f>_xll.IMDP("STK",표.실시간[[#This Row],[nxt_code]],"누적거래량")</f>
        <v>10027</v>
      </c>
      <c r="M514" s="4">
        <f>_xll.IMDP("STK",표.실시간[[#This Row],[nxt_code]],"누적거래대금")</f>
        <v>327219000</v>
      </c>
      <c r="N514" s="4">
        <f>_xll.IMDP("STK",표.실시간[[#This Row],[nxt_code]],"가중평균가")</f>
        <v>32633.788769999999</v>
      </c>
      <c r="O514" s="4">
        <f>_xll.IMDP("STK",표.실시간[[#This Row],[nxt_code]],"시가")</f>
        <v>33100</v>
      </c>
      <c r="P514" s="4">
        <f>_xll.IMDP("STK",표.실시간[[#This Row],[nxt_code]],"고가")</f>
        <v>33500</v>
      </c>
      <c r="Q514" s="4">
        <f>_xll.IMDP("STK",표.실시간[[#This Row],[nxt_code]],"저가")</f>
        <v>32250</v>
      </c>
      <c r="R514">
        <f>_xll.IMDP("STK",표.실시간[[#This Row],[nxt_code]],"세션명")</f>
        <v>0</v>
      </c>
      <c r="S514">
        <f>_xll.IMDP("STK",표.실시간[[#This Row],[nxt_code]],"체결시간")</f>
        <v>0</v>
      </c>
      <c r="T514" s="4">
        <f>_xll.IMDP("STK","309710","현재가")</f>
        <v>32350</v>
      </c>
      <c r="U514">
        <f>_xll.IMDP("STK","309710","누적거래량")</f>
        <v>3334</v>
      </c>
    </row>
    <row r="515" spans="3:21" x14ac:dyDescent="0.3">
      <c r="C515">
        <v>510</v>
      </c>
      <c r="D515">
        <v>59090</v>
      </c>
      <c r="E515" t="s">
        <v>527</v>
      </c>
      <c r="F515" t="str">
        <f>ConvertStockCode(표.실시간[[#This Row],[코드]])</f>
        <v>N059090</v>
      </c>
      <c r="G515" s="4">
        <f>_xll.IMDP("STK",표.실시간[[#This Row],[nxt_code]],"현재가")</f>
        <v>12800</v>
      </c>
      <c r="H515" s="4">
        <f>_xll.IMDP("STK",표.실시간[[#This Row],[nxt_code]],"시가총액")/10^12</f>
        <v>0.42773475840000003</v>
      </c>
      <c r="I515" t="str">
        <f>_xll.IMDP("","","전일대비부호")</f>
        <v>코드오류</v>
      </c>
      <c r="J515" s="5">
        <f>_xll.IMDP("STK",표.실시간[[#This Row],[nxt_code]],"전일대비")</f>
        <v>130</v>
      </c>
      <c r="K515">
        <f>_xll.IMDP("STK",표.실시간[[#This Row],[nxt_code]],"등락률")</f>
        <v>0.95</v>
      </c>
      <c r="L515" s="4">
        <f>_xll.IMDP("STK",표.실시간[[#This Row],[nxt_code]],"누적거래량")</f>
        <v>41563</v>
      </c>
      <c r="M515" s="4">
        <f>_xll.IMDP("STK",표.실시간[[#This Row],[nxt_code]],"누적거래대금")</f>
        <v>539493510</v>
      </c>
      <c r="N515" s="4">
        <f>_xll.IMDP("STK",표.실시간[[#This Row],[nxt_code]],"가중평균가")</f>
        <v>12812.138074</v>
      </c>
      <c r="O515" s="4">
        <f>_xll.IMDP("STK",표.실시간[[#This Row],[nxt_code]],"시가")</f>
        <v>12810</v>
      </c>
      <c r="P515" s="4">
        <f>_xll.IMDP("STK",표.실시간[[#This Row],[nxt_code]],"고가")</f>
        <v>12900</v>
      </c>
      <c r="Q515" s="4">
        <f>_xll.IMDP("STK",표.실시간[[#This Row],[nxt_code]],"저가")</f>
        <v>12750</v>
      </c>
      <c r="R515">
        <f>_xll.IMDP("STK",표.실시간[[#This Row],[nxt_code]],"세션명")</f>
        <v>0</v>
      </c>
      <c r="S515">
        <f>_xll.IMDP("STK",표.실시간[[#This Row],[nxt_code]],"체결시간")</f>
        <v>0</v>
      </c>
      <c r="T515" s="4">
        <f>_xll.IMDP("STK","059090","현재가")</f>
        <v>12780</v>
      </c>
      <c r="U515">
        <f>_xll.IMDP("STK","059090","누적거래량")</f>
        <v>15861</v>
      </c>
    </row>
    <row r="516" spans="3:21" x14ac:dyDescent="0.3">
      <c r="C516">
        <v>511</v>
      </c>
      <c r="D516">
        <v>344820</v>
      </c>
      <c r="E516" t="s">
        <v>528</v>
      </c>
      <c r="F516" t="str">
        <f>ConvertStockCode(표.실시간[[#This Row],[코드]])</f>
        <v>N344820</v>
      </c>
      <c r="G516" s="4">
        <f>_xll.IMDP("STK",표.실시간[[#This Row],[nxt_code]],"현재가")</f>
        <v>27100</v>
      </c>
      <c r="H516" s="4">
        <f>_xll.IMDP("STK",표.실시간[[#This Row],[nxt_code]],"시가총액")/10^12</f>
        <v>0.43280087519999999</v>
      </c>
      <c r="I516" t="str">
        <f>_xll.IMDP("","","전일대비부호")</f>
        <v>코드오류</v>
      </c>
      <c r="J516" s="5">
        <f>_xll.IMDP("STK",표.실시간[[#This Row],[nxt_code]],"전일대비")</f>
        <v>300</v>
      </c>
      <c r="K516">
        <f>_xll.IMDP("STK",표.실시간[[#This Row],[nxt_code]],"등락률")</f>
        <v>1.1200000000000001</v>
      </c>
      <c r="L516" s="4">
        <f>_xll.IMDP("STK",표.실시간[[#This Row],[nxt_code]],"누적거래량")</f>
        <v>605</v>
      </c>
      <c r="M516" s="4">
        <f>_xll.IMDP("STK",표.실시간[[#This Row],[nxt_code]],"누적거래대금")</f>
        <v>16398650</v>
      </c>
      <c r="N516" s="4">
        <f>_xll.IMDP("STK",표.실시간[[#This Row],[nxt_code]],"가중평균가")</f>
        <v>27105.206612000002</v>
      </c>
      <c r="O516" s="4">
        <f>_xll.IMDP("STK",표.실시간[[#This Row],[nxt_code]],"시가")</f>
        <v>26850</v>
      </c>
      <c r="P516" s="4">
        <f>_xll.IMDP("STK",표.실시간[[#This Row],[nxt_code]],"고가")</f>
        <v>27150</v>
      </c>
      <c r="Q516" s="4">
        <f>_xll.IMDP("STK",표.실시간[[#This Row],[nxt_code]],"저가")</f>
        <v>26850</v>
      </c>
      <c r="R516">
        <f>_xll.IMDP("STK",표.실시간[[#This Row],[nxt_code]],"세션명")</f>
        <v>0</v>
      </c>
      <c r="S516">
        <f>_xll.IMDP("STK",표.실시간[[#This Row],[nxt_code]],"체결시간")</f>
        <v>0</v>
      </c>
      <c r="T516" s="4">
        <f>_xll.IMDP("STK","344820","현재가")</f>
        <v>27050</v>
      </c>
      <c r="U516">
        <f>_xll.IMDP("STK","344820","누적거래량")</f>
        <v>121</v>
      </c>
    </row>
    <row r="517" spans="3:21" x14ac:dyDescent="0.3">
      <c r="C517">
        <v>512</v>
      </c>
      <c r="D517">
        <v>79940</v>
      </c>
      <c r="E517" t="s">
        <v>529</v>
      </c>
      <c r="F517" t="str">
        <f>ConvertStockCode(표.실시간[[#This Row],[코드]])</f>
        <v>N079940</v>
      </c>
      <c r="G517" s="4">
        <f>_xll.IMDP("STK",표.실시간[[#This Row],[nxt_code]],"현재가")</f>
        <v>31950</v>
      </c>
      <c r="H517" s="4">
        <f>_xll.IMDP("STK",표.실시간[[#This Row],[nxt_code]],"시가총액")/10^12</f>
        <v>0.42879085379999998</v>
      </c>
      <c r="I517" t="str">
        <f>_xll.IMDP("","","전일대비부호")</f>
        <v>코드오류</v>
      </c>
      <c r="J517" s="5">
        <f>_xll.IMDP("STK",표.실시간[[#This Row],[nxt_code]],"전일대비")</f>
        <v>250</v>
      </c>
      <c r="K517">
        <f>_xll.IMDP("STK",표.실시간[[#This Row],[nxt_code]],"등락률")</f>
        <v>0.79</v>
      </c>
      <c r="L517" s="4">
        <f>_xll.IMDP("STK",표.실시간[[#This Row],[nxt_code]],"누적거래량")</f>
        <v>859</v>
      </c>
      <c r="M517" s="4">
        <f>_xll.IMDP("STK",표.실시간[[#This Row],[nxt_code]],"누적거래대금")</f>
        <v>25597500</v>
      </c>
      <c r="N517" s="4">
        <f>_xll.IMDP("STK",표.실시간[[#This Row],[nxt_code]],"가중평균가")</f>
        <v>29799.185098999998</v>
      </c>
      <c r="O517" s="4">
        <f>_xll.IMDP("STK",표.실시간[[#This Row],[nxt_code]],"시가")</f>
        <v>22250</v>
      </c>
      <c r="P517" s="4">
        <f>_xll.IMDP("STK",표.실시간[[#This Row],[nxt_code]],"고가")</f>
        <v>32300</v>
      </c>
      <c r="Q517" s="4">
        <f>_xll.IMDP("STK",표.실시간[[#This Row],[nxt_code]],"저가")</f>
        <v>22250</v>
      </c>
      <c r="R517">
        <f>_xll.IMDP("STK",표.실시간[[#This Row],[nxt_code]],"세션명")</f>
        <v>0</v>
      </c>
      <c r="S517">
        <f>_xll.IMDP("STK",표.실시간[[#This Row],[nxt_code]],"체결시간")</f>
        <v>0</v>
      </c>
      <c r="T517" s="4">
        <f>_xll.IMDP("STK","079940","현재가")</f>
        <v>31900</v>
      </c>
      <c r="U517">
        <f>_xll.IMDP("STK","079940","누적거래량")</f>
        <v>17</v>
      </c>
    </row>
    <row r="518" spans="3:21" x14ac:dyDescent="0.3">
      <c r="C518">
        <v>513</v>
      </c>
      <c r="D518">
        <v>130660</v>
      </c>
      <c r="E518" t="s">
        <v>530</v>
      </c>
      <c r="F518" t="str">
        <f>ConvertStockCode(표.실시간[[#This Row],[코드]])</f>
        <v>N130660</v>
      </c>
      <c r="G518" s="4">
        <f>_xll.IMDP("STK",표.실시간[[#This Row],[nxt_code]],"현재가")</f>
        <v>12110</v>
      </c>
      <c r="H518" s="4">
        <f>_xll.IMDP("STK",표.실시간[[#This Row],[nxt_code]],"시가총액")/10^12</f>
        <v>0.39478600000000003</v>
      </c>
      <c r="I518" t="str">
        <f>_xll.IMDP("","","전일대비부호")</f>
        <v>코드오류</v>
      </c>
      <c r="J518" s="5">
        <f>_xll.IMDP("STK",표.실시간[[#This Row],[nxt_code]],"전일대비")</f>
        <v>-180</v>
      </c>
      <c r="K518">
        <f>_xll.IMDP("STK",표.실시간[[#This Row],[nxt_code]],"등락률")</f>
        <v>-1.46</v>
      </c>
      <c r="L518" s="4">
        <f>_xll.IMDP("STK",표.실시간[[#This Row],[nxt_code]],"누적거래량")</f>
        <v>37135</v>
      </c>
      <c r="M518" s="4">
        <f>_xll.IMDP("STK",표.실시간[[#This Row],[nxt_code]],"누적거래대금")</f>
        <v>456655410</v>
      </c>
      <c r="N518" s="4">
        <f>_xll.IMDP("STK",표.실시간[[#This Row],[nxt_code]],"가중평균가")</f>
        <v>12297.170055000001</v>
      </c>
      <c r="O518" s="4">
        <f>_xll.IMDP("STK",표.실시간[[#This Row],[nxt_code]],"시가")</f>
        <v>12260</v>
      </c>
      <c r="P518" s="4">
        <f>_xll.IMDP("STK",표.실시간[[#This Row],[nxt_code]],"고가")</f>
        <v>12370</v>
      </c>
      <c r="Q518" s="4">
        <f>_xll.IMDP("STK",표.실시간[[#This Row],[nxt_code]],"저가")</f>
        <v>12100</v>
      </c>
      <c r="R518">
        <f>_xll.IMDP("STK",표.실시간[[#This Row],[nxt_code]],"세션명")</f>
        <v>0</v>
      </c>
      <c r="S518">
        <f>_xll.IMDP("STK",표.실시간[[#This Row],[nxt_code]],"체결시간")</f>
        <v>0</v>
      </c>
      <c r="T518" s="4">
        <f>_xll.IMDP("STK","130660","현재가")</f>
        <v>12110</v>
      </c>
      <c r="U518">
        <f>_xll.IMDP("STK","130660","누적거래량")</f>
        <v>6931</v>
      </c>
    </row>
    <row r="519" spans="3:21" x14ac:dyDescent="0.3">
      <c r="C519">
        <v>514</v>
      </c>
      <c r="D519">
        <v>49070</v>
      </c>
      <c r="E519" t="s">
        <v>531</v>
      </c>
      <c r="F519" t="str">
        <f>ConvertStockCode(표.실시간[[#This Row],[코드]])</f>
        <v>N049070</v>
      </c>
      <c r="G519" s="4">
        <f>_xll.IMDP("STK",표.실시간[[#This Row],[nxt_code]],"현재가")</f>
        <v>22200</v>
      </c>
      <c r="H519" s="4">
        <f>_xll.IMDP("STK",표.실시간[[#This Row],[nxt_code]],"시가총액")/10^12</f>
        <v>0.38184000000000001</v>
      </c>
      <c r="I519" t="str">
        <f>_xll.IMDP("","","전일대비부호")</f>
        <v>코드오류</v>
      </c>
      <c r="J519" s="5">
        <f>_xll.IMDP("STK",표.실시간[[#This Row],[nxt_code]],"전일대비")</f>
        <v>-550</v>
      </c>
      <c r="K519">
        <f>_xll.IMDP("STK",표.실시간[[#This Row],[nxt_code]],"등락률")</f>
        <v>-2.42</v>
      </c>
      <c r="L519" s="4">
        <f>_xll.IMDP("STK",표.실시간[[#This Row],[nxt_code]],"누적거래량")</f>
        <v>78002</v>
      </c>
      <c r="M519" s="4">
        <f>_xll.IMDP("STK",표.실시간[[#This Row],[nxt_code]],"누적거래대금")</f>
        <v>1756112150</v>
      </c>
      <c r="N519" s="4">
        <f>_xll.IMDP("STK",표.실시간[[#This Row],[nxt_code]],"가중평균가")</f>
        <v>22623.255173000001</v>
      </c>
      <c r="O519" s="4">
        <f>_xll.IMDP("STK",표.실시간[[#This Row],[nxt_code]],"시가")</f>
        <v>23250</v>
      </c>
      <c r="P519" s="4">
        <f>_xll.IMDP("STK",표.실시간[[#This Row],[nxt_code]],"고가")</f>
        <v>23400</v>
      </c>
      <c r="Q519" s="4">
        <f>_xll.IMDP("STK",표.실시간[[#This Row],[nxt_code]],"저가")</f>
        <v>22200</v>
      </c>
      <c r="R519">
        <f>_xll.IMDP("STK",표.실시간[[#This Row],[nxt_code]],"세션명")</f>
        <v>0</v>
      </c>
      <c r="S519">
        <f>_xll.IMDP("STK",표.실시간[[#This Row],[nxt_code]],"체결시간")</f>
        <v>0</v>
      </c>
      <c r="T519" s="4">
        <f>_xll.IMDP("STK","049070","현재가")</f>
        <v>22150</v>
      </c>
      <c r="U519">
        <f>_xll.IMDP("STK","049070","누적거래량")</f>
        <v>16296</v>
      </c>
    </row>
    <row r="520" spans="3:21" x14ac:dyDescent="0.3">
      <c r="C520">
        <v>515</v>
      </c>
      <c r="D520">
        <v>89890</v>
      </c>
      <c r="E520" t="s">
        <v>532</v>
      </c>
      <c r="F520" t="str">
        <f>ConvertStockCode(표.실시간[[#This Row],[코드]])</f>
        <v>N089890</v>
      </c>
      <c r="G520" s="4">
        <f>_xll.IMDP("STK",표.실시간[[#This Row],[nxt_code]],"현재가")</f>
        <v>26350</v>
      </c>
      <c r="H520" s="4">
        <f>_xll.IMDP("STK",표.실시간[[#This Row],[nxt_code]],"시가총액")/10^12</f>
        <v>0.43701374869999998</v>
      </c>
      <c r="I520" t="str">
        <f>_xll.IMDP("","","전일대비부호")</f>
        <v>코드오류</v>
      </c>
      <c r="J520" s="5">
        <f>_xll.IMDP("STK",표.실시간[[#This Row],[nxt_code]],"전일대비")</f>
        <v>450</v>
      </c>
      <c r="K520">
        <f>_xll.IMDP("STK",표.실시간[[#This Row],[nxt_code]],"등락률")</f>
        <v>1.74</v>
      </c>
      <c r="L520" s="4">
        <f>_xll.IMDP("STK",표.실시간[[#This Row],[nxt_code]],"누적거래량")</f>
        <v>7375</v>
      </c>
      <c r="M520" s="4">
        <f>_xll.IMDP("STK",표.실시간[[#This Row],[nxt_code]],"누적거래대금")</f>
        <v>193243400</v>
      </c>
      <c r="N520" s="4">
        <f>_xll.IMDP("STK",표.실시간[[#This Row],[nxt_code]],"가중평균가")</f>
        <v>26202.494914999999</v>
      </c>
      <c r="O520" s="4">
        <f>_xll.IMDP("STK",표.실시간[[#This Row],[nxt_code]],"시가")</f>
        <v>25950</v>
      </c>
      <c r="P520" s="4">
        <f>_xll.IMDP("STK",표.실시간[[#This Row],[nxt_code]],"고가")</f>
        <v>26950</v>
      </c>
      <c r="Q520" s="4">
        <f>_xll.IMDP("STK",표.실시간[[#This Row],[nxt_code]],"저가")</f>
        <v>25950</v>
      </c>
      <c r="R520">
        <f>_xll.IMDP("STK",표.실시간[[#This Row],[nxt_code]],"세션명")</f>
        <v>0</v>
      </c>
      <c r="S520">
        <f>_xll.IMDP("STK",표.실시간[[#This Row],[nxt_code]],"체결시간")</f>
        <v>0</v>
      </c>
      <c r="T520" s="4">
        <f>_xll.IMDP("STK","089890","현재가")</f>
        <v>26350</v>
      </c>
      <c r="U520">
        <f>_xll.IMDP("STK","089890","누적거래량")</f>
        <v>4611</v>
      </c>
    </row>
    <row r="521" spans="3:21" x14ac:dyDescent="0.3">
      <c r="C521">
        <v>516</v>
      </c>
      <c r="D521">
        <v>161000</v>
      </c>
      <c r="E521" t="s">
        <v>533</v>
      </c>
      <c r="F521" t="str">
        <f>ConvertStockCode(표.실시간[[#This Row],[코드]])</f>
        <v>N161000</v>
      </c>
      <c r="G521" s="4">
        <f>_xll.IMDP("STK",표.실시간[[#This Row],[nxt_code]],"현재가")</f>
        <v>9470</v>
      </c>
      <c r="H521" s="4">
        <f>_xll.IMDP("STK",표.실시간[[#This Row],[nxt_code]],"시가총액")/10^12</f>
        <v>0.46070327423000001</v>
      </c>
      <c r="I521" t="str">
        <f>_xll.IMDP("","","전일대비부호")</f>
        <v>코드오류</v>
      </c>
      <c r="J521" s="5">
        <f>_xll.IMDP("STK",표.실시간[[#This Row],[nxt_code]],"전일대비")</f>
        <v>-160</v>
      </c>
      <c r="K521">
        <f>_xll.IMDP("STK",표.실시간[[#This Row],[nxt_code]],"등락률")</f>
        <v>-1.66</v>
      </c>
      <c r="L521" s="4">
        <f>_xll.IMDP("STK",표.실시간[[#This Row],[nxt_code]],"누적거래량")</f>
        <v>189744</v>
      </c>
      <c r="M521" s="4">
        <f>_xll.IMDP("STK",표.실시간[[#This Row],[nxt_code]],"누적거래대금")</f>
        <v>1830158190</v>
      </c>
      <c r="N521" s="4">
        <f>_xll.IMDP("STK",표.실시간[[#This Row],[nxt_code]],"가중평균가")</f>
        <v>9645.4074440000004</v>
      </c>
      <c r="O521" s="4">
        <f>_xll.IMDP("STK",표.실시간[[#This Row],[nxt_code]],"시가")</f>
        <v>9660</v>
      </c>
      <c r="P521" s="4">
        <f>_xll.IMDP("STK",표.실시간[[#This Row],[nxt_code]],"고가")</f>
        <v>9860</v>
      </c>
      <c r="Q521" s="4">
        <f>_xll.IMDP("STK",표.실시간[[#This Row],[nxt_code]],"저가")</f>
        <v>9470</v>
      </c>
      <c r="R521">
        <f>_xll.IMDP("STK",표.실시간[[#This Row],[nxt_code]],"세션명")</f>
        <v>0</v>
      </c>
      <c r="S521">
        <f>_xll.IMDP("STK",표.실시간[[#This Row],[nxt_code]],"체결시간")</f>
        <v>0</v>
      </c>
      <c r="T521" s="4">
        <f>_xll.IMDP("STK","161000","현재가")</f>
        <v>9490</v>
      </c>
      <c r="U521">
        <f>_xll.IMDP("STK","161000","누적거래량")</f>
        <v>38872</v>
      </c>
    </row>
    <row r="522" spans="3:21" x14ac:dyDescent="0.3">
      <c r="C522">
        <v>517</v>
      </c>
      <c r="D522">
        <v>101930</v>
      </c>
      <c r="E522" t="s">
        <v>534</v>
      </c>
      <c r="F522" t="str">
        <f>ConvertStockCode(표.실시간[[#This Row],[코드]])</f>
        <v>N101930</v>
      </c>
      <c r="G522" s="4">
        <f>_xll.IMDP("STK",표.실시간[[#This Row],[nxt_code]],"현재가")</f>
        <v>44700</v>
      </c>
      <c r="H522" s="4">
        <f>_xll.IMDP("STK",표.실시간[[#This Row],[nxt_code]],"시가총액")/10^12</f>
        <v>0.41270982540000001</v>
      </c>
      <c r="I522" t="str">
        <f>_xll.IMDP("","","전일대비부호")</f>
        <v>코드오류</v>
      </c>
      <c r="J522" s="5">
        <f>_xll.IMDP("STK",표.실시간[[#This Row],[nxt_code]],"전일대비")</f>
        <v>600</v>
      </c>
      <c r="K522">
        <f>_xll.IMDP("STK",표.실시간[[#This Row],[nxt_code]],"등락률")</f>
        <v>1.36</v>
      </c>
      <c r="L522" s="4">
        <f>_xll.IMDP("STK",표.실시간[[#This Row],[nxt_code]],"누적거래량")</f>
        <v>32</v>
      </c>
      <c r="M522" s="4">
        <f>_xll.IMDP("STK",표.실시간[[#This Row],[nxt_code]],"누적거래대금")</f>
        <v>1436800</v>
      </c>
      <c r="N522" s="4">
        <f>_xll.IMDP("STK",표.실시간[[#This Row],[nxt_code]],"가중평균가")</f>
        <v>44900</v>
      </c>
      <c r="O522" s="4">
        <f>_xll.IMDP("STK",표.실시간[[#This Row],[nxt_code]],"시가")</f>
        <v>45100</v>
      </c>
      <c r="P522" s="4">
        <f>_xll.IMDP("STK",표.실시간[[#This Row],[nxt_code]],"고가")</f>
        <v>45100</v>
      </c>
      <c r="Q522" s="4">
        <f>_xll.IMDP("STK",표.실시간[[#This Row],[nxt_code]],"저가")</f>
        <v>44700</v>
      </c>
      <c r="R522">
        <f>_xll.IMDP("STK",표.실시간[[#This Row],[nxt_code]],"세션명")</f>
        <v>0</v>
      </c>
      <c r="S522">
        <f>_xll.IMDP("STK",표.실시간[[#This Row],[nxt_code]],"체결시간")</f>
        <v>0</v>
      </c>
      <c r="T522" s="4">
        <f>_xll.IMDP("STK","101930","현재가")</f>
        <v>44700</v>
      </c>
      <c r="U522">
        <f>_xll.IMDP("STK","101930","누적거래량")</f>
        <v>121</v>
      </c>
    </row>
    <row r="523" spans="3:21" x14ac:dyDescent="0.3">
      <c r="C523">
        <v>518</v>
      </c>
      <c r="D523">
        <v>69080</v>
      </c>
      <c r="E523" t="s">
        <v>535</v>
      </c>
      <c r="F523" t="str">
        <f>ConvertStockCode(표.실시간[[#This Row],[코드]])</f>
        <v>N069080</v>
      </c>
      <c r="G523" s="4">
        <f>_xll.IMDP("STK",표.실시간[[#This Row],[nxt_code]],"현재가")</f>
        <v>12060</v>
      </c>
      <c r="H523" s="4">
        <f>_xll.IMDP("STK",표.실시간[[#This Row],[nxt_code]],"시가총액")/10^12</f>
        <v>0.41728666104000001</v>
      </c>
      <c r="I523" t="str">
        <f>_xll.IMDP("","","전일대비부호")</f>
        <v>코드오류</v>
      </c>
      <c r="J523" s="5">
        <f>_xll.IMDP("STK",표.실시간[[#This Row],[nxt_code]],"전일대비")</f>
        <v>190</v>
      </c>
      <c r="K523">
        <f>_xll.IMDP("STK",표.실시간[[#This Row],[nxt_code]],"등락률")</f>
        <v>1.6</v>
      </c>
      <c r="L523" s="4">
        <f>_xll.IMDP("STK",표.실시간[[#This Row],[nxt_code]],"누적거래량")</f>
        <v>5884</v>
      </c>
      <c r="M523" s="4">
        <f>_xll.IMDP("STK",표.실시간[[#This Row],[nxt_code]],"누적거래대금")</f>
        <v>70653230</v>
      </c>
      <c r="N523" s="4">
        <f>_xll.IMDP("STK",표.실시간[[#This Row],[nxt_code]],"가중평균가")</f>
        <v>12007.686948</v>
      </c>
      <c r="O523" s="4">
        <f>_xll.IMDP("STK",표.실시간[[#This Row],[nxt_code]],"시가")</f>
        <v>12010</v>
      </c>
      <c r="P523" s="4">
        <f>_xll.IMDP("STK",표.실시간[[#This Row],[nxt_code]],"고가")</f>
        <v>12060</v>
      </c>
      <c r="Q523" s="4">
        <f>_xll.IMDP("STK",표.실시간[[#This Row],[nxt_code]],"저가")</f>
        <v>11960</v>
      </c>
      <c r="R523">
        <f>_xll.IMDP("STK",표.실시간[[#This Row],[nxt_code]],"세션명")</f>
        <v>0</v>
      </c>
      <c r="S523">
        <f>_xll.IMDP("STK",표.실시간[[#This Row],[nxt_code]],"체결시간")</f>
        <v>0</v>
      </c>
      <c r="T523" s="4">
        <f>_xll.IMDP("STK","069080","현재가")</f>
        <v>12070</v>
      </c>
      <c r="U523">
        <f>_xll.IMDP("STK","069080","누적거래량")</f>
        <v>351</v>
      </c>
    </row>
    <row r="524" spans="3:21" x14ac:dyDescent="0.3">
      <c r="C524">
        <v>519</v>
      </c>
      <c r="D524">
        <v>107640</v>
      </c>
      <c r="E524" t="s">
        <v>536</v>
      </c>
      <c r="F524" t="str">
        <f>ConvertStockCode(표.실시간[[#This Row],[코드]])</f>
        <v>N107640</v>
      </c>
      <c r="G524" s="4">
        <f>_xll.IMDP("STK",표.실시간[[#This Row],[nxt_code]],"현재가")</f>
        <v>49800</v>
      </c>
      <c r="H524" s="4">
        <f>_xll.IMDP("STK",표.실시간[[#This Row],[nxt_code]],"시가총액")/10^12</f>
        <v>0.45143431080000002</v>
      </c>
      <c r="I524" t="str">
        <f>_xll.IMDP("","","전일대비부호")</f>
        <v>코드오류</v>
      </c>
      <c r="J524" s="5">
        <f>_xll.IMDP("STK",표.실시간[[#This Row],[nxt_code]],"전일대비")</f>
        <v>700</v>
      </c>
      <c r="K524">
        <f>_xll.IMDP("STK",표.실시간[[#This Row],[nxt_code]],"등락률")</f>
        <v>1.32</v>
      </c>
      <c r="L524" s="4">
        <f>_xll.IMDP("STK",표.실시간[[#This Row],[nxt_code]],"누적거래량")</f>
        <v>79868</v>
      </c>
      <c r="M524" s="4">
        <f>_xll.IMDP("STK",표.실시간[[#This Row],[nxt_code]],"누적거래대금")</f>
        <v>4074025100</v>
      </c>
      <c r="N524" s="4">
        <f>_xll.IMDP("STK",표.실시간[[#This Row],[nxt_code]],"가중평균가")</f>
        <v>51009.479391000001</v>
      </c>
      <c r="O524" s="4">
        <f>_xll.IMDP("STK",표.실시간[[#This Row],[nxt_code]],"시가")</f>
        <v>49200</v>
      </c>
      <c r="P524" s="4">
        <f>_xll.IMDP("STK",표.실시간[[#This Row],[nxt_code]],"고가")</f>
        <v>52000</v>
      </c>
      <c r="Q524" s="4">
        <f>_xll.IMDP("STK",표.실시간[[#This Row],[nxt_code]],"저가")</f>
        <v>49200</v>
      </c>
      <c r="R524">
        <f>_xll.IMDP("STK",표.실시간[[#This Row],[nxt_code]],"세션명")</f>
        <v>0</v>
      </c>
      <c r="S524">
        <f>_xll.IMDP("STK",표.실시간[[#This Row],[nxt_code]],"체결시간")</f>
        <v>0</v>
      </c>
      <c r="T524" s="4">
        <f>_xll.IMDP("STK","107640","현재가")</f>
        <v>49750</v>
      </c>
      <c r="U524">
        <f>_xll.IMDP("STK","107640","누적거래량")</f>
        <v>15006</v>
      </c>
    </row>
    <row r="525" spans="3:21" x14ac:dyDescent="0.3">
      <c r="C525">
        <v>520</v>
      </c>
      <c r="D525">
        <v>179900</v>
      </c>
      <c r="E525" t="s">
        <v>537</v>
      </c>
      <c r="F525" t="str">
        <f>ConvertStockCode(표.실시간[[#This Row],[코드]])</f>
        <v>N179900</v>
      </c>
      <c r="G525" s="4">
        <f>_xll.IMDP("STK",표.실시간[[#This Row],[nxt_code]],"현재가")</f>
        <v>20850</v>
      </c>
      <c r="H525" s="4">
        <f>_xll.IMDP("STK",표.실시간[[#This Row],[nxt_code]],"시가총액")/10^12</f>
        <v>0.41263009020000002</v>
      </c>
      <c r="I525" t="str">
        <f>_xll.IMDP("","","전일대비부호")</f>
        <v>코드오류</v>
      </c>
      <c r="J525" s="5">
        <f>_xll.IMDP("STK",표.실시간[[#This Row],[nxt_code]],"전일대비")</f>
        <v>350</v>
      </c>
      <c r="K525">
        <f>_xll.IMDP("STK",표.실시간[[#This Row],[nxt_code]],"등락률")</f>
        <v>1.71</v>
      </c>
      <c r="L525" s="4">
        <f>_xll.IMDP("STK",표.실시간[[#This Row],[nxt_code]],"누적거래량")</f>
        <v>3125</v>
      </c>
      <c r="M525" s="4">
        <f>_xll.IMDP("STK",표.실시간[[#This Row],[nxt_code]],"누적거래대금")</f>
        <v>65100800</v>
      </c>
      <c r="N525" s="4">
        <f>_xll.IMDP("STK",표.실시간[[#This Row],[nxt_code]],"가중평균가")</f>
        <v>20832.256000000001</v>
      </c>
      <c r="O525" s="4">
        <f>_xll.IMDP("STK",표.실시간[[#This Row],[nxt_code]],"시가")</f>
        <v>21400</v>
      </c>
      <c r="P525" s="4">
        <f>_xll.IMDP("STK",표.실시간[[#This Row],[nxt_code]],"고가")</f>
        <v>21500</v>
      </c>
      <c r="Q525" s="4">
        <f>_xll.IMDP("STK",표.실시간[[#This Row],[nxt_code]],"저가")</f>
        <v>20500</v>
      </c>
      <c r="R525">
        <f>_xll.IMDP("STK",표.실시간[[#This Row],[nxt_code]],"세션명")</f>
        <v>0</v>
      </c>
      <c r="S525">
        <f>_xll.IMDP("STK",표.실시간[[#This Row],[nxt_code]],"체결시간")</f>
        <v>0</v>
      </c>
      <c r="T525" s="4">
        <f>_xll.IMDP("STK","179900","현재가")</f>
        <v>20850</v>
      </c>
      <c r="U525">
        <f>_xll.IMDP("STK","179900","누적거래량")</f>
        <v>1367</v>
      </c>
    </row>
    <row r="526" spans="3:21" x14ac:dyDescent="0.3">
      <c r="C526">
        <v>521</v>
      </c>
      <c r="D526">
        <v>494120</v>
      </c>
      <c r="E526" t="s">
        <v>538</v>
      </c>
      <c r="F526" t="str">
        <f>ConvertStockCode(표.실시간[[#This Row],[코드]])</f>
        <v>N494120</v>
      </c>
      <c r="G526" s="4">
        <f>_xll.IMDP("STK",표.실시간[[#This Row],[nxt_code]],"현재가")</f>
        <v>55400</v>
      </c>
      <c r="H526" s="4">
        <f>_xll.IMDP("STK",표.실시간[[#This Row],[nxt_code]],"시가총액")/10^12</f>
        <v>0.42195310279999998</v>
      </c>
      <c r="I526" t="str">
        <f>_xll.IMDP("","","전일대비부호")</f>
        <v>코드오류</v>
      </c>
      <c r="J526" s="5">
        <f>_xll.IMDP("STK",표.실시간[[#This Row],[nxt_code]],"전일대비")</f>
        <v>-700</v>
      </c>
      <c r="K526">
        <f>_xll.IMDP("STK",표.실시간[[#This Row],[nxt_code]],"등락률")</f>
        <v>-1.25</v>
      </c>
      <c r="L526" s="4">
        <f>_xll.IMDP("STK",표.실시간[[#This Row],[nxt_code]],"누적거래량")</f>
        <v>20854</v>
      </c>
      <c r="M526" s="4">
        <f>_xll.IMDP("STK",표.실시간[[#This Row],[nxt_code]],"누적거래대금")</f>
        <v>1153002500</v>
      </c>
      <c r="N526" s="4">
        <f>_xll.IMDP("STK",표.실시간[[#This Row],[nxt_code]],"가중평균가")</f>
        <v>55289.273041</v>
      </c>
      <c r="O526" s="4">
        <f>_xll.IMDP("STK",표.실시간[[#This Row],[nxt_code]],"시가")</f>
        <v>56400</v>
      </c>
      <c r="P526" s="4">
        <f>_xll.IMDP("STK",표.실시간[[#This Row],[nxt_code]],"고가")</f>
        <v>56800</v>
      </c>
      <c r="Q526" s="4">
        <f>_xll.IMDP("STK",표.실시간[[#This Row],[nxt_code]],"저가")</f>
        <v>55000</v>
      </c>
      <c r="R526">
        <f>_xll.IMDP("STK",표.실시간[[#This Row],[nxt_code]],"세션명")</f>
        <v>0</v>
      </c>
      <c r="S526">
        <f>_xll.IMDP("STK",표.실시간[[#This Row],[nxt_code]],"체결시간")</f>
        <v>0</v>
      </c>
      <c r="T526" s="4">
        <f>_xll.IMDP("STK","494120","현재가")</f>
        <v>55100</v>
      </c>
      <c r="U526">
        <f>_xll.IMDP("STK","494120","누적거래량")</f>
        <v>2925</v>
      </c>
    </row>
    <row r="527" spans="3:21" x14ac:dyDescent="0.3">
      <c r="C527">
        <v>522</v>
      </c>
      <c r="D527">
        <v>25900</v>
      </c>
      <c r="E527" t="s">
        <v>539</v>
      </c>
      <c r="F527" t="str">
        <f>ConvertStockCode(표.실시간[[#This Row],[코드]])</f>
        <v>N025900</v>
      </c>
      <c r="G527" s="4">
        <f>_xll.IMDP("STK",표.실시간[[#This Row],[nxt_code]],"현재가")</f>
        <v>9020</v>
      </c>
      <c r="H527" s="4">
        <f>_xll.IMDP("STK",표.실시간[[#This Row],[nxt_code]],"시가총액")/10^12</f>
        <v>0.4560267107</v>
      </c>
      <c r="I527" t="str">
        <f>_xll.IMDP("","","전일대비부호")</f>
        <v>코드오류</v>
      </c>
      <c r="J527" s="5">
        <f>_xll.IMDP("STK",표.실시간[[#This Row],[nxt_code]],"전일대비")</f>
        <v>20</v>
      </c>
      <c r="K527">
        <f>_xll.IMDP("STK",표.실시간[[#This Row],[nxt_code]],"등락률")</f>
        <v>0.22</v>
      </c>
      <c r="L527" s="4">
        <f>_xll.IMDP("STK",표.실시간[[#This Row],[nxt_code]],"누적거래량")</f>
        <v>124538</v>
      </c>
      <c r="M527" s="4">
        <f>_xll.IMDP("STK",표.실시간[[#This Row],[nxt_code]],"누적거래대금")</f>
        <v>1142650450</v>
      </c>
      <c r="N527" s="4">
        <f>_xll.IMDP("STK",표.실시간[[#This Row],[nxt_code]],"가중평균가")</f>
        <v>9175.1872519999997</v>
      </c>
      <c r="O527" s="4">
        <f>_xll.IMDP("STK",표.실시간[[#This Row],[nxt_code]],"시가")</f>
        <v>9340</v>
      </c>
      <c r="P527" s="4">
        <f>_xll.IMDP("STK",표.실시간[[#This Row],[nxt_code]],"고가")</f>
        <v>9400</v>
      </c>
      <c r="Q527" s="4">
        <f>_xll.IMDP("STK",표.실시간[[#This Row],[nxt_code]],"저가")</f>
        <v>9020</v>
      </c>
      <c r="R527">
        <f>_xll.IMDP("STK",표.실시간[[#This Row],[nxt_code]],"세션명")</f>
        <v>0</v>
      </c>
      <c r="S527">
        <f>_xll.IMDP("STK",표.실시간[[#This Row],[nxt_code]],"체결시간")</f>
        <v>0</v>
      </c>
      <c r="T527" s="4">
        <f>_xll.IMDP("STK","025900","현재가")</f>
        <v>9030</v>
      </c>
      <c r="U527">
        <f>_xll.IMDP("STK","025900","누적거래량")</f>
        <v>24588</v>
      </c>
    </row>
    <row r="528" spans="3:21" x14ac:dyDescent="0.3">
      <c r="C528">
        <v>523</v>
      </c>
      <c r="D528">
        <v>352480</v>
      </c>
      <c r="E528" t="s">
        <v>540</v>
      </c>
      <c r="F528" t="str">
        <f>ConvertStockCode(표.실시간[[#This Row],[코드]])</f>
        <v>N352480</v>
      </c>
      <c r="G528" s="4">
        <f>_xll.IMDP("STK",표.실시간[[#This Row],[nxt_code]],"현재가")</f>
        <v>31600</v>
      </c>
      <c r="H528" s="4">
        <f>_xll.IMDP("STK",표.실시간[[#This Row],[nxt_code]],"시가총액")/10^12</f>
        <v>0.43070487159999998</v>
      </c>
      <c r="I528" t="str">
        <f>_xll.IMDP("","","전일대비부호")</f>
        <v>코드오류</v>
      </c>
      <c r="J528" s="5">
        <f>_xll.IMDP("STK",표.실시간[[#This Row],[nxt_code]],"전일대비")</f>
        <v>0</v>
      </c>
      <c r="K528">
        <f>_xll.IMDP("STK",표.실시간[[#This Row],[nxt_code]],"등락률")</f>
        <v>0</v>
      </c>
      <c r="L528" s="4">
        <f>_xll.IMDP("STK",표.실시간[[#This Row],[nxt_code]],"누적거래량")</f>
        <v>1992</v>
      </c>
      <c r="M528" s="4">
        <f>_xll.IMDP("STK",표.실시간[[#This Row],[nxt_code]],"누적거래대금")</f>
        <v>63131950</v>
      </c>
      <c r="N528" s="4">
        <f>_xll.IMDP("STK",표.실시간[[#This Row],[nxt_code]],"가중평균가")</f>
        <v>31692.745984000001</v>
      </c>
      <c r="O528" s="4">
        <f>_xll.IMDP("STK",표.실시간[[#This Row],[nxt_code]],"시가")</f>
        <v>32000</v>
      </c>
      <c r="P528" s="4">
        <f>_xll.IMDP("STK",표.실시간[[#This Row],[nxt_code]],"고가")</f>
        <v>32000</v>
      </c>
      <c r="Q528" s="4">
        <f>_xll.IMDP("STK",표.실시간[[#This Row],[nxt_code]],"저가")</f>
        <v>31600</v>
      </c>
      <c r="R528">
        <f>_xll.IMDP("STK",표.실시간[[#This Row],[nxt_code]],"세션명")</f>
        <v>0</v>
      </c>
      <c r="S528">
        <f>_xll.IMDP("STK",표.실시간[[#This Row],[nxt_code]],"체결시간")</f>
        <v>0</v>
      </c>
      <c r="T528" s="4">
        <f>_xll.IMDP("STK","352480","현재가")</f>
        <v>31650</v>
      </c>
      <c r="U528">
        <f>_xll.IMDP("STK","352480","누적거래량")</f>
        <v>306</v>
      </c>
    </row>
    <row r="529" spans="3:21" x14ac:dyDescent="0.3">
      <c r="C529">
        <v>524</v>
      </c>
      <c r="D529">
        <v>99190</v>
      </c>
      <c r="E529" t="s">
        <v>541</v>
      </c>
      <c r="F529" t="str">
        <f>ConvertStockCode(표.실시간[[#This Row],[코드]])</f>
        <v>N099190</v>
      </c>
      <c r="G529" s="4">
        <f>_xll.IMDP("STK",표.실시간[[#This Row],[nxt_code]],"현재가")</f>
        <v>15300</v>
      </c>
      <c r="H529" s="4">
        <f>_xll.IMDP("STK",표.실시간[[#This Row],[nxt_code]],"시가총액")/10^12</f>
        <v>0.42240126779999998</v>
      </c>
      <c r="I529" t="str">
        <f>_xll.IMDP("","","전일대비부호")</f>
        <v>코드오류</v>
      </c>
      <c r="J529" s="5">
        <f>_xll.IMDP("STK",표.실시간[[#This Row],[nxt_code]],"전일대비")</f>
        <v>-70</v>
      </c>
      <c r="K529">
        <f>_xll.IMDP("STK",표.실시간[[#This Row],[nxt_code]],"등락률")</f>
        <v>-0.46</v>
      </c>
      <c r="L529" s="4">
        <f>_xll.IMDP("STK",표.실시간[[#This Row],[nxt_code]],"누적거래량")</f>
        <v>5971</v>
      </c>
      <c r="M529" s="4">
        <f>_xll.IMDP("STK",표.실시간[[#This Row],[nxt_code]],"누적거래대금")</f>
        <v>91756510</v>
      </c>
      <c r="N529" s="4">
        <f>_xll.IMDP("STK",표.실시간[[#This Row],[nxt_code]],"가중평균가")</f>
        <v>15367.025624</v>
      </c>
      <c r="O529" s="4">
        <f>_xll.IMDP("STK",표.실시간[[#This Row],[nxt_code]],"시가")</f>
        <v>15350</v>
      </c>
      <c r="P529" s="4">
        <f>_xll.IMDP("STK",표.실시간[[#This Row],[nxt_code]],"고가")</f>
        <v>15440</v>
      </c>
      <c r="Q529" s="4">
        <f>_xll.IMDP("STK",표.실시간[[#This Row],[nxt_code]],"저가")</f>
        <v>15300</v>
      </c>
      <c r="R529">
        <f>_xll.IMDP("STK",표.실시간[[#This Row],[nxt_code]],"세션명")</f>
        <v>0</v>
      </c>
      <c r="S529">
        <f>_xll.IMDP("STK",표.실시간[[#This Row],[nxt_code]],"체결시간")</f>
        <v>0</v>
      </c>
      <c r="T529" s="4">
        <f>_xll.IMDP("STK","099190","현재가")</f>
        <v>15300</v>
      </c>
      <c r="U529">
        <f>_xll.IMDP("STK","099190","누적거래량")</f>
        <v>506</v>
      </c>
    </row>
    <row r="530" spans="3:21" x14ac:dyDescent="0.3">
      <c r="C530">
        <v>525</v>
      </c>
      <c r="D530">
        <v>26890</v>
      </c>
      <c r="E530" t="s">
        <v>542</v>
      </c>
      <c r="F530" t="str">
        <f>ConvertStockCode(표.실시간[[#This Row],[코드]])</f>
        <v>N026890</v>
      </c>
      <c r="G530" s="4">
        <f>_xll.IMDP("STK",표.실시간[[#This Row],[nxt_code]],"현재가")</f>
        <v>10280</v>
      </c>
      <c r="H530" s="4">
        <f>_xll.IMDP("STK",표.실시간[[#This Row],[nxt_code]],"시가총액")/10^12</f>
        <v>0.428451639</v>
      </c>
      <c r="I530" t="str">
        <f>_xll.IMDP("","","전일대비부호")</f>
        <v>코드오류</v>
      </c>
      <c r="J530" s="5">
        <f>_xll.IMDP("STK",표.실시간[[#This Row],[nxt_code]],"전일대비")</f>
        <v>70</v>
      </c>
      <c r="K530">
        <f>_xll.IMDP("STK",표.실시간[[#This Row],[nxt_code]],"등락률")</f>
        <v>0.88</v>
      </c>
      <c r="L530" s="4">
        <f>_xll.IMDP("STK",표.실시간[[#This Row],[nxt_code]],"누적거래량")</f>
        <v>6275</v>
      </c>
      <c r="M530" s="4">
        <f>_xll.IMDP("STK",표.실시간[[#This Row],[nxt_code]],"누적거래대금")</f>
        <v>64355950</v>
      </c>
      <c r="N530" s="4">
        <f>_xll.IMDP("STK",표.실시간[[#This Row],[nxt_code]],"가중평균가")</f>
        <v>10255.928287000001</v>
      </c>
      <c r="O530" s="4">
        <f>_xll.IMDP("STK",표.실시간[[#This Row],[nxt_code]],"시가")</f>
        <v>10300</v>
      </c>
      <c r="P530" s="4">
        <f>_xll.IMDP("STK",표.실시간[[#This Row],[nxt_code]],"고가")</f>
        <v>10310</v>
      </c>
      <c r="Q530" s="4">
        <f>_xll.IMDP("STK",표.실시간[[#This Row],[nxt_code]],"저가")</f>
        <v>10120</v>
      </c>
      <c r="R530">
        <f>_xll.IMDP("STK",표.실시간[[#This Row],[nxt_code]],"세션명")</f>
        <v>0</v>
      </c>
      <c r="S530">
        <f>_xll.IMDP("STK",표.실시간[[#This Row],[nxt_code]],"체결시간")</f>
        <v>0</v>
      </c>
      <c r="T530" s="4">
        <f>_xll.IMDP("STK","026890","현재가")</f>
        <v>10190</v>
      </c>
      <c r="U530">
        <f>_xll.IMDP("STK","026890","누적거래량")</f>
        <v>724</v>
      </c>
    </row>
    <row r="531" spans="3:21" x14ac:dyDescent="0.3">
      <c r="C531">
        <v>526</v>
      </c>
      <c r="D531">
        <v>206650</v>
      </c>
      <c r="E531" t="s">
        <v>543</v>
      </c>
      <c r="F531" t="str">
        <f>ConvertStockCode(표.실시간[[#This Row],[코드]])</f>
        <v>N206650</v>
      </c>
      <c r="G531" s="4">
        <f>_xll.IMDP("STK",표.실시간[[#This Row],[nxt_code]],"현재가")</f>
        <v>11130</v>
      </c>
      <c r="H531" s="4">
        <f>_xll.IMDP("STK",표.실시간[[#This Row],[nxt_code]],"시가총액")/10^12</f>
        <v>0.40816277691000002</v>
      </c>
      <c r="I531" t="str">
        <f>_xll.IMDP("","","전일대비부호")</f>
        <v>코드오류</v>
      </c>
      <c r="J531" s="5">
        <f>_xll.IMDP("STK",표.실시간[[#This Row],[nxt_code]],"전일대비")</f>
        <v>-50</v>
      </c>
      <c r="K531">
        <f>_xll.IMDP("STK",표.실시간[[#This Row],[nxt_code]],"등락률")</f>
        <v>-0.45</v>
      </c>
      <c r="L531" s="4">
        <f>_xll.IMDP("STK",표.실시간[[#This Row],[nxt_code]],"누적거래량")</f>
        <v>9414</v>
      </c>
      <c r="M531" s="4">
        <f>_xll.IMDP("STK",표.실시간[[#This Row],[nxt_code]],"누적거래대금")</f>
        <v>105194030</v>
      </c>
      <c r="N531" s="4">
        <f>_xll.IMDP("STK",표.실시간[[#This Row],[nxt_code]],"가중평균가")</f>
        <v>11174.211812</v>
      </c>
      <c r="O531" s="4">
        <f>_xll.IMDP("STK",표.실시간[[#This Row],[nxt_code]],"시가")</f>
        <v>11120</v>
      </c>
      <c r="P531" s="4">
        <f>_xll.IMDP("STK",표.실시간[[#This Row],[nxt_code]],"고가")</f>
        <v>11230</v>
      </c>
      <c r="Q531" s="4">
        <f>_xll.IMDP("STK",표.실시간[[#This Row],[nxt_code]],"저가")</f>
        <v>11120</v>
      </c>
      <c r="R531">
        <f>_xll.IMDP("STK",표.실시간[[#This Row],[nxt_code]],"세션명")</f>
        <v>0</v>
      </c>
      <c r="S531">
        <f>_xll.IMDP("STK",표.실시간[[#This Row],[nxt_code]],"체결시간")</f>
        <v>0</v>
      </c>
      <c r="T531" s="4">
        <f>_xll.IMDP("STK","206650","현재가")</f>
        <v>11140</v>
      </c>
      <c r="U531">
        <f>_xll.IMDP("STK","206650","누적거래량")</f>
        <v>3021</v>
      </c>
    </row>
    <row r="532" spans="3:21" x14ac:dyDescent="0.3">
      <c r="C532">
        <v>527</v>
      </c>
      <c r="D532">
        <v>425420</v>
      </c>
      <c r="E532" t="s">
        <v>544</v>
      </c>
      <c r="F532" t="str">
        <f>ConvertStockCode(표.실시간[[#This Row],[코드]])</f>
        <v>N425420</v>
      </c>
      <c r="G532" s="4">
        <f>_xll.IMDP("STK",표.실시간[[#This Row],[nxt_code]],"현재가")</f>
        <v>34300</v>
      </c>
      <c r="H532" s="4">
        <f>_xll.IMDP("STK",표.실시간[[#This Row],[nxt_code]],"시가총액")/10^12</f>
        <v>0.41025235300000001</v>
      </c>
      <c r="I532" t="str">
        <f>_xll.IMDP("","","전일대비부호")</f>
        <v>코드오류</v>
      </c>
      <c r="J532" s="5">
        <f>_xll.IMDP("STK",표.실시간[[#This Row],[nxt_code]],"전일대비")</f>
        <v>100</v>
      </c>
      <c r="K532">
        <f>_xll.IMDP("STK",표.실시간[[#This Row],[nxt_code]],"등락률")</f>
        <v>0.28999999999999998</v>
      </c>
      <c r="L532" s="4">
        <f>_xll.IMDP("STK",표.실시간[[#This Row],[nxt_code]],"누적거래량")</f>
        <v>10771</v>
      </c>
      <c r="M532" s="4">
        <f>_xll.IMDP("STK",표.실시간[[#This Row],[nxt_code]],"누적거래대금")</f>
        <v>372057550</v>
      </c>
      <c r="N532" s="4">
        <f>_xll.IMDP("STK",표.실시간[[#This Row],[nxt_code]],"가중평균가")</f>
        <v>34542.526228000002</v>
      </c>
      <c r="O532" s="4">
        <f>_xll.IMDP("STK",표.실시간[[#This Row],[nxt_code]],"시가")</f>
        <v>34450</v>
      </c>
      <c r="P532" s="4">
        <f>_xll.IMDP("STK",표.실시간[[#This Row],[nxt_code]],"고가")</f>
        <v>34700</v>
      </c>
      <c r="Q532" s="4">
        <f>_xll.IMDP("STK",표.실시간[[#This Row],[nxt_code]],"저가")</f>
        <v>34300</v>
      </c>
      <c r="R532">
        <f>_xll.IMDP("STK",표.실시간[[#This Row],[nxt_code]],"세션명")</f>
        <v>0</v>
      </c>
      <c r="S532">
        <f>_xll.IMDP("STK",표.실시간[[#This Row],[nxt_code]],"체결시간")</f>
        <v>0</v>
      </c>
      <c r="T532" s="4">
        <f>_xll.IMDP("STK","425420","현재가")</f>
        <v>34250</v>
      </c>
      <c r="U532">
        <f>_xll.IMDP("STK","425420","누적거래량")</f>
        <v>3543</v>
      </c>
    </row>
    <row r="533" spans="3:21" x14ac:dyDescent="0.3">
      <c r="C533">
        <v>528</v>
      </c>
      <c r="D533">
        <v>460860</v>
      </c>
      <c r="E533" t="s">
        <v>545</v>
      </c>
      <c r="F533" t="str">
        <f>ConvertStockCode(표.실시간[[#This Row],[코드]])</f>
        <v>N460860</v>
      </c>
      <c r="G533" s="4">
        <f>_xll.IMDP("STK",표.실시간[[#This Row],[nxt_code]],"현재가")</f>
        <v>8300</v>
      </c>
      <c r="H533" s="4">
        <f>_xll.IMDP("STK",표.실시간[[#This Row],[nxt_code]],"시가총액")/10^12</f>
        <v>0.41174654109999997</v>
      </c>
      <c r="I533" t="str">
        <f>_xll.IMDP("","","전일대비부호")</f>
        <v>코드오류</v>
      </c>
      <c r="J533" s="5">
        <f>_xll.IMDP("STK",표.실시간[[#This Row],[nxt_code]],"전일대비")</f>
        <v>120</v>
      </c>
      <c r="K533">
        <f>_xll.IMDP("STK",표.실시간[[#This Row],[nxt_code]],"등락률")</f>
        <v>1.47</v>
      </c>
      <c r="L533" s="4">
        <f>_xll.IMDP("STK",표.실시간[[#This Row],[nxt_code]],"누적거래량")</f>
        <v>36620</v>
      </c>
      <c r="M533" s="4">
        <f>_xll.IMDP("STK",표.실시간[[#This Row],[nxt_code]],"누적거래대금")</f>
        <v>302831530</v>
      </c>
      <c r="N533" s="4">
        <f>_xll.IMDP("STK",표.실시간[[#This Row],[nxt_code]],"가중평균가")</f>
        <v>8269.5666299999993</v>
      </c>
      <c r="O533" s="4">
        <f>_xll.IMDP("STK",표.실시간[[#This Row],[nxt_code]],"시가")</f>
        <v>8190</v>
      </c>
      <c r="P533" s="4">
        <f>_xll.IMDP("STK",표.실시간[[#This Row],[nxt_code]],"고가")</f>
        <v>8300</v>
      </c>
      <c r="Q533" s="4">
        <f>_xll.IMDP("STK",표.실시간[[#This Row],[nxt_code]],"저가")</f>
        <v>8190</v>
      </c>
      <c r="R533">
        <f>_xll.IMDP("STK",표.실시간[[#This Row],[nxt_code]],"세션명")</f>
        <v>0</v>
      </c>
      <c r="S533">
        <f>_xll.IMDP("STK",표.실시간[[#This Row],[nxt_code]],"체결시간")</f>
        <v>0</v>
      </c>
      <c r="T533" s="4">
        <f>_xll.IMDP("STK","460860","현재가")</f>
        <v>8300</v>
      </c>
      <c r="U533">
        <f>_xll.IMDP("STK","460860","누적거래량")</f>
        <v>8278</v>
      </c>
    </row>
    <row r="534" spans="3:21" x14ac:dyDescent="0.3">
      <c r="C534">
        <v>529</v>
      </c>
      <c r="D534">
        <v>194480</v>
      </c>
      <c r="E534" t="s">
        <v>546</v>
      </c>
      <c r="F534" t="str">
        <f>ConvertStockCode(표.실시간[[#This Row],[코드]])</f>
        <v>N194480</v>
      </c>
      <c r="G534" s="4">
        <f>_xll.IMDP("STK",표.실시간[[#This Row],[nxt_code]],"현재가")</f>
        <v>34200</v>
      </c>
      <c r="H534" s="4">
        <f>_xll.IMDP("STK",표.실시간[[#This Row],[nxt_code]],"시가총액")/10^12</f>
        <v>0.41481692999999997</v>
      </c>
      <c r="I534" t="str">
        <f>_xll.IMDP("","","전일대비부호")</f>
        <v>코드오류</v>
      </c>
      <c r="J534" s="5">
        <f>_xll.IMDP("STK",표.실시간[[#This Row],[nxt_code]],"전일대비")</f>
        <v>400</v>
      </c>
      <c r="K534">
        <f>_xll.IMDP("STK",표.실시간[[#This Row],[nxt_code]],"등락률")</f>
        <v>1.18</v>
      </c>
      <c r="L534" s="4">
        <f>_xll.IMDP("STK",표.실시간[[#This Row],[nxt_code]],"누적거래량")</f>
        <v>3566</v>
      </c>
      <c r="M534" s="4">
        <f>_xll.IMDP("STK",표.실시간[[#This Row],[nxt_code]],"누적거래대금")</f>
        <v>121846000</v>
      </c>
      <c r="N534" s="4">
        <f>_xll.IMDP("STK",표.실시간[[#This Row],[nxt_code]],"가중평균가")</f>
        <v>34168.816600999999</v>
      </c>
      <c r="O534" s="4">
        <f>_xll.IMDP("STK",표.실시간[[#This Row],[nxt_code]],"시가")</f>
        <v>34000</v>
      </c>
      <c r="P534" s="4">
        <f>_xll.IMDP("STK",표.실시간[[#This Row],[nxt_code]],"고가")</f>
        <v>34350</v>
      </c>
      <c r="Q534" s="4">
        <f>_xll.IMDP("STK",표.실시간[[#This Row],[nxt_code]],"저가")</f>
        <v>34000</v>
      </c>
      <c r="R534">
        <f>_xll.IMDP("STK",표.실시간[[#This Row],[nxt_code]],"세션명")</f>
        <v>0</v>
      </c>
      <c r="S534">
        <f>_xll.IMDP("STK",표.실시간[[#This Row],[nxt_code]],"체결시간")</f>
        <v>0</v>
      </c>
      <c r="T534" s="4">
        <f>_xll.IMDP("STK","194480","현재가")</f>
        <v>33900</v>
      </c>
      <c r="U534">
        <f>_xll.IMDP("STK","194480","누적거래량")</f>
        <v>2045</v>
      </c>
    </row>
    <row r="535" spans="3:21" x14ac:dyDescent="0.3">
      <c r="C535">
        <v>530</v>
      </c>
      <c r="D535">
        <v>215200</v>
      </c>
      <c r="E535" t="s">
        <v>547</v>
      </c>
      <c r="F535" t="str">
        <f>ConvertStockCode(표.실시간[[#This Row],[코드]])</f>
        <v>N215200</v>
      </c>
      <c r="G535" s="4">
        <f>_xll.IMDP("STK",표.실시간[[#This Row],[nxt_code]],"현재가")</f>
        <v>39450</v>
      </c>
      <c r="H535" s="4">
        <f>_xll.IMDP("STK",표.실시간[[#This Row],[nxt_code]],"시가총액")/10^12</f>
        <v>0.40890777119999999</v>
      </c>
      <c r="I535" t="str">
        <f>_xll.IMDP("","","전일대비부호")</f>
        <v>코드오류</v>
      </c>
      <c r="J535" s="5">
        <f>_xll.IMDP("STK",표.실시간[[#This Row],[nxt_code]],"전일대비")</f>
        <v>450</v>
      </c>
      <c r="K535">
        <f>_xll.IMDP("STK",표.실시간[[#This Row],[nxt_code]],"등락률")</f>
        <v>1.1499999999999999</v>
      </c>
      <c r="L535" s="4">
        <f>_xll.IMDP("STK",표.실시간[[#This Row],[nxt_code]],"누적거래량")</f>
        <v>55</v>
      </c>
      <c r="M535" s="4">
        <f>_xll.IMDP("STK",표.실시간[[#This Row],[nxt_code]],"누적거래대금")</f>
        <v>2166750</v>
      </c>
      <c r="N535" s="4">
        <f>_xll.IMDP("STK",표.실시간[[#This Row],[nxt_code]],"가중평균가")</f>
        <v>39395.454545000001</v>
      </c>
      <c r="O535" s="4">
        <f>_xll.IMDP("STK",표.실시간[[#This Row],[nxt_code]],"시가")</f>
        <v>39150</v>
      </c>
      <c r="P535" s="4">
        <f>_xll.IMDP("STK",표.실시간[[#This Row],[nxt_code]],"고가")</f>
        <v>39500</v>
      </c>
      <c r="Q535" s="4">
        <f>_xll.IMDP("STK",표.실시간[[#This Row],[nxt_code]],"저가")</f>
        <v>39150</v>
      </c>
      <c r="R535">
        <f>_xll.IMDP("STK",표.실시간[[#This Row],[nxt_code]],"세션명")</f>
        <v>0</v>
      </c>
      <c r="S535">
        <f>_xll.IMDP("STK",표.실시간[[#This Row],[nxt_code]],"체결시간")</f>
        <v>0</v>
      </c>
      <c r="T535" s="4">
        <f>_xll.IMDP("STK","215200","현재가")</f>
        <v>39000</v>
      </c>
      <c r="U535">
        <f>_xll.IMDP("STK","215200","누적거래량")</f>
        <v>220</v>
      </c>
    </row>
    <row r="536" spans="3:21" x14ac:dyDescent="0.3">
      <c r="C536">
        <v>531</v>
      </c>
      <c r="D536">
        <v>72710</v>
      </c>
      <c r="E536" t="s">
        <v>548</v>
      </c>
      <c r="F536" t="str">
        <f>ConvertStockCode(표.실시간[[#This Row],[코드]])</f>
        <v>N072710</v>
      </c>
      <c r="G536" s="4">
        <f>_xll.IMDP("STK",표.실시간[[#This Row],[nxt_code]],"현재가")</f>
        <v>88000</v>
      </c>
      <c r="H536" s="4">
        <f>_xll.IMDP("STK",표.실시간[[#This Row],[nxt_code]],"시가총액")/10^12</f>
        <v>0.40812552000000002</v>
      </c>
      <c r="I536" t="str">
        <f>_xll.IMDP("","","전일대비부호")</f>
        <v>코드오류</v>
      </c>
      <c r="J536" s="5">
        <f>_xll.IMDP("STK",표.실시간[[#This Row],[nxt_code]],"전일대비")</f>
        <v>700</v>
      </c>
      <c r="K536">
        <f>_xll.IMDP("STK",표.실시간[[#This Row],[nxt_code]],"등락률")</f>
        <v>0.8</v>
      </c>
      <c r="L536" s="4">
        <f>_xll.IMDP("STK",표.실시간[[#This Row],[nxt_code]],"누적거래량")</f>
        <v>220</v>
      </c>
      <c r="M536" s="4">
        <f>_xll.IMDP("STK",표.실시간[[#This Row],[nxt_code]],"누적거래대금")</f>
        <v>19317900</v>
      </c>
      <c r="N536" s="4">
        <f>_xll.IMDP("STK",표.실시간[[#This Row],[nxt_code]],"가중평균가")</f>
        <v>87808.636364000005</v>
      </c>
      <c r="O536" s="4">
        <f>_xll.IMDP("STK",표.실시간[[#This Row],[nxt_code]],"시가")</f>
        <v>87400</v>
      </c>
      <c r="P536" s="4">
        <f>_xll.IMDP("STK",표.실시간[[#This Row],[nxt_code]],"고가")</f>
        <v>88100</v>
      </c>
      <c r="Q536" s="4">
        <f>_xll.IMDP("STK",표.실시간[[#This Row],[nxt_code]],"저가")</f>
        <v>87400</v>
      </c>
      <c r="R536">
        <f>_xll.IMDP("STK",표.실시간[[#This Row],[nxt_code]],"세션명")</f>
        <v>0</v>
      </c>
      <c r="S536">
        <f>_xll.IMDP("STK",표.실시간[[#This Row],[nxt_code]],"체결시간")</f>
        <v>0</v>
      </c>
      <c r="T536" s="4">
        <f>_xll.IMDP("STK","072710","현재가")</f>
        <v>87300</v>
      </c>
      <c r="U536">
        <f>_xll.IMDP("STK","072710","누적거래량")</f>
        <v>157</v>
      </c>
    </row>
    <row r="537" spans="3:21" x14ac:dyDescent="0.3">
      <c r="C537">
        <v>532</v>
      </c>
      <c r="D537">
        <v>403550</v>
      </c>
      <c r="E537" t="s">
        <v>549</v>
      </c>
      <c r="F537" t="str">
        <f>ConvertStockCode(표.실시간[[#This Row],[코드]])</f>
        <v>N403550</v>
      </c>
      <c r="G537" s="4">
        <f>_xll.IMDP("STK",표.실시간[[#This Row],[nxt_code]],"현재가")</f>
        <v>12050</v>
      </c>
      <c r="H537" s="4">
        <f>_xll.IMDP("STK",표.실시간[[#This Row],[nxt_code]],"시가총액")/10^12</f>
        <v>0.39574491909999998</v>
      </c>
      <c r="I537" t="str">
        <f>_xll.IMDP("","","전일대비부호")</f>
        <v>코드오류</v>
      </c>
      <c r="J537" s="5">
        <f>_xll.IMDP("STK",표.실시간[[#This Row],[nxt_code]],"전일대비")</f>
        <v>0</v>
      </c>
      <c r="K537">
        <f>_xll.IMDP("STK",표.실시간[[#This Row],[nxt_code]],"등락률")</f>
        <v>0</v>
      </c>
      <c r="L537" s="4">
        <f>_xll.IMDP("STK",표.실시간[[#This Row],[nxt_code]],"누적거래량")</f>
        <v>99</v>
      </c>
      <c r="M537" s="4">
        <f>_xll.IMDP("STK",표.실시간[[#This Row],[nxt_code]],"누적거래대금")</f>
        <v>1193790</v>
      </c>
      <c r="N537" s="4">
        <f>_xll.IMDP("STK",표.실시간[[#This Row],[nxt_code]],"가중평균가")</f>
        <v>12058.484848</v>
      </c>
      <c r="O537" s="4">
        <f>_xll.IMDP("STK",표.실시간[[#This Row],[nxt_code]],"시가")</f>
        <v>12060</v>
      </c>
      <c r="P537" s="4">
        <f>_xll.IMDP("STK",표.실시간[[#This Row],[nxt_code]],"고가")</f>
        <v>12060</v>
      </c>
      <c r="Q537" s="4">
        <f>_xll.IMDP("STK",표.실시간[[#This Row],[nxt_code]],"저가")</f>
        <v>12050</v>
      </c>
      <c r="R537">
        <f>_xll.IMDP("STK",표.실시간[[#This Row],[nxt_code]],"세션명")</f>
        <v>0</v>
      </c>
      <c r="S537">
        <f>_xll.IMDP("STK",표.실시간[[#This Row],[nxt_code]],"체결시간")</f>
        <v>0</v>
      </c>
      <c r="T537" s="4">
        <f>_xll.IMDP("STK","403550","현재가")</f>
        <v>12050</v>
      </c>
      <c r="U537">
        <f>_xll.IMDP("STK","403550","누적거래량")</f>
        <v>374</v>
      </c>
    </row>
    <row r="538" spans="3:21" x14ac:dyDescent="0.3">
      <c r="C538">
        <v>533</v>
      </c>
      <c r="D538">
        <v>53610</v>
      </c>
      <c r="E538" t="s">
        <v>550</v>
      </c>
      <c r="F538" t="str">
        <f>ConvertStockCode(표.실시간[[#This Row],[코드]])</f>
        <v>N053610</v>
      </c>
      <c r="G538" s="4">
        <f>_xll.IMDP("STK",표.실시간[[#This Row],[nxt_code]],"현재가")</f>
        <v>36800</v>
      </c>
      <c r="H538" s="4">
        <f>_xll.IMDP("STK",표.실시간[[#This Row],[nxt_code]],"시가총액")/10^12</f>
        <v>0.40479999999999999</v>
      </c>
      <c r="I538" t="str">
        <f>_xll.IMDP("","","전일대비부호")</f>
        <v>코드오류</v>
      </c>
      <c r="J538" s="5">
        <f>_xll.IMDP("STK",표.실시간[[#This Row],[nxt_code]],"전일대비")</f>
        <v>-500</v>
      </c>
      <c r="K538">
        <f>_xll.IMDP("STK",표.실시간[[#This Row],[nxt_code]],"등락률")</f>
        <v>-1.34</v>
      </c>
      <c r="L538" s="4">
        <f>_xll.IMDP("STK",표.실시간[[#This Row],[nxt_code]],"누적거래량")</f>
        <v>12236</v>
      </c>
      <c r="M538" s="4">
        <f>_xll.IMDP("STK",표.실시간[[#This Row],[nxt_code]],"누적거래대금")</f>
        <v>461720600</v>
      </c>
      <c r="N538" s="4">
        <f>_xll.IMDP("STK",표.실시간[[#This Row],[nxt_code]],"가중평균가")</f>
        <v>37734.602810999997</v>
      </c>
      <c r="O538" s="4">
        <f>_xll.IMDP("STK",표.실시간[[#This Row],[nxt_code]],"시가")</f>
        <v>37900</v>
      </c>
      <c r="P538" s="4">
        <f>_xll.IMDP("STK",표.실시간[[#This Row],[nxt_code]],"고가")</f>
        <v>38350</v>
      </c>
      <c r="Q538" s="4">
        <f>_xll.IMDP("STK",표.실시간[[#This Row],[nxt_code]],"저가")</f>
        <v>36800</v>
      </c>
      <c r="R538">
        <f>_xll.IMDP("STK",표.실시간[[#This Row],[nxt_code]],"세션명")</f>
        <v>0</v>
      </c>
      <c r="S538">
        <f>_xll.IMDP("STK",표.실시간[[#This Row],[nxt_code]],"체결시간")</f>
        <v>0</v>
      </c>
      <c r="T538" s="4">
        <f>_xll.IMDP("STK","053610","현재가")</f>
        <v>36900</v>
      </c>
      <c r="U538">
        <f>_xll.IMDP("STK","053610","누적거래량")</f>
        <v>2112</v>
      </c>
    </row>
    <row r="539" spans="3:21" x14ac:dyDescent="0.3">
      <c r="C539">
        <v>534</v>
      </c>
      <c r="D539">
        <v>270660</v>
      </c>
      <c r="E539" t="s">
        <v>551</v>
      </c>
      <c r="F539" t="str">
        <f>ConvertStockCode(표.실시간[[#This Row],[코드]])</f>
        <v>N270660</v>
      </c>
      <c r="G539" s="4">
        <f>_xll.IMDP("STK",표.실시간[[#This Row],[nxt_code]],"현재가")</f>
        <v>28150</v>
      </c>
      <c r="H539" s="4">
        <f>_xll.IMDP("STK",표.실시간[[#This Row],[nxt_code]],"시가총액")/10^12</f>
        <v>0.35723991145</v>
      </c>
      <c r="I539" t="str">
        <f>_xll.IMDP("","","전일대비부호")</f>
        <v>코드오류</v>
      </c>
      <c r="J539" s="5">
        <f>_xll.IMDP("STK",표.실시간[[#This Row],[nxt_code]],"전일대비")</f>
        <v>1500</v>
      </c>
      <c r="K539">
        <f>_xll.IMDP("STK",표.실시간[[#This Row],[nxt_code]],"등락률")</f>
        <v>5.63</v>
      </c>
      <c r="L539" s="4">
        <f>_xll.IMDP("STK",표.실시간[[#This Row],[nxt_code]],"누적거래량")</f>
        <v>1723424</v>
      </c>
      <c r="M539" s="4">
        <f>_xll.IMDP("STK",표.실시간[[#This Row],[nxt_code]],"누적거래대금")</f>
        <v>49941604625</v>
      </c>
      <c r="N539" s="4">
        <f>_xll.IMDP("STK",표.실시간[[#This Row],[nxt_code]],"가중평균가")</f>
        <v>28977.591899999999</v>
      </c>
      <c r="O539" s="4">
        <f>_xll.IMDP("STK",표.실시간[[#This Row],[nxt_code]],"시가")</f>
        <v>27300</v>
      </c>
      <c r="P539" s="4">
        <f>_xll.IMDP("STK",표.실시간[[#This Row],[nxt_code]],"고가")</f>
        <v>30300</v>
      </c>
      <c r="Q539" s="4">
        <f>_xll.IMDP("STK",표.실시간[[#This Row],[nxt_code]],"저가")</f>
        <v>26800</v>
      </c>
      <c r="R539">
        <f>_xll.IMDP("STK",표.실시간[[#This Row],[nxt_code]],"세션명")</f>
        <v>0</v>
      </c>
      <c r="S539">
        <f>_xll.IMDP("STK",표.실시간[[#This Row],[nxt_code]],"체결시간")</f>
        <v>0</v>
      </c>
      <c r="T539" s="4">
        <f>_xll.IMDP("STK","270660","현재가")</f>
        <v>28200</v>
      </c>
      <c r="U539">
        <f>_xll.IMDP("STK","270660","누적거래량")</f>
        <v>68618</v>
      </c>
    </row>
    <row r="540" spans="3:21" x14ac:dyDescent="0.3">
      <c r="C540">
        <v>535</v>
      </c>
      <c r="D540">
        <v>78340</v>
      </c>
      <c r="E540" t="s">
        <v>552</v>
      </c>
      <c r="F540" t="str">
        <f>ConvertStockCode(표.실시간[[#This Row],[코드]])</f>
        <v>N078340</v>
      </c>
      <c r="G540" s="4">
        <f>_xll.IMDP("STK",표.실시간[[#This Row],[nxt_code]],"현재가")</f>
        <v>32100</v>
      </c>
      <c r="H540" s="4">
        <f>_xll.IMDP("STK",표.실시간[[#This Row],[nxt_code]],"시가총액")/10^12</f>
        <v>0.40888193550000002</v>
      </c>
      <c r="I540" t="str">
        <f>_xll.IMDP("","","전일대비부호")</f>
        <v>코드오류</v>
      </c>
      <c r="J540" s="5">
        <f>_xll.IMDP("STK",표.실시간[[#This Row],[nxt_code]],"전일대비")</f>
        <v>100</v>
      </c>
      <c r="K540">
        <f>_xll.IMDP("STK",표.실시간[[#This Row],[nxt_code]],"등락률")</f>
        <v>0.31</v>
      </c>
      <c r="L540" s="4">
        <f>_xll.IMDP("STK",표.실시간[[#This Row],[nxt_code]],"누적거래량")</f>
        <v>4512</v>
      </c>
      <c r="M540" s="4">
        <f>_xll.IMDP("STK",표.실시간[[#This Row],[nxt_code]],"누적거래대금")</f>
        <v>144903750</v>
      </c>
      <c r="N540" s="4">
        <f>_xll.IMDP("STK",표.실시간[[#This Row],[nxt_code]],"가중평균가")</f>
        <v>32115.192819</v>
      </c>
      <c r="O540" s="4">
        <f>_xll.IMDP("STK",표.실시간[[#This Row],[nxt_code]],"시가")</f>
        <v>32100</v>
      </c>
      <c r="P540" s="4">
        <f>_xll.IMDP("STK",표.실시간[[#This Row],[nxt_code]],"고가")</f>
        <v>32250</v>
      </c>
      <c r="Q540" s="4">
        <f>_xll.IMDP("STK",표.실시간[[#This Row],[nxt_code]],"저가")</f>
        <v>31900</v>
      </c>
      <c r="R540">
        <f>_xll.IMDP("STK",표.실시간[[#This Row],[nxt_code]],"세션명")</f>
        <v>0</v>
      </c>
      <c r="S540">
        <f>_xll.IMDP("STK",표.실시간[[#This Row],[nxt_code]],"체결시간")</f>
        <v>0</v>
      </c>
      <c r="T540" s="4">
        <f>_xll.IMDP("STK","078340","현재가")</f>
        <v>32100</v>
      </c>
      <c r="U540">
        <f>_xll.IMDP("STK","078340","누적거래량")</f>
        <v>2107</v>
      </c>
    </row>
    <row r="541" spans="3:21" x14ac:dyDescent="0.3">
      <c r="C541">
        <v>536</v>
      </c>
      <c r="D541">
        <v>122640</v>
      </c>
      <c r="E541" t="s">
        <v>553</v>
      </c>
      <c r="F541" t="str">
        <f>ConvertStockCode(표.실시간[[#This Row],[코드]])</f>
        <v>N122640</v>
      </c>
      <c r="G541" s="4">
        <f>_xll.IMDP("STK",표.실시간[[#This Row],[nxt_code]],"현재가")</f>
        <v>18580</v>
      </c>
      <c r="H541" s="4">
        <f>_xll.IMDP("STK",표.실시간[[#This Row],[nxt_code]],"시가총액")/10^12</f>
        <v>0.39667967418</v>
      </c>
      <c r="I541" t="str">
        <f>_xll.IMDP("","","전일대비부호")</f>
        <v>코드오류</v>
      </c>
      <c r="J541" s="5">
        <f>_xll.IMDP("STK",표.실시간[[#This Row],[nxt_code]],"전일대비")</f>
        <v>180</v>
      </c>
      <c r="K541">
        <f>_xll.IMDP("STK",표.실시간[[#This Row],[nxt_code]],"등락률")</f>
        <v>0.81</v>
      </c>
      <c r="L541" s="4">
        <f>_xll.IMDP("STK",표.실시간[[#This Row],[nxt_code]],"누적거래량")</f>
        <v>9999</v>
      </c>
      <c r="M541" s="4">
        <f>_xll.IMDP("STK",표.실시간[[#This Row],[nxt_code]],"누적거래대금")</f>
        <v>186840090</v>
      </c>
      <c r="N541" s="4">
        <f>_xll.IMDP("STK",표.실시간[[#This Row],[nxt_code]],"가중평균가")</f>
        <v>18684.008999999998</v>
      </c>
      <c r="O541" s="4">
        <f>_xll.IMDP("STK",표.실시간[[#This Row],[nxt_code]],"시가")</f>
        <v>18770</v>
      </c>
      <c r="P541" s="4">
        <f>_xll.IMDP("STK",표.실시간[[#This Row],[nxt_code]],"고가")</f>
        <v>18810</v>
      </c>
      <c r="Q541" s="4">
        <f>_xll.IMDP("STK",표.실시간[[#This Row],[nxt_code]],"저가")</f>
        <v>18510</v>
      </c>
      <c r="R541">
        <f>_xll.IMDP("STK",표.실시간[[#This Row],[nxt_code]],"세션명")</f>
        <v>0</v>
      </c>
      <c r="S541">
        <f>_xll.IMDP("STK",표.실시간[[#This Row],[nxt_code]],"체결시간")</f>
        <v>0</v>
      </c>
      <c r="T541" s="4">
        <f>_xll.IMDP("STK","122640","현재가")</f>
        <v>18660</v>
      </c>
      <c r="U541">
        <f>_xll.IMDP("STK","122640","누적거래량")</f>
        <v>2739</v>
      </c>
    </row>
    <row r="542" spans="3:21" x14ac:dyDescent="0.3">
      <c r="C542">
        <v>537</v>
      </c>
      <c r="D542">
        <v>217590</v>
      </c>
      <c r="E542" t="s">
        <v>554</v>
      </c>
      <c r="F542" t="str">
        <f>ConvertStockCode(표.실시간[[#This Row],[코드]])</f>
        <v>N217590</v>
      </c>
      <c r="G542" s="4">
        <f>_xll.IMDP("STK",표.실시간[[#This Row],[nxt_code]],"현재가")</f>
        <v>15410</v>
      </c>
      <c r="H542" s="4">
        <f>_xll.IMDP("STK",표.실시간[[#This Row],[nxt_code]],"시가총액")/10^12</f>
        <v>0.37514708325000001</v>
      </c>
      <c r="I542" t="str">
        <f>_xll.IMDP("","","전일대비부호")</f>
        <v>코드오류</v>
      </c>
      <c r="J542" s="5">
        <f>_xll.IMDP("STK",표.실시간[[#This Row],[nxt_code]],"전일대비")</f>
        <v>210</v>
      </c>
      <c r="K542">
        <f>_xll.IMDP("STK",표.실시간[[#This Row],[nxt_code]],"등락률")</f>
        <v>0.33</v>
      </c>
      <c r="L542" s="4">
        <f>_xll.IMDP("STK",표.실시간[[#This Row],[nxt_code]],"누적거래량")</f>
        <v>94317</v>
      </c>
      <c r="M542" s="4">
        <f>_xll.IMDP("STK",표.실시간[[#This Row],[nxt_code]],"누적거래대금")</f>
        <v>1465981200</v>
      </c>
      <c r="N542" s="4">
        <f>_xll.IMDP("STK",표.실시간[[#This Row],[nxt_code]],"가중평균가")</f>
        <v>15543.127962</v>
      </c>
      <c r="O542" s="4">
        <f>_xll.IMDP("STK",표.실시간[[#This Row],[nxt_code]],"시가")</f>
        <v>15510</v>
      </c>
      <c r="P542" s="4">
        <f>_xll.IMDP("STK",표.실시간[[#This Row],[nxt_code]],"고가")</f>
        <v>15670</v>
      </c>
      <c r="Q542" s="4">
        <f>_xll.IMDP("STK",표.실시간[[#This Row],[nxt_code]],"저가")</f>
        <v>15230</v>
      </c>
      <c r="R542">
        <f>_xll.IMDP("STK",표.실시간[[#This Row],[nxt_code]],"세션명")</f>
        <v>0</v>
      </c>
      <c r="S542">
        <f>_xll.IMDP("STK",표.실시간[[#This Row],[nxt_code]],"체결시간")</f>
        <v>0</v>
      </c>
      <c r="T542" s="4">
        <f>_xll.IMDP("STK","217590","현재가")</f>
        <v>15370</v>
      </c>
      <c r="U542">
        <f>_xll.IMDP("STK","217590","누적거래량")</f>
        <v>6915</v>
      </c>
    </row>
    <row r="543" spans="3:21" x14ac:dyDescent="0.3">
      <c r="C543">
        <v>538</v>
      </c>
      <c r="D543">
        <v>41830</v>
      </c>
      <c r="E543" t="s">
        <v>555</v>
      </c>
      <c r="F543" t="str">
        <f>ConvertStockCode(표.실시간[[#This Row],[코드]])</f>
        <v>N041830</v>
      </c>
      <c r="G543" s="4">
        <f>_xll.IMDP("STK",표.실시간[[#This Row],[nxt_code]],"현재가")</f>
        <v>29650</v>
      </c>
      <c r="H543" s="4">
        <f>_xll.IMDP("STK",표.실시간[[#This Row],[nxt_code]],"시가총액")/10^12</f>
        <v>0.39970815129999998</v>
      </c>
      <c r="I543" t="str">
        <f>_xll.IMDP("","","전일대비부호")</f>
        <v>코드오류</v>
      </c>
      <c r="J543" s="5">
        <f>_xll.IMDP("STK",표.실시간[[#This Row],[nxt_code]],"전일대비")</f>
        <v>100</v>
      </c>
      <c r="K543">
        <f>_xll.IMDP("STK",표.실시간[[#This Row],[nxt_code]],"등락률")</f>
        <v>0.34</v>
      </c>
      <c r="L543" s="4">
        <f>_xll.IMDP("STK",표.실시간[[#This Row],[nxt_code]],"누적거래량")</f>
        <v>1730</v>
      </c>
      <c r="M543" s="4">
        <f>_xll.IMDP("STK",표.실시간[[#This Row],[nxt_code]],"누적거래대금")</f>
        <v>51507800</v>
      </c>
      <c r="N543" s="4">
        <f>_xll.IMDP("STK",표.실시간[[#This Row],[nxt_code]],"가중평균가")</f>
        <v>29773.294797999999</v>
      </c>
      <c r="O543" s="4">
        <f>_xll.IMDP("STK",표.실시간[[#This Row],[nxt_code]],"시가")</f>
        <v>32500</v>
      </c>
      <c r="P543" s="4">
        <f>_xll.IMDP("STK",표.실시간[[#This Row],[nxt_code]],"고가")</f>
        <v>32500</v>
      </c>
      <c r="Q543" s="4">
        <f>_xll.IMDP("STK",표.실시간[[#This Row],[nxt_code]],"저가")</f>
        <v>29500</v>
      </c>
      <c r="R543">
        <f>_xll.IMDP("STK",표.실시간[[#This Row],[nxt_code]],"세션명")</f>
        <v>0</v>
      </c>
      <c r="S543">
        <f>_xll.IMDP("STK",표.실시간[[#This Row],[nxt_code]],"체결시간")</f>
        <v>0</v>
      </c>
      <c r="T543" s="4">
        <f>_xll.IMDP("STK","041830","현재가")</f>
        <v>29650</v>
      </c>
      <c r="U543">
        <f>_xll.IMDP("STK","041830","누적거래량")</f>
        <v>55</v>
      </c>
    </row>
    <row r="544" spans="3:21" x14ac:dyDescent="0.3">
      <c r="C544">
        <v>539</v>
      </c>
      <c r="D544">
        <v>126720</v>
      </c>
      <c r="E544" t="s">
        <v>556</v>
      </c>
      <c r="F544" t="str">
        <f>ConvertStockCode(표.실시간[[#This Row],[코드]])</f>
        <v>N126720</v>
      </c>
      <c r="G544" s="4">
        <f>_xll.IMDP("STK",표.실시간[[#This Row],[nxt_code]],"현재가")</f>
        <v>26100</v>
      </c>
      <c r="H544" s="4">
        <f>_xll.IMDP("STK",표.실시간[[#This Row],[nxt_code]],"시가총액")/10^12</f>
        <v>0.37286459999999999</v>
      </c>
      <c r="I544" t="str">
        <f>_xll.IMDP("","","전일대비부호")</f>
        <v>코드오류</v>
      </c>
      <c r="J544" s="5">
        <f>_xll.IMDP("STK",표.실시간[[#This Row],[nxt_code]],"전일대비")</f>
        <v>-50</v>
      </c>
      <c r="K544">
        <f>_xll.IMDP("STK",표.실시간[[#This Row],[nxt_code]],"등락률")</f>
        <v>-0.19</v>
      </c>
      <c r="L544" s="4">
        <f>_xll.IMDP("STK",표.실시간[[#This Row],[nxt_code]],"누적거래량")</f>
        <v>2948</v>
      </c>
      <c r="M544" s="4">
        <f>_xll.IMDP("STK",표.실시간[[#This Row],[nxt_code]],"누적거래대금")</f>
        <v>77304150</v>
      </c>
      <c r="N544" s="4">
        <f>_xll.IMDP("STK",표.실시간[[#This Row],[nxt_code]],"가중평균가")</f>
        <v>26222.574627000002</v>
      </c>
      <c r="O544" s="4">
        <f>_xll.IMDP("STK",표.실시간[[#This Row],[nxt_code]],"시가")</f>
        <v>26450</v>
      </c>
      <c r="P544" s="4">
        <f>_xll.IMDP("STK",표.실시간[[#This Row],[nxt_code]],"고가")</f>
        <v>26450</v>
      </c>
      <c r="Q544" s="4">
        <f>_xll.IMDP("STK",표.실시간[[#This Row],[nxt_code]],"저가")</f>
        <v>26000</v>
      </c>
      <c r="R544">
        <f>_xll.IMDP("STK",표.실시간[[#This Row],[nxt_code]],"세션명")</f>
        <v>0</v>
      </c>
      <c r="S544">
        <f>_xll.IMDP("STK",표.실시간[[#This Row],[nxt_code]],"체결시간")</f>
        <v>0</v>
      </c>
      <c r="T544" s="4">
        <f>_xll.IMDP("STK","126720","현재가")</f>
        <v>26150</v>
      </c>
      <c r="U544">
        <f>_xll.IMDP("STK","126720","누적거래량")</f>
        <v>1574</v>
      </c>
    </row>
    <row r="545" spans="3:21" x14ac:dyDescent="0.3">
      <c r="C545">
        <v>540</v>
      </c>
      <c r="D545">
        <v>138610</v>
      </c>
      <c r="E545" t="s">
        <v>557</v>
      </c>
      <c r="F545" t="str">
        <f>ConvertStockCode(표.실시간[[#This Row],[코드]])</f>
        <v>N138610</v>
      </c>
      <c r="G545" s="4">
        <f>_xll.IMDP("STK",표.실시간[[#This Row],[nxt_code]],"현재가")</f>
        <v>33750</v>
      </c>
      <c r="H545" s="4">
        <f>_xll.IMDP("STK",표.실시간[[#This Row],[nxt_code]],"시가총액")/10^12</f>
        <v>0.38356773750000001</v>
      </c>
      <c r="I545" t="str">
        <f>_xll.IMDP("","","전일대비부호")</f>
        <v>코드오류</v>
      </c>
      <c r="J545" s="5">
        <f>_xll.IMDP("STK",표.실시간[[#This Row],[nxt_code]],"전일대비")</f>
        <v>-150</v>
      </c>
      <c r="K545">
        <f>_xll.IMDP("STK",표.실시간[[#This Row],[nxt_code]],"등락률")</f>
        <v>-0.44</v>
      </c>
      <c r="L545" s="4">
        <f>_xll.IMDP("STK",표.실시간[[#This Row],[nxt_code]],"누적거래량")</f>
        <v>8565</v>
      </c>
      <c r="M545" s="4">
        <f>_xll.IMDP("STK",표.실시간[[#This Row],[nxt_code]],"누적거래대금")</f>
        <v>288469700</v>
      </c>
      <c r="N545" s="4">
        <f>_xll.IMDP("STK",표.실시간[[#This Row],[nxt_code]],"가중평균가")</f>
        <v>33680.058377000001</v>
      </c>
      <c r="O545" s="4">
        <f>_xll.IMDP("STK",표.실시간[[#This Row],[nxt_code]],"시가")</f>
        <v>33500</v>
      </c>
      <c r="P545" s="4">
        <f>_xll.IMDP("STK",표.실시간[[#This Row],[nxt_code]],"고가")</f>
        <v>33900</v>
      </c>
      <c r="Q545" s="4">
        <f>_xll.IMDP("STK",표.실시간[[#This Row],[nxt_code]],"저가")</f>
        <v>33500</v>
      </c>
      <c r="R545">
        <f>_xll.IMDP("STK",표.실시간[[#This Row],[nxt_code]],"세션명")</f>
        <v>0</v>
      </c>
      <c r="S545">
        <f>_xll.IMDP("STK",표.실시간[[#This Row],[nxt_code]],"체결시간")</f>
        <v>0</v>
      </c>
      <c r="T545" s="4">
        <f>_xll.IMDP("STK","138610","현재가")</f>
        <v>33750</v>
      </c>
      <c r="U545">
        <f>_xll.IMDP("STK","138610","누적거래량")</f>
        <v>1756</v>
      </c>
    </row>
    <row r="546" spans="3:21" x14ac:dyDescent="0.3">
      <c r="C546">
        <v>541</v>
      </c>
      <c r="D546">
        <v>1530</v>
      </c>
      <c r="E546" t="s">
        <v>558</v>
      </c>
      <c r="F546" t="str">
        <f>ConvertStockCode(표.실시간[[#This Row],[코드]])</f>
        <v>N001530</v>
      </c>
      <c r="G546" s="4">
        <f>_xll.IMDP("STK",표.실시간[[#This Row],[nxt_code]],"현재가")</f>
        <v>19920</v>
      </c>
      <c r="H546" s="4">
        <f>_xll.IMDP("STK",표.실시간[[#This Row],[nxt_code]],"시가총액")/10^12</f>
        <v>0.39300725759999999</v>
      </c>
      <c r="I546" t="str">
        <f>_xll.IMDP("","","전일대비부호")</f>
        <v>코드오류</v>
      </c>
      <c r="J546" s="5">
        <f>_xll.IMDP("STK",표.실시간[[#This Row],[nxt_code]],"전일대비")</f>
        <v>-60</v>
      </c>
      <c r="K546">
        <f>_xll.IMDP("STK",표.실시간[[#This Row],[nxt_code]],"등락률")</f>
        <v>-0.3</v>
      </c>
      <c r="L546" s="4">
        <f>_xll.IMDP("STK",표.실시간[[#This Row],[nxt_code]],"누적거래량")</f>
        <v>2719</v>
      </c>
      <c r="M546" s="4">
        <f>_xll.IMDP("STK",표.실시간[[#This Row],[nxt_code]],"누적거래대금")</f>
        <v>54501670</v>
      </c>
      <c r="N546" s="4">
        <f>_xll.IMDP("STK",표.실시간[[#This Row],[nxt_code]],"가중평균가")</f>
        <v>20044.748069000001</v>
      </c>
      <c r="O546" s="4">
        <f>_xll.IMDP("STK",표.실시간[[#This Row],[nxt_code]],"시가")</f>
        <v>20450</v>
      </c>
      <c r="P546" s="4">
        <f>_xll.IMDP("STK",표.실시간[[#This Row],[nxt_code]],"고가")</f>
        <v>20450</v>
      </c>
      <c r="Q546" s="4">
        <f>_xll.IMDP("STK",표.실시간[[#This Row],[nxt_code]],"저가")</f>
        <v>19900</v>
      </c>
      <c r="R546">
        <f>_xll.IMDP("STK",표.실시간[[#This Row],[nxt_code]],"세션명")</f>
        <v>0</v>
      </c>
      <c r="S546">
        <f>_xll.IMDP("STK",표.실시간[[#This Row],[nxt_code]],"체결시간")</f>
        <v>0</v>
      </c>
      <c r="T546" s="4">
        <f>_xll.IMDP("STK","001530","현재가")</f>
        <v>19900</v>
      </c>
      <c r="U546">
        <f>_xll.IMDP("STK","001530","누적거래량")</f>
        <v>1046</v>
      </c>
    </row>
    <row r="547" spans="3:21" x14ac:dyDescent="0.3">
      <c r="C547">
        <v>542</v>
      </c>
      <c r="D547">
        <v>31430</v>
      </c>
      <c r="E547" t="s">
        <v>559</v>
      </c>
      <c r="F547" t="str">
        <f>ConvertStockCode(표.실시간[[#This Row],[코드]])</f>
        <v>N031430</v>
      </c>
      <c r="G547" s="4">
        <f>_xll.IMDP("STK",표.실시간[[#This Row],[nxt_code]],"현재가")</f>
        <v>11170</v>
      </c>
      <c r="H547" s="4">
        <f>_xll.IMDP("STK",표.실시간[[#This Row],[nxt_code]],"시가총액")/10^12</f>
        <v>0.39478131</v>
      </c>
      <c r="I547" t="str">
        <f>_xll.IMDP("","","전일대비부호")</f>
        <v>코드오류</v>
      </c>
      <c r="J547" s="5">
        <f>_xll.IMDP("STK",표.실시간[[#This Row],[nxt_code]],"전일대비")</f>
        <v>-30</v>
      </c>
      <c r="K547">
        <f>_xll.IMDP("STK",표.실시간[[#This Row],[nxt_code]],"등락률")</f>
        <v>-0.36</v>
      </c>
      <c r="L547" s="4">
        <f>_xll.IMDP("STK",표.실시간[[#This Row],[nxt_code]],"누적거래량")</f>
        <v>3950</v>
      </c>
      <c r="M547" s="4">
        <f>_xll.IMDP("STK",표.실시간[[#This Row],[nxt_code]],"누적거래대금")</f>
        <v>44310530</v>
      </c>
      <c r="N547" s="4">
        <f>_xll.IMDP("STK",표.실시간[[#This Row],[nxt_code]],"가중평균가")</f>
        <v>11217.855696000001</v>
      </c>
      <c r="O547" s="4">
        <f>_xll.IMDP("STK",표.실시간[[#This Row],[nxt_code]],"시가")</f>
        <v>11200</v>
      </c>
      <c r="P547" s="4">
        <f>_xll.IMDP("STK",표.실시간[[#This Row],[nxt_code]],"고가")</f>
        <v>11290</v>
      </c>
      <c r="Q547" s="4">
        <f>_xll.IMDP("STK",표.실시간[[#This Row],[nxt_code]],"저가")</f>
        <v>11100</v>
      </c>
      <c r="R547">
        <f>_xll.IMDP("STK",표.실시간[[#This Row],[nxt_code]],"세션명")</f>
        <v>0</v>
      </c>
      <c r="S547">
        <f>_xll.IMDP("STK",표.실시간[[#This Row],[nxt_code]],"체결시간")</f>
        <v>0</v>
      </c>
      <c r="T547" s="4">
        <f>_xll.IMDP("STK","031430","현재가")</f>
        <v>11190</v>
      </c>
      <c r="U547">
        <f>_xll.IMDP("STK","031430","누적거래량")</f>
        <v>543</v>
      </c>
    </row>
    <row r="548" spans="3:21" x14ac:dyDescent="0.3">
      <c r="C548">
        <v>543</v>
      </c>
      <c r="D548">
        <v>64820</v>
      </c>
      <c r="E548" t="s">
        <v>560</v>
      </c>
      <c r="F548" t="str">
        <f>ConvertStockCode(표.실시간[[#This Row],[코드]])</f>
        <v>N064820</v>
      </c>
      <c r="G548" s="4">
        <f>_xll.IMDP("STK",표.실시간[[#This Row],[nxt_code]],"현재가")</f>
        <v>12120</v>
      </c>
      <c r="H548" s="4">
        <f>_xll.IMDP("STK",표.실시간[[#This Row],[nxt_code]],"시가총액")/10^12</f>
        <v>0.37452894335999998</v>
      </c>
      <c r="I548" t="str">
        <f>_xll.IMDP("","","전일대비부호")</f>
        <v>코드오류</v>
      </c>
      <c r="J548" s="5">
        <f>_xll.IMDP("STK",표.실시간[[#This Row],[nxt_code]],"전일대비")</f>
        <v>230</v>
      </c>
      <c r="K548">
        <f>_xll.IMDP("STK",표.실시간[[#This Row],[nxt_code]],"등락률")</f>
        <v>1.93</v>
      </c>
      <c r="L548" s="4">
        <f>_xll.IMDP("STK",표.실시간[[#This Row],[nxt_code]],"누적거래량")</f>
        <v>15625</v>
      </c>
      <c r="M548" s="4">
        <f>_xll.IMDP("STK",표.실시간[[#This Row],[nxt_code]],"누적거래대금")</f>
        <v>188343580</v>
      </c>
      <c r="N548" s="4">
        <f>_xll.IMDP("STK",표.실시간[[#This Row],[nxt_code]],"가중평균가")</f>
        <v>12053.98912</v>
      </c>
      <c r="O548" s="4">
        <f>_xll.IMDP("STK",표.실시간[[#This Row],[nxt_code]],"시가")</f>
        <v>12010</v>
      </c>
      <c r="P548" s="4">
        <f>_xll.IMDP("STK",표.실시간[[#This Row],[nxt_code]],"고가")</f>
        <v>12150</v>
      </c>
      <c r="Q548" s="4">
        <f>_xll.IMDP("STK",표.실시간[[#This Row],[nxt_code]],"저가")</f>
        <v>11970</v>
      </c>
      <c r="R548">
        <f>_xll.IMDP("STK",표.실시간[[#This Row],[nxt_code]],"세션명")</f>
        <v>0</v>
      </c>
      <c r="S548">
        <f>_xll.IMDP("STK",표.실시간[[#This Row],[nxt_code]],"체결시간")</f>
        <v>0</v>
      </c>
      <c r="T548" s="4">
        <f>_xll.IMDP("STK","064820","현재가")</f>
        <v>12090</v>
      </c>
      <c r="U548">
        <f>_xll.IMDP("STK","064820","누적거래량")</f>
        <v>6877</v>
      </c>
    </row>
    <row r="549" spans="3:21" x14ac:dyDescent="0.3">
      <c r="C549">
        <v>544</v>
      </c>
      <c r="D549">
        <v>15360</v>
      </c>
      <c r="E549" t="s">
        <v>561</v>
      </c>
      <c r="F549" t="str">
        <f>ConvertStockCode(표.실시간[[#This Row],[코드]])</f>
        <v>N015360</v>
      </c>
      <c r="G549" s="4">
        <f>_xll.IMDP("STK",표.실시간[[#This Row],[nxt_code]],"현재가")</f>
        <v>66300</v>
      </c>
      <c r="H549" s="4">
        <f>_xll.IMDP("STK",표.실시간[[#This Row],[nxt_code]],"시가총액")/10^12</f>
        <v>0.37791000000000002</v>
      </c>
      <c r="I549" t="str">
        <f>_xll.IMDP("","","전일대비부호")</f>
        <v>코드오류</v>
      </c>
      <c r="J549" s="5">
        <f>_xll.IMDP("STK",표.실시간[[#This Row],[nxt_code]],"전일대비")</f>
        <v>900</v>
      </c>
      <c r="K549">
        <f>_xll.IMDP("STK",표.실시간[[#This Row],[nxt_code]],"등락률")</f>
        <v>1.38</v>
      </c>
      <c r="L549" s="4">
        <f>_xll.IMDP("STK",표.실시간[[#This Row],[nxt_code]],"누적거래량")</f>
        <v>143</v>
      </c>
      <c r="M549" s="4">
        <f>_xll.IMDP("STK",표.실시간[[#This Row],[nxt_code]],"누적거래대금")</f>
        <v>9509900</v>
      </c>
      <c r="N549" s="4">
        <f>_xll.IMDP("STK",표.실시간[[#This Row],[nxt_code]],"가중평균가")</f>
        <v>66502.797202999995</v>
      </c>
      <c r="O549" s="4">
        <f>_xll.IMDP("STK",표.실시간[[#This Row],[nxt_code]],"시가")</f>
        <v>67400</v>
      </c>
      <c r="P549" s="4">
        <f>_xll.IMDP("STK",표.실시간[[#This Row],[nxt_code]],"고가")</f>
        <v>67400</v>
      </c>
      <c r="Q549" s="4">
        <f>_xll.IMDP("STK",표.실시간[[#This Row],[nxt_code]],"저가")</f>
        <v>65800</v>
      </c>
      <c r="R549">
        <f>_xll.IMDP("STK",표.실시간[[#This Row],[nxt_code]],"세션명")</f>
        <v>0</v>
      </c>
      <c r="S549">
        <f>_xll.IMDP("STK",표.실시간[[#This Row],[nxt_code]],"체결시간")</f>
        <v>0</v>
      </c>
      <c r="T549" s="4">
        <f>_xll.IMDP("STK","015360","현재가")</f>
        <v>66300</v>
      </c>
      <c r="U549">
        <f>_xll.IMDP("STK","015360","누적거래량")</f>
        <v>9</v>
      </c>
    </row>
    <row r="550" spans="3:21" x14ac:dyDescent="0.3">
      <c r="C550">
        <v>545</v>
      </c>
      <c r="D550">
        <v>14940</v>
      </c>
      <c r="E550" t="s">
        <v>562</v>
      </c>
      <c r="F550" t="str">
        <f>ConvertStockCode(표.실시간[[#This Row],[코드]])</f>
        <v>N014940</v>
      </c>
      <c r="G550" s="4">
        <f>_xll.IMDP("STK",표.실시간[[#This Row],[nxt_code]],"현재가")</f>
        <v>8120</v>
      </c>
      <c r="H550" s="4">
        <f>_xll.IMDP("STK",표.실시간[[#This Row],[nxt_code]],"시가총액")/10^12</f>
        <v>0.37005812731999999</v>
      </c>
      <c r="I550" t="str">
        <f>_xll.IMDP("","","전일대비부호")</f>
        <v>코드오류</v>
      </c>
      <c r="J550" s="5">
        <f>_xll.IMDP("STK",표.실시간[[#This Row],[nxt_code]],"전일대비")</f>
        <v>50</v>
      </c>
      <c r="K550">
        <f>_xll.IMDP("STK",표.실시간[[#This Row],[nxt_code]],"등락률")</f>
        <v>0.62</v>
      </c>
      <c r="L550" s="4">
        <f>_xll.IMDP("STK",표.실시간[[#This Row],[nxt_code]],"누적거래량")</f>
        <v>24424</v>
      </c>
      <c r="M550" s="4">
        <f>_xll.IMDP("STK",표.실시간[[#This Row],[nxt_code]],"누적거래대금")</f>
        <v>198073480</v>
      </c>
      <c r="N550" s="4">
        <f>_xll.IMDP("STK",표.실시간[[#This Row],[nxt_code]],"가중평균가")</f>
        <v>8109.788732</v>
      </c>
      <c r="O550" s="4">
        <f>_xll.IMDP("STK",표.실시간[[#This Row],[nxt_code]],"시가")</f>
        <v>8190</v>
      </c>
      <c r="P550" s="4">
        <f>_xll.IMDP("STK",표.실시간[[#This Row],[nxt_code]],"고가")</f>
        <v>8190</v>
      </c>
      <c r="Q550" s="4">
        <f>_xll.IMDP("STK",표.실시간[[#This Row],[nxt_code]],"저가")</f>
        <v>8070</v>
      </c>
      <c r="R550">
        <f>_xll.IMDP("STK",표.실시간[[#This Row],[nxt_code]],"세션명")</f>
        <v>0</v>
      </c>
      <c r="S550">
        <f>_xll.IMDP("STK",표.실시간[[#This Row],[nxt_code]],"체결시간")</f>
        <v>0</v>
      </c>
      <c r="T550" s="4">
        <f>_xll.IMDP("STK","014940","현재가")</f>
        <v>8140</v>
      </c>
      <c r="U550">
        <f>_xll.IMDP("STK","014940","누적거래량")</f>
        <v>1582</v>
      </c>
    </row>
    <row r="551" spans="3:21" x14ac:dyDescent="0.3">
      <c r="C551">
        <v>546</v>
      </c>
      <c r="D551">
        <v>1940</v>
      </c>
      <c r="E551" t="s">
        <v>563</v>
      </c>
      <c r="F551" t="str">
        <f>ConvertStockCode(표.실시간[[#This Row],[코드]])</f>
        <v>N001940</v>
      </c>
      <c r="G551" s="4">
        <f>_xll.IMDP("STK",표.실시간[[#This Row],[nxt_code]],"현재가")</f>
        <v>26500</v>
      </c>
      <c r="H551" s="4">
        <f>_xll.IMDP("STK",표.실시간[[#This Row],[nxt_code]],"시가총액")/10^12</f>
        <v>0.37567407000000003</v>
      </c>
      <c r="I551" t="str">
        <f>_xll.IMDP("","","전일대비부호")</f>
        <v>코드오류</v>
      </c>
      <c r="J551" s="5">
        <f>_xll.IMDP("STK",표.실시간[[#This Row],[nxt_code]],"전일대비")</f>
        <v>50</v>
      </c>
      <c r="K551">
        <f>_xll.IMDP("STK",표.실시간[[#This Row],[nxt_code]],"등락률")</f>
        <v>0.19</v>
      </c>
      <c r="L551" s="4">
        <f>_xll.IMDP("STK",표.실시간[[#This Row],[nxt_code]],"누적거래량")</f>
        <v>11</v>
      </c>
      <c r="M551" s="4">
        <f>_xll.IMDP("STK",표.실시간[[#This Row],[nxt_code]],"누적거래대금")</f>
        <v>291500</v>
      </c>
      <c r="N551" s="4">
        <f>_xll.IMDP("STK",표.실시간[[#This Row],[nxt_code]],"가중평균가")</f>
        <v>26500</v>
      </c>
      <c r="O551" s="4">
        <f>_xll.IMDP("STK",표.실시간[[#This Row],[nxt_code]],"시가")</f>
        <v>26500</v>
      </c>
      <c r="P551" s="4">
        <f>_xll.IMDP("STK",표.실시간[[#This Row],[nxt_code]],"고가")</f>
        <v>26500</v>
      </c>
      <c r="Q551" s="4">
        <f>_xll.IMDP("STK",표.실시간[[#This Row],[nxt_code]],"저가")</f>
        <v>26500</v>
      </c>
      <c r="R551">
        <f>_xll.IMDP("STK",표.실시간[[#This Row],[nxt_code]],"세션명")</f>
        <v>0</v>
      </c>
      <c r="S551">
        <f>_xll.IMDP("STK",표.실시간[[#This Row],[nxt_code]],"체결시간")</f>
        <v>0</v>
      </c>
      <c r="T551" s="4">
        <f>_xll.IMDP("STK","001940","현재가")</f>
        <v>26500</v>
      </c>
      <c r="U551">
        <f>_xll.IMDP("STK","001940","누적거래량")</f>
        <v>3</v>
      </c>
    </row>
    <row r="552" spans="3:21" x14ac:dyDescent="0.3">
      <c r="C552">
        <v>547</v>
      </c>
      <c r="D552">
        <v>376270</v>
      </c>
      <c r="E552" t="s">
        <v>564</v>
      </c>
      <c r="F552" t="str">
        <f>ConvertStockCode(표.실시간[[#This Row],[코드]])</f>
        <v>N376270</v>
      </c>
      <c r="G552" s="4">
        <f>_xll.IMDP("STK",표.실시간[[#This Row],[nxt_code]],"현재가")</f>
        <v>55100</v>
      </c>
      <c r="H552" s="4">
        <f>_xll.IMDP("STK",표.실시간[[#This Row],[nxt_code]],"시가총액")/10^12</f>
        <v>0.39439075769999998</v>
      </c>
      <c r="I552" t="str">
        <f>_xll.IMDP("","","전일대비부호")</f>
        <v>코드오류</v>
      </c>
      <c r="J552" s="5">
        <f>_xll.IMDP("STK",표.실시간[[#This Row],[nxt_code]],"전일대비")</f>
        <v>700</v>
      </c>
      <c r="K552">
        <f>_xll.IMDP("STK",표.실시간[[#This Row],[nxt_code]],"등락률")</f>
        <v>1.29</v>
      </c>
      <c r="L552" s="4">
        <f>_xll.IMDP("STK",표.실시간[[#This Row],[nxt_code]],"누적거래량")</f>
        <v>3938</v>
      </c>
      <c r="M552" s="4">
        <f>_xll.IMDP("STK",표.실시간[[#This Row],[nxt_code]],"누적거래대금")</f>
        <v>220395600</v>
      </c>
      <c r="N552" s="4">
        <f>_xll.IMDP("STK",표.실시간[[#This Row],[nxt_code]],"가중평균가")</f>
        <v>55431.488934000001</v>
      </c>
      <c r="O552" s="4">
        <f>_xll.IMDP("STK",표.실시간[[#This Row],[nxt_code]],"시가")</f>
        <v>54100</v>
      </c>
      <c r="P552" s="4">
        <f>_xll.IMDP("STK",표.실시간[[#This Row],[nxt_code]],"고가")</f>
        <v>56600</v>
      </c>
      <c r="Q552" s="4">
        <f>_xll.IMDP("STK",표.실시간[[#This Row],[nxt_code]],"저가")</f>
        <v>54000</v>
      </c>
      <c r="R552">
        <f>_xll.IMDP("STK",표.실시간[[#This Row],[nxt_code]],"세션명")</f>
        <v>0</v>
      </c>
      <c r="S552">
        <f>_xll.IMDP("STK",표.실시간[[#This Row],[nxt_code]],"체결시간")</f>
        <v>0</v>
      </c>
      <c r="T552" s="4">
        <f>_xll.IMDP("STK","376270","현재가")</f>
        <v>54600</v>
      </c>
      <c r="U552">
        <f>_xll.IMDP("STK","376270","누적거래량")</f>
        <v>381</v>
      </c>
    </row>
    <row r="553" spans="3:21" x14ac:dyDescent="0.3">
      <c r="C553">
        <v>548</v>
      </c>
      <c r="D553">
        <v>65660</v>
      </c>
      <c r="E553" t="s">
        <v>565</v>
      </c>
      <c r="F553" t="str">
        <f>ConvertStockCode(표.실시간[[#This Row],[코드]])</f>
        <v>N065660</v>
      </c>
      <c r="G553" s="4">
        <f>_xll.IMDP("STK",표.실시간[[#This Row],[nxt_code]],"현재가")</f>
        <v>38800</v>
      </c>
      <c r="H553" s="4">
        <f>_xll.IMDP("STK",표.실시간[[#This Row],[nxt_code]],"시가총액")/10^12</f>
        <v>0.38823668</v>
      </c>
      <c r="I553" t="str">
        <f>_xll.IMDP("","","전일대비부호")</f>
        <v>코드오류</v>
      </c>
      <c r="J553" s="5">
        <f>_xll.IMDP("STK",표.실시간[[#This Row],[nxt_code]],"전일대비")</f>
        <v>1050</v>
      </c>
      <c r="K553">
        <f>_xll.IMDP("STK",표.실시간[[#This Row],[nxt_code]],"등락률")</f>
        <v>0.13</v>
      </c>
      <c r="L553" s="4">
        <f>_xll.IMDP("STK",표.실시간[[#This Row],[nxt_code]],"누적거래량")</f>
        <v>781</v>
      </c>
      <c r="M553" s="4">
        <f>_xll.IMDP("STK",표.실시간[[#This Row],[nxt_code]],"누적거래대금")</f>
        <v>30699800</v>
      </c>
      <c r="N553" s="4">
        <f>_xll.IMDP("STK",표.실시간[[#This Row],[nxt_code]],"가중평균가")</f>
        <v>39258.056266</v>
      </c>
      <c r="O553" s="4">
        <f>_xll.IMDP("STK",표.실시간[[#This Row],[nxt_code]],"시가")</f>
        <v>38750</v>
      </c>
      <c r="P553" s="4">
        <f>_xll.IMDP("STK",표.실시간[[#This Row],[nxt_code]],"고가")</f>
        <v>39850</v>
      </c>
      <c r="Q553" s="4">
        <f>_xll.IMDP("STK",표.실시간[[#This Row],[nxt_code]],"저가")</f>
        <v>38750</v>
      </c>
      <c r="R553">
        <f>_xll.IMDP("STK",표.실시간[[#This Row],[nxt_code]],"세션명")</f>
        <v>0</v>
      </c>
      <c r="S553">
        <f>_xll.IMDP("STK",표.실시간[[#This Row],[nxt_code]],"체결시간")</f>
        <v>0</v>
      </c>
      <c r="T553" s="4">
        <f>_xll.IMDP("STK","065660","현재가")</f>
        <v>38800</v>
      </c>
      <c r="U553">
        <f>_xll.IMDP("STK","065660","누적거래량")</f>
        <v>184</v>
      </c>
    </row>
    <row r="554" spans="3:21" x14ac:dyDescent="0.3">
      <c r="C554">
        <v>549</v>
      </c>
      <c r="D554">
        <v>29460</v>
      </c>
      <c r="E554" t="s">
        <v>566</v>
      </c>
      <c r="F554" t="str">
        <f>ConvertStockCode(표.실시간[[#This Row],[코드]])</f>
        <v>N029460</v>
      </c>
      <c r="G554" s="4">
        <f>_xll.IMDP("STK",표.실시간[[#This Row],[nxt_code]],"현재가")</f>
        <v>28550</v>
      </c>
      <c r="H554" s="4">
        <f>_xll.IMDP("STK",표.실시간[[#This Row],[nxt_code]],"시가총액")/10^12</f>
        <v>0.37775255865000001</v>
      </c>
      <c r="I554" t="str">
        <f>_xll.IMDP("","","전일대비부호")</f>
        <v>코드오류</v>
      </c>
      <c r="J554" s="5">
        <f>_xll.IMDP("STK",표.실시간[[#This Row],[nxt_code]],"전일대비")</f>
        <v>-50</v>
      </c>
      <c r="K554">
        <f>_xll.IMDP("STK",표.실시간[[#This Row],[nxt_code]],"등락률")</f>
        <v>-0.17</v>
      </c>
      <c r="L554" s="4">
        <f>_xll.IMDP("STK",표.실시간[[#This Row],[nxt_code]],"누적거래량")</f>
        <v>762</v>
      </c>
      <c r="M554" s="4">
        <f>_xll.IMDP("STK",표.실시간[[#This Row],[nxt_code]],"누적거래대금")</f>
        <v>21841850</v>
      </c>
      <c r="N554" s="4">
        <f>_xll.IMDP("STK",표.실시간[[#This Row],[nxt_code]],"가중평균가")</f>
        <v>28663.845143999999</v>
      </c>
      <c r="O554" s="4">
        <f>_xll.IMDP("STK",표.실시간[[#This Row],[nxt_code]],"시가")</f>
        <v>28600</v>
      </c>
      <c r="P554" s="4">
        <f>_xll.IMDP("STK",표.실시간[[#This Row],[nxt_code]],"고가")</f>
        <v>29000</v>
      </c>
      <c r="Q554" s="4">
        <f>_xll.IMDP("STK",표.실시간[[#This Row],[nxt_code]],"저가")</f>
        <v>28550</v>
      </c>
      <c r="R554">
        <f>_xll.IMDP("STK",표.실시간[[#This Row],[nxt_code]],"세션명")</f>
        <v>0</v>
      </c>
      <c r="S554">
        <f>_xll.IMDP("STK",표.실시간[[#This Row],[nxt_code]],"체결시간")</f>
        <v>0</v>
      </c>
      <c r="T554" s="4">
        <f>_xll.IMDP("STK","029460","현재가")</f>
        <v>28500</v>
      </c>
      <c r="U554">
        <f>_xll.IMDP("STK","029460","누적거래량")</f>
        <v>55</v>
      </c>
    </row>
    <row r="555" spans="3:21" x14ac:dyDescent="0.3">
      <c r="C555">
        <v>550</v>
      </c>
      <c r="D555">
        <v>13030</v>
      </c>
      <c r="E555" t="s">
        <v>567</v>
      </c>
      <c r="F555" t="str">
        <f>ConvertStockCode(표.실시간[[#This Row],[코드]])</f>
        <v>N013030</v>
      </c>
      <c r="G555" s="4">
        <f>_xll.IMDP("STK",표.실시간[[#This Row],[nxt_code]],"현재가")</f>
        <v>31700</v>
      </c>
      <c r="H555" s="4">
        <f>_xll.IMDP("STK",표.실시간[[#This Row],[nxt_code]],"시가총액")/10^12</f>
        <v>0.37305016479999997</v>
      </c>
      <c r="I555" t="str">
        <f>_xll.IMDP("","","전일대비부호")</f>
        <v>코드오류</v>
      </c>
      <c r="J555" s="5">
        <f>_xll.IMDP("STK",표.실시간[[#This Row],[nxt_code]],"전일대비")</f>
        <v>200</v>
      </c>
      <c r="K555">
        <f>_xll.IMDP("STK",표.실시간[[#This Row],[nxt_code]],"등락률")</f>
        <v>0.63</v>
      </c>
      <c r="L555" s="4">
        <f>_xll.IMDP("STK",표.실시간[[#This Row],[nxt_code]],"누적거래량")</f>
        <v>1364</v>
      </c>
      <c r="M555" s="4">
        <f>_xll.IMDP("STK",표.실시간[[#This Row],[nxt_code]],"누적거래대금")</f>
        <v>43194700</v>
      </c>
      <c r="N555" s="4">
        <f>_xll.IMDP("STK",표.실시간[[#This Row],[nxt_code]],"가중평균가")</f>
        <v>31667.668622000001</v>
      </c>
      <c r="O555" s="4">
        <f>_xll.IMDP("STK",표.실시간[[#This Row],[nxt_code]],"시가")</f>
        <v>31500</v>
      </c>
      <c r="P555" s="4">
        <f>_xll.IMDP("STK",표.실시간[[#This Row],[nxt_code]],"고가")</f>
        <v>31750</v>
      </c>
      <c r="Q555" s="4">
        <f>_xll.IMDP("STK",표.실시간[[#This Row],[nxt_code]],"저가")</f>
        <v>31450</v>
      </c>
      <c r="R555">
        <f>_xll.IMDP("STK",표.실시간[[#This Row],[nxt_code]],"세션명")</f>
        <v>0</v>
      </c>
      <c r="S555">
        <f>_xll.IMDP("STK",표.실시간[[#This Row],[nxt_code]],"체결시간")</f>
        <v>0</v>
      </c>
      <c r="T555" s="4">
        <f>_xll.IMDP("STK","013030","현재가")</f>
        <v>31700</v>
      </c>
      <c r="U555">
        <f>_xll.IMDP("STK","013030","누적거래량")</f>
        <v>105</v>
      </c>
    </row>
    <row r="556" spans="3:21" x14ac:dyDescent="0.3">
      <c r="C556">
        <v>551</v>
      </c>
      <c r="D556">
        <v>94360</v>
      </c>
      <c r="E556" t="s">
        <v>568</v>
      </c>
      <c r="F556" t="str">
        <f>ConvertStockCode(표.실시간[[#This Row],[코드]])</f>
        <v>N094360</v>
      </c>
      <c r="G556" s="4">
        <f>_xll.IMDP("STK",표.실시간[[#This Row],[nxt_code]],"현재가")</f>
        <v>17190</v>
      </c>
      <c r="H556" s="4">
        <f>_xll.IMDP("STK",표.실시간[[#This Row],[nxt_code]],"시가총액")/10^12</f>
        <v>0.36579072006000002</v>
      </c>
      <c r="I556" t="str">
        <f>_xll.IMDP("","","전일대비부호")</f>
        <v>코드오류</v>
      </c>
      <c r="J556" s="5">
        <f>_xll.IMDP("STK",표.실시간[[#This Row],[nxt_code]],"전일대비")</f>
        <v>-60</v>
      </c>
      <c r="K556">
        <f>_xll.IMDP("STK",표.실시간[[#This Row],[nxt_code]],"등락률")</f>
        <v>-0.35</v>
      </c>
      <c r="L556" s="4">
        <f>_xll.IMDP("STK",표.실시간[[#This Row],[nxt_code]],"누적거래량")</f>
        <v>34546</v>
      </c>
      <c r="M556" s="4">
        <f>_xll.IMDP("STK",표.실시간[[#This Row],[nxt_code]],"누적거래대금")</f>
        <v>596923840</v>
      </c>
      <c r="N556" s="4">
        <f>_xll.IMDP("STK",표.실시간[[#This Row],[nxt_code]],"가중평균가")</f>
        <v>17279.101488</v>
      </c>
      <c r="O556" s="4">
        <f>_xll.IMDP("STK",표.실시간[[#This Row],[nxt_code]],"시가")</f>
        <v>17250</v>
      </c>
      <c r="P556" s="4">
        <f>_xll.IMDP("STK",표.실시간[[#This Row],[nxt_code]],"고가")</f>
        <v>17380</v>
      </c>
      <c r="Q556" s="4">
        <f>_xll.IMDP("STK",표.실시간[[#This Row],[nxt_code]],"저가")</f>
        <v>17190</v>
      </c>
      <c r="R556">
        <f>_xll.IMDP("STK",표.실시간[[#This Row],[nxt_code]],"세션명")</f>
        <v>0</v>
      </c>
      <c r="S556">
        <f>_xll.IMDP("STK",표.실시간[[#This Row],[nxt_code]],"체결시간")</f>
        <v>0</v>
      </c>
      <c r="T556" s="4">
        <f>_xll.IMDP("STK","094360","현재가")</f>
        <v>17180</v>
      </c>
      <c r="U556">
        <f>_xll.IMDP("STK","094360","누적거래량")</f>
        <v>6330</v>
      </c>
    </row>
    <row r="557" spans="3:21" x14ac:dyDescent="0.3">
      <c r="C557">
        <v>552</v>
      </c>
      <c r="D557">
        <v>304360</v>
      </c>
      <c r="E557" t="s">
        <v>569</v>
      </c>
      <c r="F557" t="str">
        <f>ConvertStockCode(표.실시간[[#This Row],[코드]])</f>
        <v>N304360</v>
      </c>
      <c r="G557" s="4">
        <f>_xll.IMDP("STK",표.실시간[[#This Row],[nxt_code]],"현재가")</f>
        <v>29850</v>
      </c>
      <c r="H557" s="4">
        <f>_xll.IMDP("STK",표.실시간[[#This Row],[nxt_code]],"시가총액")/10^12</f>
        <v>0.36486323640000001</v>
      </c>
      <c r="I557" t="str">
        <f>_xll.IMDP("","","전일대비부호")</f>
        <v>코드오류</v>
      </c>
      <c r="J557" s="5">
        <f>_xll.IMDP("STK",표.실시간[[#This Row],[nxt_code]],"전일대비")</f>
        <v>100</v>
      </c>
      <c r="K557">
        <f>_xll.IMDP("STK",표.실시간[[#This Row],[nxt_code]],"등락률")</f>
        <v>0.34</v>
      </c>
      <c r="L557" s="4">
        <f>_xll.IMDP("STK",표.실시간[[#This Row],[nxt_code]],"누적거래량")</f>
        <v>4067</v>
      </c>
      <c r="M557" s="4">
        <f>_xll.IMDP("STK",표.실시간[[#This Row],[nxt_code]],"누적거래대금")</f>
        <v>121683600</v>
      </c>
      <c r="N557" s="4">
        <f>_xll.IMDP("STK",표.실시간[[#This Row],[nxt_code]],"가중평균가")</f>
        <v>29919.744283</v>
      </c>
      <c r="O557" s="4">
        <f>_xll.IMDP("STK",표.실시간[[#This Row],[nxt_code]],"시가")</f>
        <v>29400</v>
      </c>
      <c r="P557" s="4">
        <f>_xll.IMDP("STK",표.실시간[[#This Row],[nxt_code]],"고가")</f>
        <v>30400</v>
      </c>
      <c r="Q557" s="4">
        <f>_xll.IMDP("STK",표.실시간[[#This Row],[nxt_code]],"저가")</f>
        <v>29400</v>
      </c>
      <c r="R557">
        <f>_xll.IMDP("STK",표.실시간[[#This Row],[nxt_code]],"세션명")</f>
        <v>0</v>
      </c>
      <c r="S557">
        <f>_xll.IMDP("STK",표.실시간[[#This Row],[nxt_code]],"체결시간")</f>
        <v>0</v>
      </c>
      <c r="T557" s="4">
        <f>_xll.IMDP("STK","304360","현재가")</f>
        <v>29850</v>
      </c>
      <c r="U557">
        <f>_xll.IMDP("STK","304360","누적거래량")</f>
        <v>927</v>
      </c>
    </row>
    <row r="558" spans="3:21" x14ac:dyDescent="0.3">
      <c r="C558">
        <v>553</v>
      </c>
      <c r="D558">
        <v>101160</v>
      </c>
      <c r="E558" t="s">
        <v>570</v>
      </c>
      <c r="F558" t="str">
        <f>ConvertStockCode(표.실시간[[#This Row],[코드]])</f>
        <v>N101160</v>
      </c>
      <c r="G558" s="4">
        <f>_xll.IMDP("STK",표.실시간[[#This Row],[nxt_code]],"현재가")</f>
        <v>22650</v>
      </c>
      <c r="H558" s="4">
        <f>_xll.IMDP("STK",표.실시간[[#This Row],[nxt_code]],"시가총액")/10^12</f>
        <v>0.37397399144999999</v>
      </c>
      <c r="I558" t="str">
        <f>_xll.IMDP("","","전일대비부호")</f>
        <v>코드오류</v>
      </c>
      <c r="J558" s="5">
        <f>_xll.IMDP("STK",표.실시간[[#This Row],[nxt_code]],"전일대비")</f>
        <v>-150</v>
      </c>
      <c r="K558">
        <f>_xll.IMDP("STK",표.실시간[[#This Row],[nxt_code]],"등락률")</f>
        <v>-0.66</v>
      </c>
      <c r="L558" s="4">
        <f>_xll.IMDP("STK",표.실시간[[#This Row],[nxt_code]],"누적거래량")</f>
        <v>3508</v>
      </c>
      <c r="M558" s="4">
        <f>_xll.IMDP("STK",표.실시간[[#This Row],[nxt_code]],"누적거래대금")</f>
        <v>80101950</v>
      </c>
      <c r="N558" s="4">
        <f>_xll.IMDP("STK",표.실시간[[#This Row],[nxt_code]],"가중평균가")</f>
        <v>22834.079247000001</v>
      </c>
      <c r="O558" s="4">
        <f>_xll.IMDP("STK",표.실시간[[#This Row],[nxt_code]],"시가")</f>
        <v>22900</v>
      </c>
      <c r="P558" s="4">
        <f>_xll.IMDP("STK",표.실시간[[#This Row],[nxt_code]],"고가")</f>
        <v>22950</v>
      </c>
      <c r="Q558" s="4">
        <f>_xll.IMDP("STK",표.실시간[[#This Row],[nxt_code]],"저가")</f>
        <v>22650</v>
      </c>
      <c r="R558">
        <f>_xll.IMDP("STK",표.실시간[[#This Row],[nxt_code]],"세션명")</f>
        <v>0</v>
      </c>
      <c r="S558">
        <f>_xll.IMDP("STK",표.실시간[[#This Row],[nxt_code]],"체결시간")</f>
        <v>0</v>
      </c>
      <c r="T558" s="4">
        <f>_xll.IMDP("STK","101160","현재가")</f>
        <v>22550</v>
      </c>
      <c r="U558">
        <f>_xll.IMDP("STK","101160","누적거래량")</f>
        <v>2413</v>
      </c>
    </row>
    <row r="559" spans="3:21" x14ac:dyDescent="0.3">
      <c r="C559">
        <v>554</v>
      </c>
      <c r="D559">
        <v>484810</v>
      </c>
      <c r="E559" t="s">
        <v>571</v>
      </c>
      <c r="F559" t="str">
        <f>ConvertStockCode(표.실시간[[#This Row],[코드]])</f>
        <v>N484810</v>
      </c>
      <c r="G559" s="4">
        <f>_xll.IMDP("STK",표.실시간[[#This Row],[nxt_code]],"현재가")</f>
        <v>23400</v>
      </c>
      <c r="H559" s="4">
        <f>_xll.IMDP("STK",표.실시간[[#This Row],[nxt_code]],"시가총액")/10^12</f>
        <v>0.36155141099999999</v>
      </c>
      <c r="I559" t="str">
        <f>_xll.IMDP("","","전일대비부호")</f>
        <v>코드오류</v>
      </c>
      <c r="J559" s="5">
        <f>_xll.IMDP("STK",표.실시간[[#This Row],[nxt_code]],"전일대비")</f>
        <v>-1150</v>
      </c>
      <c r="K559">
        <f>_xll.IMDP("STK",표.실시간[[#This Row],[nxt_code]],"등락률")</f>
        <v>-4.68</v>
      </c>
      <c r="L559" s="4">
        <f>_xll.IMDP("STK",표.실시간[[#This Row],[nxt_code]],"누적거래량")</f>
        <v>584835</v>
      </c>
      <c r="M559" s="4">
        <f>_xll.IMDP("STK",표.실시간[[#This Row],[nxt_code]],"누적거래대금")</f>
        <v>13845613725</v>
      </c>
      <c r="N559" s="4">
        <f>_xll.IMDP("STK",표.실시간[[#This Row],[nxt_code]],"가중평균가")</f>
        <v>23674.393162</v>
      </c>
      <c r="O559" s="4">
        <f>_xll.IMDP("STK",표.실시간[[#This Row],[nxt_code]],"시가")</f>
        <v>23600</v>
      </c>
      <c r="P559" s="4">
        <f>_xll.IMDP("STK",표.실시간[[#This Row],[nxt_code]],"고가")</f>
        <v>24250</v>
      </c>
      <c r="Q559" s="4">
        <f>_xll.IMDP("STK",표.실시간[[#This Row],[nxt_code]],"저가")</f>
        <v>23100</v>
      </c>
      <c r="R559">
        <f>_xll.IMDP("STK",표.실시간[[#This Row],[nxt_code]],"세션명")</f>
        <v>0</v>
      </c>
      <c r="S559">
        <f>_xll.IMDP("STK",표.실시간[[#This Row],[nxt_code]],"체결시간")</f>
        <v>0</v>
      </c>
      <c r="T559" s="4">
        <f>_xll.IMDP("STK","484810","현재가")</f>
        <v>23400</v>
      </c>
      <c r="U559">
        <f>_xll.IMDP("STK","484810","누적거래량")</f>
        <v>89486</v>
      </c>
    </row>
    <row r="560" spans="3:21" x14ac:dyDescent="0.3">
      <c r="C560">
        <v>555</v>
      </c>
      <c r="D560">
        <v>10690</v>
      </c>
      <c r="E560" t="s">
        <v>572</v>
      </c>
      <c r="F560" t="str">
        <f>ConvertStockCode(표.실시간[[#This Row],[코드]])</f>
        <v>N010690</v>
      </c>
      <c r="G560" s="4">
        <f>_xll.IMDP("STK",표.실시간[[#This Row],[nxt_code]],"현재가")</f>
        <v>9640</v>
      </c>
      <c r="H560" s="4">
        <f>_xll.IMDP("STK",표.실시간[[#This Row],[nxt_code]],"시가총액")/10^12</f>
        <v>0.33663275240000001</v>
      </c>
      <c r="I560" t="str">
        <f>_xll.IMDP("","","전일대비부호")</f>
        <v>코드오류</v>
      </c>
      <c r="J560" s="5">
        <f>_xll.IMDP("STK",표.실시간[[#This Row],[nxt_code]],"전일대비")</f>
        <v>-90</v>
      </c>
      <c r="K560">
        <f>_xll.IMDP("STK",표.실시간[[#This Row],[nxt_code]],"등락률")</f>
        <v>-0.92</v>
      </c>
      <c r="L560" s="4">
        <f>_xll.IMDP("STK",표.실시간[[#This Row],[nxt_code]],"누적거래량")</f>
        <v>167733</v>
      </c>
      <c r="M560" s="4">
        <f>_xll.IMDP("STK",표.실시간[[#This Row],[nxt_code]],"누적거래대금")</f>
        <v>1652318910</v>
      </c>
      <c r="N560" s="4">
        <f>_xll.IMDP("STK",표.실시간[[#This Row],[nxt_code]],"가중평균가")</f>
        <v>9850.8874820000001</v>
      </c>
      <c r="O560" s="4">
        <f>_xll.IMDP("STK",표.실시간[[#This Row],[nxt_code]],"시가")</f>
        <v>9740</v>
      </c>
      <c r="P560" s="4">
        <f>_xll.IMDP("STK",표.실시간[[#This Row],[nxt_code]],"고가")</f>
        <v>10040</v>
      </c>
      <c r="Q560" s="4">
        <f>_xll.IMDP("STK",표.실시간[[#This Row],[nxt_code]],"저가")</f>
        <v>9630</v>
      </c>
      <c r="R560">
        <f>_xll.IMDP("STK",표.실시간[[#This Row],[nxt_code]],"세션명")</f>
        <v>0</v>
      </c>
      <c r="S560">
        <f>_xll.IMDP("STK",표.실시간[[#This Row],[nxt_code]],"체결시간")</f>
        <v>0</v>
      </c>
      <c r="T560" s="4">
        <f>_xll.IMDP("STK","010690","현재가")</f>
        <v>9650</v>
      </c>
      <c r="U560">
        <f>_xll.IMDP("STK","010690","누적거래량")</f>
        <v>17065</v>
      </c>
    </row>
    <row r="561" spans="3:21" x14ac:dyDescent="0.3">
      <c r="C561">
        <v>556</v>
      </c>
      <c r="D561">
        <v>33640</v>
      </c>
      <c r="E561" t="s">
        <v>573</v>
      </c>
      <c r="F561" t="str">
        <f>ConvertStockCode(표.실시간[[#This Row],[코드]])</f>
        <v>N033640</v>
      </c>
      <c r="G561" s="4">
        <f>_xll.IMDP("STK",표.실시간[[#This Row],[nxt_code]],"현재가")</f>
        <v>15710</v>
      </c>
      <c r="H561" s="4">
        <f>_xll.IMDP("STK",표.실시간[[#This Row],[nxt_code]],"시가총액")/10^12</f>
        <v>0.36226006342</v>
      </c>
      <c r="I561" t="str">
        <f>_xll.IMDP("","","전일대비부호")</f>
        <v>코드오류</v>
      </c>
      <c r="J561" s="5">
        <f>_xll.IMDP("STK",표.실시간[[#This Row],[nxt_code]],"전일대비")</f>
        <v>40</v>
      </c>
      <c r="K561">
        <f>_xll.IMDP("STK",표.실시간[[#This Row],[nxt_code]],"등락률")</f>
        <v>0.06</v>
      </c>
      <c r="L561" s="4">
        <f>_xll.IMDP("STK",표.실시간[[#This Row],[nxt_code]],"누적거래량")</f>
        <v>7296</v>
      </c>
      <c r="M561" s="4">
        <f>_xll.IMDP("STK",표.실시간[[#This Row],[nxt_code]],"누적거래대금")</f>
        <v>115111190</v>
      </c>
      <c r="N561" s="4">
        <f>_xll.IMDP("STK",표.실시간[[#This Row],[nxt_code]],"가중평균가")</f>
        <v>15895.729167</v>
      </c>
      <c r="O561" s="4">
        <f>_xll.IMDP("STK",표.실시간[[#This Row],[nxt_code]],"시가")</f>
        <v>15860</v>
      </c>
      <c r="P561" s="4">
        <f>_xll.IMDP("STK",표.실시간[[#This Row],[nxt_code]],"고가")</f>
        <v>16240</v>
      </c>
      <c r="Q561" s="4">
        <f>_xll.IMDP("STK",표.실시간[[#This Row],[nxt_code]],"저가")</f>
        <v>15700</v>
      </c>
      <c r="R561">
        <f>_xll.IMDP("STK",표.실시간[[#This Row],[nxt_code]],"세션명")</f>
        <v>0</v>
      </c>
      <c r="S561">
        <f>_xll.IMDP("STK",표.실시간[[#This Row],[nxt_code]],"체결시간")</f>
        <v>0</v>
      </c>
      <c r="T561" s="4">
        <f>_xll.IMDP("STK","033640","현재가")</f>
        <v>15650</v>
      </c>
      <c r="U561">
        <f>_xll.IMDP("STK","033640","누적거래량")</f>
        <v>6056</v>
      </c>
    </row>
    <row r="562" spans="3:21" x14ac:dyDescent="0.3">
      <c r="C562">
        <v>557</v>
      </c>
      <c r="D562">
        <v>200130</v>
      </c>
      <c r="E562" t="s">
        <v>574</v>
      </c>
      <c r="F562" t="str">
        <f>ConvertStockCode(표.실시간[[#This Row],[코드]])</f>
        <v>N200130</v>
      </c>
      <c r="G562" s="4">
        <f>_xll.IMDP("STK",표.실시간[[#This Row],[nxt_code]],"현재가")</f>
        <v>12390</v>
      </c>
      <c r="H562" s="4">
        <f>_xll.IMDP("STK",표.실시간[[#This Row],[nxt_code]],"시가총액")/10^12</f>
        <v>0.36445876362000001</v>
      </c>
      <c r="I562" t="str">
        <f>_xll.IMDP("","","전일대비부호")</f>
        <v>코드오류</v>
      </c>
      <c r="J562" s="5">
        <f>_xll.IMDP("STK",표.실시간[[#This Row],[nxt_code]],"전일대비")</f>
        <v>70</v>
      </c>
      <c r="K562">
        <f>_xll.IMDP("STK",표.실시간[[#This Row],[nxt_code]],"등락률")</f>
        <v>0.56999999999999995</v>
      </c>
      <c r="L562" s="4">
        <f>_xll.IMDP("STK",표.실시간[[#This Row],[nxt_code]],"누적거래량")</f>
        <v>1697</v>
      </c>
      <c r="M562" s="4">
        <f>_xll.IMDP("STK",표.실시간[[#This Row],[nxt_code]],"누적거래대금")</f>
        <v>21038300</v>
      </c>
      <c r="N562" s="4">
        <f>_xll.IMDP("STK",표.실시간[[#This Row],[nxt_code]],"가중평균가")</f>
        <v>12397.348262</v>
      </c>
      <c r="O562" s="4">
        <f>_xll.IMDP("STK",표.실시간[[#This Row],[nxt_code]],"시가")</f>
        <v>12380</v>
      </c>
      <c r="P562" s="4">
        <f>_xll.IMDP("STK",표.실시간[[#This Row],[nxt_code]],"고가")</f>
        <v>12420</v>
      </c>
      <c r="Q562" s="4">
        <f>_xll.IMDP("STK",표.실시간[[#This Row],[nxt_code]],"저가")</f>
        <v>12380</v>
      </c>
      <c r="R562">
        <f>_xll.IMDP("STK",표.실시간[[#This Row],[nxt_code]],"세션명")</f>
        <v>0</v>
      </c>
      <c r="S562">
        <f>_xll.IMDP("STK",표.실시간[[#This Row],[nxt_code]],"체결시간")</f>
        <v>0</v>
      </c>
      <c r="T562" s="4">
        <f>_xll.IMDP("STK","200130","현재가")</f>
        <v>12440</v>
      </c>
      <c r="U562">
        <f>_xll.IMDP("STK","200130","누적거래량")</f>
        <v>168</v>
      </c>
    </row>
    <row r="563" spans="3:21" x14ac:dyDescent="0.3">
      <c r="C563">
        <v>558</v>
      </c>
      <c r="D563">
        <v>114190</v>
      </c>
      <c r="E563" t="s">
        <v>575</v>
      </c>
      <c r="F563" t="str">
        <f>ConvertStockCode(표.실시간[[#This Row],[코드]])</f>
        <v>N114190</v>
      </c>
      <c r="G563" s="4">
        <f>_xll.IMDP("STK",표.실시간[[#This Row],[nxt_code]],"현재가")</f>
        <v>18350</v>
      </c>
      <c r="H563" s="4">
        <f>_xll.IMDP("STK",표.실시간[[#This Row],[nxt_code]],"시가총액")/10^12</f>
        <v>0.47935774730000003</v>
      </c>
      <c r="I563" t="str">
        <f>_xll.IMDP("","","전일대비부호")</f>
        <v>코드오류</v>
      </c>
      <c r="J563" s="5">
        <f>_xll.IMDP("STK",표.실시간[[#This Row],[nxt_code]],"전일대비")</f>
        <v>720</v>
      </c>
      <c r="K563">
        <f>_xll.IMDP("STK",표.실시간[[#This Row],[nxt_code]],"등락률")</f>
        <v>4.0199999999999996</v>
      </c>
      <c r="L563" s="4">
        <f>_xll.IMDP("STK",표.실시간[[#This Row],[nxt_code]],"누적거래량")</f>
        <v>5123195</v>
      </c>
      <c r="M563" s="4">
        <f>_xll.IMDP("STK",표.실시간[[#This Row],[nxt_code]],"누적거래대금")</f>
        <v>95263333495</v>
      </c>
      <c r="N563" s="4">
        <f>_xll.IMDP("STK",표.실시간[[#This Row],[nxt_code]],"가중평균가")</f>
        <v>18594.516409</v>
      </c>
      <c r="O563" s="4">
        <f>_xll.IMDP("STK",표.실시간[[#This Row],[nxt_code]],"시가")</f>
        <v>18220</v>
      </c>
      <c r="P563" s="4">
        <f>_xll.IMDP("STK",표.실시간[[#This Row],[nxt_code]],"고가")</f>
        <v>19370</v>
      </c>
      <c r="Q563" s="4">
        <f>_xll.IMDP("STK",표.실시간[[#This Row],[nxt_code]],"저가")</f>
        <v>17420</v>
      </c>
      <c r="R563">
        <f>_xll.IMDP("STK",표.실시간[[#This Row],[nxt_code]],"세션명")</f>
        <v>0</v>
      </c>
      <c r="S563">
        <f>_xll.IMDP("STK",표.실시간[[#This Row],[nxt_code]],"체결시간")</f>
        <v>0</v>
      </c>
      <c r="T563" s="4">
        <f>_xll.IMDP("STK","114190","현재가")</f>
        <v>18330</v>
      </c>
      <c r="U563">
        <f>_xll.IMDP("STK","114190","누적거래량")</f>
        <v>231962</v>
      </c>
    </row>
    <row r="564" spans="3:21" x14ac:dyDescent="0.3">
      <c r="C564">
        <v>559</v>
      </c>
      <c r="D564">
        <v>94480</v>
      </c>
      <c r="E564" t="s">
        <v>576</v>
      </c>
      <c r="F564" t="str">
        <f>ConvertStockCode(표.실시간[[#This Row],[코드]])</f>
        <v>N094480</v>
      </c>
      <c r="G564" s="4">
        <f>_xll.IMDP("STK",표.실시간[[#This Row],[nxt_code]],"현재가")</f>
        <v>9540</v>
      </c>
      <c r="H564" s="4">
        <f>_xll.IMDP("STK",표.실시간[[#This Row],[nxt_code]],"시가총액")/10^12</f>
        <v>0.37425265452000001</v>
      </c>
      <c r="I564" t="str">
        <f>_xll.IMDP("","","전일대비부호")</f>
        <v>코드오류</v>
      </c>
      <c r="J564" s="5">
        <f>_xll.IMDP("STK",표.실시간[[#This Row],[nxt_code]],"전일대비")</f>
        <v>370</v>
      </c>
      <c r="K564">
        <f>_xll.IMDP("STK",표.실시간[[#This Row],[nxt_code]],"등락률")</f>
        <v>4.03</v>
      </c>
      <c r="L564" s="4">
        <f>_xll.IMDP("STK",표.실시간[[#This Row],[nxt_code]],"누적거래량")</f>
        <v>59537</v>
      </c>
      <c r="M564" s="4">
        <f>_xll.IMDP("STK",표.실시간[[#This Row],[nxt_code]],"누적거래대금")</f>
        <v>556857500</v>
      </c>
      <c r="N564" s="4">
        <f>_xll.IMDP("STK",표.실시간[[#This Row],[nxt_code]],"가중평균가")</f>
        <v>9353.1333460000005</v>
      </c>
      <c r="O564" s="4">
        <f>_xll.IMDP("STK",표.실시간[[#This Row],[nxt_code]],"시가")</f>
        <v>9190</v>
      </c>
      <c r="P564" s="4">
        <f>_xll.IMDP("STK",표.실시간[[#This Row],[nxt_code]],"고가")</f>
        <v>9540</v>
      </c>
      <c r="Q564" s="4">
        <f>_xll.IMDP("STK",표.실시간[[#This Row],[nxt_code]],"저가")</f>
        <v>9150</v>
      </c>
      <c r="R564">
        <f>_xll.IMDP("STK",표.실시간[[#This Row],[nxt_code]],"세션명")</f>
        <v>0</v>
      </c>
      <c r="S564">
        <f>_xll.IMDP("STK",표.실시간[[#This Row],[nxt_code]],"체결시간")</f>
        <v>0</v>
      </c>
      <c r="T564" s="4">
        <f>_xll.IMDP("STK","094480","현재가")</f>
        <v>9510</v>
      </c>
      <c r="U564">
        <f>_xll.IMDP("STK","094480","누적거래량")</f>
        <v>24936</v>
      </c>
    </row>
    <row r="565" spans="3:21" x14ac:dyDescent="0.3">
      <c r="C565">
        <v>560</v>
      </c>
      <c r="D565">
        <v>104700</v>
      </c>
      <c r="E565" t="s">
        <v>577</v>
      </c>
      <c r="F565" t="str">
        <f>ConvertStockCode(표.실시간[[#This Row],[코드]])</f>
        <v>N104700</v>
      </c>
      <c r="G565" s="4">
        <f>_xll.IMDP("STK",표.실시간[[#This Row],[nxt_code]],"현재가")</f>
        <v>10000</v>
      </c>
      <c r="H565" s="4">
        <f>_xll.IMDP("STK",표.실시간[[#This Row],[nxt_code]],"시가총액")/10^12</f>
        <v>0.36449999999999999</v>
      </c>
      <c r="I565" t="str">
        <f>_xll.IMDP("","","전일대비부호")</f>
        <v>코드오류</v>
      </c>
      <c r="J565" s="5">
        <f>_xll.IMDP("STK",표.실시간[[#This Row],[nxt_code]],"전일대비")</f>
        <v>10</v>
      </c>
      <c r="K565">
        <f>_xll.IMDP("STK",표.실시간[[#This Row],[nxt_code]],"등락률")</f>
        <v>0.1</v>
      </c>
      <c r="L565" s="4">
        <f>_xll.IMDP("STK",표.실시간[[#This Row],[nxt_code]],"누적거래량")</f>
        <v>1</v>
      </c>
      <c r="M565" s="4">
        <f>_xll.IMDP("STK",표.실시간[[#This Row],[nxt_code]],"누적거래대금")</f>
        <v>10000</v>
      </c>
      <c r="N565" s="4">
        <f>_xll.IMDP("STK",표.실시간[[#This Row],[nxt_code]],"가중평균가")</f>
        <v>10000</v>
      </c>
      <c r="O565" s="4">
        <f>_xll.IMDP("STK",표.실시간[[#This Row],[nxt_code]],"시가")</f>
        <v>10000</v>
      </c>
      <c r="P565" s="4">
        <f>_xll.IMDP("STK",표.실시간[[#This Row],[nxt_code]],"고가")</f>
        <v>10000</v>
      </c>
      <c r="Q565" s="4">
        <f>_xll.IMDP("STK",표.실시간[[#This Row],[nxt_code]],"저가")</f>
        <v>10000</v>
      </c>
      <c r="R565">
        <f>_xll.IMDP("STK",표.실시간[[#This Row],[nxt_code]],"세션명")</f>
        <v>0</v>
      </c>
      <c r="S565">
        <f>_xll.IMDP("STK",표.실시간[[#This Row],[nxt_code]],"체결시간")</f>
        <v>0</v>
      </c>
      <c r="T565" s="4">
        <f>_xll.IMDP("STK","104700","현재가")</f>
        <v>9990</v>
      </c>
      <c r="U565">
        <f>_xll.IMDP("STK","104700","누적거래량")</f>
        <v>129</v>
      </c>
    </row>
    <row r="566" spans="3:21" x14ac:dyDescent="0.3">
      <c r="C566">
        <v>561</v>
      </c>
      <c r="D566">
        <v>78350</v>
      </c>
      <c r="E566" t="s">
        <v>578</v>
      </c>
      <c r="F566" t="str">
        <f>ConvertStockCode(표.실시간[[#This Row],[코드]])</f>
        <v>N078350</v>
      </c>
      <c r="G566" s="4">
        <f>_xll.IMDP("STK",표.실시간[[#This Row],[nxt_code]],"현재가")</f>
        <v>22850</v>
      </c>
      <c r="H566" s="4">
        <f>_xll.IMDP("STK",표.실시간[[#This Row],[nxt_code]],"시가총액")/10^12</f>
        <v>0.34833412870000002</v>
      </c>
      <c r="I566" t="str">
        <f>_xll.IMDP("","","전일대비부호")</f>
        <v>코드오류</v>
      </c>
      <c r="J566" s="5">
        <f>_xll.IMDP("STK",표.실시간[[#This Row],[nxt_code]],"전일대비")</f>
        <v>-50</v>
      </c>
      <c r="K566">
        <f>_xll.IMDP("STK",표.실시간[[#This Row],[nxt_code]],"등락률")</f>
        <v>-0.22</v>
      </c>
      <c r="L566" s="4">
        <f>_xll.IMDP("STK",표.실시간[[#This Row],[nxt_code]],"누적거래량")</f>
        <v>14221</v>
      </c>
      <c r="M566" s="4">
        <f>_xll.IMDP("STK",표.실시간[[#This Row],[nxt_code]],"누적거래대금")</f>
        <v>323494200</v>
      </c>
      <c r="N566" s="4">
        <f>_xll.IMDP("STK",표.실시간[[#This Row],[nxt_code]],"가중평균가")</f>
        <v>22747.640813000002</v>
      </c>
      <c r="O566" s="4">
        <f>_xll.IMDP("STK",표.실시간[[#This Row],[nxt_code]],"시가")</f>
        <v>23200</v>
      </c>
      <c r="P566" s="4">
        <f>_xll.IMDP("STK",표.실시간[[#This Row],[nxt_code]],"고가")</f>
        <v>23200</v>
      </c>
      <c r="Q566" s="4">
        <f>_xll.IMDP("STK",표.실시간[[#This Row],[nxt_code]],"저가")</f>
        <v>22600</v>
      </c>
      <c r="R566">
        <f>_xll.IMDP("STK",표.실시간[[#This Row],[nxt_code]],"세션명")</f>
        <v>0</v>
      </c>
      <c r="S566">
        <f>_xll.IMDP("STK",표.실시간[[#This Row],[nxt_code]],"체결시간")</f>
        <v>0</v>
      </c>
      <c r="T566" s="4">
        <f>_xll.IMDP("STK","078350","현재가")</f>
        <v>22550</v>
      </c>
      <c r="U566">
        <f>_xll.IMDP("STK","078350","누적거래량")</f>
        <v>2946</v>
      </c>
    </row>
    <row r="567" spans="3:21" x14ac:dyDescent="0.3">
      <c r="C567">
        <v>562</v>
      </c>
      <c r="D567">
        <v>2710</v>
      </c>
      <c r="E567" t="s">
        <v>579</v>
      </c>
      <c r="F567" t="str">
        <f>ConvertStockCode(표.실시간[[#This Row],[코드]])</f>
        <v>N002710</v>
      </c>
      <c r="G567" s="4">
        <f>_xll.IMDP("STK",표.실시간[[#This Row],[nxt_code]],"현재가")</f>
        <v>15660</v>
      </c>
      <c r="H567" s="4">
        <f>_xll.IMDP("STK",표.실시간[[#This Row],[nxt_code]],"시가총액")/10^12</f>
        <v>0.41050649501999997</v>
      </c>
      <c r="I567" t="str">
        <f>_xll.IMDP("","","전일대비부호")</f>
        <v>코드오류</v>
      </c>
      <c r="J567" s="5">
        <f>_xll.IMDP("STK",표.실시간[[#This Row],[nxt_code]],"전일대비")</f>
        <v>540</v>
      </c>
      <c r="K567">
        <f>_xll.IMDP("STK",표.실시간[[#This Row],[nxt_code]],"등락률")</f>
        <v>3.57</v>
      </c>
      <c r="L567" s="4">
        <f>_xll.IMDP("STK",표.실시간[[#This Row],[nxt_code]],"누적거래량")</f>
        <v>310375</v>
      </c>
      <c r="M567" s="4">
        <f>_xll.IMDP("STK",표.실시간[[#This Row],[nxt_code]],"누적거래대금")</f>
        <v>4980239075</v>
      </c>
      <c r="N567" s="4">
        <f>_xll.IMDP("STK",표.실시간[[#This Row],[nxt_code]],"가중평균가")</f>
        <v>16045.773608</v>
      </c>
      <c r="O567" s="4">
        <f>_xll.IMDP("STK",표.실시간[[#This Row],[nxt_code]],"시가")</f>
        <v>15080</v>
      </c>
      <c r="P567" s="4">
        <f>_xll.IMDP("STK",표.실시간[[#This Row],[nxt_code]],"고가")</f>
        <v>16490</v>
      </c>
      <c r="Q567" s="4">
        <f>_xll.IMDP("STK",표.실시간[[#This Row],[nxt_code]],"저가")</f>
        <v>15080</v>
      </c>
      <c r="R567">
        <f>_xll.IMDP("STK",표.실시간[[#This Row],[nxt_code]],"세션명")</f>
        <v>0</v>
      </c>
      <c r="S567">
        <f>_xll.IMDP("STK",표.실시간[[#This Row],[nxt_code]],"체결시간")</f>
        <v>0</v>
      </c>
      <c r="T567" s="4">
        <f>_xll.IMDP("STK","002710","현재가")</f>
        <v>15650</v>
      </c>
      <c r="U567">
        <f>_xll.IMDP("STK","002710","누적거래량")</f>
        <v>70065</v>
      </c>
    </row>
    <row r="568" spans="3:21" x14ac:dyDescent="0.3">
      <c r="C568">
        <v>563</v>
      </c>
      <c r="D568">
        <v>6110</v>
      </c>
      <c r="E568" t="s">
        <v>580</v>
      </c>
      <c r="F568" t="str">
        <f>ConvertStockCode(표.실시간[[#This Row],[코드]])</f>
        <v>N006110</v>
      </c>
      <c r="G568" s="4">
        <f>_xll.IMDP("STK",표.실시간[[#This Row],[nxt_code]],"현재가")</f>
        <v>25650</v>
      </c>
      <c r="H568" s="4">
        <f>_xll.IMDP("STK",표.실시간[[#This Row],[nxt_code]],"시가총액")/10^12</f>
        <v>0.37736064540000003</v>
      </c>
      <c r="I568" t="str">
        <f>_xll.IMDP("","","전일대비부호")</f>
        <v>코드오류</v>
      </c>
      <c r="J568" s="5">
        <f>_xll.IMDP("STK",표.실시간[[#This Row],[nxt_code]],"전일대비")</f>
        <v>-250</v>
      </c>
      <c r="K568">
        <f>_xll.IMDP("STK",표.실시간[[#This Row],[nxt_code]],"등락률")</f>
        <v>-0.97</v>
      </c>
      <c r="L568" s="4">
        <f>_xll.IMDP("STK",표.실시간[[#This Row],[nxt_code]],"누적거래량")</f>
        <v>48826</v>
      </c>
      <c r="M568" s="4">
        <f>_xll.IMDP("STK",표.실시간[[#This Row],[nxt_code]],"누적거래대금")</f>
        <v>1287450200</v>
      </c>
      <c r="N568" s="4">
        <f>_xll.IMDP("STK",표.실시간[[#This Row],[nxt_code]],"가중평균가")</f>
        <v>26322.303776000001</v>
      </c>
      <c r="O568" s="4">
        <f>_xll.IMDP("STK",표.실시간[[#This Row],[nxt_code]],"시가")</f>
        <v>26700</v>
      </c>
      <c r="P568" s="4">
        <f>_xll.IMDP("STK",표.실시간[[#This Row],[nxt_code]],"고가")</f>
        <v>26900</v>
      </c>
      <c r="Q568" s="4">
        <f>_xll.IMDP("STK",표.실시간[[#This Row],[nxt_code]],"저가")</f>
        <v>25650</v>
      </c>
      <c r="R568">
        <f>_xll.IMDP("STK",표.실시간[[#This Row],[nxt_code]],"세션명")</f>
        <v>0</v>
      </c>
      <c r="S568">
        <f>_xll.IMDP("STK",표.실시간[[#This Row],[nxt_code]],"체결시간")</f>
        <v>0</v>
      </c>
      <c r="T568" s="4">
        <f>_xll.IMDP("STK","006110","현재가")</f>
        <v>25700</v>
      </c>
      <c r="U568">
        <f>_xll.IMDP("STK","006110","누적거래량")</f>
        <v>9712</v>
      </c>
    </row>
    <row r="569" spans="3:21" x14ac:dyDescent="0.3">
      <c r="C569">
        <v>564</v>
      </c>
      <c r="D569">
        <v>441270</v>
      </c>
      <c r="E569" t="s">
        <v>581</v>
      </c>
      <c r="F569" t="str">
        <f>ConvertStockCode(표.실시간[[#This Row],[코드]])</f>
        <v>N441270</v>
      </c>
      <c r="G569" s="4">
        <f>_xll.IMDP("STK",표.실시간[[#This Row],[nxt_code]],"현재가")</f>
        <v>9100</v>
      </c>
      <c r="H569" s="4">
        <f>_xll.IMDP("STK",표.실시간[[#This Row],[nxt_code]],"시가총액")/10^12</f>
        <v>0.359159073</v>
      </c>
      <c r="I569" t="str">
        <f>_xll.IMDP("","","전일대비부호")</f>
        <v>코드오류</v>
      </c>
      <c r="J569" s="5">
        <f>_xll.IMDP("STK",표.실시간[[#This Row],[nxt_code]],"전일대비")</f>
        <v>10</v>
      </c>
      <c r="K569">
        <f>_xll.IMDP("STK",표.실시간[[#This Row],[nxt_code]],"등락률")</f>
        <v>0.11</v>
      </c>
      <c r="L569" s="4">
        <f>_xll.IMDP("STK",표.실시간[[#This Row],[nxt_code]],"누적거래량")</f>
        <v>22635</v>
      </c>
      <c r="M569" s="4">
        <f>_xll.IMDP("STK",표.실시간[[#This Row],[nxt_code]],"누적거래대금")</f>
        <v>207497800</v>
      </c>
      <c r="N569" s="4">
        <f>_xll.IMDP("STK",표.실시간[[#This Row],[nxt_code]],"가중평균가")</f>
        <v>9167.1217140000008</v>
      </c>
      <c r="O569" s="4">
        <f>_xll.IMDP("STK",표.실시간[[#This Row],[nxt_code]],"시가")</f>
        <v>9140</v>
      </c>
      <c r="P569" s="4">
        <f>_xll.IMDP("STK",표.실시간[[#This Row],[nxt_code]],"고가")</f>
        <v>9230</v>
      </c>
      <c r="Q569" s="4">
        <f>_xll.IMDP("STK",표.실시간[[#This Row],[nxt_code]],"저가")</f>
        <v>9100</v>
      </c>
      <c r="R569">
        <f>_xll.IMDP("STK",표.실시간[[#This Row],[nxt_code]],"세션명")</f>
        <v>0</v>
      </c>
      <c r="S569">
        <f>_xll.IMDP("STK",표.실시간[[#This Row],[nxt_code]],"체결시간")</f>
        <v>0</v>
      </c>
      <c r="T569" s="4">
        <f>_xll.IMDP("STK","441270","현재가")</f>
        <v>9080</v>
      </c>
      <c r="U569">
        <f>_xll.IMDP("STK","441270","누적거래량")</f>
        <v>8192</v>
      </c>
    </row>
    <row r="570" spans="3:21" x14ac:dyDescent="0.3">
      <c r="C570">
        <v>565</v>
      </c>
      <c r="D570">
        <v>60720</v>
      </c>
      <c r="E570" t="s">
        <v>582</v>
      </c>
      <c r="F570" t="str">
        <f>ConvertStockCode(표.실시간[[#This Row],[코드]])</f>
        <v>N060720</v>
      </c>
      <c r="G570" s="4">
        <f>_xll.IMDP("STK",표.실시간[[#This Row],[nxt_code]],"현재가")</f>
        <v>13860</v>
      </c>
      <c r="H570" s="4">
        <f>_xll.IMDP("STK",표.실시간[[#This Row],[nxt_code]],"시가총액")/10^12</f>
        <v>0.32816934611999998</v>
      </c>
      <c r="I570" t="str">
        <f>_xll.IMDP("","","전일대비부호")</f>
        <v>코드오류</v>
      </c>
      <c r="J570" s="5">
        <f>_xll.IMDP("STK",표.실시간[[#This Row],[nxt_code]],"전일대비")</f>
        <v>-120</v>
      </c>
      <c r="K570">
        <f>_xll.IMDP("STK",표.실시간[[#This Row],[nxt_code]],"등락률")</f>
        <v>-0.86</v>
      </c>
      <c r="L570" s="4">
        <f>_xll.IMDP("STK",표.실시간[[#This Row],[nxt_code]],"누적거래량")</f>
        <v>52244</v>
      </c>
      <c r="M570" s="4">
        <f>_xll.IMDP("STK",표.실시간[[#This Row],[nxt_code]],"누적거래대금")</f>
        <v>734482460</v>
      </c>
      <c r="N570" s="4">
        <f>_xll.IMDP("STK",표.실시간[[#This Row],[nxt_code]],"가중평균가")</f>
        <v>14058.69497</v>
      </c>
      <c r="O570" s="4">
        <f>_xll.IMDP("STK",표.실시간[[#This Row],[nxt_code]],"시가")</f>
        <v>14150</v>
      </c>
      <c r="P570" s="4">
        <f>_xll.IMDP("STK",표.실시간[[#This Row],[nxt_code]],"고가")</f>
        <v>14150</v>
      </c>
      <c r="Q570" s="4">
        <f>_xll.IMDP("STK",표.실시간[[#This Row],[nxt_code]],"저가")</f>
        <v>13860</v>
      </c>
      <c r="R570">
        <f>_xll.IMDP("STK",표.실시간[[#This Row],[nxt_code]],"세션명")</f>
        <v>0</v>
      </c>
      <c r="S570">
        <f>_xll.IMDP("STK",표.실시간[[#This Row],[nxt_code]],"체결시간")</f>
        <v>0</v>
      </c>
      <c r="T570" s="4">
        <f>_xll.IMDP("STK","060720","현재가")</f>
        <v>13860</v>
      </c>
      <c r="U570">
        <f>_xll.IMDP("STK","060720","누적거래량")</f>
        <v>25142</v>
      </c>
    </row>
    <row r="571" spans="3:21" x14ac:dyDescent="0.3">
      <c r="C571">
        <v>566</v>
      </c>
      <c r="D571">
        <v>475560</v>
      </c>
      <c r="E571" t="s">
        <v>583</v>
      </c>
      <c r="F571" t="str">
        <f>ConvertStockCode(표.실시간[[#This Row],[코드]])</f>
        <v>N475560</v>
      </c>
      <c r="G571" s="4">
        <f>_xll.IMDP("STK",표.실시간[[#This Row],[nxt_code]],"현재가")</f>
        <v>23950</v>
      </c>
      <c r="H571" s="4">
        <f>_xll.IMDP("STK",표.실시간[[#This Row],[nxt_code]],"시가총액")/10^12</f>
        <v>0.35390052799999999</v>
      </c>
      <c r="I571" t="str">
        <f>_xll.IMDP("","","전일대비부호")</f>
        <v>코드오류</v>
      </c>
      <c r="J571" s="5">
        <f>_xll.IMDP("STK",표.실시간[[#This Row],[nxt_code]],"전일대비")</f>
        <v>50</v>
      </c>
      <c r="K571">
        <f>_xll.IMDP("STK",표.실시간[[#This Row],[nxt_code]],"등락률")</f>
        <v>0.21</v>
      </c>
      <c r="L571" s="4">
        <f>_xll.IMDP("STK",표.실시간[[#This Row],[nxt_code]],"누적거래량")</f>
        <v>282</v>
      </c>
      <c r="M571" s="4">
        <f>_xll.IMDP("STK",표.실시간[[#This Row],[nxt_code]],"누적거래대금")</f>
        <v>6761450</v>
      </c>
      <c r="N571" s="4">
        <f>_xll.IMDP("STK",표.실시간[[#This Row],[nxt_code]],"가중평균가")</f>
        <v>23976.77305</v>
      </c>
      <c r="O571" s="4">
        <f>_xll.IMDP("STK",표.실시간[[#This Row],[nxt_code]],"시가")</f>
        <v>23900</v>
      </c>
      <c r="P571" s="4">
        <f>_xll.IMDP("STK",표.실시간[[#This Row],[nxt_code]],"고가")</f>
        <v>24050</v>
      </c>
      <c r="Q571" s="4">
        <f>_xll.IMDP("STK",표.실시간[[#This Row],[nxt_code]],"저가")</f>
        <v>23900</v>
      </c>
      <c r="R571">
        <f>_xll.IMDP("STK",표.실시간[[#This Row],[nxt_code]],"세션명")</f>
        <v>0</v>
      </c>
      <c r="S571">
        <f>_xll.IMDP("STK",표.실시간[[#This Row],[nxt_code]],"체결시간")</f>
        <v>0</v>
      </c>
      <c r="T571" s="4">
        <f>_xll.IMDP("STK","475560","현재가")</f>
        <v>23950</v>
      </c>
      <c r="U571">
        <f>_xll.IMDP("STK","475560","누적거래량")</f>
        <v>237</v>
      </c>
    </row>
    <row r="572" spans="3:21" x14ac:dyDescent="0.3">
      <c r="C572">
        <v>567</v>
      </c>
      <c r="D572">
        <v>340570</v>
      </c>
      <c r="E572" t="s">
        <v>584</v>
      </c>
      <c r="F572" t="str">
        <f>ConvertStockCode(표.실시간[[#This Row],[코드]])</f>
        <v>N340570</v>
      </c>
      <c r="G572" s="4">
        <f>_xll.IMDP("STK",표.실시간[[#This Row],[nxt_code]],"현재가")</f>
        <v>44500</v>
      </c>
      <c r="H572" s="4">
        <f>_xll.IMDP("STK",표.실시간[[#This Row],[nxt_code]],"시가총액")/10^12</f>
        <v>0.36169600000000002</v>
      </c>
      <c r="I572" t="str">
        <f>_xll.IMDP("","","전일대비부호")</f>
        <v>코드오류</v>
      </c>
      <c r="J572" s="5">
        <f>_xll.IMDP("STK",표.실시간[[#This Row],[nxt_code]],"전일대비")</f>
        <v>550</v>
      </c>
      <c r="K572">
        <f>_xll.IMDP("STK",표.실시간[[#This Row],[nxt_code]],"등락률")</f>
        <v>1.25</v>
      </c>
      <c r="L572" s="4">
        <f>_xll.IMDP("STK",표.실시간[[#This Row],[nxt_code]],"누적거래량")</f>
        <v>1823</v>
      </c>
      <c r="M572" s="4">
        <f>_xll.IMDP("STK",표.실시간[[#This Row],[nxt_code]],"누적거래대금")</f>
        <v>81154050</v>
      </c>
      <c r="N572" s="4">
        <f>_xll.IMDP("STK",표.실시간[[#This Row],[nxt_code]],"가중평균가")</f>
        <v>44516.758091000003</v>
      </c>
      <c r="O572" s="4">
        <f>_xll.IMDP("STK",표.실시간[[#This Row],[nxt_code]],"시가")</f>
        <v>43950</v>
      </c>
      <c r="P572" s="4">
        <f>_xll.IMDP("STK",표.실시간[[#This Row],[nxt_code]],"고가")</f>
        <v>44650</v>
      </c>
      <c r="Q572" s="4">
        <f>_xll.IMDP("STK",표.실시간[[#This Row],[nxt_code]],"저가")</f>
        <v>43850</v>
      </c>
      <c r="R572">
        <f>_xll.IMDP("STK",표.실시간[[#This Row],[nxt_code]],"세션명")</f>
        <v>0</v>
      </c>
      <c r="S572">
        <f>_xll.IMDP("STK",표.실시간[[#This Row],[nxt_code]],"체결시간")</f>
        <v>0</v>
      </c>
      <c r="T572" s="4">
        <f>_xll.IMDP("STK","340570","현재가")</f>
        <v>44900</v>
      </c>
      <c r="U572">
        <f>_xll.IMDP("STK","340570","누적거래량")</f>
        <v>1379</v>
      </c>
    </row>
    <row r="573" spans="3:21" x14ac:dyDescent="0.3">
      <c r="C573">
        <v>568</v>
      </c>
      <c r="D573">
        <v>314930</v>
      </c>
      <c r="E573" t="s">
        <v>585</v>
      </c>
      <c r="F573" t="str">
        <f>ConvertStockCode(표.실시간[[#This Row],[코드]])</f>
        <v>N314930</v>
      </c>
      <c r="G573" s="4">
        <f>_xll.IMDP("STK",표.실시간[[#This Row],[nxt_code]],"현재가")</f>
        <v>11950</v>
      </c>
      <c r="H573" s="4">
        <f>_xll.IMDP("STK",표.실시간[[#This Row],[nxt_code]],"시가총액")/10^12</f>
        <v>0.35568103085000002</v>
      </c>
      <c r="I573" t="str">
        <f>_xll.IMDP("","","전일대비부호")</f>
        <v>코드오류</v>
      </c>
      <c r="J573" s="5">
        <f>_xll.IMDP("STK",표.실시간[[#This Row],[nxt_code]],"전일대비")</f>
        <v>-30</v>
      </c>
      <c r="K573">
        <f>_xll.IMDP("STK",표.실시간[[#This Row],[nxt_code]],"등락률")</f>
        <v>0.5</v>
      </c>
      <c r="L573" s="4">
        <f>_xll.IMDP("STK",표.실시간[[#This Row],[nxt_code]],"누적거래량")</f>
        <v>2982</v>
      </c>
      <c r="M573" s="4">
        <f>_xll.IMDP("STK",표.실시간[[#This Row],[nxt_code]],"누적거래대금")</f>
        <v>29215050</v>
      </c>
      <c r="N573" s="4">
        <f>_xll.IMDP("STK",표.실시간[[#This Row],[nxt_code]],"가중평균가")</f>
        <v>11884.953052000001</v>
      </c>
      <c r="O573" s="4">
        <f>_xll.IMDP("STK",표.실시간[[#This Row],[nxt_code]],"시가")</f>
        <v>11840</v>
      </c>
      <c r="P573" s="4">
        <f>_xll.IMDP("STK",표.실시간[[#This Row],[nxt_code]],"고가")</f>
        <v>11960</v>
      </c>
      <c r="Q573" s="4">
        <f>_xll.IMDP("STK",표.실시간[[#This Row],[nxt_code]],"저가")</f>
        <v>11810</v>
      </c>
      <c r="R573">
        <f>_xll.IMDP("STK",표.실시간[[#This Row],[nxt_code]],"세션명")</f>
        <v>0</v>
      </c>
      <c r="S573">
        <f>_xll.IMDP("STK",표.실시간[[#This Row],[nxt_code]],"체결시간")</f>
        <v>0</v>
      </c>
      <c r="T573" s="4">
        <f>_xll.IMDP("STK","314930","현재가")</f>
        <v>11930</v>
      </c>
      <c r="U573">
        <f>_xll.IMDP("STK","314930","누적거래량")</f>
        <v>36</v>
      </c>
    </row>
    <row r="574" spans="3:21" x14ac:dyDescent="0.3">
      <c r="C574">
        <v>569</v>
      </c>
      <c r="D574">
        <v>317330</v>
      </c>
      <c r="E574" t="s">
        <v>586</v>
      </c>
      <c r="F574" t="str">
        <f>ConvertStockCode(표.실시간[[#This Row],[코드]])</f>
        <v>N317330</v>
      </c>
      <c r="G574" s="4">
        <f>_xll.IMDP("STK",표.실시간[[#This Row],[nxt_code]],"현재가")</f>
        <v>18760</v>
      </c>
      <c r="H574" s="4">
        <f>_xll.IMDP("STK",표.실시간[[#This Row],[nxt_code]],"시가총액")/10^12</f>
        <v>0.38414071583999998</v>
      </c>
      <c r="I574" t="str">
        <f>_xll.IMDP("","","전일대비부호")</f>
        <v>코드오류</v>
      </c>
      <c r="J574" s="5">
        <f>_xll.IMDP("STK",표.실시간[[#This Row],[nxt_code]],"전일대비")</f>
        <v>660</v>
      </c>
      <c r="K574">
        <f>_xll.IMDP("STK",표.실시간[[#This Row],[nxt_code]],"등락률")</f>
        <v>3.65</v>
      </c>
      <c r="L574" s="4">
        <f>_xll.IMDP("STK",표.실시간[[#This Row],[nxt_code]],"누적거래량")</f>
        <v>154938</v>
      </c>
      <c r="M574" s="4">
        <f>_xll.IMDP("STK",표.실시간[[#This Row],[nxt_code]],"누적거래대금")</f>
        <v>2932062620</v>
      </c>
      <c r="N574" s="4">
        <f>_xll.IMDP("STK",표.실시간[[#This Row],[nxt_code]],"가중평균가")</f>
        <v>18924.102673000001</v>
      </c>
      <c r="O574" s="4">
        <f>_xll.IMDP("STK",표.실시간[[#This Row],[nxt_code]],"시가")</f>
        <v>18950</v>
      </c>
      <c r="P574" s="4">
        <f>_xll.IMDP("STK",표.실시간[[#This Row],[nxt_code]],"고가")</f>
        <v>19200</v>
      </c>
      <c r="Q574" s="4">
        <f>_xll.IMDP("STK",표.실시간[[#This Row],[nxt_code]],"저가")</f>
        <v>18730</v>
      </c>
      <c r="R574">
        <f>_xll.IMDP("STK",표.실시간[[#This Row],[nxt_code]],"세션명")</f>
        <v>0</v>
      </c>
      <c r="S574">
        <f>_xll.IMDP("STK",표.실시간[[#This Row],[nxt_code]],"체결시간")</f>
        <v>0</v>
      </c>
      <c r="T574" s="4">
        <f>_xll.IMDP("STK","317330","현재가")</f>
        <v>18760</v>
      </c>
      <c r="U574">
        <f>_xll.IMDP("STK","317330","누적거래량")</f>
        <v>29925</v>
      </c>
    </row>
    <row r="575" spans="3:21" x14ac:dyDescent="0.3">
      <c r="C575">
        <v>570</v>
      </c>
      <c r="D575">
        <v>144510</v>
      </c>
      <c r="E575" t="s">
        <v>587</v>
      </c>
      <c r="F575" t="str">
        <f>ConvertStockCode(표.실시간[[#This Row],[코드]])</f>
        <v>N144510</v>
      </c>
      <c r="G575" s="4">
        <f>_xll.IMDP("STK",표.실시간[[#This Row],[nxt_code]],"현재가")</f>
        <v>22350</v>
      </c>
      <c r="H575" s="4">
        <f>_xll.IMDP("STK",표.실시간[[#This Row],[nxt_code]],"시가총액")/10^12</f>
        <v>0.35313768839999998</v>
      </c>
      <c r="I575" t="str">
        <f>_xll.IMDP("","","전일대비부호")</f>
        <v>코드오류</v>
      </c>
      <c r="J575" s="5">
        <f>_xll.IMDP("STK",표.실시간[[#This Row],[nxt_code]],"전일대비")</f>
        <v>150</v>
      </c>
      <c r="K575">
        <f>_xll.IMDP("STK",표.실시간[[#This Row],[nxt_code]],"등락률")</f>
        <v>0.68</v>
      </c>
      <c r="L575" s="4">
        <f>_xll.IMDP("STK",표.실시간[[#This Row],[nxt_code]],"누적거래량")</f>
        <v>1228</v>
      </c>
      <c r="M575" s="4">
        <f>_xll.IMDP("STK",표.실시간[[#This Row],[nxt_code]],"누적거래대금")</f>
        <v>27380550</v>
      </c>
      <c r="N575" s="4">
        <f>_xll.IMDP("STK",표.실시간[[#This Row],[nxt_code]],"가중평균가")</f>
        <v>22296.864820999999</v>
      </c>
      <c r="O575" s="4">
        <f>_xll.IMDP("STK",표.실시간[[#This Row],[nxt_code]],"시가")</f>
        <v>22400</v>
      </c>
      <c r="P575" s="4">
        <f>_xll.IMDP("STK",표.실시간[[#This Row],[nxt_code]],"고가")</f>
        <v>22400</v>
      </c>
      <c r="Q575" s="4">
        <f>_xll.IMDP("STK",표.실시간[[#This Row],[nxt_code]],"저가")</f>
        <v>22100</v>
      </c>
      <c r="R575">
        <f>_xll.IMDP("STK",표.실시간[[#This Row],[nxt_code]],"세션명")</f>
        <v>0</v>
      </c>
      <c r="S575">
        <f>_xll.IMDP("STK",표.실시간[[#This Row],[nxt_code]],"체결시간")</f>
        <v>0</v>
      </c>
      <c r="T575" s="4">
        <f>_xll.IMDP("STK","144510","현재가")</f>
        <v>22350</v>
      </c>
      <c r="U575">
        <f>_xll.IMDP("STK","144510","누적거래량")</f>
        <v>78</v>
      </c>
    </row>
    <row r="576" spans="3:21" x14ac:dyDescent="0.3">
      <c r="C576">
        <v>571</v>
      </c>
      <c r="D576">
        <v>46890</v>
      </c>
      <c r="E576" t="s">
        <v>588</v>
      </c>
      <c r="F576" t="str">
        <f>ConvertStockCode(표.실시간[[#This Row],[코드]])</f>
        <v>N046890</v>
      </c>
      <c r="G576" s="4">
        <f>_xll.IMDP("STK",표.실시간[[#This Row],[nxt_code]],"현재가")</f>
        <v>6070</v>
      </c>
      <c r="H576" s="4">
        <f>_xll.IMDP("STK",표.실시간[[#This Row],[nxt_code]],"시가총액")/10^12</f>
        <v>0.35391377800000001</v>
      </c>
      <c r="I576" t="str">
        <f>_xll.IMDP("","","전일대비부호")</f>
        <v>코드오류</v>
      </c>
      <c r="J576" s="5">
        <f>_xll.IMDP("STK",표.실시간[[#This Row],[nxt_code]],"전일대비")</f>
        <v>50</v>
      </c>
      <c r="K576">
        <f>_xll.IMDP("STK",표.실시간[[#This Row],[nxt_code]],"등락률")</f>
        <v>0.83</v>
      </c>
      <c r="L576" s="4">
        <f>_xll.IMDP("STK",표.실시간[[#This Row],[nxt_code]],"누적거래량")</f>
        <v>6937</v>
      </c>
      <c r="M576" s="4">
        <f>_xll.IMDP("STK",표.실시간[[#This Row],[nxt_code]],"누적거래대금")</f>
        <v>42034710</v>
      </c>
      <c r="N576" s="4">
        <f>_xll.IMDP("STK",표.실시간[[#This Row],[nxt_code]],"가중평균가")</f>
        <v>6059.4940180000003</v>
      </c>
      <c r="O576" s="4">
        <f>_xll.IMDP("STK",표.실시간[[#This Row],[nxt_code]],"시가")</f>
        <v>6020</v>
      </c>
      <c r="P576" s="4">
        <f>_xll.IMDP("STK",표.실시간[[#This Row],[nxt_code]],"고가")</f>
        <v>6090</v>
      </c>
      <c r="Q576" s="4">
        <f>_xll.IMDP("STK",표.실시간[[#This Row],[nxt_code]],"저가")</f>
        <v>6000</v>
      </c>
      <c r="R576">
        <f>_xll.IMDP("STK",표.실시간[[#This Row],[nxt_code]],"세션명")</f>
        <v>0</v>
      </c>
      <c r="S576">
        <f>_xll.IMDP("STK",표.실시간[[#This Row],[nxt_code]],"체결시간")</f>
        <v>0</v>
      </c>
      <c r="T576" s="4">
        <f>_xll.IMDP("STK","046890","현재가")</f>
        <v>6080</v>
      </c>
      <c r="U576">
        <f>_xll.IMDP("STK","046890","누적거래량")</f>
        <v>1374</v>
      </c>
    </row>
    <row r="577" spans="3:21" x14ac:dyDescent="0.3">
      <c r="C577">
        <v>572</v>
      </c>
      <c r="D577">
        <v>419530</v>
      </c>
      <c r="E577" t="s">
        <v>589</v>
      </c>
      <c r="F577" t="str">
        <f>ConvertStockCode(표.실시간[[#This Row],[코드]])</f>
        <v>N419530</v>
      </c>
      <c r="G577" s="4">
        <f>_xll.IMDP("STK",표.실시간[[#This Row],[nxt_code]],"현재가")</f>
        <v>37500</v>
      </c>
      <c r="H577" s="4">
        <f>_xll.IMDP("STK",표.실시간[[#This Row],[nxt_code]],"시가총액")/10^12</f>
        <v>0.36841931249999998</v>
      </c>
      <c r="I577" t="str">
        <f>_xll.IMDP("","","전일대비부호")</f>
        <v>코드오류</v>
      </c>
      <c r="J577" s="5">
        <f>_xll.IMDP("STK",표.실시간[[#This Row],[nxt_code]],"전일대비")</f>
        <v>50</v>
      </c>
      <c r="K577">
        <f>_xll.IMDP("STK",표.실시간[[#This Row],[nxt_code]],"등락률")</f>
        <v>0.13</v>
      </c>
      <c r="L577" s="4">
        <f>_xll.IMDP("STK",표.실시간[[#This Row],[nxt_code]],"누적거래량")</f>
        <v>3820</v>
      </c>
      <c r="M577" s="4">
        <f>_xll.IMDP("STK",표.실시간[[#This Row],[nxt_code]],"누적거래대금")</f>
        <v>142607600</v>
      </c>
      <c r="N577" s="4">
        <f>_xll.IMDP("STK",표.실시간[[#This Row],[nxt_code]],"가중평균가")</f>
        <v>37331.832460999998</v>
      </c>
      <c r="O577" s="4">
        <f>_xll.IMDP("STK",표.실시간[[#This Row],[nxt_code]],"시가")</f>
        <v>37800</v>
      </c>
      <c r="P577" s="4">
        <f>_xll.IMDP("STK",표.실시간[[#This Row],[nxt_code]],"고가")</f>
        <v>37900</v>
      </c>
      <c r="Q577" s="4">
        <f>_xll.IMDP("STK",표.실시간[[#This Row],[nxt_code]],"저가")</f>
        <v>37050</v>
      </c>
      <c r="R577">
        <f>_xll.IMDP("STK",표.실시간[[#This Row],[nxt_code]],"세션명")</f>
        <v>0</v>
      </c>
      <c r="S577">
        <f>_xll.IMDP("STK",표.실시간[[#This Row],[nxt_code]],"체결시간")</f>
        <v>0</v>
      </c>
      <c r="T577" s="4">
        <f>_xll.IMDP("STK","419530","현재가")</f>
        <v>37150</v>
      </c>
      <c r="U577">
        <f>_xll.IMDP("STK","419530","누적거래량")</f>
        <v>3729</v>
      </c>
    </row>
    <row r="578" spans="3:21" x14ac:dyDescent="0.3">
      <c r="C578">
        <v>573</v>
      </c>
      <c r="D578">
        <v>403850</v>
      </c>
      <c r="E578" t="s">
        <v>590</v>
      </c>
      <c r="F578" t="str">
        <f>ConvertStockCode(표.실시간[[#This Row],[코드]])</f>
        <v>N403850</v>
      </c>
      <c r="G578" s="4">
        <f>_xll.IMDP("STK",표.실시간[[#This Row],[nxt_code]],"현재가")</f>
        <v>23900</v>
      </c>
      <c r="H578" s="4">
        <f>_xll.IMDP("STK",표.실시간[[#This Row],[nxt_code]],"시가총액")/10^12</f>
        <v>0.342989139</v>
      </c>
      <c r="I578" t="str">
        <f>_xll.IMDP("","","전일대비부호")</f>
        <v>코드오류</v>
      </c>
      <c r="J578" s="5">
        <f>_xll.IMDP("STK",표.실시간[[#This Row],[nxt_code]],"전일대비")</f>
        <v>150</v>
      </c>
      <c r="K578">
        <f>_xll.IMDP("STK",표.실시간[[#This Row],[nxt_code]],"등락률")</f>
        <v>0.63</v>
      </c>
      <c r="L578" s="4">
        <f>_xll.IMDP("STK",표.실시간[[#This Row],[nxt_code]],"누적거래량")</f>
        <v>5300</v>
      </c>
      <c r="M578" s="4">
        <f>_xll.IMDP("STK",표.실시간[[#This Row],[nxt_code]],"누적거래대금")</f>
        <v>126477100</v>
      </c>
      <c r="N578" s="4">
        <f>_xll.IMDP("STK",표.실시간[[#This Row],[nxt_code]],"가중평균가")</f>
        <v>23863.603773999999</v>
      </c>
      <c r="O578" s="4">
        <f>_xll.IMDP("STK",표.실시간[[#This Row],[nxt_code]],"시가")</f>
        <v>24000</v>
      </c>
      <c r="P578" s="4">
        <f>_xll.IMDP("STK",표.실시간[[#This Row],[nxt_code]],"고가")</f>
        <v>24000</v>
      </c>
      <c r="Q578" s="4">
        <f>_xll.IMDP("STK",표.실시간[[#This Row],[nxt_code]],"저가")</f>
        <v>23750</v>
      </c>
      <c r="R578">
        <f>_xll.IMDP("STK",표.실시간[[#This Row],[nxt_code]],"세션명")</f>
        <v>0</v>
      </c>
      <c r="S578">
        <f>_xll.IMDP("STK",표.실시간[[#This Row],[nxt_code]],"체결시간")</f>
        <v>0</v>
      </c>
      <c r="T578" s="4">
        <f>_xll.IMDP("STK","403850","현재가")</f>
        <v>23800</v>
      </c>
      <c r="U578">
        <f>_xll.IMDP("STK","403850","누적거래량")</f>
        <v>448</v>
      </c>
    </row>
    <row r="579" spans="3:21" x14ac:dyDescent="0.3">
      <c r="C579">
        <v>574</v>
      </c>
      <c r="D579">
        <v>190510</v>
      </c>
      <c r="E579" t="s">
        <v>591</v>
      </c>
      <c r="F579" t="str">
        <f>ConvertStockCode(표.실시간[[#This Row],[코드]])</f>
        <v>N190510</v>
      </c>
      <c r="G579" s="4">
        <f>_xll.IMDP("STK",표.실시간[[#This Row],[nxt_code]],"현재가")</f>
        <v>24100</v>
      </c>
      <c r="H579" s="4">
        <f>_xll.IMDP("STK",표.실시간[[#This Row],[nxt_code]],"시가총액")/10^12</f>
        <v>0.33849213970000003</v>
      </c>
      <c r="I579" t="str">
        <f>_xll.IMDP("","","전일대비부호")</f>
        <v>코드오류</v>
      </c>
      <c r="J579" s="5">
        <f>_xll.IMDP("STK",표.실시간[[#This Row],[nxt_code]],"전일대비")</f>
        <v>-100</v>
      </c>
      <c r="K579">
        <f>_xll.IMDP("STK",표.실시간[[#This Row],[nxt_code]],"등락률")</f>
        <v>-0.41</v>
      </c>
      <c r="L579" s="4">
        <f>_xll.IMDP("STK",표.실시간[[#This Row],[nxt_code]],"누적거래량")</f>
        <v>121934</v>
      </c>
      <c r="M579" s="4">
        <f>_xll.IMDP("STK",표.실시간[[#This Row],[nxt_code]],"누적거래대금")</f>
        <v>3017526800</v>
      </c>
      <c r="N579" s="4">
        <f>_xll.IMDP("STK",표.실시간[[#This Row],[nxt_code]],"가중평균가")</f>
        <v>24747.214067000001</v>
      </c>
      <c r="O579" s="4">
        <f>_xll.IMDP("STK",표.실시간[[#This Row],[nxt_code]],"시가")</f>
        <v>25000</v>
      </c>
      <c r="P579" s="4">
        <f>_xll.IMDP("STK",표.실시간[[#This Row],[nxt_code]],"고가")</f>
        <v>25300</v>
      </c>
      <c r="Q579" s="4">
        <f>_xll.IMDP("STK",표.실시간[[#This Row],[nxt_code]],"저가")</f>
        <v>24000</v>
      </c>
      <c r="R579">
        <f>_xll.IMDP("STK",표.실시간[[#This Row],[nxt_code]],"세션명")</f>
        <v>0</v>
      </c>
      <c r="S579">
        <f>_xll.IMDP("STK",표.실시간[[#This Row],[nxt_code]],"체결시간")</f>
        <v>0</v>
      </c>
      <c r="T579" s="4">
        <f>_xll.IMDP("STK","190510","현재가")</f>
        <v>24050</v>
      </c>
      <c r="U579">
        <f>_xll.IMDP("STK","190510","누적거래량")</f>
        <v>17385</v>
      </c>
    </row>
    <row r="580" spans="3:21" x14ac:dyDescent="0.3">
      <c r="C580">
        <v>575</v>
      </c>
      <c r="D580">
        <v>338840</v>
      </c>
      <c r="E580" t="s">
        <v>592</v>
      </c>
      <c r="F580" t="str">
        <f>ConvertStockCode(표.실시간[[#This Row],[코드]])</f>
        <v>N338840</v>
      </c>
      <c r="G580" s="4">
        <f>_xll.IMDP("STK",표.실시간[[#This Row],[nxt_code]],"현재가")</f>
        <v>22050</v>
      </c>
      <c r="H580" s="4">
        <f>_xll.IMDP("STK",표.실시간[[#This Row],[nxt_code]],"시가총액")/10^12</f>
        <v>0.33467668605000001</v>
      </c>
      <c r="I580" t="str">
        <f>_xll.IMDP("","","전일대비부호")</f>
        <v>코드오류</v>
      </c>
      <c r="J580" s="5">
        <f>_xll.IMDP("STK",표.실시간[[#This Row],[nxt_code]],"전일대비")</f>
        <v>50</v>
      </c>
      <c r="K580">
        <f>_xll.IMDP("STK",표.실시간[[#This Row],[nxt_code]],"등락률")</f>
        <v>0.23</v>
      </c>
      <c r="L580" s="4">
        <f>_xll.IMDP("STK",표.실시간[[#This Row],[nxt_code]],"누적거래량")</f>
        <v>9251</v>
      </c>
      <c r="M580" s="4">
        <f>_xll.IMDP("STK",표.실시간[[#This Row],[nxt_code]],"누적거래대금")</f>
        <v>205313400</v>
      </c>
      <c r="N580" s="4">
        <f>_xll.IMDP("STK",표.실시간[[#This Row],[nxt_code]],"가중평균가")</f>
        <v>22193.643929999998</v>
      </c>
      <c r="O580" s="4">
        <f>_xll.IMDP("STK",표.실시간[[#This Row],[nxt_code]],"시가")</f>
        <v>22950</v>
      </c>
      <c r="P580" s="4">
        <f>_xll.IMDP("STK",표.실시간[[#This Row],[nxt_code]],"고가")</f>
        <v>22950</v>
      </c>
      <c r="Q580" s="4">
        <f>_xll.IMDP("STK",표.실시간[[#This Row],[nxt_code]],"저가")</f>
        <v>22000</v>
      </c>
      <c r="R580">
        <f>_xll.IMDP("STK",표.실시간[[#This Row],[nxt_code]],"세션명")</f>
        <v>0</v>
      </c>
      <c r="S580">
        <f>_xll.IMDP("STK",표.실시간[[#This Row],[nxt_code]],"체결시간")</f>
        <v>0</v>
      </c>
      <c r="T580" s="4">
        <f>_xll.IMDP("STK","338840","현재가")</f>
        <v>22000</v>
      </c>
      <c r="U580">
        <f>_xll.IMDP("STK","338840","누적거래량")</f>
        <v>995</v>
      </c>
    </row>
    <row r="581" spans="3:21" x14ac:dyDescent="0.3">
      <c r="C581">
        <v>576</v>
      </c>
      <c r="D581">
        <v>34120</v>
      </c>
      <c r="E581" t="s">
        <v>593</v>
      </c>
      <c r="F581" t="str">
        <f>ConvertStockCode(표.실시간[[#This Row],[코드]])</f>
        <v>N034120</v>
      </c>
      <c r="G581" s="4">
        <f>_xll.IMDP("STK",표.실시간[[#This Row],[nxt_code]],"현재가")</f>
        <v>18590</v>
      </c>
      <c r="H581" s="4">
        <f>_xll.IMDP("STK",표.실시간[[#This Row],[nxt_code]],"시가총액")/10^12</f>
        <v>0.34486751442000002</v>
      </c>
      <c r="I581" t="str">
        <f>_xll.IMDP("","","전일대비부호")</f>
        <v>코드오류</v>
      </c>
      <c r="J581" s="5">
        <f>_xll.IMDP("STK",표.실시간[[#This Row],[nxt_code]],"전일대비")</f>
        <v>20</v>
      </c>
      <c r="K581">
        <f>_xll.IMDP("STK",표.실시간[[#This Row],[nxt_code]],"등락률")</f>
        <v>0.11</v>
      </c>
      <c r="L581" s="4">
        <f>_xll.IMDP("STK",표.실시간[[#This Row],[nxt_code]],"누적거래량")</f>
        <v>558</v>
      </c>
      <c r="M581" s="4">
        <f>_xll.IMDP("STK",표.실시간[[#This Row],[nxt_code]],"누적거래대금")</f>
        <v>10366480</v>
      </c>
      <c r="N581" s="4">
        <f>_xll.IMDP("STK",표.실시간[[#This Row],[nxt_code]],"가중평균가")</f>
        <v>18577.921147000001</v>
      </c>
      <c r="O581" s="4">
        <f>_xll.IMDP("STK",표.실시간[[#This Row],[nxt_code]],"시가")</f>
        <v>18570</v>
      </c>
      <c r="P581" s="4">
        <f>_xll.IMDP("STK",표.실시간[[#This Row],[nxt_code]],"고가")</f>
        <v>18620</v>
      </c>
      <c r="Q581" s="4">
        <f>_xll.IMDP("STK",표.실시간[[#This Row],[nxt_code]],"저가")</f>
        <v>18570</v>
      </c>
      <c r="R581">
        <f>_xll.IMDP("STK",표.실시간[[#This Row],[nxt_code]],"세션명")</f>
        <v>0</v>
      </c>
      <c r="S581">
        <f>_xll.IMDP("STK",표.실시간[[#This Row],[nxt_code]],"체결시간")</f>
        <v>0</v>
      </c>
      <c r="T581" s="4">
        <f>_xll.IMDP("STK","034120","현재가")</f>
        <v>18580</v>
      </c>
      <c r="U581">
        <f>_xll.IMDP("STK","034120","누적거래량")</f>
        <v>93</v>
      </c>
    </row>
    <row r="582" spans="3:21" x14ac:dyDescent="0.3">
      <c r="C582">
        <v>577</v>
      </c>
      <c r="D582">
        <v>168360</v>
      </c>
      <c r="E582" t="s">
        <v>594</v>
      </c>
      <c r="F582" t="str">
        <f>ConvertStockCode(표.실시간[[#This Row],[코드]])</f>
        <v>N168360</v>
      </c>
      <c r="G582" s="4">
        <f>_xll.IMDP("STK",표.실시간[[#This Row],[nxt_code]],"현재가")</f>
        <v>15500</v>
      </c>
      <c r="H582" s="4">
        <f>_xll.IMDP("STK",표.실시간[[#This Row],[nxt_code]],"시가총액")/10^12</f>
        <v>0.32996840199999999</v>
      </c>
      <c r="I582" t="str">
        <f>_xll.IMDP("","","전일대비부호")</f>
        <v>코드오류</v>
      </c>
      <c r="J582" s="5">
        <f>_xll.IMDP("STK",표.실시간[[#This Row],[nxt_code]],"전일대비")</f>
        <v>-170</v>
      </c>
      <c r="K582">
        <f>_xll.IMDP("STK",표.실시간[[#This Row],[nxt_code]],"등락률")</f>
        <v>-1.02</v>
      </c>
      <c r="L582" s="4">
        <f>_xll.IMDP("STK",표.실시간[[#This Row],[nxt_code]],"누적거래량")</f>
        <v>11726</v>
      </c>
      <c r="M582" s="4">
        <f>_xll.IMDP("STK",표.실시간[[#This Row],[nxt_code]],"누적거래대금")</f>
        <v>182860670</v>
      </c>
      <c r="N582" s="4">
        <f>_xll.IMDP("STK",표.실시간[[#This Row],[nxt_code]],"가중평균가")</f>
        <v>15594.462732</v>
      </c>
      <c r="O582" s="4">
        <f>_xll.IMDP("STK",표.실시간[[#This Row],[nxt_code]],"시가")</f>
        <v>15670</v>
      </c>
      <c r="P582" s="4">
        <f>_xll.IMDP("STK",표.실시간[[#This Row],[nxt_code]],"고가")</f>
        <v>15780</v>
      </c>
      <c r="Q582" s="4">
        <f>_xll.IMDP("STK",표.실시간[[#This Row],[nxt_code]],"저가")</f>
        <v>15500</v>
      </c>
      <c r="R582">
        <f>_xll.IMDP("STK",표.실시간[[#This Row],[nxt_code]],"세션명")</f>
        <v>0</v>
      </c>
      <c r="S582">
        <f>_xll.IMDP("STK",표.실시간[[#This Row],[nxt_code]],"체결시간")</f>
        <v>0</v>
      </c>
      <c r="T582" s="4">
        <f>_xll.IMDP("STK","168360","현재가")</f>
        <v>15410</v>
      </c>
      <c r="U582">
        <f>_xll.IMDP("STK","168360","누적거래량")</f>
        <v>1544</v>
      </c>
    </row>
    <row r="583" spans="3:21" x14ac:dyDescent="0.3">
      <c r="C583">
        <v>578</v>
      </c>
      <c r="D583">
        <v>110990</v>
      </c>
      <c r="E583" t="s">
        <v>595</v>
      </c>
      <c r="F583" t="str">
        <f>ConvertStockCode(표.실시간[[#This Row],[코드]])</f>
        <v>N110990</v>
      </c>
      <c r="G583" s="4">
        <f>_xll.IMDP("STK",표.실시간[[#This Row],[nxt_code]],"현재가")</f>
        <v>17740</v>
      </c>
      <c r="H583" s="4">
        <f>_xll.IMDP("STK",표.실시간[[#This Row],[nxt_code]],"시가총액")/10^12</f>
        <v>0.33528599999999997</v>
      </c>
      <c r="I583" t="str">
        <f>_xll.IMDP("","","전일대비부호")</f>
        <v>코드오류</v>
      </c>
      <c r="J583" s="5">
        <f>_xll.IMDP("STK",표.실시간[[#This Row],[nxt_code]],"전일대비")</f>
        <v>60</v>
      </c>
      <c r="K583">
        <f>_xll.IMDP("STK",표.실시간[[#This Row],[nxt_code]],"등락률")</f>
        <v>0.34</v>
      </c>
      <c r="L583" s="4">
        <f>_xll.IMDP("STK",표.실시간[[#This Row],[nxt_code]],"누적거래량")</f>
        <v>10455</v>
      </c>
      <c r="M583" s="4">
        <f>_xll.IMDP("STK",표.실시간[[#This Row],[nxt_code]],"누적거래대금")</f>
        <v>185508780</v>
      </c>
      <c r="N583" s="4">
        <f>_xll.IMDP("STK",표.실시간[[#This Row],[nxt_code]],"가중평균가")</f>
        <v>17743.546628</v>
      </c>
      <c r="O583" s="4">
        <f>_xll.IMDP("STK",표.실시간[[#This Row],[nxt_code]],"시가")</f>
        <v>17970</v>
      </c>
      <c r="P583" s="4">
        <f>_xll.IMDP("STK",표.실시간[[#This Row],[nxt_code]],"고가")</f>
        <v>17970</v>
      </c>
      <c r="Q583" s="4">
        <f>_xll.IMDP("STK",표.실시간[[#This Row],[nxt_code]],"저가")</f>
        <v>17420</v>
      </c>
      <c r="R583">
        <f>_xll.IMDP("STK",표.실시간[[#This Row],[nxt_code]],"세션명")</f>
        <v>0</v>
      </c>
      <c r="S583">
        <f>_xll.IMDP("STK",표.실시간[[#This Row],[nxt_code]],"체결시간")</f>
        <v>0</v>
      </c>
      <c r="T583" s="4">
        <f>_xll.IMDP("STK","110990","현재가")</f>
        <v>17650</v>
      </c>
      <c r="U583">
        <f>_xll.IMDP("STK","110990","누적거래량")</f>
        <v>1897</v>
      </c>
    </row>
    <row r="584" spans="3:21" x14ac:dyDescent="0.3">
      <c r="C584">
        <v>579</v>
      </c>
      <c r="D584">
        <v>20000</v>
      </c>
      <c r="E584" t="s">
        <v>596</v>
      </c>
      <c r="F584" t="str">
        <f>ConvertStockCode(표.실시간[[#This Row],[코드]])</f>
        <v>N020000</v>
      </c>
      <c r="G584" s="4">
        <f>_xll.IMDP("STK",표.실시간[[#This Row],[nxt_code]],"현재가")</f>
        <v>15200</v>
      </c>
      <c r="H584" s="4">
        <f>_xll.IMDP("STK",표.실시간[[#This Row],[nxt_code]],"시가총액")/10^12</f>
        <v>0.34105375440000002</v>
      </c>
      <c r="I584" t="str">
        <f>_xll.IMDP("","","전일대비부호")</f>
        <v>코드오류</v>
      </c>
      <c r="J584" s="5">
        <f>_xll.IMDP("STK",표.실시간[[#This Row],[nxt_code]],"전일대비")</f>
        <v>30</v>
      </c>
      <c r="K584">
        <f>_xll.IMDP("STK",표.실시간[[#This Row],[nxt_code]],"등락률")</f>
        <v>0.2</v>
      </c>
      <c r="L584" s="4">
        <f>_xll.IMDP("STK",표.실시간[[#This Row],[nxt_code]],"누적거래량")</f>
        <v>232</v>
      </c>
      <c r="M584" s="4">
        <f>_xll.IMDP("STK",표.실시간[[#This Row],[nxt_code]],"누적거래대금")</f>
        <v>3534060</v>
      </c>
      <c r="N584" s="4">
        <f>_xll.IMDP("STK",표.실시간[[#This Row],[nxt_code]],"가중평균가")</f>
        <v>15233.017241</v>
      </c>
      <c r="O584" s="4">
        <f>_xll.IMDP("STK",표.실시간[[#This Row],[nxt_code]],"시가")</f>
        <v>15270</v>
      </c>
      <c r="P584" s="4">
        <f>_xll.IMDP("STK",표.실시간[[#This Row],[nxt_code]],"고가")</f>
        <v>15270</v>
      </c>
      <c r="Q584" s="4">
        <f>_xll.IMDP("STK",표.실시간[[#This Row],[nxt_code]],"저가")</f>
        <v>15200</v>
      </c>
      <c r="R584">
        <f>_xll.IMDP("STK",표.실시간[[#This Row],[nxt_code]],"세션명")</f>
        <v>0</v>
      </c>
      <c r="S584">
        <f>_xll.IMDP("STK",표.실시간[[#This Row],[nxt_code]],"체결시간")</f>
        <v>0</v>
      </c>
      <c r="T584" s="4">
        <f>_xll.IMDP("STK","020000","현재가")</f>
        <v>15170</v>
      </c>
      <c r="U584">
        <f>_xll.IMDP("STK","020000","누적거래량")</f>
        <v>162</v>
      </c>
    </row>
    <row r="585" spans="3:21" x14ac:dyDescent="0.3">
      <c r="C585">
        <v>580</v>
      </c>
      <c r="D585">
        <v>8060</v>
      </c>
      <c r="E585" t="s">
        <v>597</v>
      </c>
      <c r="F585" t="str">
        <f>ConvertStockCode(표.실시간[[#This Row],[코드]])</f>
        <v>N008060</v>
      </c>
      <c r="G585" s="4">
        <f>_xll.IMDP("STK",표.실시간[[#This Row],[nxt_code]],"현재가")</f>
        <v>9950</v>
      </c>
      <c r="H585" s="4">
        <f>_xll.IMDP("STK",표.실시간[[#This Row],[nxt_code]],"시가총액")/10^12</f>
        <v>0.33720699250000002</v>
      </c>
      <c r="I585" t="str">
        <f>_xll.IMDP("","","전일대비부호")</f>
        <v>코드오류</v>
      </c>
      <c r="J585" s="5">
        <f>_xll.IMDP("STK",표.실시간[[#This Row],[nxt_code]],"전일대비")</f>
        <v>30</v>
      </c>
      <c r="K585">
        <f>_xll.IMDP("STK",표.실시간[[#This Row],[nxt_code]],"등락률")</f>
        <v>0.3</v>
      </c>
      <c r="L585" s="4">
        <f>_xll.IMDP("STK",표.실시간[[#This Row],[nxt_code]],"누적거래량")</f>
        <v>3657</v>
      </c>
      <c r="M585" s="4">
        <f>_xll.IMDP("STK",표.실시간[[#This Row],[nxt_code]],"누적거래대금")</f>
        <v>36437140</v>
      </c>
      <c r="N585" s="4">
        <f>_xll.IMDP("STK",표.실시간[[#This Row],[nxt_code]],"가중평균가")</f>
        <v>9963.6696749999992</v>
      </c>
      <c r="O585" s="4">
        <f>_xll.IMDP("STK",표.실시간[[#This Row],[nxt_code]],"시가")</f>
        <v>9950</v>
      </c>
      <c r="P585" s="4">
        <f>_xll.IMDP("STK",표.실시간[[#This Row],[nxt_code]],"고가")</f>
        <v>10000</v>
      </c>
      <c r="Q585" s="4">
        <f>_xll.IMDP("STK",표.실시간[[#This Row],[nxt_code]],"저가")</f>
        <v>9940</v>
      </c>
      <c r="R585">
        <f>_xll.IMDP("STK",표.실시간[[#This Row],[nxt_code]],"세션명")</f>
        <v>0</v>
      </c>
      <c r="S585">
        <f>_xll.IMDP("STK",표.실시간[[#This Row],[nxt_code]],"체결시간")</f>
        <v>0</v>
      </c>
      <c r="T585" s="4">
        <f>_xll.IMDP("STK","008060","현재가")</f>
        <v>9930</v>
      </c>
      <c r="U585">
        <f>_xll.IMDP("STK","008060","누적거래량")</f>
        <v>162</v>
      </c>
    </row>
    <row r="586" spans="3:21" x14ac:dyDescent="0.3">
      <c r="C586">
        <v>581</v>
      </c>
      <c r="D586">
        <v>7690</v>
      </c>
      <c r="E586" t="s">
        <v>598</v>
      </c>
      <c r="F586" t="str">
        <f>ConvertStockCode(표.실시간[[#This Row],[코드]])</f>
        <v>N007690</v>
      </c>
      <c r="G586" s="4">
        <f>_xll.IMDP("STK",표.실시간[[#This Row],[nxt_code]],"현재가")</f>
        <v>36800</v>
      </c>
      <c r="H586" s="4">
        <f>_xll.IMDP("STK",표.실시간[[#This Row],[nxt_code]],"시가총액")/10^12</f>
        <v>0.34079861760000002</v>
      </c>
      <c r="I586" t="str">
        <f>_xll.IMDP("","","전일대비부호")</f>
        <v>코드오류</v>
      </c>
      <c r="J586" s="5">
        <f>_xll.IMDP("STK",표.실시간[[#This Row],[nxt_code]],"전일대비")</f>
        <v>450</v>
      </c>
      <c r="K586">
        <f>_xll.IMDP("STK",표.실시간[[#This Row],[nxt_code]],"등락률")</f>
        <v>1.24</v>
      </c>
      <c r="L586" s="4">
        <f>_xll.IMDP("STK",표.실시간[[#This Row],[nxt_code]],"누적거래량")</f>
        <v>768</v>
      </c>
      <c r="M586" s="4">
        <f>_xll.IMDP("STK",표.실시간[[#This Row],[nxt_code]],"누적거래대금")</f>
        <v>28357150</v>
      </c>
      <c r="N586" s="4">
        <f>_xll.IMDP("STK",표.실시간[[#This Row],[nxt_code]],"가중평균가")</f>
        <v>36923.372395999999</v>
      </c>
      <c r="O586" s="4">
        <f>_xll.IMDP("STK",표.실시간[[#This Row],[nxt_code]],"시가")</f>
        <v>36800</v>
      </c>
      <c r="P586" s="4">
        <f>_xll.IMDP("STK",표.실시간[[#This Row],[nxt_code]],"고가")</f>
        <v>37100</v>
      </c>
      <c r="Q586" s="4">
        <f>_xll.IMDP("STK",표.실시간[[#This Row],[nxt_code]],"저가")</f>
        <v>36800</v>
      </c>
      <c r="R586">
        <f>_xll.IMDP("STK",표.실시간[[#This Row],[nxt_code]],"세션명")</f>
        <v>0</v>
      </c>
      <c r="S586">
        <f>_xll.IMDP("STK",표.실시간[[#This Row],[nxt_code]],"체결시간")</f>
        <v>0</v>
      </c>
      <c r="T586" s="4">
        <f>_xll.IMDP("STK","007690","현재가")</f>
        <v>36600</v>
      </c>
      <c r="U586">
        <f>_xll.IMDP("STK","007690","누적거래량")</f>
        <v>19</v>
      </c>
    </row>
    <row r="587" spans="3:21" x14ac:dyDescent="0.3">
      <c r="C587">
        <v>582</v>
      </c>
      <c r="D587">
        <v>84690</v>
      </c>
      <c r="E587" t="s">
        <v>599</v>
      </c>
      <c r="F587" t="str">
        <f>ConvertStockCode(표.실시간[[#This Row],[코드]])</f>
        <v>N084690</v>
      </c>
      <c r="G587" s="4">
        <f>_xll.IMDP("STK",표.실시간[[#This Row],[nxt_code]],"현재가")</f>
        <v>9740</v>
      </c>
      <c r="H587" s="4">
        <f>_xll.IMDP("STK",표.실시간[[#This Row],[nxt_code]],"시가총액")/10^12</f>
        <v>0.35271012012000003</v>
      </c>
      <c r="I587" t="str">
        <f>_xll.IMDP("","","전일대비부호")</f>
        <v>코드오류</v>
      </c>
      <c r="J587" s="5">
        <f>_xll.IMDP("STK",표.실시간[[#This Row],[nxt_code]],"전일대비")</f>
        <v>280</v>
      </c>
      <c r="K587">
        <f>_xll.IMDP("STK",표.실시간[[#This Row],[nxt_code]],"등락률")</f>
        <v>2.96</v>
      </c>
      <c r="L587" s="4">
        <f>_xll.IMDP("STK",표.실시간[[#This Row],[nxt_code]],"누적거래량")</f>
        <v>145344</v>
      </c>
      <c r="M587" s="4">
        <f>_xll.IMDP("STK",표.실시간[[#This Row],[nxt_code]],"누적거래대금")</f>
        <v>1418502880</v>
      </c>
      <c r="N587" s="4">
        <f>_xll.IMDP("STK",표.실시간[[#This Row],[nxt_code]],"가중평균가")</f>
        <v>9766.344083</v>
      </c>
      <c r="O587" s="4">
        <f>_xll.IMDP("STK",표.실시간[[#This Row],[nxt_code]],"시가")</f>
        <v>9510</v>
      </c>
      <c r="P587" s="4">
        <f>_xll.IMDP("STK",표.실시간[[#This Row],[nxt_code]],"고가")</f>
        <v>9930</v>
      </c>
      <c r="Q587" s="4">
        <f>_xll.IMDP("STK",표.실시간[[#This Row],[nxt_code]],"저가")</f>
        <v>9470</v>
      </c>
      <c r="R587">
        <f>_xll.IMDP("STK",표.실시간[[#This Row],[nxt_code]],"세션명")</f>
        <v>0</v>
      </c>
      <c r="S587">
        <f>_xll.IMDP("STK",표.실시간[[#This Row],[nxt_code]],"체결시간")</f>
        <v>0</v>
      </c>
      <c r="T587" s="4">
        <f>_xll.IMDP("STK","084690","현재가")</f>
        <v>9740</v>
      </c>
      <c r="U587">
        <f>_xll.IMDP("STK","084690","누적거래량")</f>
        <v>4040</v>
      </c>
    </row>
    <row r="588" spans="3:21" x14ac:dyDescent="0.3">
      <c r="C588">
        <v>583</v>
      </c>
      <c r="D588">
        <v>481070</v>
      </c>
      <c r="E588" t="s">
        <v>600</v>
      </c>
      <c r="F588" t="str">
        <f>ConvertStockCode(표.실시간[[#This Row],[코드]])</f>
        <v>N481070</v>
      </c>
      <c r="G588" s="4">
        <f>_xll.IMDP("STK",표.실시간[[#This Row],[nxt_code]],"현재가")</f>
        <v>25050</v>
      </c>
      <c r="H588" s="4">
        <f>_xll.IMDP("STK",표.실시간[[#This Row],[nxt_code]],"시가총액")/10^12</f>
        <v>0.35470800000000002</v>
      </c>
      <c r="I588" t="str">
        <f>_xll.IMDP("","","전일대비부호")</f>
        <v>코드오류</v>
      </c>
      <c r="J588" s="5">
        <f>_xll.IMDP("STK",표.실시간[[#This Row],[nxt_code]],"전일대비")</f>
        <v>-100</v>
      </c>
      <c r="K588">
        <f>_xll.IMDP("STK",표.실시간[[#This Row],[nxt_code]],"등락률")</f>
        <v>-0.4</v>
      </c>
      <c r="L588" s="4">
        <f>_xll.IMDP("STK",표.실시간[[#This Row],[nxt_code]],"누적거래량")</f>
        <v>5292</v>
      </c>
      <c r="M588" s="4">
        <f>_xll.IMDP("STK",표.실시간[[#This Row],[nxt_code]],"누적거래대금")</f>
        <v>132438000</v>
      </c>
      <c r="N588" s="4">
        <f>_xll.IMDP("STK",표.실시간[[#This Row],[nxt_code]],"가중평균가")</f>
        <v>25026.077098000002</v>
      </c>
      <c r="O588" s="4">
        <f>_xll.IMDP("STK",표.실시간[[#This Row],[nxt_code]],"시가")</f>
        <v>25350</v>
      </c>
      <c r="P588" s="4">
        <f>_xll.IMDP("STK",표.실시간[[#This Row],[nxt_code]],"고가")</f>
        <v>25400</v>
      </c>
      <c r="Q588" s="4">
        <f>_xll.IMDP("STK",표.실시간[[#This Row],[nxt_code]],"저가")</f>
        <v>25000</v>
      </c>
      <c r="R588">
        <f>_xll.IMDP("STK",표.실시간[[#This Row],[nxt_code]],"세션명")</f>
        <v>0</v>
      </c>
      <c r="S588">
        <f>_xll.IMDP("STK",표.실시간[[#This Row],[nxt_code]],"체결시간")</f>
        <v>0</v>
      </c>
      <c r="T588" s="4">
        <f>_xll.IMDP("STK","481070","현재가")</f>
        <v>25000</v>
      </c>
      <c r="U588">
        <f>_xll.IMDP("STK","481070","누적거래량")</f>
        <v>1387</v>
      </c>
    </row>
    <row r="589" spans="3:21" x14ac:dyDescent="0.3">
      <c r="C589">
        <v>584</v>
      </c>
      <c r="D589">
        <v>306200</v>
      </c>
      <c r="E589" t="s">
        <v>601</v>
      </c>
      <c r="F589" t="str">
        <f>ConvertStockCode(표.실시간[[#This Row],[코드]])</f>
        <v>N306200</v>
      </c>
      <c r="G589" s="4">
        <f>_xll.IMDP("STK",표.실시간[[#This Row],[nxt_code]],"현재가")</f>
        <v>118900</v>
      </c>
      <c r="H589" s="4">
        <f>_xll.IMDP("STK",표.실시간[[#This Row],[nxt_code]],"시가총액")/10^12</f>
        <v>0.33723607</v>
      </c>
      <c r="I589" t="str">
        <f>_xll.IMDP("","","전일대비부호")</f>
        <v>코드오류</v>
      </c>
      <c r="J589" s="5">
        <f>_xll.IMDP("STK",표.실시간[[#This Row],[nxt_code]],"전일대비")</f>
        <v>-1000</v>
      </c>
      <c r="K589">
        <f>_xll.IMDP("STK",표.실시간[[#This Row],[nxt_code]],"등락률")</f>
        <v>-0.83</v>
      </c>
      <c r="L589" s="4">
        <f>_xll.IMDP("STK",표.실시간[[#This Row],[nxt_code]],"누적거래량")</f>
        <v>1983</v>
      </c>
      <c r="M589" s="4">
        <f>_xll.IMDP("STK",표.실시간[[#This Row],[nxt_code]],"누적거래대금")</f>
        <v>236581300</v>
      </c>
      <c r="N589" s="4">
        <f>_xll.IMDP("STK",표.실시간[[#This Row],[nxt_code]],"가중평균가")</f>
        <v>119304.740292</v>
      </c>
      <c r="O589" s="4">
        <f>_xll.IMDP("STK",표.실시간[[#This Row],[nxt_code]],"시가")</f>
        <v>119900</v>
      </c>
      <c r="P589" s="4">
        <f>_xll.IMDP("STK",표.실시간[[#This Row],[nxt_code]],"고가")</f>
        <v>119900</v>
      </c>
      <c r="Q589" s="4">
        <f>_xll.IMDP("STK",표.실시간[[#This Row],[nxt_code]],"저가")</f>
        <v>118900</v>
      </c>
      <c r="R589">
        <f>_xll.IMDP("STK",표.실시간[[#This Row],[nxt_code]],"세션명")</f>
        <v>0</v>
      </c>
      <c r="S589">
        <f>_xll.IMDP("STK",표.실시간[[#This Row],[nxt_code]],"체결시간")</f>
        <v>0</v>
      </c>
      <c r="T589" s="4">
        <f>_xll.IMDP("STK","306200","현재가")</f>
        <v>118900</v>
      </c>
      <c r="U589">
        <f>_xll.IMDP("STK","306200","누적거래량")</f>
        <v>147</v>
      </c>
    </row>
    <row r="590" spans="3:21" x14ac:dyDescent="0.3">
      <c r="C590">
        <v>585</v>
      </c>
      <c r="D590">
        <v>18250</v>
      </c>
      <c r="E590" t="s">
        <v>602</v>
      </c>
      <c r="F590" t="str">
        <f>ConvertStockCode(표.실시간[[#This Row],[코드]])</f>
        <v>N018250</v>
      </c>
      <c r="G590" s="4">
        <f>_xll.IMDP("STK",표.실시간[[#This Row],[nxt_code]],"현재가")</f>
        <v>12840</v>
      </c>
      <c r="H590" s="4">
        <f>_xll.IMDP("STK",표.실시간[[#This Row],[nxt_code]],"시가총액")/10^12</f>
        <v>0.33910356539999997</v>
      </c>
      <c r="I590" t="str">
        <f>_xll.IMDP("","","전일대비부호")</f>
        <v>코드오류</v>
      </c>
      <c r="J590" s="5">
        <f>_xll.IMDP("STK",표.실시간[[#This Row],[nxt_code]],"전일대비")</f>
        <v>0</v>
      </c>
      <c r="K590">
        <f>_xll.IMDP("STK",표.실시간[[#This Row],[nxt_code]],"등락률")</f>
        <v>0</v>
      </c>
      <c r="L590" s="4">
        <f>_xll.IMDP("STK",표.실시간[[#This Row],[nxt_code]],"누적거래량")</f>
        <v>718</v>
      </c>
      <c r="M590" s="4">
        <f>_xll.IMDP("STK",표.실시간[[#This Row],[nxt_code]],"누적거래대금")</f>
        <v>9227900</v>
      </c>
      <c r="N590" s="4">
        <f>_xll.IMDP("STK",표.실시간[[#This Row],[nxt_code]],"가중평균가")</f>
        <v>12852.228412</v>
      </c>
      <c r="O590" s="4">
        <f>_xll.IMDP("STK",표.실시간[[#This Row],[nxt_code]],"시가")</f>
        <v>12890</v>
      </c>
      <c r="P590" s="4">
        <f>_xll.IMDP("STK",표.실시간[[#This Row],[nxt_code]],"고가")</f>
        <v>12990</v>
      </c>
      <c r="Q590" s="4">
        <f>_xll.IMDP("STK",표.실시간[[#This Row],[nxt_code]],"저가")</f>
        <v>12750</v>
      </c>
      <c r="R590">
        <f>_xll.IMDP("STK",표.실시간[[#This Row],[nxt_code]],"세션명")</f>
        <v>0</v>
      </c>
      <c r="S590">
        <f>_xll.IMDP("STK",표.실시간[[#This Row],[nxt_code]],"체결시간")</f>
        <v>0</v>
      </c>
      <c r="T590" s="4">
        <f>_xll.IMDP("STK","018250","현재가")</f>
        <v>12810</v>
      </c>
      <c r="U590">
        <f>_xll.IMDP("STK","018250","누적거래량")</f>
        <v>156</v>
      </c>
    </row>
    <row r="591" spans="3:21" x14ac:dyDescent="0.3">
      <c r="C591">
        <v>586</v>
      </c>
      <c r="D591">
        <v>304100</v>
      </c>
      <c r="E591" t="s">
        <v>603</v>
      </c>
      <c r="F591" t="str">
        <f>ConvertStockCode(표.실시간[[#This Row],[코드]])</f>
        <v>N304100</v>
      </c>
      <c r="G591" s="4">
        <f>_xll.IMDP("STK",표.실시간[[#This Row],[nxt_code]],"현재가")</f>
        <v>26300</v>
      </c>
      <c r="H591" s="4">
        <f>_xll.IMDP("STK",표.실시간[[#This Row],[nxt_code]],"시가총액")/10^12</f>
        <v>0.33121838650000002</v>
      </c>
      <c r="I591" t="str">
        <f>_xll.IMDP("","","전일대비부호")</f>
        <v>코드오류</v>
      </c>
      <c r="J591" s="5">
        <f>_xll.IMDP("STK",표.실시간[[#This Row],[nxt_code]],"전일대비")</f>
        <v>550</v>
      </c>
      <c r="K591">
        <f>_xll.IMDP("STK",표.실시간[[#This Row],[nxt_code]],"등락률")</f>
        <v>2.14</v>
      </c>
      <c r="L591" s="4">
        <f>_xll.IMDP("STK",표.실시간[[#This Row],[nxt_code]],"누적거래량")</f>
        <v>7579</v>
      </c>
      <c r="M591" s="4">
        <f>_xll.IMDP("STK",표.실시간[[#This Row],[nxt_code]],"누적거래대금")</f>
        <v>197933650</v>
      </c>
      <c r="N591" s="4">
        <f>_xll.IMDP("STK",표.실시간[[#This Row],[nxt_code]],"가중평균가")</f>
        <v>26116.064125000001</v>
      </c>
      <c r="O591" s="4">
        <f>_xll.IMDP("STK",표.실시간[[#This Row],[nxt_code]],"시가")</f>
        <v>25900</v>
      </c>
      <c r="P591" s="4">
        <f>_xll.IMDP("STK",표.실시간[[#This Row],[nxt_code]],"고가")</f>
        <v>26300</v>
      </c>
      <c r="Q591" s="4">
        <f>_xll.IMDP("STK",표.실시간[[#This Row],[nxt_code]],"저가")</f>
        <v>25900</v>
      </c>
      <c r="R591">
        <f>_xll.IMDP("STK",표.실시간[[#This Row],[nxt_code]],"세션명")</f>
        <v>0</v>
      </c>
      <c r="S591">
        <f>_xll.IMDP("STK",표.실시간[[#This Row],[nxt_code]],"체결시간")</f>
        <v>0</v>
      </c>
      <c r="T591" s="4">
        <f>_xll.IMDP("STK","304100","현재가")</f>
        <v>26450</v>
      </c>
      <c r="U591">
        <f>_xll.IMDP("STK","304100","누적거래량")</f>
        <v>8956</v>
      </c>
    </row>
    <row r="592" spans="3:21" x14ac:dyDescent="0.3">
      <c r="C592">
        <v>587</v>
      </c>
      <c r="D592">
        <v>215000</v>
      </c>
      <c r="E592" t="s">
        <v>604</v>
      </c>
      <c r="F592" t="str">
        <f>ConvertStockCode(표.실시간[[#This Row],[코드]])</f>
        <v>N215000</v>
      </c>
      <c r="G592" s="4">
        <f>_xll.IMDP("STK",표.실시간[[#This Row],[nxt_code]],"현재가")</f>
        <v>53000</v>
      </c>
      <c r="H592" s="4">
        <f>_xll.IMDP("STK",표.실시간[[#This Row],[nxt_code]],"시가총액")/10^12</f>
        <v>0.33259699500000001</v>
      </c>
      <c r="I592" t="str">
        <f>_xll.IMDP("","","전일대비부호")</f>
        <v>코드오류</v>
      </c>
      <c r="J592" s="5">
        <f>_xll.IMDP("STK",표.실시간[[#This Row],[nxt_code]],"전일대비")</f>
        <v>200</v>
      </c>
      <c r="K592">
        <f>_xll.IMDP("STK",표.실시간[[#This Row],[nxt_code]],"등락률")</f>
        <v>0.38</v>
      </c>
      <c r="L592" s="4">
        <f>_xll.IMDP("STK",표.실시간[[#This Row],[nxt_code]],"누적거래량")</f>
        <v>309</v>
      </c>
      <c r="M592" s="4">
        <f>_xll.IMDP("STK",표.실시간[[#This Row],[nxt_code]],"누적거래대금")</f>
        <v>16333700</v>
      </c>
      <c r="N592" s="4">
        <f>_xll.IMDP("STK",표.실시간[[#This Row],[nxt_code]],"가중평균가")</f>
        <v>52859.87055</v>
      </c>
      <c r="O592" s="4">
        <f>_xll.IMDP("STK",표.실시간[[#This Row],[nxt_code]],"시가")</f>
        <v>57500</v>
      </c>
      <c r="P592" s="4">
        <f>_xll.IMDP("STK",표.실시간[[#This Row],[nxt_code]],"고가")</f>
        <v>57500</v>
      </c>
      <c r="Q592" s="4">
        <f>_xll.IMDP("STK",표.실시간[[#This Row],[nxt_code]],"저가")</f>
        <v>52700</v>
      </c>
      <c r="R592">
        <f>_xll.IMDP("STK",표.실시간[[#This Row],[nxt_code]],"세션명")</f>
        <v>0</v>
      </c>
      <c r="S592">
        <f>_xll.IMDP("STK",표.실시간[[#This Row],[nxt_code]],"체결시간")</f>
        <v>0</v>
      </c>
      <c r="T592" s="4">
        <f>_xll.IMDP("STK","215000","현재가")</f>
        <v>52900</v>
      </c>
      <c r="U592">
        <f>_xll.IMDP("STK","215000","누적거래량")</f>
        <v>356</v>
      </c>
    </row>
    <row r="593" spans="3:21" x14ac:dyDescent="0.3">
      <c r="C593">
        <v>588</v>
      </c>
      <c r="D593">
        <v>286940</v>
      </c>
      <c r="E593" t="s">
        <v>605</v>
      </c>
      <c r="F593" t="str">
        <f>ConvertStockCode(표.실시간[[#This Row],[코드]])</f>
        <v>N286940</v>
      </c>
      <c r="G593" s="4">
        <f>_xll.IMDP("STK",표.실시간[[#This Row],[nxt_code]],"현재가")</f>
        <v>21300</v>
      </c>
      <c r="H593" s="4">
        <f>_xll.IMDP("STK",표.실시간[[#This Row],[nxt_code]],"시가총액")/10^12</f>
        <v>0.3222555171</v>
      </c>
      <c r="I593" t="str">
        <f>_xll.IMDP("","","전일대비부호")</f>
        <v>코드오류</v>
      </c>
      <c r="J593" s="5">
        <f>_xll.IMDP("STK",표.실시간[[#This Row],[nxt_code]],"전일대비")</f>
        <v>150</v>
      </c>
      <c r="K593">
        <f>_xll.IMDP("STK",표.실시간[[#This Row],[nxt_code]],"등락률")</f>
        <v>0.71</v>
      </c>
      <c r="L593" s="4">
        <f>_xll.IMDP("STK",표.실시간[[#This Row],[nxt_code]],"누적거래량")</f>
        <v>800</v>
      </c>
      <c r="M593" s="4">
        <f>_xll.IMDP("STK",표.실시간[[#This Row],[nxt_code]],"누적거래대금")</f>
        <v>17010350</v>
      </c>
      <c r="N593" s="4">
        <f>_xll.IMDP("STK",표.실시간[[#This Row],[nxt_code]],"가중평균가")</f>
        <v>21262.9375</v>
      </c>
      <c r="O593" s="4">
        <f>_xll.IMDP("STK",표.실시간[[#This Row],[nxt_code]],"시가")</f>
        <v>21250</v>
      </c>
      <c r="P593" s="4">
        <f>_xll.IMDP("STK",표.실시간[[#This Row],[nxt_code]],"고가")</f>
        <v>21450</v>
      </c>
      <c r="Q593" s="4">
        <f>_xll.IMDP("STK",표.실시간[[#This Row],[nxt_code]],"저가")</f>
        <v>21000</v>
      </c>
      <c r="R593">
        <f>_xll.IMDP("STK",표.실시간[[#This Row],[nxt_code]],"세션명")</f>
        <v>0</v>
      </c>
      <c r="S593">
        <f>_xll.IMDP("STK",표.실시간[[#This Row],[nxt_code]],"체결시간")</f>
        <v>0</v>
      </c>
      <c r="T593" s="4">
        <f>_xll.IMDP("STK","286940","현재가")</f>
        <v>21150</v>
      </c>
      <c r="U593">
        <f>_xll.IMDP("STK","286940","누적거래량")</f>
        <v>486</v>
      </c>
    </row>
    <row r="594" spans="3:21" x14ac:dyDescent="0.3">
      <c r="C594">
        <v>589</v>
      </c>
      <c r="D594">
        <v>17860</v>
      </c>
      <c r="E594" t="s">
        <v>606</v>
      </c>
      <c r="F594" t="str">
        <f>ConvertStockCode(표.실시간[[#This Row],[코드]])</f>
        <v>N017860</v>
      </c>
      <c r="G594" s="4">
        <f>_xll.IMDP("STK",표.실시간[[#This Row],[nxt_code]],"현재가")</f>
        <v>19210</v>
      </c>
      <c r="H594" s="4">
        <f>_xll.IMDP("STK",표.실시간[[#This Row],[nxt_code]],"시가총액")/10^12</f>
        <v>0.33779271251999998</v>
      </c>
      <c r="I594" t="str">
        <f>_xll.IMDP("","","전일대비부호")</f>
        <v>코드오류</v>
      </c>
      <c r="J594" s="5">
        <f>_xll.IMDP("STK",표.실시간[[#This Row],[nxt_code]],"전일대비")</f>
        <v>50</v>
      </c>
      <c r="K594">
        <f>_xll.IMDP("STK",표.실시간[[#This Row],[nxt_code]],"등락률")</f>
        <v>0.26</v>
      </c>
      <c r="L594" s="4">
        <f>_xll.IMDP("STK",표.실시간[[#This Row],[nxt_code]],"누적거래량")</f>
        <v>15368</v>
      </c>
      <c r="M594" s="4">
        <f>_xll.IMDP("STK",표.실시간[[#This Row],[nxt_code]],"누적거래대금")</f>
        <v>297902160</v>
      </c>
      <c r="N594" s="4">
        <f>_xll.IMDP("STK",표.실시간[[#This Row],[nxt_code]],"가중평균가")</f>
        <v>19384.575742000001</v>
      </c>
      <c r="O594" s="4">
        <f>_xll.IMDP("STK",표.실시간[[#This Row],[nxt_code]],"시가")</f>
        <v>19450</v>
      </c>
      <c r="P594" s="4">
        <f>_xll.IMDP("STK",표.실시간[[#This Row],[nxt_code]],"고가")</f>
        <v>19460</v>
      </c>
      <c r="Q594" s="4">
        <f>_xll.IMDP("STK",표.실시간[[#This Row],[nxt_code]],"저가")</f>
        <v>19210</v>
      </c>
      <c r="R594">
        <f>_xll.IMDP("STK",표.실시간[[#This Row],[nxt_code]],"세션명")</f>
        <v>0</v>
      </c>
      <c r="S594">
        <f>_xll.IMDP("STK",표.실시간[[#This Row],[nxt_code]],"체결시간")</f>
        <v>0</v>
      </c>
      <c r="T594" s="4">
        <f>_xll.IMDP("STK","017860","현재가")</f>
        <v>19360</v>
      </c>
      <c r="U594">
        <f>_xll.IMDP("STK","017860","누적거래량")</f>
        <v>5040</v>
      </c>
    </row>
    <row r="595" spans="3:21" x14ac:dyDescent="0.3">
      <c r="C595">
        <v>590</v>
      </c>
      <c r="D595">
        <v>1820</v>
      </c>
      <c r="E595" t="s">
        <v>607</v>
      </c>
      <c r="F595" t="str">
        <f>ConvertStockCode(표.실시간[[#This Row],[코드]])</f>
        <v>N001820</v>
      </c>
      <c r="G595" s="4">
        <f>_xll.IMDP("STK",표.실시간[[#This Row],[nxt_code]],"현재가")</f>
        <v>31300</v>
      </c>
      <c r="H595" s="4">
        <f>_xll.IMDP("STK",표.실시간[[#This Row],[nxt_code]],"시가총액")/10^12</f>
        <v>0.32536350000000003</v>
      </c>
      <c r="I595" t="str">
        <f>_xll.IMDP("","","전일대비부호")</f>
        <v>코드오류</v>
      </c>
      <c r="J595" s="5">
        <f>_xll.IMDP("STK",표.실시간[[#This Row],[nxt_code]],"전일대비")</f>
        <v>0</v>
      </c>
      <c r="K595">
        <f>_xll.IMDP("STK",표.실시간[[#This Row],[nxt_code]],"등락률")</f>
        <v>0</v>
      </c>
      <c r="L595" s="4">
        <f>_xll.IMDP("STK",표.실시간[[#This Row],[nxt_code]],"누적거래량")</f>
        <v>21509</v>
      </c>
      <c r="M595" s="4">
        <f>_xll.IMDP("STK",표.실시간[[#This Row],[nxt_code]],"누적거래대금")</f>
        <v>682464300</v>
      </c>
      <c r="N595" s="4">
        <f>_xll.IMDP("STK",표.실시간[[#This Row],[nxt_code]],"가중평균가")</f>
        <v>31729.243571999999</v>
      </c>
      <c r="O595" s="4">
        <f>_xll.IMDP("STK",표.실시간[[#This Row],[nxt_code]],"시가")</f>
        <v>31900</v>
      </c>
      <c r="P595" s="4">
        <f>_xll.IMDP("STK",표.실시간[[#This Row],[nxt_code]],"고가")</f>
        <v>31900</v>
      </c>
      <c r="Q595" s="4">
        <f>_xll.IMDP("STK",표.실시간[[#This Row],[nxt_code]],"저가")</f>
        <v>31300</v>
      </c>
      <c r="R595">
        <f>_xll.IMDP("STK",표.실시간[[#This Row],[nxt_code]],"세션명")</f>
        <v>0</v>
      </c>
      <c r="S595">
        <f>_xll.IMDP("STK",표.실시간[[#This Row],[nxt_code]],"체결시간")</f>
        <v>0</v>
      </c>
      <c r="T595" s="4">
        <f>_xll.IMDP("STK","001820","현재가")</f>
        <v>31250</v>
      </c>
      <c r="U595">
        <f>_xll.IMDP("STK","001820","누적거래량")</f>
        <v>7813</v>
      </c>
    </row>
    <row r="596" spans="3:21" x14ac:dyDescent="0.3">
      <c r="C596">
        <v>591</v>
      </c>
      <c r="D596">
        <v>95500</v>
      </c>
      <c r="E596" t="s">
        <v>608</v>
      </c>
      <c r="F596" t="str">
        <f>ConvertStockCode(표.실시간[[#This Row],[코드]])</f>
        <v>N095500</v>
      </c>
      <c r="G596" s="4">
        <f>_xll.IMDP("STK",표.실시간[[#This Row],[nxt_code]],"현재가")</f>
        <v>12340</v>
      </c>
      <c r="H596" s="4">
        <f>_xll.IMDP("STK",표.실시간[[#This Row],[nxt_code]],"시가총액")/10^12</f>
        <v>0.38235328766999999</v>
      </c>
      <c r="I596" t="str">
        <f>_xll.IMDP("","","전일대비부호")</f>
        <v>코드오류</v>
      </c>
      <c r="J596" s="5">
        <f>_xll.IMDP("STK",표.실시간[[#This Row],[nxt_code]],"전일대비")</f>
        <v>230</v>
      </c>
      <c r="K596">
        <f>_xll.IMDP("STK",표.실시간[[#This Row],[nxt_code]],"등락률")</f>
        <v>1.98</v>
      </c>
      <c r="L596" s="4">
        <f>_xll.IMDP("STK",표.실시간[[#This Row],[nxt_code]],"누적거래량")</f>
        <v>1382948</v>
      </c>
      <c r="M596" s="4">
        <f>_xll.IMDP("STK",표.실시간[[#This Row],[nxt_code]],"누적거래대금")</f>
        <v>17391027480</v>
      </c>
      <c r="N596" s="4">
        <f>_xll.IMDP("STK",표.실시간[[#This Row],[nxt_code]],"가중평균가")</f>
        <v>12575.330005</v>
      </c>
      <c r="O596" s="4">
        <f>_xll.IMDP("STK",표.실시간[[#This Row],[nxt_code]],"시가")</f>
        <v>12780</v>
      </c>
      <c r="P596" s="4">
        <f>_xll.IMDP("STK",표.실시간[[#This Row],[nxt_code]],"고가")</f>
        <v>12930</v>
      </c>
      <c r="Q596" s="4">
        <f>_xll.IMDP("STK",표.실시간[[#This Row],[nxt_code]],"저가")</f>
        <v>12280</v>
      </c>
      <c r="R596">
        <f>_xll.IMDP("STK",표.실시간[[#This Row],[nxt_code]],"세션명")</f>
        <v>0</v>
      </c>
      <c r="S596">
        <f>_xll.IMDP("STK",표.실시간[[#This Row],[nxt_code]],"체결시간")</f>
        <v>0</v>
      </c>
      <c r="T596" s="4">
        <f>_xll.IMDP("STK","095500","현재가")</f>
        <v>12340</v>
      </c>
      <c r="U596">
        <f>_xll.IMDP("STK","095500","누적거래량")</f>
        <v>110306</v>
      </c>
    </row>
    <row r="597" spans="3:21" x14ac:dyDescent="0.3">
      <c r="C597">
        <v>592</v>
      </c>
      <c r="D597">
        <v>101360</v>
      </c>
      <c r="E597" t="s">
        <v>609</v>
      </c>
      <c r="F597" t="str">
        <f>ConvertStockCode(표.실시간[[#This Row],[코드]])</f>
        <v>N101360</v>
      </c>
      <c r="G597" s="4">
        <f>_xll.IMDP("STK",표.실시간[[#This Row],[nxt_code]],"현재가")</f>
        <v>19590</v>
      </c>
      <c r="H597" s="4">
        <f>_xll.IMDP("STK",표.실시간[[#This Row],[nxt_code]],"시가총액")/10^12</f>
        <v>0.34842997326000003</v>
      </c>
      <c r="I597" t="str">
        <f>_xll.IMDP("","","전일대비부호")</f>
        <v>코드오류</v>
      </c>
      <c r="J597" s="5">
        <f>_xll.IMDP("STK",표.실시간[[#This Row],[nxt_code]],"전일대비")</f>
        <v>450</v>
      </c>
      <c r="K597">
        <f>_xll.IMDP("STK",표.실시간[[#This Row],[nxt_code]],"등락률")</f>
        <v>2.35</v>
      </c>
      <c r="L597" s="4">
        <f>_xll.IMDP("STK",표.실시간[[#This Row],[nxt_code]],"누적거래량")</f>
        <v>65414</v>
      </c>
      <c r="M597" s="4">
        <f>_xll.IMDP("STK",표.실시간[[#This Row],[nxt_code]],"누적거래대금")</f>
        <v>1291656280</v>
      </c>
      <c r="N597" s="4">
        <f>_xll.IMDP("STK",표.실시간[[#This Row],[nxt_code]],"가중평균가")</f>
        <v>19745.86908</v>
      </c>
      <c r="O597" s="4">
        <f>_xll.IMDP("STK",표.실시간[[#This Row],[nxt_code]],"시가")</f>
        <v>19830</v>
      </c>
      <c r="P597" s="4">
        <f>_xll.IMDP("STK",표.실시간[[#This Row],[nxt_code]],"고가")</f>
        <v>19890</v>
      </c>
      <c r="Q597" s="4">
        <f>_xll.IMDP("STK",표.실시간[[#This Row],[nxt_code]],"저가")</f>
        <v>19570</v>
      </c>
      <c r="R597">
        <f>_xll.IMDP("STK",표.실시간[[#This Row],[nxt_code]],"세션명")</f>
        <v>0</v>
      </c>
      <c r="S597">
        <f>_xll.IMDP("STK",표.실시간[[#This Row],[nxt_code]],"체결시간")</f>
        <v>0</v>
      </c>
      <c r="T597" s="4">
        <f>_xll.IMDP("STK","101360","현재가")</f>
        <v>19570</v>
      </c>
      <c r="U597">
        <f>_xll.IMDP("STK","101360","누적거래량")</f>
        <v>17856</v>
      </c>
    </row>
    <row r="598" spans="3:21" x14ac:dyDescent="0.3">
      <c r="C598">
        <v>593</v>
      </c>
      <c r="D598">
        <v>3960</v>
      </c>
      <c r="E598" t="s">
        <v>610</v>
      </c>
      <c r="F598" t="str">
        <f>ConvertStockCode(표.실시간[[#This Row],[코드]])</f>
        <v>N003960</v>
      </c>
      <c r="G598" s="4">
        <f>_xll.IMDP("STK",표.실시간[[#This Row],[nxt_code]],"현재가")</f>
        <v>35500</v>
      </c>
      <c r="H598" s="4">
        <f>_xll.IMDP("STK",표.실시간[[#This Row],[nxt_code]],"시가총액")/10^12</f>
        <v>0.32533857849999998</v>
      </c>
      <c r="I598" t="str">
        <f>_xll.IMDP("","","전일대비부호")</f>
        <v>코드오류</v>
      </c>
      <c r="J598" s="5">
        <f>_xll.IMDP("STK",표.실시간[[#This Row],[nxt_code]],"전일대비")</f>
        <v>150</v>
      </c>
      <c r="K598">
        <f>_xll.IMDP("STK",표.실시간[[#This Row],[nxt_code]],"등락률")</f>
        <v>0.42</v>
      </c>
      <c r="L598" s="4">
        <f>_xll.IMDP("STK",표.실시간[[#This Row],[nxt_code]],"누적거래량")</f>
        <v>364</v>
      </c>
      <c r="M598" s="4">
        <f>_xll.IMDP("STK",표.실시간[[#This Row],[nxt_code]],"누적거래대금")</f>
        <v>12882350</v>
      </c>
      <c r="N598" s="4">
        <f>_xll.IMDP("STK",표.실시간[[#This Row],[nxt_code]],"가중평균가")</f>
        <v>35391.071429000003</v>
      </c>
      <c r="O598" s="4">
        <f>_xll.IMDP("STK",표.실시간[[#This Row],[nxt_code]],"시가")</f>
        <v>35400</v>
      </c>
      <c r="P598" s="4">
        <f>_xll.IMDP("STK",표.실시간[[#This Row],[nxt_code]],"고가")</f>
        <v>35550</v>
      </c>
      <c r="Q598" s="4">
        <f>_xll.IMDP("STK",표.실시간[[#This Row],[nxt_code]],"저가")</f>
        <v>35250</v>
      </c>
      <c r="R598">
        <f>_xll.IMDP("STK",표.실시간[[#This Row],[nxt_code]],"세션명")</f>
        <v>0</v>
      </c>
      <c r="S598">
        <f>_xll.IMDP("STK",표.실시간[[#This Row],[nxt_code]],"체결시간")</f>
        <v>0</v>
      </c>
      <c r="T598" s="4">
        <f>_xll.IMDP("STK","003960","현재가")</f>
        <v>35600</v>
      </c>
      <c r="U598">
        <f>_xll.IMDP("STK","003960","누적거래량")</f>
        <v>875</v>
      </c>
    </row>
    <row r="599" spans="3:21" x14ac:dyDescent="0.3">
      <c r="C599">
        <v>594</v>
      </c>
      <c r="D599">
        <v>194370</v>
      </c>
      <c r="E599" t="s">
        <v>611</v>
      </c>
      <c r="F599" t="str">
        <f>ConvertStockCode(표.실시간[[#This Row],[코드]])</f>
        <v>N194370</v>
      </c>
      <c r="G599" s="4">
        <f>_xll.IMDP("STK",표.실시간[[#This Row],[nxt_code]],"현재가")</f>
        <v>11390</v>
      </c>
      <c r="H599" s="4">
        <f>_xll.IMDP("STK",표.실시간[[#This Row],[nxt_code]],"시가총액")/10^12</f>
        <v>0.33050087362000002</v>
      </c>
      <c r="I599" t="str">
        <f>_xll.IMDP("","","전일대비부호")</f>
        <v>코드오류</v>
      </c>
      <c r="J599" s="5">
        <f>_xll.IMDP("STK",표.실시간[[#This Row],[nxt_code]],"전일대비")</f>
        <v>40</v>
      </c>
      <c r="K599">
        <f>_xll.IMDP("STK",표.실시간[[#This Row],[nxt_code]],"등락률")</f>
        <v>0.35</v>
      </c>
      <c r="L599" s="4">
        <f>_xll.IMDP("STK",표.실시간[[#This Row],[nxt_code]],"누적거래량")</f>
        <v>2843</v>
      </c>
      <c r="M599" s="4">
        <f>_xll.IMDP("STK",표.실시간[[#This Row],[nxt_code]],"누적거래대금")</f>
        <v>32460660</v>
      </c>
      <c r="N599" s="4">
        <f>_xll.IMDP("STK",표.실시간[[#This Row],[nxt_code]],"가중평균가")</f>
        <v>11417.748857</v>
      </c>
      <c r="O599" s="4">
        <f>_xll.IMDP("STK",표.실시간[[#This Row],[nxt_code]],"시가")</f>
        <v>11350</v>
      </c>
      <c r="P599" s="4">
        <f>_xll.IMDP("STK",표.실시간[[#This Row],[nxt_code]],"고가")</f>
        <v>11500</v>
      </c>
      <c r="Q599" s="4">
        <f>_xll.IMDP("STK",표.실시간[[#This Row],[nxt_code]],"저가")</f>
        <v>11340</v>
      </c>
      <c r="R599">
        <f>_xll.IMDP("STK",표.실시간[[#This Row],[nxt_code]],"세션명")</f>
        <v>0</v>
      </c>
      <c r="S599">
        <f>_xll.IMDP("STK",표.실시간[[#This Row],[nxt_code]],"체결시간")</f>
        <v>0</v>
      </c>
      <c r="T599" s="4">
        <f>_xll.IMDP("STK","194370","현재가")</f>
        <v>11310</v>
      </c>
      <c r="U599">
        <f>_xll.IMDP("STK","194370","누적거래량")</f>
        <v>2294</v>
      </c>
    </row>
    <row r="600" spans="3:21" x14ac:dyDescent="0.3">
      <c r="C600">
        <v>595</v>
      </c>
      <c r="D600">
        <v>108860</v>
      </c>
      <c r="E600" t="s">
        <v>612</v>
      </c>
      <c r="F600" t="str">
        <f>ConvertStockCode(표.실시간[[#This Row],[코드]])</f>
        <v>N108860</v>
      </c>
      <c r="G600" s="4">
        <f>_xll.IMDP("STK",표.실시간[[#This Row],[nxt_code]],"현재가")</f>
        <v>11960</v>
      </c>
      <c r="H600" s="4">
        <f>_xll.IMDP("STK",표.실시간[[#This Row],[nxt_code]],"시가총액")/10^12</f>
        <v>0.32190088839999997</v>
      </c>
      <c r="I600" t="str">
        <f>_xll.IMDP("","","전일대비부호")</f>
        <v>코드오류</v>
      </c>
      <c r="J600" s="5">
        <f>_xll.IMDP("STK",표.실시간[[#This Row],[nxt_code]],"전일대비")</f>
        <v>110</v>
      </c>
      <c r="K600">
        <f>_xll.IMDP("STK",표.실시간[[#This Row],[nxt_code]],"등락률")</f>
        <v>0.93</v>
      </c>
      <c r="L600" s="4">
        <f>_xll.IMDP("STK",표.실시간[[#This Row],[nxt_code]],"누적거래량")</f>
        <v>18897</v>
      </c>
      <c r="M600" s="4">
        <f>_xll.IMDP("STK",표.실시간[[#This Row],[nxt_code]],"누적거래대금")</f>
        <v>225940210</v>
      </c>
      <c r="N600" s="4">
        <f>_xll.IMDP("STK",표.실시간[[#This Row],[nxt_code]],"가중평균가")</f>
        <v>11956.406308</v>
      </c>
      <c r="O600" s="4">
        <f>_xll.IMDP("STK",표.실시간[[#This Row],[nxt_code]],"시가")</f>
        <v>12000</v>
      </c>
      <c r="P600" s="4">
        <f>_xll.IMDP("STK",표.실시간[[#This Row],[nxt_code]],"고가")</f>
        <v>12210</v>
      </c>
      <c r="Q600" s="4">
        <f>_xll.IMDP("STK",표.실시간[[#This Row],[nxt_code]],"저가")</f>
        <v>11880</v>
      </c>
      <c r="R600">
        <f>_xll.IMDP("STK",표.실시간[[#This Row],[nxt_code]],"세션명")</f>
        <v>0</v>
      </c>
      <c r="S600">
        <f>_xll.IMDP("STK",표.실시간[[#This Row],[nxt_code]],"체결시간")</f>
        <v>0</v>
      </c>
      <c r="T600" s="4">
        <f>_xll.IMDP("STK","108860","현재가")</f>
        <v>11970</v>
      </c>
      <c r="U600">
        <f>_xll.IMDP("STK","108860","누적거래량")</f>
        <v>2889</v>
      </c>
    </row>
    <row r="601" spans="3:21" x14ac:dyDescent="0.3">
      <c r="C601">
        <v>596</v>
      </c>
      <c r="D601">
        <v>17390</v>
      </c>
      <c r="E601" t="s">
        <v>613</v>
      </c>
      <c r="F601" t="str">
        <f>ConvertStockCode(표.실시간[[#This Row],[코드]])</f>
        <v>N017390</v>
      </c>
      <c r="G601" s="4">
        <f>_xll.IMDP("STK",표.실시간[[#This Row],[nxt_code]],"현재가")</f>
        <v>64000</v>
      </c>
      <c r="H601" s="4">
        <f>_xll.IMDP("STK",표.실시간[[#This Row],[nxt_code]],"시가총액")/10^12</f>
        <v>0.32</v>
      </c>
      <c r="I601" t="str">
        <f>_xll.IMDP("","","전일대비부호")</f>
        <v>코드오류</v>
      </c>
      <c r="J601" s="5">
        <f>_xll.IMDP("STK",표.실시간[[#This Row],[nxt_code]],"전일대비")</f>
        <v>0</v>
      </c>
      <c r="K601">
        <f>_xll.IMDP("STK",표.실시간[[#This Row],[nxt_code]],"등락률")</f>
        <v>0</v>
      </c>
      <c r="L601" s="4">
        <f>_xll.IMDP("STK",표.실시간[[#This Row],[nxt_code]],"누적거래량")</f>
        <v>1916</v>
      </c>
      <c r="M601" s="4">
        <f>_xll.IMDP("STK",표.실시간[[#This Row],[nxt_code]],"누적거래대금")</f>
        <v>123226800</v>
      </c>
      <c r="N601" s="4">
        <f>_xll.IMDP("STK",표.실시간[[#This Row],[nxt_code]],"가중평균가")</f>
        <v>64314.613778999999</v>
      </c>
      <c r="O601" s="4">
        <f>_xll.IMDP("STK",표.실시간[[#This Row],[nxt_code]],"시가")</f>
        <v>65000</v>
      </c>
      <c r="P601" s="4">
        <f>_xll.IMDP("STK",표.실시간[[#This Row],[nxt_code]],"고가")</f>
        <v>65000</v>
      </c>
      <c r="Q601" s="4">
        <f>_xll.IMDP("STK",표.실시간[[#This Row],[nxt_code]],"저가")</f>
        <v>64000</v>
      </c>
      <c r="R601">
        <f>_xll.IMDP("STK",표.실시간[[#This Row],[nxt_code]],"세션명")</f>
        <v>0</v>
      </c>
      <c r="S601">
        <f>_xll.IMDP("STK",표.실시간[[#This Row],[nxt_code]],"체결시간")</f>
        <v>0</v>
      </c>
      <c r="T601" s="4">
        <f>_xll.IMDP("STK","017390","현재가")</f>
        <v>63900</v>
      </c>
      <c r="U601">
        <f>_xll.IMDP("STK","017390","누적거래량")</f>
        <v>293</v>
      </c>
    </row>
    <row r="602" spans="3:21" x14ac:dyDescent="0.3">
      <c r="C602">
        <v>597</v>
      </c>
      <c r="D602">
        <v>24720</v>
      </c>
      <c r="E602" t="s">
        <v>614</v>
      </c>
      <c r="F602" t="str">
        <f>ConvertStockCode(표.실시간[[#This Row],[코드]])</f>
        <v>N024720</v>
      </c>
      <c r="G602" s="4">
        <f>_xll.IMDP("STK",표.실시간[[#This Row],[nxt_code]],"현재가")</f>
        <v>9440</v>
      </c>
      <c r="H602" s="4">
        <f>_xll.IMDP("STK",표.실시간[[#This Row],[nxt_code]],"시가총액")/10^12</f>
        <v>0.32375668495999999</v>
      </c>
      <c r="I602" t="str">
        <f>_xll.IMDP("","","전일대비부호")</f>
        <v>코드오류</v>
      </c>
      <c r="J602" s="5">
        <f>_xll.IMDP("STK",표.실시간[[#This Row],[nxt_code]],"전일대비")</f>
        <v>20</v>
      </c>
      <c r="K602">
        <f>_xll.IMDP("STK",표.실시간[[#This Row],[nxt_code]],"등락률")</f>
        <v>0.21</v>
      </c>
      <c r="L602" s="4">
        <f>_xll.IMDP("STK",표.실시간[[#This Row],[nxt_code]],"누적거래량")</f>
        <v>5590</v>
      </c>
      <c r="M602" s="4">
        <f>_xll.IMDP("STK",표.실시간[[#This Row],[nxt_code]],"누적거래대금")</f>
        <v>53209630</v>
      </c>
      <c r="N602" s="4">
        <f>_xll.IMDP("STK",표.실시간[[#This Row],[nxt_code]],"가중평균가")</f>
        <v>9518.7173519999997</v>
      </c>
      <c r="O602" s="4">
        <f>_xll.IMDP("STK",표.실시간[[#This Row],[nxt_code]],"시가")</f>
        <v>9820</v>
      </c>
      <c r="P602" s="4">
        <f>_xll.IMDP("STK",표.실시간[[#This Row],[nxt_code]],"고가")</f>
        <v>9820</v>
      </c>
      <c r="Q602" s="4">
        <f>_xll.IMDP("STK",표.실시간[[#This Row],[nxt_code]],"저가")</f>
        <v>9400</v>
      </c>
      <c r="R602">
        <f>_xll.IMDP("STK",표.실시간[[#This Row],[nxt_code]],"세션명")</f>
        <v>0</v>
      </c>
      <c r="S602">
        <f>_xll.IMDP("STK",표.실시간[[#This Row],[nxt_code]],"체결시간")</f>
        <v>0</v>
      </c>
      <c r="T602" s="4">
        <f>_xll.IMDP("STK","024720","현재가")</f>
        <v>9500</v>
      </c>
      <c r="U602">
        <f>_xll.IMDP("STK","024720","누적거래량")</f>
        <v>44</v>
      </c>
    </row>
    <row r="603" spans="3:21" x14ac:dyDescent="0.3">
      <c r="C603">
        <v>598</v>
      </c>
      <c r="D603">
        <v>114810</v>
      </c>
      <c r="E603" t="s">
        <v>615</v>
      </c>
      <c r="F603" t="str">
        <f>ConvertStockCode(표.실시간[[#This Row],[코드]])</f>
        <v>N114810</v>
      </c>
      <c r="G603" s="4">
        <f>_xll.IMDP("STK",표.실시간[[#This Row],[nxt_code]],"현재가")</f>
        <v>11630</v>
      </c>
      <c r="H603" s="4">
        <f>_xll.IMDP("STK",표.실시간[[#This Row],[nxt_code]],"시가총액")/10^12</f>
        <v>0.33253861361999998</v>
      </c>
      <c r="I603" t="str">
        <f>_xll.IMDP("","","전일대비부호")</f>
        <v>코드오류</v>
      </c>
      <c r="J603" s="5">
        <f>_xll.IMDP("STK",표.실시간[[#This Row],[nxt_code]],"전일대비")</f>
        <v>-40</v>
      </c>
      <c r="K603">
        <f>_xll.IMDP("STK",표.실시간[[#This Row],[nxt_code]],"등락률")</f>
        <v>-0.34</v>
      </c>
      <c r="L603" s="4">
        <f>_xll.IMDP("STK",표.실시간[[#This Row],[nxt_code]],"누적거래량")</f>
        <v>11539</v>
      </c>
      <c r="M603" s="4">
        <f>_xll.IMDP("STK",표.실시간[[#This Row],[nxt_code]],"누적거래대금")</f>
        <v>134693780</v>
      </c>
      <c r="N603" s="4">
        <f>_xll.IMDP("STK",표.실시간[[#This Row],[nxt_code]],"가중평균가")</f>
        <v>11672.916197</v>
      </c>
      <c r="O603" s="4">
        <f>_xll.IMDP("STK",표.실시간[[#This Row],[nxt_code]],"시가")</f>
        <v>11790</v>
      </c>
      <c r="P603" s="4">
        <f>_xll.IMDP("STK",표.실시간[[#This Row],[nxt_code]],"고가")</f>
        <v>11790</v>
      </c>
      <c r="Q603" s="4">
        <f>_xll.IMDP("STK",표.실시간[[#This Row],[nxt_code]],"저가")</f>
        <v>11620</v>
      </c>
      <c r="R603">
        <f>_xll.IMDP("STK",표.실시간[[#This Row],[nxt_code]],"세션명")</f>
        <v>0</v>
      </c>
      <c r="S603">
        <f>_xll.IMDP("STK",표.실시간[[#This Row],[nxt_code]],"체결시간")</f>
        <v>0</v>
      </c>
      <c r="T603" s="4">
        <f>_xll.IMDP("STK","114810","현재가")</f>
        <v>11500</v>
      </c>
      <c r="U603">
        <f>_xll.IMDP("STK","114810","누적거래량")</f>
        <v>4712</v>
      </c>
    </row>
    <row r="604" spans="3:21" x14ac:dyDescent="0.3">
      <c r="C604">
        <v>599</v>
      </c>
      <c r="D604">
        <v>42520</v>
      </c>
      <c r="E604" t="s">
        <v>616</v>
      </c>
      <c r="F604" t="str">
        <f>ConvertStockCode(표.실시간[[#This Row],[코드]])</f>
        <v>N042520</v>
      </c>
      <c r="G604" s="4">
        <f>_xll.IMDP("STK",표.실시간[[#This Row],[nxt_code]],"현재가")</f>
        <v>23800</v>
      </c>
      <c r="H604" s="4">
        <f>_xll.IMDP("STK",표.실시간[[#This Row],[nxt_code]],"시가총액")/10^12</f>
        <v>0.33894453460000001</v>
      </c>
      <c r="I604" t="str">
        <f>_xll.IMDP("","","전일대비부호")</f>
        <v>코드오류</v>
      </c>
      <c r="J604" s="5">
        <f>_xll.IMDP("STK",표.실시간[[#This Row],[nxt_code]],"전일대비")</f>
        <v>-600</v>
      </c>
      <c r="K604">
        <f>_xll.IMDP("STK",표.실시간[[#This Row],[nxt_code]],"등락률")</f>
        <v>-2.46</v>
      </c>
      <c r="L604" s="4">
        <f>_xll.IMDP("STK",표.실시간[[#This Row],[nxt_code]],"누적거래량")</f>
        <v>13712</v>
      </c>
      <c r="M604" s="4">
        <f>_xll.IMDP("STK",표.실시간[[#This Row],[nxt_code]],"누적거래대금")</f>
        <v>328930600</v>
      </c>
      <c r="N604" s="4">
        <f>_xll.IMDP("STK",표.실시간[[#This Row],[nxt_code]],"가중평균가")</f>
        <v>23988.521003999998</v>
      </c>
      <c r="O604" s="4">
        <f>_xll.IMDP("STK",표.실시간[[#This Row],[nxt_code]],"시가")</f>
        <v>24650</v>
      </c>
      <c r="P604" s="4">
        <f>_xll.IMDP("STK",표.실시간[[#This Row],[nxt_code]],"고가")</f>
        <v>24700</v>
      </c>
      <c r="Q604" s="4">
        <f>_xll.IMDP("STK",표.실시간[[#This Row],[nxt_code]],"저가")</f>
        <v>23700</v>
      </c>
      <c r="R604">
        <f>_xll.IMDP("STK",표.실시간[[#This Row],[nxt_code]],"세션명")</f>
        <v>0</v>
      </c>
      <c r="S604">
        <f>_xll.IMDP("STK",표.실시간[[#This Row],[nxt_code]],"체결시간")</f>
        <v>0</v>
      </c>
      <c r="T604" s="4">
        <f>_xll.IMDP("STK","042520","현재가")</f>
        <v>23800</v>
      </c>
      <c r="U604">
        <f>_xll.IMDP("STK","042520","누적거래량")</f>
        <v>3027</v>
      </c>
    </row>
    <row r="605" spans="3:21" x14ac:dyDescent="0.3">
      <c r="C605">
        <v>600</v>
      </c>
      <c r="D605">
        <v>51500</v>
      </c>
      <c r="E605" t="s">
        <v>617</v>
      </c>
      <c r="F605" t="str">
        <f>ConvertStockCode(표.실시간[[#This Row],[코드]])</f>
        <v>N051500</v>
      </c>
      <c r="G605" s="4">
        <f>_xll.IMDP("STK",표.실시간[[#This Row],[nxt_code]],"현재가")</f>
        <v>26550</v>
      </c>
      <c r="H605" s="4">
        <f>_xll.IMDP("STK",표.실시간[[#This Row],[nxt_code]],"시가총액")/10^12</f>
        <v>0.31519060830000001</v>
      </c>
      <c r="I605" t="str">
        <f>_xll.IMDP("","","전일대비부호")</f>
        <v>코드오류</v>
      </c>
      <c r="J605" s="5">
        <f>_xll.IMDP("STK",표.실시간[[#This Row],[nxt_code]],"전일대비")</f>
        <v>250</v>
      </c>
      <c r="K605">
        <f>_xll.IMDP("STK",표.실시간[[#This Row],[nxt_code]],"등락률")</f>
        <v>0.95</v>
      </c>
      <c r="L605" s="4">
        <f>_xll.IMDP("STK",표.실시간[[#This Row],[nxt_code]],"누적거래량")</f>
        <v>40</v>
      </c>
      <c r="M605" s="4">
        <f>_xll.IMDP("STK",표.실시간[[#This Row],[nxt_code]],"누적거래대금")</f>
        <v>1061400</v>
      </c>
      <c r="N605" s="4">
        <f>_xll.IMDP("STK",표.실시간[[#This Row],[nxt_code]],"가중평균가")</f>
        <v>26535</v>
      </c>
      <c r="O605" s="4">
        <f>_xll.IMDP("STK",표.실시간[[#This Row],[nxt_code]],"시가")</f>
        <v>26750</v>
      </c>
      <c r="P605" s="4">
        <f>_xll.IMDP("STK",표.실시간[[#This Row],[nxt_code]],"고가")</f>
        <v>26900</v>
      </c>
      <c r="Q605" s="4">
        <f>_xll.IMDP("STK",표.실시간[[#This Row],[nxt_code]],"저가")</f>
        <v>26350</v>
      </c>
      <c r="R605">
        <f>_xll.IMDP("STK",표.실시간[[#This Row],[nxt_code]],"세션명")</f>
        <v>0</v>
      </c>
      <c r="S605">
        <f>_xll.IMDP("STK",표.실시간[[#This Row],[nxt_code]],"체결시간")</f>
        <v>0</v>
      </c>
      <c r="T605" s="4">
        <f>_xll.IMDP("STK","051500","현재가")</f>
        <v>26500</v>
      </c>
      <c r="U605">
        <f>_xll.IMDP("STK","051500","누적거래량")</f>
        <v>29</v>
      </c>
    </row>
    <row r="606" spans="3:21" x14ac:dyDescent="0.3">
      <c r="C606">
        <v>601</v>
      </c>
      <c r="D606">
        <v>445090</v>
      </c>
      <c r="E606" t="s">
        <v>618</v>
      </c>
      <c r="F606" t="str">
        <f>ConvertStockCode(표.실시간[[#This Row],[코드]])</f>
        <v>N445090</v>
      </c>
      <c r="G606" s="4">
        <f>_xll.IMDP("STK",표.실시간[[#This Row],[nxt_code]],"현재가")</f>
        <v>30100</v>
      </c>
      <c r="H606" s="4">
        <f>_xll.IMDP("STK",표.실시간[[#This Row],[nxt_code]],"시가총액")/10^12</f>
        <v>0.32886230579999998</v>
      </c>
      <c r="I606" t="str">
        <f>_xll.IMDP("","","전일대비부호")</f>
        <v>코드오류</v>
      </c>
      <c r="J606" s="5">
        <f>_xll.IMDP("STK",표.실시간[[#This Row],[nxt_code]],"전일대비")</f>
        <v>50</v>
      </c>
      <c r="K606">
        <f>_xll.IMDP("STK",표.실시간[[#This Row],[nxt_code]],"등락률")</f>
        <v>0.17</v>
      </c>
      <c r="L606" s="4">
        <f>_xll.IMDP("STK",표.실시간[[#This Row],[nxt_code]],"누적거래량")</f>
        <v>39708</v>
      </c>
      <c r="M606" s="4">
        <f>_xll.IMDP("STK",표.실시간[[#This Row],[nxt_code]],"누적거래대금")</f>
        <v>1205915250</v>
      </c>
      <c r="N606" s="4">
        <f>_xll.IMDP("STK",표.실시간[[#This Row],[nxt_code]],"가중평균가")</f>
        <v>30369.599547000002</v>
      </c>
      <c r="O606" s="4">
        <f>_xll.IMDP("STK",표.실시간[[#This Row],[nxt_code]],"시가")</f>
        <v>30100</v>
      </c>
      <c r="P606" s="4">
        <f>_xll.IMDP("STK",표.실시간[[#This Row],[nxt_code]],"고가")</f>
        <v>30650</v>
      </c>
      <c r="Q606" s="4">
        <f>_xll.IMDP("STK",표.실시간[[#This Row],[nxt_code]],"저가")</f>
        <v>30100</v>
      </c>
      <c r="R606">
        <f>_xll.IMDP("STK",표.실시간[[#This Row],[nxt_code]],"세션명")</f>
        <v>0</v>
      </c>
      <c r="S606">
        <f>_xll.IMDP("STK",표.실시간[[#This Row],[nxt_code]],"체결시간")</f>
        <v>0</v>
      </c>
      <c r="T606" s="4">
        <f>_xll.IMDP("STK","445090","현재가")</f>
        <v>30000</v>
      </c>
      <c r="U606">
        <f>_xll.IMDP("STK","445090","누적거래량")</f>
        <v>9209</v>
      </c>
    </row>
    <row r="607" spans="3:21" x14ac:dyDescent="0.3">
      <c r="C607">
        <v>602</v>
      </c>
      <c r="D607">
        <v>92790</v>
      </c>
      <c r="E607" t="s">
        <v>619</v>
      </c>
      <c r="F607" t="str">
        <f>ConvertStockCode(표.실시간[[#This Row],[코드]])</f>
        <v>N092790</v>
      </c>
      <c r="G607" s="4">
        <f>_xll.IMDP("STK",표.실시간[[#This Row],[nxt_code]],"현재가")</f>
        <v>11320</v>
      </c>
      <c r="H607" s="4">
        <f>_xll.IMDP("STK",표.실시간[[#This Row],[nxt_code]],"시가총액")/10^12</f>
        <v>0.29434263999999999</v>
      </c>
      <c r="I607" t="str">
        <f>_xll.IMDP("","","전일대비부호")</f>
        <v>코드오류</v>
      </c>
      <c r="J607" s="5">
        <f>_xll.IMDP("STK",표.실시간[[#This Row],[nxt_code]],"전일대비")</f>
        <v>-370</v>
      </c>
      <c r="K607">
        <f>_xll.IMDP("STK",표.실시간[[#This Row],[nxt_code]],"등락률")</f>
        <v>-3.25</v>
      </c>
      <c r="L607" s="4">
        <f>_xll.IMDP("STK",표.실시간[[#This Row],[nxt_code]],"누적거래량")</f>
        <v>190598</v>
      </c>
      <c r="M607" s="4">
        <f>_xll.IMDP("STK",표.실시간[[#This Row],[nxt_code]],"누적거래대금")</f>
        <v>2199708630</v>
      </c>
      <c r="N607" s="4">
        <f>_xll.IMDP("STK",표.실시간[[#This Row],[nxt_code]],"가중평균가")</f>
        <v>11541.089781000001</v>
      </c>
      <c r="O607" s="4">
        <f>_xll.IMDP("STK",표.실시간[[#This Row],[nxt_code]],"시가")</f>
        <v>11700</v>
      </c>
      <c r="P607" s="4">
        <f>_xll.IMDP("STK",표.실시간[[#This Row],[nxt_code]],"고가")</f>
        <v>11770</v>
      </c>
      <c r="Q607" s="4">
        <f>_xll.IMDP("STK",표.실시간[[#This Row],[nxt_code]],"저가")</f>
        <v>11300</v>
      </c>
      <c r="R607">
        <f>_xll.IMDP("STK",표.실시간[[#This Row],[nxt_code]],"세션명")</f>
        <v>0</v>
      </c>
      <c r="S607">
        <f>_xll.IMDP("STK",표.실시간[[#This Row],[nxt_code]],"체결시간")</f>
        <v>0</v>
      </c>
      <c r="T607" s="4">
        <f>_xll.IMDP("STK","092790","현재가")</f>
        <v>11310</v>
      </c>
      <c r="U607">
        <f>_xll.IMDP("STK","092790","누적거래량")</f>
        <v>26956</v>
      </c>
    </row>
    <row r="608" spans="3:21" x14ac:dyDescent="0.3">
      <c r="C608">
        <v>603</v>
      </c>
      <c r="D608">
        <v>138490</v>
      </c>
      <c r="E608" t="s">
        <v>620</v>
      </c>
      <c r="F608" t="str">
        <f>ConvertStockCode(표.실시간[[#This Row],[코드]])</f>
        <v>N138490</v>
      </c>
      <c r="G608" s="4">
        <f>_xll.IMDP("STK",표.실시간[[#This Row],[nxt_code]],"현재가")</f>
        <v>8750</v>
      </c>
      <c r="H608" s="4">
        <f>_xll.IMDP("STK",표.실시간[[#This Row],[nxt_code]],"시가총액")/10^12</f>
        <v>0.33250000000000002</v>
      </c>
      <c r="I608" t="str">
        <f>_xll.IMDP("","","전일대비부호")</f>
        <v>코드오류</v>
      </c>
      <c r="J608" s="5">
        <f>_xll.IMDP("STK",표.실시간[[#This Row],[nxt_code]],"전일대비")</f>
        <v>10</v>
      </c>
      <c r="K608">
        <f>_xll.IMDP("STK",표.실시간[[#This Row],[nxt_code]],"등락률")</f>
        <v>0.11</v>
      </c>
      <c r="L608" s="4">
        <f>_xll.IMDP("STK",표.실시간[[#This Row],[nxt_code]],"누적거래량")</f>
        <v>4217</v>
      </c>
      <c r="M608" s="4">
        <f>_xll.IMDP("STK",표.실시간[[#This Row],[nxt_code]],"누적거래대금")</f>
        <v>37352740</v>
      </c>
      <c r="N608" s="4">
        <f>_xll.IMDP("STK",표.실시간[[#This Row],[nxt_code]],"가중평균가")</f>
        <v>8692.7484289999993</v>
      </c>
      <c r="O608" s="4">
        <f>_xll.IMDP("STK",표.실시간[[#This Row],[nxt_code]],"시가")</f>
        <v>8740</v>
      </c>
      <c r="P608" s="4">
        <f>_xll.IMDP("STK",표.실시간[[#This Row],[nxt_code]],"고가")</f>
        <v>8750</v>
      </c>
      <c r="Q608" s="4">
        <f>_xll.IMDP("STK",표.실시간[[#This Row],[nxt_code]],"저가")</f>
        <v>8640</v>
      </c>
      <c r="R608">
        <f>_xll.IMDP("STK",표.실시간[[#This Row],[nxt_code]],"세션명")</f>
        <v>0</v>
      </c>
      <c r="S608">
        <f>_xll.IMDP("STK",표.실시간[[#This Row],[nxt_code]],"체결시간")</f>
        <v>0</v>
      </c>
      <c r="T608" s="4">
        <f>_xll.IMDP("STK","138490","현재가")</f>
        <v>8760</v>
      </c>
      <c r="U608">
        <f>_xll.IMDP("STK","138490","누적거래량")</f>
        <v>2586</v>
      </c>
    </row>
    <row r="609" spans="3:21" x14ac:dyDescent="0.3">
      <c r="C609">
        <v>604</v>
      </c>
      <c r="D609">
        <v>357550</v>
      </c>
      <c r="E609" t="s">
        <v>621</v>
      </c>
      <c r="F609" t="str">
        <f>ConvertStockCode(표.실시간[[#This Row],[코드]])</f>
        <v>N357550</v>
      </c>
      <c r="G609" s="4">
        <f>_xll.IMDP("STK",표.실시간[[#This Row],[nxt_code]],"현재가")</f>
        <v>62300</v>
      </c>
      <c r="H609" s="4">
        <f>_xll.IMDP("STK",표.실시간[[#This Row],[nxt_code]],"시가총액")/10^12</f>
        <v>0.3398465</v>
      </c>
      <c r="I609" t="str">
        <f>_xll.IMDP("","","전일대비부호")</f>
        <v>코드오류</v>
      </c>
      <c r="J609" s="5">
        <f>_xll.IMDP("STK",표.실시간[[#This Row],[nxt_code]],"전일대비")</f>
        <v>2300</v>
      </c>
      <c r="K609">
        <f>_xll.IMDP("STK",표.실시간[[#This Row],[nxt_code]],"등락률")</f>
        <v>3.83</v>
      </c>
      <c r="L609" s="4">
        <f>_xll.IMDP("STK",표.실시간[[#This Row],[nxt_code]],"누적거래량")</f>
        <v>6738</v>
      </c>
      <c r="M609" s="4">
        <f>_xll.IMDP("STK",표.실시간[[#This Row],[nxt_code]],"누적거래대금")</f>
        <v>415852500</v>
      </c>
      <c r="N609" s="4">
        <f>_xll.IMDP("STK",표.실시간[[#This Row],[nxt_code]],"가중평균가")</f>
        <v>61717.497774000003</v>
      </c>
      <c r="O609" s="4">
        <f>_xll.IMDP("STK",표.실시간[[#This Row],[nxt_code]],"시가")</f>
        <v>62400</v>
      </c>
      <c r="P609" s="4">
        <f>_xll.IMDP("STK",표.실시간[[#This Row],[nxt_code]],"고가")</f>
        <v>63100</v>
      </c>
      <c r="Q609" s="4">
        <f>_xll.IMDP("STK",표.실시간[[#This Row],[nxt_code]],"저가")</f>
        <v>60200</v>
      </c>
      <c r="R609">
        <f>_xll.IMDP("STK",표.실시간[[#This Row],[nxt_code]],"세션명")</f>
        <v>0</v>
      </c>
      <c r="S609">
        <f>_xll.IMDP("STK",표.실시간[[#This Row],[nxt_code]],"체결시간")</f>
        <v>0</v>
      </c>
      <c r="T609" s="4">
        <f>_xll.IMDP("STK","357550","현재가")</f>
        <v>62300</v>
      </c>
      <c r="U609">
        <f>_xll.IMDP("STK","357550","누적거래량")</f>
        <v>1079</v>
      </c>
    </row>
    <row r="610" spans="3:21" x14ac:dyDescent="0.3">
      <c r="C610">
        <v>605</v>
      </c>
      <c r="D610" t="s">
        <v>714</v>
      </c>
      <c r="E610" t="s">
        <v>622</v>
      </c>
      <c r="F610" t="str">
        <f>ConvertStockCode(표.실시간[[#This Row],[코드]])</f>
        <v>N0008Z0</v>
      </c>
      <c r="G610" s="4">
        <f>_xll.IMDP("STK",표.실시간[[#This Row],[nxt_code]],"현재가")</f>
        <v>33000</v>
      </c>
      <c r="H610" s="4">
        <f>_xll.IMDP("STK",표.실시간[[#This Row],[nxt_code]],"시가총액")/10^12</f>
        <v>0.31140661200000003</v>
      </c>
      <c r="I610" t="str">
        <f>_xll.IMDP("","","전일대비부호")</f>
        <v>코드오류</v>
      </c>
      <c r="J610" s="5">
        <f>_xll.IMDP("STK",표.실시간[[#This Row],[nxt_code]],"전일대비")</f>
        <v>200</v>
      </c>
      <c r="K610">
        <f>_xll.IMDP("STK",표.실시간[[#This Row],[nxt_code]],"등락률")</f>
        <v>0.61</v>
      </c>
      <c r="L610" s="4">
        <f>_xll.IMDP("STK",표.실시간[[#This Row],[nxt_code]],"누적거래량")</f>
        <v>6839</v>
      </c>
      <c r="M610" s="4">
        <f>_xll.IMDP("STK",표.실시간[[#This Row],[nxt_code]],"누적거래대금")</f>
        <v>226004700</v>
      </c>
      <c r="N610" s="4">
        <f>_xll.IMDP("STK",표.실시간[[#This Row],[nxt_code]],"가중평균가")</f>
        <v>33046.454160000001</v>
      </c>
      <c r="O610" s="4">
        <f>_xll.IMDP("STK",표.실시간[[#This Row],[nxt_code]],"시가")</f>
        <v>32850</v>
      </c>
      <c r="P610" s="4">
        <f>_xll.IMDP("STK",표.실시간[[#This Row],[nxt_code]],"고가")</f>
        <v>33350</v>
      </c>
      <c r="Q610" s="4">
        <f>_xll.IMDP("STK",표.실시간[[#This Row],[nxt_code]],"저가")</f>
        <v>32700</v>
      </c>
      <c r="R610">
        <f>_xll.IMDP("STK",표.실시간[[#This Row],[nxt_code]],"세션명")</f>
        <v>0</v>
      </c>
      <c r="S610">
        <f>_xll.IMDP("STK",표.실시간[[#This Row],[nxt_code]],"체결시간")</f>
        <v>0</v>
      </c>
      <c r="T610" s="4">
        <f>_xll.IMDP("STK","0008Z0","현재가")</f>
        <v>33000</v>
      </c>
      <c r="U610">
        <f>_xll.IMDP("STK","0008Z0","누적거래량")</f>
        <v>467</v>
      </c>
    </row>
    <row r="611" spans="3:21" x14ac:dyDescent="0.3">
      <c r="C611">
        <v>606</v>
      </c>
      <c r="D611">
        <v>243070</v>
      </c>
      <c r="E611" t="s">
        <v>623</v>
      </c>
      <c r="F611" t="str">
        <f>ConvertStockCode(표.실시간[[#This Row],[코드]])</f>
        <v>N243070</v>
      </c>
      <c r="G611" s="4">
        <f>_xll.IMDP("STK",표.실시간[[#This Row],[nxt_code]],"현재가")</f>
        <v>26000</v>
      </c>
      <c r="H611" s="4">
        <f>_xll.IMDP("STK",표.실시간[[#This Row],[nxt_code]],"시가총액")/10^12</f>
        <v>0.31147129000000001</v>
      </c>
      <c r="I611" t="str">
        <f>_xll.IMDP("","","전일대비부호")</f>
        <v>코드오류</v>
      </c>
      <c r="J611" s="5">
        <f>_xll.IMDP("STK",표.실시간[[#This Row],[nxt_code]],"전일대비")</f>
        <v>0</v>
      </c>
      <c r="K611">
        <f>_xll.IMDP("STK",표.실시간[[#This Row],[nxt_code]],"등락률")</f>
        <v>0</v>
      </c>
      <c r="L611" s="4">
        <f>_xll.IMDP("STK",표.실시간[[#This Row],[nxt_code]],"누적거래량")</f>
        <v>604</v>
      </c>
      <c r="M611" s="4">
        <f>_xll.IMDP("STK",표.실시간[[#This Row],[nxt_code]],"누적거래대금")</f>
        <v>15747050</v>
      </c>
      <c r="N611" s="4">
        <f>_xll.IMDP("STK",표.실시간[[#This Row],[nxt_code]],"가중평균가")</f>
        <v>26071.274834</v>
      </c>
      <c r="O611" s="4">
        <f>_xll.IMDP("STK",표.실시간[[#This Row],[nxt_code]],"시가")</f>
        <v>25850</v>
      </c>
      <c r="P611" s="4">
        <f>_xll.IMDP("STK",표.실시간[[#This Row],[nxt_code]],"고가")</f>
        <v>26150</v>
      </c>
      <c r="Q611" s="4">
        <f>_xll.IMDP("STK",표.실시간[[#This Row],[nxt_code]],"저가")</f>
        <v>25850</v>
      </c>
      <c r="R611">
        <f>_xll.IMDP("STK",표.실시간[[#This Row],[nxt_code]],"세션명")</f>
        <v>0</v>
      </c>
      <c r="S611">
        <f>_xll.IMDP("STK",표.실시간[[#This Row],[nxt_code]],"체결시간")</f>
        <v>0</v>
      </c>
      <c r="T611" s="4">
        <f>_xll.IMDP("STK","243070","현재가")</f>
        <v>26100</v>
      </c>
      <c r="U611">
        <f>_xll.IMDP("STK","243070","누적거래량")</f>
        <v>11</v>
      </c>
    </row>
    <row r="612" spans="3:21" x14ac:dyDescent="0.3">
      <c r="C612">
        <v>607</v>
      </c>
      <c r="D612">
        <v>389260</v>
      </c>
      <c r="E612" t="s">
        <v>624</v>
      </c>
      <c r="F612" t="str">
        <f>ConvertStockCode(표.실시간[[#This Row],[코드]])</f>
        <v>N389260</v>
      </c>
      <c r="G612" s="4">
        <f>_xll.IMDP("STK",표.실시간[[#This Row],[nxt_code]],"현재가")</f>
        <v>17640</v>
      </c>
      <c r="H612" s="4">
        <f>_xll.IMDP("STK",표.실시간[[#This Row],[nxt_code]],"시가총액")/10^12</f>
        <v>0.31604397299999998</v>
      </c>
      <c r="I612" t="str">
        <f>_xll.IMDP("","","전일대비부호")</f>
        <v>코드오류</v>
      </c>
      <c r="J612" s="5">
        <f>_xll.IMDP("STK",표.실시간[[#This Row],[nxt_code]],"전일대비")</f>
        <v>350</v>
      </c>
      <c r="K612">
        <f>_xll.IMDP("STK",표.실시간[[#This Row],[nxt_code]],"등락률")</f>
        <v>2.08</v>
      </c>
      <c r="L612" s="4">
        <f>_xll.IMDP("STK",표.실시간[[#This Row],[nxt_code]],"누적거래량")</f>
        <v>7047</v>
      </c>
      <c r="M612" s="4">
        <f>_xll.IMDP("STK",표.실시간[[#This Row],[nxt_code]],"누적거래대금")</f>
        <v>123349850</v>
      </c>
      <c r="N612" s="4">
        <f>_xll.IMDP("STK",표.실시간[[#This Row],[nxt_code]],"가중평균가")</f>
        <v>17503.881084000001</v>
      </c>
      <c r="O612" s="4">
        <f>_xll.IMDP("STK",표.실시간[[#This Row],[nxt_code]],"시가")</f>
        <v>17330</v>
      </c>
      <c r="P612" s="4">
        <f>_xll.IMDP("STK",표.실시간[[#This Row],[nxt_code]],"고가")</f>
        <v>17770</v>
      </c>
      <c r="Q612" s="4">
        <f>_xll.IMDP("STK",표.실시간[[#This Row],[nxt_code]],"저가")</f>
        <v>17330</v>
      </c>
      <c r="R612">
        <f>_xll.IMDP("STK",표.실시간[[#This Row],[nxt_code]],"세션명")</f>
        <v>0</v>
      </c>
      <c r="S612">
        <f>_xll.IMDP("STK",표.실시간[[#This Row],[nxt_code]],"체결시간")</f>
        <v>0</v>
      </c>
      <c r="T612" s="4">
        <f>_xll.IMDP("STK","389260","현재가")</f>
        <v>17610</v>
      </c>
      <c r="U612">
        <f>_xll.IMDP("STK","389260","누적거래량")</f>
        <v>4760</v>
      </c>
    </row>
    <row r="613" spans="3:21" x14ac:dyDescent="0.3">
      <c r="C613">
        <v>608</v>
      </c>
      <c r="D613">
        <v>64550</v>
      </c>
      <c r="E613" t="s">
        <v>625</v>
      </c>
      <c r="F613" t="str">
        <f>ConvertStockCode(표.실시간[[#This Row],[코드]])</f>
        <v>N064550</v>
      </c>
      <c r="G613" s="4">
        <f>_xll.IMDP("STK",표.실시간[[#This Row],[nxt_code]],"현재가")</f>
        <v>11980</v>
      </c>
      <c r="H613" s="4">
        <f>_xll.IMDP("STK",표.실시간[[#This Row],[nxt_code]],"시가총액")/10^12</f>
        <v>0.30920728617999998</v>
      </c>
      <c r="I613" t="str">
        <f>_xll.IMDP("","","전일대비부호")</f>
        <v>코드오류</v>
      </c>
      <c r="J613" s="5">
        <f>_xll.IMDP("STK",표.실시간[[#This Row],[nxt_code]],"전일대비")</f>
        <v>80</v>
      </c>
      <c r="K613">
        <f>_xll.IMDP("STK",표.실시간[[#This Row],[nxt_code]],"등락률")</f>
        <v>0.67</v>
      </c>
      <c r="L613" s="4">
        <f>_xll.IMDP("STK",표.실시간[[#This Row],[nxt_code]],"누적거래량")</f>
        <v>2045</v>
      </c>
      <c r="M613" s="4">
        <f>_xll.IMDP("STK",표.실시간[[#This Row],[nxt_code]],"누적거래대금")</f>
        <v>24462400</v>
      </c>
      <c r="N613" s="4">
        <f>_xll.IMDP("STK",표.실시간[[#This Row],[nxt_code]],"가중평균가")</f>
        <v>11962.05379</v>
      </c>
      <c r="O613" s="4">
        <f>_xll.IMDP("STK",표.실시간[[#This Row],[nxt_code]],"시가")</f>
        <v>12000</v>
      </c>
      <c r="P613" s="4">
        <f>_xll.IMDP("STK",표.실시간[[#This Row],[nxt_code]],"고가")</f>
        <v>12000</v>
      </c>
      <c r="Q613" s="4">
        <f>_xll.IMDP("STK",표.실시간[[#This Row],[nxt_code]],"저가")</f>
        <v>11910</v>
      </c>
      <c r="R613">
        <f>_xll.IMDP("STK",표.실시간[[#This Row],[nxt_code]],"세션명")</f>
        <v>0</v>
      </c>
      <c r="S613">
        <f>_xll.IMDP("STK",표.실시간[[#This Row],[nxt_code]],"체결시간")</f>
        <v>0</v>
      </c>
      <c r="T613" s="4">
        <f>_xll.IMDP("STK","064550","현재가")</f>
        <v>12020</v>
      </c>
      <c r="U613">
        <f>_xll.IMDP("STK","064550","누적거래량")</f>
        <v>2656</v>
      </c>
    </row>
    <row r="614" spans="3:21" x14ac:dyDescent="0.3">
      <c r="C614">
        <v>609</v>
      </c>
      <c r="D614">
        <v>54950</v>
      </c>
      <c r="E614" t="s">
        <v>626</v>
      </c>
      <c r="F614" t="str">
        <f>ConvertStockCode(표.실시간[[#This Row],[코드]])</f>
        <v>N054950</v>
      </c>
      <c r="G614" s="4">
        <f>_xll.IMDP("STK",표.실시간[[#This Row],[nxt_code]],"현재가")</f>
        <v>25600</v>
      </c>
      <c r="H614" s="4">
        <f>_xll.IMDP("STK",표.실시간[[#This Row],[nxt_code]],"시가총액")/10^12</f>
        <v>0.3095012352</v>
      </c>
      <c r="I614" t="str">
        <f>_xll.IMDP("","","전일대비부호")</f>
        <v>코드오류</v>
      </c>
      <c r="J614" s="5">
        <f>_xll.IMDP("STK",표.실시간[[#This Row],[nxt_code]],"전일대비")</f>
        <v>50</v>
      </c>
      <c r="K614">
        <f>_xll.IMDP("STK",표.실시간[[#This Row],[nxt_code]],"등락률")</f>
        <v>0.59</v>
      </c>
      <c r="L614" s="4">
        <f>_xll.IMDP("STK",표.실시간[[#This Row],[nxt_code]],"누적거래량")</f>
        <v>2464</v>
      </c>
      <c r="M614" s="4">
        <f>_xll.IMDP("STK",표.실시간[[#This Row],[nxt_code]],"누적거래대금")</f>
        <v>44702000</v>
      </c>
      <c r="N614" s="4">
        <f>_xll.IMDP("STK",표.실시간[[#This Row],[nxt_code]],"가중평균가")</f>
        <v>25483.543019000001</v>
      </c>
      <c r="O614" s="4">
        <f>_xll.IMDP("STK",표.실시간[[#This Row],[nxt_code]],"시가")</f>
        <v>25450</v>
      </c>
      <c r="P614" s="4">
        <f>_xll.IMDP("STK",표.실시간[[#This Row],[nxt_code]],"고가")</f>
        <v>25600</v>
      </c>
      <c r="Q614" s="4">
        <f>_xll.IMDP("STK",표.실시간[[#This Row],[nxt_code]],"저가")</f>
        <v>25300</v>
      </c>
      <c r="R614">
        <f>_xll.IMDP("STK",표.실시간[[#This Row],[nxt_code]],"세션명")</f>
        <v>0</v>
      </c>
      <c r="S614">
        <f>_xll.IMDP("STK",표.실시간[[#This Row],[nxt_code]],"체결시간")</f>
        <v>0</v>
      </c>
      <c r="T614" s="4">
        <f>_xll.IMDP("STK","054950","현재가")</f>
        <v>25500</v>
      </c>
      <c r="U614">
        <f>_xll.IMDP("STK","054950","누적거래량")</f>
        <v>21</v>
      </c>
    </row>
    <row r="615" spans="3:21" x14ac:dyDescent="0.3">
      <c r="C615">
        <v>610</v>
      </c>
      <c r="D615">
        <v>92230</v>
      </c>
      <c r="E615" t="s">
        <v>627</v>
      </c>
      <c r="F615" t="str">
        <f>ConvertStockCode(표.실시간[[#This Row],[코드]])</f>
        <v>N092230</v>
      </c>
      <c r="G615" s="4">
        <f>_xll.IMDP("STK",표.실시간[[#This Row],[nxt_code]],"현재가")</f>
        <v>72000</v>
      </c>
      <c r="H615" s="4">
        <f>_xll.IMDP("STK",표.실시간[[#This Row],[nxt_code]],"시가총액")/10^12</f>
        <v>0.30417451200000001</v>
      </c>
      <c r="I615" t="str">
        <f>_xll.IMDP("","","전일대비부호")</f>
        <v>코드오류</v>
      </c>
      <c r="J615" s="5">
        <f>_xll.IMDP("STK",표.실시간[[#This Row],[nxt_code]],"전일대비")</f>
        <v>0</v>
      </c>
      <c r="K615">
        <f>_xll.IMDP("STK",표.실시간[[#This Row],[nxt_code]],"등락률")</f>
        <v>0</v>
      </c>
      <c r="L615" s="4">
        <f>_xll.IMDP("STK",표.실시간[[#This Row],[nxt_code]],"누적거래량")</f>
        <v>0</v>
      </c>
      <c r="M615" s="4">
        <f>_xll.IMDP("STK",표.실시간[[#This Row],[nxt_code]],"누적거래대금")</f>
        <v>0</v>
      </c>
      <c r="N615" s="4">
        <f>_xll.IMDP("STK",표.실시간[[#This Row],[nxt_code]],"가중평균가")</f>
        <v>0</v>
      </c>
      <c r="O615" s="4">
        <f>_xll.IMDP("STK",표.실시간[[#This Row],[nxt_code]],"시가")</f>
        <v>0</v>
      </c>
      <c r="P615" s="4">
        <f>_xll.IMDP("STK",표.실시간[[#This Row],[nxt_code]],"고가")</f>
        <v>0</v>
      </c>
      <c r="Q615" s="4">
        <f>_xll.IMDP("STK",표.실시간[[#This Row],[nxt_code]],"저가")</f>
        <v>0</v>
      </c>
      <c r="R615">
        <f>_xll.IMDP("STK",표.실시간[[#This Row],[nxt_code]],"세션명")</f>
        <v>0</v>
      </c>
      <c r="S615">
        <f>_xll.IMDP("STK",표.실시간[[#This Row],[nxt_code]],"체결시간")</f>
        <v>0</v>
      </c>
      <c r="T615" s="4">
        <f>_xll.IMDP("STK","092230","현재가")</f>
        <v>72000</v>
      </c>
      <c r="U615">
        <f>_xll.IMDP("STK","092230","누적거래량")</f>
        <v>1</v>
      </c>
    </row>
    <row r="616" spans="3:21" x14ac:dyDescent="0.3">
      <c r="C616">
        <v>611</v>
      </c>
      <c r="D616">
        <v>2810</v>
      </c>
      <c r="E616" t="s">
        <v>628</v>
      </c>
      <c r="F616" t="str">
        <f>ConvertStockCode(표.실시간[[#This Row],[코드]])</f>
        <v>N002810</v>
      </c>
      <c r="G616" s="4">
        <f>_xll.IMDP("STK",표.실시간[[#This Row],[nxt_code]],"현재가")</f>
        <v>16490</v>
      </c>
      <c r="H616" s="4">
        <f>_xll.IMDP("STK",표.실시간[[#This Row],[nxt_code]],"시가총액")/10^12</f>
        <v>0.30470464200000003</v>
      </c>
      <c r="I616" t="str">
        <f>_xll.IMDP("","","전일대비부호")</f>
        <v>코드오류</v>
      </c>
      <c r="J616" s="5">
        <f>_xll.IMDP("STK",표.실시간[[#This Row],[nxt_code]],"전일대비")</f>
        <v>10</v>
      </c>
      <c r="K616">
        <f>_xll.IMDP("STK",표.실시간[[#This Row],[nxt_code]],"등락률")</f>
        <v>0.98</v>
      </c>
      <c r="L616" s="4">
        <f>_xll.IMDP("STK",표.실시간[[#This Row],[nxt_code]],"누적거래량")</f>
        <v>4860</v>
      </c>
      <c r="M616" s="4">
        <f>_xll.IMDP("STK",표.실시간[[#This Row],[nxt_code]],"누적거래대금")</f>
        <v>79793680</v>
      </c>
      <c r="N616" s="4">
        <f>_xll.IMDP("STK",표.실시간[[#This Row],[nxt_code]],"가중평균가")</f>
        <v>16418.452675</v>
      </c>
      <c r="O616" s="4">
        <f>_xll.IMDP("STK",표.실시간[[#This Row],[nxt_code]],"시가")</f>
        <v>16340</v>
      </c>
      <c r="P616" s="4">
        <f>_xll.IMDP("STK",표.실시간[[#This Row],[nxt_code]],"고가")</f>
        <v>16530</v>
      </c>
      <c r="Q616" s="4">
        <f>_xll.IMDP("STK",표.실시간[[#This Row],[nxt_code]],"저가")</f>
        <v>16340</v>
      </c>
      <c r="R616">
        <f>_xll.IMDP("STK",표.실시간[[#This Row],[nxt_code]],"세션명")</f>
        <v>0</v>
      </c>
      <c r="S616">
        <f>_xll.IMDP("STK",표.실시간[[#This Row],[nxt_code]],"체결시간")</f>
        <v>0</v>
      </c>
      <c r="T616" s="4">
        <f>_xll.IMDP("STK","002810","현재가")</f>
        <v>16520</v>
      </c>
      <c r="U616">
        <f>_xll.IMDP("STK","002810","누적거래량")</f>
        <v>1000</v>
      </c>
    </row>
    <row r="617" spans="3:21" x14ac:dyDescent="0.3">
      <c r="C617">
        <v>612</v>
      </c>
      <c r="D617">
        <v>3920</v>
      </c>
      <c r="E617" t="s">
        <v>629</v>
      </c>
      <c r="F617" t="str">
        <f>ConvertStockCode(표.실시간[[#This Row],[코드]])</f>
        <v>N003920</v>
      </c>
      <c r="G617" s="4">
        <f>_xll.IMDP("STK",표.실시간[[#This Row],[nxt_code]],"현재가")</f>
        <v>50200</v>
      </c>
      <c r="H617" s="4">
        <f>_xll.IMDP("STK",표.실시간[[#This Row],[nxt_code]],"시가총액")/10^12</f>
        <v>0.30120000000000002</v>
      </c>
      <c r="I617" t="str">
        <f>_xll.IMDP("","","전일대비부호")</f>
        <v>코드오류</v>
      </c>
      <c r="J617" s="5">
        <f>_xll.IMDP("STK",표.실시간[[#This Row],[nxt_code]],"전일대비")</f>
        <v>350</v>
      </c>
      <c r="K617">
        <f>_xll.IMDP("STK",표.실시간[[#This Row],[nxt_code]],"등락률")</f>
        <v>0.7</v>
      </c>
      <c r="L617" s="4">
        <f>_xll.IMDP("STK",표.실시간[[#This Row],[nxt_code]],"누적거래량")</f>
        <v>31</v>
      </c>
      <c r="M617" s="4">
        <f>_xll.IMDP("STK",표.실시간[[#This Row],[nxt_code]],"누적거래대금")</f>
        <v>1547200</v>
      </c>
      <c r="N617" s="4">
        <f>_xll.IMDP("STK",표.실시간[[#This Row],[nxt_code]],"가중평균가")</f>
        <v>49909.677419</v>
      </c>
      <c r="O617" s="4">
        <f>_xll.IMDP("STK",표.실시간[[#This Row],[nxt_code]],"시가")</f>
        <v>49900</v>
      </c>
      <c r="P617" s="4">
        <f>_xll.IMDP("STK",표.실시간[[#This Row],[nxt_code]],"고가")</f>
        <v>50200</v>
      </c>
      <c r="Q617" s="4">
        <f>_xll.IMDP("STK",표.실시간[[#This Row],[nxt_code]],"저가")</f>
        <v>49900</v>
      </c>
      <c r="R617">
        <f>_xll.IMDP("STK",표.실시간[[#This Row],[nxt_code]],"세션명")</f>
        <v>0</v>
      </c>
      <c r="S617">
        <f>_xll.IMDP("STK",표.실시간[[#This Row],[nxt_code]],"체결시간")</f>
        <v>0</v>
      </c>
      <c r="T617" s="4">
        <f>_xll.IMDP("STK","003920","현재가")</f>
        <v>50300</v>
      </c>
      <c r="U617">
        <f>_xll.IMDP("STK","003920","누적거래량")</f>
        <v>76</v>
      </c>
    </row>
    <row r="618" spans="3:21" x14ac:dyDescent="0.3">
      <c r="C618">
        <v>613</v>
      </c>
      <c r="D618">
        <v>3200</v>
      </c>
      <c r="E618" t="s">
        <v>630</v>
      </c>
      <c r="F618" t="str">
        <f>ConvertStockCode(표.실시간[[#This Row],[코드]])</f>
        <v>N003200</v>
      </c>
      <c r="G618" s="4">
        <f>_xll.IMDP("STK",표.실시간[[#This Row],[nxt_code]],"현재가")</f>
        <v>12540</v>
      </c>
      <c r="H618" s="4">
        <f>_xll.IMDP("STK",표.실시간[[#This Row],[nxt_code]],"시가총액")/10^12</f>
        <v>0.28791840000000002</v>
      </c>
      <c r="I618" t="str">
        <f>_xll.IMDP("","","전일대비부호")</f>
        <v>코드오류</v>
      </c>
      <c r="J618" s="5">
        <f>_xll.IMDP("STK",표.실시간[[#This Row],[nxt_code]],"전일대비")</f>
        <v>0</v>
      </c>
      <c r="K618">
        <f>_xll.IMDP("STK",표.실시간[[#This Row],[nxt_code]],"등락률")</f>
        <v>0</v>
      </c>
      <c r="L618" s="4">
        <f>_xll.IMDP("STK",표.실시간[[#This Row],[nxt_code]],"누적거래량")</f>
        <v>1974</v>
      </c>
      <c r="M618" s="4">
        <f>_xll.IMDP("STK",표.실시간[[#This Row],[nxt_code]],"누적거래대금")</f>
        <v>24832510</v>
      </c>
      <c r="N618" s="4">
        <f>_xll.IMDP("STK",표.실시간[[#This Row],[nxt_code]],"가중평균가")</f>
        <v>12579.792299999999</v>
      </c>
      <c r="O618" s="4">
        <f>_xll.IMDP("STK",표.실시간[[#This Row],[nxt_code]],"시가")</f>
        <v>12520</v>
      </c>
      <c r="P618" s="4">
        <f>_xll.IMDP("STK",표.실시간[[#This Row],[nxt_code]],"고가")</f>
        <v>12630</v>
      </c>
      <c r="Q618" s="4">
        <f>_xll.IMDP("STK",표.실시간[[#This Row],[nxt_code]],"저가")</f>
        <v>12520</v>
      </c>
      <c r="R618">
        <f>_xll.IMDP("STK",표.실시간[[#This Row],[nxt_code]],"세션명")</f>
        <v>0</v>
      </c>
      <c r="S618">
        <f>_xll.IMDP("STK",표.실시간[[#This Row],[nxt_code]],"체결시간")</f>
        <v>0</v>
      </c>
      <c r="T618" s="4">
        <f>_xll.IMDP("STK","003200","현재가")</f>
        <v>12530</v>
      </c>
      <c r="U618">
        <f>_xll.IMDP("STK","003200","누적거래량")</f>
        <v>840</v>
      </c>
    </row>
    <row r="619" spans="3:21" x14ac:dyDescent="0.3">
      <c r="C619">
        <v>614</v>
      </c>
      <c r="D619">
        <v>2320</v>
      </c>
      <c r="E619" t="s">
        <v>631</v>
      </c>
      <c r="F619" t="str">
        <f>ConvertStockCode(표.실시간[[#This Row],[코드]])</f>
        <v>N002320</v>
      </c>
      <c r="G619" s="4">
        <f>_xll.IMDP("STK",표.실시간[[#This Row],[nxt_code]],"현재가")</f>
        <v>19510</v>
      </c>
      <c r="H619" s="4">
        <f>_xll.IMDP("STK",표.실시간[[#This Row],[nxt_code]],"시가총액")/10^12</f>
        <v>0.29723504509999998</v>
      </c>
      <c r="I619" t="str">
        <f>_xll.IMDP("","","전일대비부호")</f>
        <v>코드오류</v>
      </c>
      <c r="J619" s="5">
        <f>_xll.IMDP("STK",표.실시간[[#This Row],[nxt_code]],"전일대비")</f>
        <v>10</v>
      </c>
      <c r="K619">
        <f>_xll.IMDP("STK",표.실시간[[#This Row],[nxt_code]],"등락률")</f>
        <v>0.05</v>
      </c>
      <c r="L619" s="4">
        <f>_xll.IMDP("STK",표.실시간[[#This Row],[nxt_code]],"누적거래량")</f>
        <v>75</v>
      </c>
      <c r="M619" s="4">
        <f>_xll.IMDP("STK",표.실시간[[#This Row],[nxt_code]],"누적거래대금")</f>
        <v>1465740</v>
      </c>
      <c r="N619" s="4">
        <f>_xll.IMDP("STK",표.실시간[[#This Row],[nxt_code]],"가중평균가")</f>
        <v>19543.2</v>
      </c>
      <c r="O619" s="4">
        <f>_xll.IMDP("STK",표.실시간[[#This Row],[nxt_code]],"시가")</f>
        <v>19680</v>
      </c>
      <c r="P619" s="4">
        <f>_xll.IMDP("STK",표.실시간[[#This Row],[nxt_code]],"고가")</f>
        <v>19680</v>
      </c>
      <c r="Q619" s="4">
        <f>_xll.IMDP("STK",표.실시간[[#This Row],[nxt_code]],"저가")</f>
        <v>19510</v>
      </c>
      <c r="R619">
        <f>_xll.IMDP("STK",표.실시간[[#This Row],[nxt_code]],"세션명")</f>
        <v>0</v>
      </c>
      <c r="S619">
        <f>_xll.IMDP("STK",표.실시간[[#This Row],[nxt_code]],"체결시간")</f>
        <v>0</v>
      </c>
      <c r="T619" s="4">
        <f>_xll.IMDP("STK","002320","현재가")</f>
        <v>19690</v>
      </c>
      <c r="U619">
        <f>_xll.IMDP("STK","002320","누적거래량")</f>
        <v>20</v>
      </c>
    </row>
    <row r="620" spans="3:21" x14ac:dyDescent="0.3">
      <c r="C620">
        <v>615</v>
      </c>
      <c r="D620">
        <v>67080</v>
      </c>
      <c r="E620" t="s">
        <v>632</v>
      </c>
      <c r="F620" t="str">
        <f>ConvertStockCode(표.실시간[[#This Row],[코드]])</f>
        <v>N067080</v>
      </c>
      <c r="G620" s="4">
        <f>_xll.IMDP("STK",표.실시간[[#This Row],[nxt_code]],"현재가")</f>
        <v>15770</v>
      </c>
      <c r="H620" s="4">
        <f>_xll.IMDP("STK",표.실시간[[#This Row],[nxt_code]],"시가총액")/10^12</f>
        <v>0.29358457049999998</v>
      </c>
      <c r="I620" t="str">
        <f>_xll.IMDP("","","전일대비부호")</f>
        <v>코드오류</v>
      </c>
      <c r="J620" s="5">
        <f>_xll.IMDP("STK",표.실시간[[#This Row],[nxt_code]],"전일대비")</f>
        <v>-20</v>
      </c>
      <c r="K620">
        <f>_xll.IMDP("STK",표.실시간[[#This Row],[nxt_code]],"등락률")</f>
        <v>-0.13</v>
      </c>
      <c r="L620" s="4">
        <f>_xll.IMDP("STK",표.실시간[[#This Row],[nxt_code]],"누적거래량")</f>
        <v>10829</v>
      </c>
      <c r="M620" s="4">
        <f>_xll.IMDP("STK",표.실시간[[#This Row],[nxt_code]],"누적거래대금")</f>
        <v>171037380</v>
      </c>
      <c r="N620" s="4">
        <f>_xll.IMDP("STK",표.실시간[[#This Row],[nxt_code]],"가중평균가")</f>
        <v>15794.383599999999</v>
      </c>
      <c r="O620" s="4">
        <f>_xll.IMDP("STK",표.실시간[[#This Row],[nxt_code]],"시가")</f>
        <v>15900</v>
      </c>
      <c r="P620" s="4">
        <f>_xll.IMDP("STK",표.실시간[[#This Row],[nxt_code]],"고가")</f>
        <v>15900</v>
      </c>
      <c r="Q620" s="4">
        <f>_xll.IMDP("STK",표.실시간[[#This Row],[nxt_code]],"저가")</f>
        <v>15760</v>
      </c>
      <c r="R620">
        <f>_xll.IMDP("STK",표.실시간[[#This Row],[nxt_code]],"세션명")</f>
        <v>0</v>
      </c>
      <c r="S620">
        <f>_xll.IMDP("STK",표.실시간[[#This Row],[nxt_code]],"체결시간")</f>
        <v>0</v>
      </c>
      <c r="T620" s="4">
        <f>_xll.IMDP("STK","067080","현재가")</f>
        <v>15790</v>
      </c>
      <c r="U620">
        <f>_xll.IMDP("STK","067080","누적거래량")</f>
        <v>749</v>
      </c>
    </row>
    <row r="621" spans="3:21" x14ac:dyDescent="0.3">
      <c r="C621">
        <v>616</v>
      </c>
      <c r="D621">
        <v>36890</v>
      </c>
      <c r="E621" t="s">
        <v>633</v>
      </c>
      <c r="F621" t="str">
        <f>ConvertStockCode(표.실시간[[#This Row],[코드]])</f>
        <v>N036890</v>
      </c>
      <c r="G621" s="4">
        <f>_xll.IMDP("STK",표.실시간[[#This Row],[nxt_code]],"현재가")</f>
        <v>13960</v>
      </c>
      <c r="H621" s="4">
        <f>_xll.IMDP("STK",표.실시간[[#This Row],[nxt_code]],"시가총액")/10^12</f>
        <v>0.30757541708000002</v>
      </c>
      <c r="I621" t="str">
        <f>_xll.IMDP("","","전일대비부호")</f>
        <v>코드오류</v>
      </c>
      <c r="J621" s="5">
        <f>_xll.IMDP("STK",표.실시간[[#This Row],[nxt_code]],"전일대비")</f>
        <v>320</v>
      </c>
      <c r="K621">
        <f>_xll.IMDP("STK",표.실시간[[#This Row],[nxt_code]],"등락률")</f>
        <v>2.35</v>
      </c>
      <c r="L621" s="4">
        <f>_xll.IMDP("STK",표.실시간[[#This Row],[nxt_code]],"누적거래량")</f>
        <v>31545</v>
      </c>
      <c r="M621" s="4">
        <f>_xll.IMDP("STK",표.실시간[[#This Row],[nxt_code]],"누적거래대금")</f>
        <v>439439870</v>
      </c>
      <c r="N621" s="4">
        <f>_xll.IMDP("STK",표.실시간[[#This Row],[nxt_code]],"가중평균가")</f>
        <v>13930.571247</v>
      </c>
      <c r="O621" s="4">
        <f>_xll.IMDP("STK",표.실시간[[#This Row],[nxt_code]],"시가")</f>
        <v>13780</v>
      </c>
      <c r="P621" s="4">
        <f>_xll.IMDP("STK",표.실시간[[#This Row],[nxt_code]],"고가")</f>
        <v>14020</v>
      </c>
      <c r="Q621" s="4">
        <f>_xll.IMDP("STK",표.실시간[[#This Row],[nxt_code]],"저가")</f>
        <v>13780</v>
      </c>
      <c r="R621">
        <f>_xll.IMDP("STK",표.실시간[[#This Row],[nxt_code]],"세션명")</f>
        <v>0</v>
      </c>
      <c r="S621">
        <f>_xll.IMDP("STK",표.실시간[[#This Row],[nxt_code]],"체결시간")</f>
        <v>0</v>
      </c>
      <c r="T621" s="4">
        <f>_xll.IMDP("STK","036890","현재가")</f>
        <v>13970</v>
      </c>
      <c r="U621">
        <f>_xll.IMDP("STK","036890","누적거래량")</f>
        <v>1673</v>
      </c>
    </row>
    <row r="622" spans="3:21" x14ac:dyDescent="0.3">
      <c r="C622">
        <v>617</v>
      </c>
      <c r="D622">
        <v>308430</v>
      </c>
      <c r="E622" t="s">
        <v>634</v>
      </c>
      <c r="F622" t="str">
        <f>ConvertStockCode(표.실시간[[#This Row],[코드]])</f>
        <v>N308430</v>
      </c>
      <c r="G622" s="4">
        <f>_xll.IMDP("STK",표.실시간[[#This Row],[nxt_code]],"현재가")</f>
        <v>23100</v>
      </c>
      <c r="H622" s="4">
        <f>_xll.IMDP("STK",표.실시간[[#This Row],[nxt_code]],"시가총액")/10^12</f>
        <v>0.29640788099999998</v>
      </c>
      <c r="I622" t="str">
        <f>_xll.IMDP("","","전일대비부호")</f>
        <v>코드오류</v>
      </c>
      <c r="J622" s="5">
        <f>_xll.IMDP("STK",표.실시간[[#This Row],[nxt_code]],"전일대비")</f>
        <v>-50</v>
      </c>
      <c r="K622">
        <f>_xll.IMDP("STK",표.실시간[[#This Row],[nxt_code]],"등락률")</f>
        <v>-0.22</v>
      </c>
      <c r="L622" s="4">
        <f>_xll.IMDP("STK",표.실시간[[#This Row],[nxt_code]],"누적거래량")</f>
        <v>4577</v>
      </c>
      <c r="M622" s="4">
        <f>_xll.IMDP("STK",표.실시간[[#This Row],[nxt_code]],"누적거래대금")</f>
        <v>105662200</v>
      </c>
      <c r="N622" s="4">
        <f>_xll.IMDP("STK",표.실시간[[#This Row],[nxt_code]],"가중평균가")</f>
        <v>23085.470831999999</v>
      </c>
      <c r="O622" s="4">
        <f>_xll.IMDP("STK",표.실시간[[#This Row],[nxt_code]],"시가")</f>
        <v>23150</v>
      </c>
      <c r="P622" s="4">
        <f>_xll.IMDP("STK",표.실시간[[#This Row],[nxt_code]],"고가")</f>
        <v>23350</v>
      </c>
      <c r="Q622" s="4">
        <f>_xll.IMDP("STK",표.실시간[[#This Row],[nxt_code]],"저가")</f>
        <v>23000</v>
      </c>
      <c r="R622">
        <f>_xll.IMDP("STK",표.실시간[[#This Row],[nxt_code]],"세션명")</f>
        <v>0</v>
      </c>
      <c r="S622">
        <f>_xll.IMDP("STK",표.실시간[[#This Row],[nxt_code]],"체결시간")</f>
        <v>0</v>
      </c>
      <c r="T622" s="4">
        <f>_xll.IMDP("STK","308430","현재가")</f>
        <v>22950</v>
      </c>
      <c r="U622">
        <f>_xll.IMDP("STK","308430","누적거래량")</f>
        <v>280</v>
      </c>
    </row>
    <row r="623" spans="3:21" x14ac:dyDescent="0.3">
      <c r="C623">
        <v>618</v>
      </c>
      <c r="D623">
        <v>5090</v>
      </c>
      <c r="E623" t="s">
        <v>635</v>
      </c>
      <c r="F623" t="str">
        <f>ConvertStockCode(표.실시간[[#This Row],[코드]])</f>
        <v>N005090</v>
      </c>
      <c r="G623" s="4">
        <f>_xll.IMDP("STK",표.실시간[[#This Row],[nxt_code]],"현재가")</f>
        <v>21050</v>
      </c>
      <c r="H623" s="4">
        <f>_xll.IMDP("STK",표.실시간[[#This Row],[nxt_code]],"시가총액")/10^12</f>
        <v>0.30331645964999998</v>
      </c>
      <c r="I623" t="str">
        <f>_xll.IMDP("","","전일대비부호")</f>
        <v>코드오류</v>
      </c>
      <c r="J623" s="5">
        <f>_xll.IMDP("STK",표.실시간[[#This Row],[nxt_code]],"전일대비")</f>
        <v>0</v>
      </c>
      <c r="K623">
        <f>_xll.IMDP("STK",표.실시간[[#This Row],[nxt_code]],"등락률")</f>
        <v>0</v>
      </c>
      <c r="L623" s="4">
        <f>_xll.IMDP("STK",표.실시간[[#This Row],[nxt_code]],"누적거래량")</f>
        <v>322</v>
      </c>
      <c r="M623" s="4">
        <f>_xll.IMDP("STK",표.실시간[[#This Row],[nxt_code]],"누적거래대금")</f>
        <v>6793100</v>
      </c>
      <c r="N623" s="4">
        <f>_xll.IMDP("STK",표.실시간[[#This Row],[nxt_code]],"가중평균가")</f>
        <v>21096.583850999999</v>
      </c>
      <c r="O623" s="4">
        <f>_xll.IMDP("STK",표.실시간[[#This Row],[nxt_code]],"시가")</f>
        <v>21200</v>
      </c>
      <c r="P623" s="4">
        <f>_xll.IMDP("STK",표.실시간[[#This Row],[nxt_code]],"고가")</f>
        <v>21200</v>
      </c>
      <c r="Q623" s="4">
        <f>_xll.IMDP("STK",표.실시간[[#This Row],[nxt_code]],"저가")</f>
        <v>21050</v>
      </c>
      <c r="R623">
        <f>_xll.IMDP("STK",표.실시간[[#This Row],[nxt_code]],"세션명")</f>
        <v>0</v>
      </c>
      <c r="S623">
        <f>_xll.IMDP("STK",표.실시간[[#This Row],[nxt_code]],"체결시간")</f>
        <v>0</v>
      </c>
      <c r="T623" s="4">
        <f>_xll.IMDP("STK","005090","현재가")</f>
        <v>21050</v>
      </c>
      <c r="U623">
        <f>_xll.IMDP("STK","005090","누적거래량")</f>
        <v>235</v>
      </c>
    </row>
    <row r="624" spans="3:21" x14ac:dyDescent="0.3">
      <c r="C624">
        <v>619</v>
      </c>
      <c r="D624">
        <v>394280</v>
      </c>
      <c r="E624" t="s">
        <v>636</v>
      </c>
      <c r="F624" t="str">
        <f>ConvertStockCode(표.실시간[[#This Row],[코드]])</f>
        <v>N394280</v>
      </c>
      <c r="G624" s="4">
        <f>_xll.IMDP("STK",표.실시간[[#This Row],[nxt_code]],"현재가")</f>
        <v>13300</v>
      </c>
      <c r="H624" s="4">
        <f>_xll.IMDP("STK",표.실시간[[#This Row],[nxt_code]],"시가총액")/10^12</f>
        <v>0.2933924007</v>
      </c>
      <c r="I624" t="str">
        <f>_xll.IMDP("","","전일대비부호")</f>
        <v>코드오류</v>
      </c>
      <c r="J624" s="5">
        <f>_xll.IMDP("STK",표.실시간[[#This Row],[nxt_code]],"전일대비")</f>
        <v>-160</v>
      </c>
      <c r="K624">
        <f>_xll.IMDP("STK",표.실시간[[#This Row],[nxt_code]],"등락률")</f>
        <v>-1.1200000000000001</v>
      </c>
      <c r="L624" s="4">
        <f>_xll.IMDP("STK",표.실시간[[#This Row],[nxt_code]],"누적거래량")</f>
        <v>46574</v>
      </c>
      <c r="M624" s="4">
        <f>_xll.IMDP("STK",표.실시간[[#This Row],[nxt_code]],"누적거래대금")</f>
        <v>623473690</v>
      </c>
      <c r="N624" s="4">
        <f>_xll.IMDP("STK",표.실시간[[#This Row],[nxt_code]],"가중평균가")</f>
        <v>13386.732726</v>
      </c>
      <c r="O624" s="4">
        <f>_xll.IMDP("STK",표.실시간[[#This Row],[nxt_code]],"시가")</f>
        <v>13660</v>
      </c>
      <c r="P624" s="4">
        <f>_xll.IMDP("STK",표.실시간[[#This Row],[nxt_code]],"고가")</f>
        <v>13660</v>
      </c>
      <c r="Q624" s="4">
        <f>_xll.IMDP("STK",표.실시간[[#This Row],[nxt_code]],"저가")</f>
        <v>12780</v>
      </c>
      <c r="R624">
        <f>_xll.IMDP("STK",표.실시간[[#This Row],[nxt_code]],"세션명")</f>
        <v>0</v>
      </c>
      <c r="S624">
        <f>_xll.IMDP("STK",표.실시간[[#This Row],[nxt_code]],"체결시간")</f>
        <v>0</v>
      </c>
      <c r="T624" s="4">
        <f>_xll.IMDP("STK","394280","현재가")</f>
        <v>13310</v>
      </c>
      <c r="U624">
        <f>_xll.IMDP("STK","394280","누적거래량")</f>
        <v>8345</v>
      </c>
    </row>
    <row r="625" spans="3:21" x14ac:dyDescent="0.3">
      <c r="C625">
        <v>620</v>
      </c>
      <c r="D625">
        <v>33270</v>
      </c>
      <c r="E625" t="s">
        <v>637</v>
      </c>
      <c r="F625" t="str">
        <f>ConvertStockCode(표.실시간[[#This Row],[코드]])</f>
        <v>N033270</v>
      </c>
      <c r="G625" s="4">
        <f>_xll.IMDP("STK",표.실시간[[#This Row],[nxt_code]],"현재가")</f>
        <v>18450</v>
      </c>
      <c r="H625" s="4">
        <f>_xll.IMDP("STK",표.실시간[[#This Row],[nxt_code]],"시가총액")/10^12</f>
        <v>0.30135901590000003</v>
      </c>
      <c r="I625" t="str">
        <f>_xll.IMDP("","","전일대비부호")</f>
        <v>코드오류</v>
      </c>
      <c r="J625" s="5">
        <f>_xll.IMDP("STK",표.실시간[[#This Row],[nxt_code]],"전일대비")</f>
        <v>60</v>
      </c>
      <c r="K625">
        <f>_xll.IMDP("STK",표.실시간[[#This Row],[nxt_code]],"등락률")</f>
        <v>0.33</v>
      </c>
      <c r="L625" s="4">
        <f>_xll.IMDP("STK",표.실시간[[#This Row],[nxt_code]],"누적거래량")</f>
        <v>831</v>
      </c>
      <c r="M625" s="4">
        <f>_xll.IMDP("STK",표.실시간[[#This Row],[nxt_code]],"누적거래대금")</f>
        <v>15300370</v>
      </c>
      <c r="N625" s="4">
        <f>_xll.IMDP("STK",표.실시간[[#This Row],[nxt_code]],"가중평균가")</f>
        <v>18411.997593</v>
      </c>
      <c r="O625" s="4">
        <f>_xll.IMDP("STK",표.실시간[[#This Row],[nxt_code]],"시가")</f>
        <v>18370</v>
      </c>
      <c r="P625" s="4">
        <f>_xll.IMDP("STK",표.실시간[[#This Row],[nxt_code]],"고가")</f>
        <v>18610</v>
      </c>
      <c r="Q625" s="4">
        <f>_xll.IMDP("STK",표.실시간[[#This Row],[nxt_code]],"저가")</f>
        <v>18350</v>
      </c>
      <c r="R625">
        <f>_xll.IMDP("STK",표.실시간[[#This Row],[nxt_code]],"세션명")</f>
        <v>0</v>
      </c>
      <c r="S625">
        <f>_xll.IMDP("STK",표.실시간[[#This Row],[nxt_code]],"체결시간")</f>
        <v>0</v>
      </c>
      <c r="T625" s="4">
        <f>_xll.IMDP("STK","033270","현재가")</f>
        <v>18500</v>
      </c>
      <c r="U625">
        <f>_xll.IMDP("STK","033270","누적거래량")</f>
        <v>4</v>
      </c>
    </row>
    <row r="626" spans="3:21" x14ac:dyDescent="0.3">
      <c r="C626">
        <v>621</v>
      </c>
      <c r="D626">
        <v>36200</v>
      </c>
      <c r="E626" t="s">
        <v>638</v>
      </c>
      <c r="F626" t="str">
        <f>ConvertStockCode(표.실시간[[#This Row],[코드]])</f>
        <v>N036200</v>
      </c>
      <c r="G626" s="4">
        <f>_xll.IMDP("STK",표.실시간[[#This Row],[nxt_code]],"현재가")</f>
        <v>9400</v>
      </c>
      <c r="H626" s="4">
        <f>_xll.IMDP("STK",표.실시간[[#This Row],[nxt_code]],"시가총액")/10^12</f>
        <v>0.28824369620000001</v>
      </c>
      <c r="I626" t="str">
        <f>_xll.IMDP("","","전일대비부호")</f>
        <v>코드오류</v>
      </c>
      <c r="J626" s="5">
        <f>_xll.IMDP("STK",표.실시간[[#This Row],[nxt_code]],"전일대비")</f>
        <v>40</v>
      </c>
      <c r="K626">
        <f>_xll.IMDP("STK",표.실시간[[#This Row],[nxt_code]],"등락률")</f>
        <v>0.43</v>
      </c>
      <c r="L626" s="4">
        <f>_xll.IMDP("STK",표.실시간[[#This Row],[nxt_code]],"누적거래량")</f>
        <v>9302</v>
      </c>
      <c r="M626" s="4">
        <f>_xll.IMDP("STK",표.실시간[[#This Row],[nxt_code]],"누적거래대금")</f>
        <v>87657050</v>
      </c>
      <c r="N626" s="4">
        <f>_xll.IMDP("STK",표.실시간[[#This Row],[nxt_code]],"가중평균가")</f>
        <v>9423.4626960000005</v>
      </c>
      <c r="O626" s="4">
        <f>_xll.IMDP("STK",표.실시간[[#This Row],[nxt_code]],"시가")</f>
        <v>9410</v>
      </c>
      <c r="P626" s="4">
        <f>_xll.IMDP("STK",표.실시간[[#This Row],[nxt_code]],"고가")</f>
        <v>9480</v>
      </c>
      <c r="Q626" s="4">
        <f>_xll.IMDP("STK",표.실시간[[#This Row],[nxt_code]],"저가")</f>
        <v>9400</v>
      </c>
      <c r="R626">
        <f>_xll.IMDP("STK",표.실시간[[#This Row],[nxt_code]],"세션명")</f>
        <v>0</v>
      </c>
      <c r="S626">
        <f>_xll.IMDP("STK",표.실시간[[#This Row],[nxt_code]],"체결시간")</f>
        <v>0</v>
      </c>
      <c r="T626" s="4">
        <f>_xll.IMDP("STK","036200","현재가")</f>
        <v>9380</v>
      </c>
      <c r="U626">
        <f>_xll.IMDP("STK","036200","누적거래량")</f>
        <v>872</v>
      </c>
    </row>
    <row r="627" spans="3:21" x14ac:dyDescent="0.3">
      <c r="C627">
        <v>622</v>
      </c>
      <c r="D627">
        <v>93520</v>
      </c>
      <c r="E627" t="s">
        <v>639</v>
      </c>
      <c r="F627" t="str">
        <f>ConvertStockCode(표.실시간[[#This Row],[코드]])</f>
        <v>N093520</v>
      </c>
      <c r="G627" s="4">
        <f>_xll.IMDP("STK",표.실시간[[#This Row],[nxt_code]],"현재가")</f>
        <v>21350</v>
      </c>
      <c r="H627" s="4">
        <f>_xll.IMDP("STK",표.실시간[[#This Row],[nxt_code]],"시가총액")/10^12</f>
        <v>0.30238201419999999</v>
      </c>
      <c r="I627" t="str">
        <f>_xll.IMDP("","","전일대비부호")</f>
        <v>코드오류</v>
      </c>
      <c r="J627" s="5">
        <f>_xll.IMDP("STK",표.실시간[[#This Row],[nxt_code]],"전일대비")</f>
        <v>350</v>
      </c>
      <c r="K627">
        <f>_xll.IMDP("STK",표.실시간[[#This Row],[nxt_code]],"등락률")</f>
        <v>1.67</v>
      </c>
      <c r="L627" s="4">
        <f>_xll.IMDP("STK",표.실시간[[#This Row],[nxt_code]],"누적거래량")</f>
        <v>4686</v>
      </c>
      <c r="M627" s="4">
        <f>_xll.IMDP("STK",표.실시간[[#This Row],[nxt_code]],"누적거래대금")</f>
        <v>100254300</v>
      </c>
      <c r="N627" s="4">
        <f>_xll.IMDP("STK",표.실시간[[#This Row],[nxt_code]],"가중평균가")</f>
        <v>21394.430218000001</v>
      </c>
      <c r="O627" s="4">
        <f>_xll.IMDP("STK",표.실시간[[#This Row],[nxt_code]],"시가")</f>
        <v>21500</v>
      </c>
      <c r="P627" s="4">
        <f>_xll.IMDP("STK",표.실시간[[#This Row],[nxt_code]],"고가")</f>
        <v>21600</v>
      </c>
      <c r="Q627" s="4">
        <f>_xll.IMDP("STK",표.실시간[[#This Row],[nxt_code]],"저가")</f>
        <v>21300</v>
      </c>
      <c r="R627">
        <f>_xll.IMDP("STK",표.실시간[[#This Row],[nxt_code]],"세션명")</f>
        <v>0</v>
      </c>
      <c r="S627">
        <f>_xll.IMDP("STK",표.실시간[[#This Row],[nxt_code]],"체결시간")</f>
        <v>0</v>
      </c>
      <c r="T627" s="4">
        <f>_xll.IMDP("STK","093520","현재가")</f>
        <v>21150</v>
      </c>
      <c r="U627">
        <f>_xll.IMDP("STK","093520","누적거래량")</f>
        <v>445</v>
      </c>
    </row>
    <row r="628" spans="3:21" x14ac:dyDescent="0.3">
      <c r="C628">
        <v>623</v>
      </c>
      <c r="D628">
        <v>490</v>
      </c>
      <c r="E628" t="s">
        <v>640</v>
      </c>
      <c r="F628" t="str">
        <f>ConvertStockCode(표.실시간[[#This Row],[코드]])</f>
        <v>N000490</v>
      </c>
      <c r="G628" s="4">
        <f>_xll.IMDP("STK",표.실시간[[#This Row],[nxt_code]],"현재가")</f>
        <v>10210</v>
      </c>
      <c r="H628" s="4">
        <f>_xll.IMDP("STK",표.실시간[[#This Row],[nxt_code]],"시가총액")/10^12</f>
        <v>0.29461056029999999</v>
      </c>
      <c r="I628" t="str">
        <f>_xll.IMDP("","","전일대비부호")</f>
        <v>코드오류</v>
      </c>
      <c r="J628" s="5">
        <f>_xll.IMDP("STK",표.실시간[[#This Row],[nxt_code]],"전일대비")</f>
        <v>300</v>
      </c>
      <c r="K628">
        <f>_xll.IMDP("STK",표.실시간[[#This Row],[nxt_code]],"등락률")</f>
        <v>2.92</v>
      </c>
      <c r="L628" s="4">
        <f>_xll.IMDP("STK",표.실시간[[#This Row],[nxt_code]],"누적거래량")</f>
        <v>118930</v>
      </c>
      <c r="M628" s="4">
        <f>_xll.IMDP("STK",표.실시간[[#This Row],[nxt_code]],"누적거래대금")</f>
        <v>1215487070</v>
      </c>
      <c r="N628" s="4">
        <f>_xll.IMDP("STK",표.실시간[[#This Row],[nxt_code]],"가중평균가")</f>
        <v>10220.188935</v>
      </c>
      <c r="O628" s="4">
        <f>_xll.IMDP("STK",표.실시간[[#This Row],[nxt_code]],"시가")</f>
        <v>10160</v>
      </c>
      <c r="P628" s="4">
        <f>_xll.IMDP("STK",표.실시간[[#This Row],[nxt_code]],"고가")</f>
        <v>10320</v>
      </c>
      <c r="Q628" s="4">
        <f>_xll.IMDP("STK",표.실시간[[#This Row],[nxt_code]],"저가")</f>
        <v>10050</v>
      </c>
      <c r="R628">
        <f>_xll.IMDP("STK",표.실시간[[#This Row],[nxt_code]],"세션명")</f>
        <v>0</v>
      </c>
      <c r="S628">
        <f>_xll.IMDP("STK",표.실시간[[#This Row],[nxt_code]],"체결시간")</f>
        <v>0</v>
      </c>
      <c r="T628" s="4">
        <f>_xll.IMDP("STK","000490","현재가")</f>
        <v>10200</v>
      </c>
      <c r="U628">
        <f>_xll.IMDP("STK","000490","누적거래량")</f>
        <v>10481</v>
      </c>
    </row>
    <row r="629" spans="3:21" x14ac:dyDescent="0.3">
      <c r="C629">
        <v>624</v>
      </c>
      <c r="D629">
        <v>206640</v>
      </c>
      <c r="E629" t="s">
        <v>641</v>
      </c>
      <c r="F629" t="str">
        <f>ConvertStockCode(표.실시간[[#This Row],[코드]])</f>
        <v>N206640</v>
      </c>
      <c r="G629" s="4">
        <f>_xll.IMDP("STK",표.실시간[[#This Row],[nxt_code]],"현재가")</f>
        <v>12450</v>
      </c>
      <c r="H629" s="4">
        <f>_xll.IMDP("STK",표.실시간[[#This Row],[nxt_code]],"시가총액")/10^12</f>
        <v>0.29240767200000001</v>
      </c>
      <c r="I629" t="str">
        <f>_xll.IMDP("","","전일대비부호")</f>
        <v>코드오류</v>
      </c>
      <c r="J629" s="5">
        <f>_xll.IMDP("STK",표.실시간[[#This Row],[nxt_code]],"전일대비")</f>
        <v>0</v>
      </c>
      <c r="K629">
        <f>_xll.IMDP("STK",표.실시간[[#This Row],[nxt_code]],"등락률")</f>
        <v>0</v>
      </c>
      <c r="L629" s="4">
        <f>_xll.IMDP("STK",표.실시간[[#This Row],[nxt_code]],"누적거래량")</f>
        <v>8519</v>
      </c>
      <c r="M629" s="4">
        <f>_xll.IMDP("STK",표.실시간[[#This Row],[nxt_code]],"누적거래대금")</f>
        <v>106271150</v>
      </c>
      <c r="N629" s="4">
        <f>_xll.IMDP("STK",표.실시간[[#This Row],[nxt_code]],"가중평균가")</f>
        <v>12474.603827000001</v>
      </c>
      <c r="O629" s="4">
        <f>_xll.IMDP("STK",표.실시간[[#This Row],[nxt_code]],"시가")</f>
        <v>12510</v>
      </c>
      <c r="P629" s="4">
        <f>_xll.IMDP("STK",표.실시간[[#This Row],[nxt_code]],"고가")</f>
        <v>12600</v>
      </c>
      <c r="Q629" s="4">
        <f>_xll.IMDP("STK",표.실시간[[#This Row],[nxt_code]],"저가")</f>
        <v>12400</v>
      </c>
      <c r="R629">
        <f>_xll.IMDP("STK",표.실시간[[#This Row],[nxt_code]],"세션명")</f>
        <v>0</v>
      </c>
      <c r="S629">
        <f>_xll.IMDP("STK",표.실시간[[#This Row],[nxt_code]],"체결시간")</f>
        <v>0</v>
      </c>
      <c r="T629" s="4">
        <f>_xll.IMDP("STK","206640","현재가")</f>
        <v>12460</v>
      </c>
      <c r="U629">
        <f>_xll.IMDP("STK","206640","누적거래량")</f>
        <v>1564</v>
      </c>
    </row>
    <row r="630" spans="3:21" x14ac:dyDescent="0.3">
      <c r="C630">
        <v>625</v>
      </c>
      <c r="D630">
        <v>3120</v>
      </c>
      <c r="E630" t="s">
        <v>642</v>
      </c>
      <c r="F630" t="str">
        <f>ConvertStockCode(표.실시간[[#This Row],[코드]])</f>
        <v>N003120</v>
      </c>
      <c r="G630" s="4">
        <f>_xll.IMDP("STK",표.실시간[[#This Row],[nxt_code]],"현재가")</f>
        <v>21050</v>
      </c>
      <c r="H630" s="4">
        <f>_xll.IMDP("STK",표.실시간[[#This Row],[nxt_code]],"시가총액")/10^12</f>
        <v>0.27996500000000002</v>
      </c>
      <c r="I630" t="str">
        <f>_xll.IMDP("","","전일대비부호")</f>
        <v>코드오류</v>
      </c>
      <c r="J630" s="5">
        <f>_xll.IMDP("STK",표.실시간[[#This Row],[nxt_code]],"전일대비")</f>
        <v>500</v>
      </c>
      <c r="K630">
        <f>_xll.IMDP("STK",표.실시간[[#This Row],[nxt_code]],"등락률")</f>
        <v>2.4300000000000002</v>
      </c>
      <c r="L630" s="4">
        <f>_xll.IMDP("STK",표.실시간[[#This Row],[nxt_code]],"누적거래량")</f>
        <v>691</v>
      </c>
      <c r="M630" s="4">
        <f>_xll.IMDP("STK",표.실시간[[#This Row],[nxt_code]],"누적거래대금")</f>
        <v>14487300</v>
      </c>
      <c r="N630" s="4">
        <f>_xll.IMDP("STK",표.실시간[[#This Row],[nxt_code]],"가중평균가")</f>
        <v>20965.701881000001</v>
      </c>
      <c r="O630" s="4">
        <f>_xll.IMDP("STK",표.실시간[[#This Row],[nxt_code]],"시가")</f>
        <v>20650</v>
      </c>
      <c r="P630" s="4">
        <f>_xll.IMDP("STK",표.실시간[[#This Row],[nxt_code]],"고가")</f>
        <v>21100</v>
      </c>
      <c r="Q630" s="4">
        <f>_xll.IMDP("STK",표.실시간[[#This Row],[nxt_code]],"저가")</f>
        <v>20600</v>
      </c>
      <c r="R630">
        <f>_xll.IMDP("STK",표.실시간[[#This Row],[nxt_code]],"세션명")</f>
        <v>0</v>
      </c>
      <c r="S630">
        <f>_xll.IMDP("STK",표.실시간[[#This Row],[nxt_code]],"체결시간")</f>
        <v>0</v>
      </c>
      <c r="T630" s="4">
        <f>_xll.IMDP("STK","003120","현재가")</f>
        <v>20850</v>
      </c>
      <c r="U630">
        <f>_xll.IMDP("STK","003120","누적거래량")</f>
        <v>6</v>
      </c>
    </row>
    <row r="631" spans="3:21" x14ac:dyDescent="0.3">
      <c r="C631">
        <v>626</v>
      </c>
      <c r="D631">
        <v>11500</v>
      </c>
      <c r="E631" t="s">
        <v>643</v>
      </c>
      <c r="F631" t="str">
        <f>ConvertStockCode(표.실시간[[#This Row],[코드]])</f>
        <v>N011500</v>
      </c>
      <c r="G631" s="4">
        <f>_xll.IMDP("STK",표.실시간[[#This Row],[nxt_code]],"현재가")</f>
        <v>25400</v>
      </c>
      <c r="H631" s="4">
        <f>_xll.IMDP("STK",표.실시간[[#This Row],[nxt_code]],"시가총액")/10^12</f>
        <v>0.39718086679999998</v>
      </c>
      <c r="I631" t="str">
        <f>_xll.IMDP("","","전일대비부호")</f>
        <v>코드오류</v>
      </c>
      <c r="J631" s="5">
        <f>_xll.IMDP("STK",표.실시간[[#This Row],[nxt_code]],"전일대비")</f>
        <v>2550</v>
      </c>
      <c r="K631">
        <f>_xll.IMDP("STK",표.실시간[[#This Row],[nxt_code]],"등락률")</f>
        <v>11.16</v>
      </c>
      <c r="L631" s="4">
        <f>_xll.IMDP("STK",표.실시간[[#This Row],[nxt_code]],"누적거래량")</f>
        <v>4562808</v>
      </c>
      <c r="M631" s="4">
        <f>_xll.IMDP("STK",표.실시간[[#This Row],[nxt_code]],"누적거래대금")</f>
        <v>118027289025</v>
      </c>
      <c r="N631" s="4">
        <f>_xll.IMDP("STK",표.실시간[[#This Row],[nxt_code]],"가중평균가")</f>
        <v>25867.248638000001</v>
      </c>
      <c r="O631" s="4">
        <f>_xll.IMDP("STK",표.실시간[[#This Row],[nxt_code]],"시가")</f>
        <v>25000</v>
      </c>
      <c r="P631" s="4">
        <f>_xll.IMDP("STK",표.실시간[[#This Row],[nxt_code]],"고가")</f>
        <v>27050</v>
      </c>
      <c r="Q631" s="4">
        <f>_xll.IMDP("STK",표.실시간[[#This Row],[nxt_code]],"저가")</f>
        <v>25000</v>
      </c>
      <c r="R631">
        <f>_xll.IMDP("STK",표.실시간[[#This Row],[nxt_code]],"세션명")</f>
        <v>0</v>
      </c>
      <c r="S631">
        <f>_xll.IMDP("STK",표.실시간[[#This Row],[nxt_code]],"체결시간")</f>
        <v>0</v>
      </c>
      <c r="T631" s="4">
        <f>_xll.IMDP("STK","011500","현재가")</f>
        <v>25400</v>
      </c>
      <c r="U631">
        <f>_xll.IMDP("STK","011500","누적거래량")</f>
        <v>114396</v>
      </c>
    </row>
    <row r="632" spans="3:21" x14ac:dyDescent="0.3">
      <c r="C632">
        <v>627</v>
      </c>
      <c r="D632">
        <v>9680</v>
      </c>
      <c r="E632" t="s">
        <v>644</v>
      </c>
      <c r="F632" t="str">
        <f>ConvertStockCode(표.실시간[[#This Row],[코드]])</f>
        <v>N009680</v>
      </c>
      <c r="G632" s="4">
        <f>_xll.IMDP("STK",표.실시간[[#This Row],[nxt_code]],"현재가")</f>
        <v>10230</v>
      </c>
      <c r="H632" s="4">
        <f>_xll.IMDP("STK",표.실시간[[#This Row],[nxt_code]],"시가총액")/10^12</f>
        <v>0.28695150000000003</v>
      </c>
      <c r="I632" t="str">
        <f>_xll.IMDP("","","전일대비부호")</f>
        <v>코드오류</v>
      </c>
      <c r="J632" s="5">
        <f>_xll.IMDP("STK",표.실시간[[#This Row],[nxt_code]],"전일대비")</f>
        <v>40</v>
      </c>
      <c r="K632">
        <f>_xll.IMDP("STK",표.실시간[[#This Row],[nxt_code]],"등락률")</f>
        <v>0.39</v>
      </c>
      <c r="L632" s="4">
        <f>_xll.IMDP("STK",표.실시간[[#This Row],[nxt_code]],"누적거래량")</f>
        <v>309</v>
      </c>
      <c r="M632" s="4">
        <f>_xll.IMDP("STK",표.실시간[[#This Row],[nxt_code]],"누적거래대금")</f>
        <v>3154980</v>
      </c>
      <c r="N632" s="4">
        <f>_xll.IMDP("STK",표.실시간[[#This Row],[nxt_code]],"가중평균가")</f>
        <v>10210.291262000001</v>
      </c>
      <c r="O632" s="4">
        <f>_xll.IMDP("STK",표.실시간[[#This Row],[nxt_code]],"시가")</f>
        <v>10110</v>
      </c>
      <c r="P632" s="4">
        <f>_xll.IMDP("STK",표.실시간[[#This Row],[nxt_code]],"고가")</f>
        <v>10230</v>
      </c>
      <c r="Q632" s="4">
        <f>_xll.IMDP("STK",표.실시간[[#This Row],[nxt_code]],"저가")</f>
        <v>10110</v>
      </c>
      <c r="R632">
        <f>_xll.IMDP("STK",표.실시간[[#This Row],[nxt_code]],"세션명")</f>
        <v>0</v>
      </c>
      <c r="S632">
        <f>_xll.IMDP("STK",표.실시간[[#This Row],[nxt_code]],"체결시간")</f>
        <v>0</v>
      </c>
      <c r="T632" s="4">
        <f>_xll.IMDP("STK","009680","현재가")</f>
        <v>10200</v>
      </c>
      <c r="U632">
        <f>_xll.IMDP("STK","009680","누적거래량")</f>
        <v>500</v>
      </c>
    </row>
    <row r="633" spans="3:21" x14ac:dyDescent="0.3">
      <c r="C633">
        <v>628</v>
      </c>
      <c r="D633">
        <v>25770</v>
      </c>
      <c r="E633" t="s">
        <v>645</v>
      </c>
      <c r="F633" t="str">
        <f>ConvertStockCode(표.실시간[[#This Row],[코드]])</f>
        <v>N025770</v>
      </c>
      <c r="G633" s="4">
        <f>_xll.IMDP("STK",표.실시간[[#This Row],[nxt_code]],"현재가")</f>
        <v>7680</v>
      </c>
      <c r="H633" s="4">
        <f>_xll.IMDP("STK",표.실시간[[#This Row],[nxt_code]],"시가총액")/10^12</f>
        <v>0.28757200127999999</v>
      </c>
      <c r="I633" t="str">
        <f>_xll.IMDP("","","전일대비부호")</f>
        <v>코드오류</v>
      </c>
      <c r="J633" s="5">
        <f>_xll.IMDP("STK",표.실시간[[#This Row],[nxt_code]],"전일대비")</f>
        <v>10</v>
      </c>
      <c r="K633">
        <f>_xll.IMDP("STK",표.실시간[[#This Row],[nxt_code]],"등락률")</f>
        <v>0.13</v>
      </c>
      <c r="L633" s="4">
        <f>_xll.IMDP("STK",표.실시간[[#This Row],[nxt_code]],"누적거래량")</f>
        <v>364</v>
      </c>
      <c r="M633" s="4">
        <f>_xll.IMDP("STK",표.실시간[[#This Row],[nxt_code]],"누적거래대금")</f>
        <v>2792830</v>
      </c>
      <c r="N633" s="4">
        <f>_xll.IMDP("STK",표.실시간[[#This Row],[nxt_code]],"가중평균가")</f>
        <v>7672.6098899999997</v>
      </c>
      <c r="O633" s="4">
        <f>_xll.IMDP("STK",표.실시간[[#This Row],[nxt_code]],"시가")</f>
        <v>7650</v>
      </c>
      <c r="P633" s="4">
        <f>_xll.IMDP("STK",표.실시간[[#This Row],[nxt_code]],"고가")</f>
        <v>7700</v>
      </c>
      <c r="Q633" s="4">
        <f>_xll.IMDP("STK",표.실시간[[#This Row],[nxt_code]],"저가")</f>
        <v>7650</v>
      </c>
      <c r="R633">
        <f>_xll.IMDP("STK",표.실시간[[#This Row],[nxt_code]],"세션명")</f>
        <v>0</v>
      </c>
      <c r="S633">
        <f>_xll.IMDP("STK",표.실시간[[#This Row],[nxt_code]],"체결시간")</f>
        <v>0</v>
      </c>
      <c r="T633" s="4">
        <f>_xll.IMDP("STK","025770","현재가")</f>
        <v>7640</v>
      </c>
      <c r="U633">
        <f>_xll.IMDP("STK","025770","누적거래량")</f>
        <v>40</v>
      </c>
    </row>
    <row r="634" spans="3:21" x14ac:dyDescent="0.3">
      <c r="C634">
        <v>629</v>
      </c>
      <c r="D634">
        <v>416180</v>
      </c>
      <c r="E634" t="s">
        <v>646</v>
      </c>
      <c r="F634" t="str">
        <f>ConvertStockCode(표.실시간[[#This Row],[코드]])</f>
        <v>N416180</v>
      </c>
      <c r="G634" s="4">
        <f>_xll.IMDP("STK",표.실시간[[#This Row],[nxt_code]],"현재가")</f>
        <v>33200</v>
      </c>
      <c r="H634" s="4">
        <f>_xll.IMDP("STK",표.실시간[[#This Row],[nxt_code]],"시가총액")/10^12</f>
        <v>0.30012062960000002</v>
      </c>
      <c r="I634" t="str">
        <f>_xll.IMDP("","","전일대비부호")</f>
        <v>코드오류</v>
      </c>
      <c r="J634" s="5">
        <f>_xll.IMDP("STK",표.실시간[[#This Row],[nxt_code]],"전일대비")</f>
        <v>400</v>
      </c>
      <c r="K634">
        <f>_xll.IMDP("STK",표.실시간[[#This Row],[nxt_code]],"등락률")</f>
        <v>1.22</v>
      </c>
      <c r="L634" s="4">
        <f>_xll.IMDP("STK",표.실시간[[#This Row],[nxt_code]],"누적거래량")</f>
        <v>45684</v>
      </c>
      <c r="M634" s="4">
        <f>_xll.IMDP("STK",표.실시간[[#This Row],[nxt_code]],"누적거래대금")</f>
        <v>1539555950</v>
      </c>
      <c r="N634" s="4">
        <f>_xll.IMDP("STK",표.실시간[[#This Row],[nxt_code]],"가중평균가")</f>
        <v>33700.112731000001</v>
      </c>
      <c r="O634" s="4">
        <f>_xll.IMDP("STK",표.실시간[[#This Row],[nxt_code]],"시가")</f>
        <v>33400</v>
      </c>
      <c r="P634" s="4">
        <f>_xll.IMDP("STK",표.실시간[[#This Row],[nxt_code]],"고가")</f>
        <v>34250</v>
      </c>
      <c r="Q634" s="4">
        <f>_xll.IMDP("STK",표.실시간[[#This Row],[nxt_code]],"저가")</f>
        <v>33150</v>
      </c>
      <c r="R634">
        <f>_xll.IMDP("STK",표.실시간[[#This Row],[nxt_code]],"세션명")</f>
        <v>0</v>
      </c>
      <c r="S634">
        <f>_xll.IMDP("STK",표.실시간[[#This Row],[nxt_code]],"체결시간")</f>
        <v>0</v>
      </c>
      <c r="T634" s="4">
        <f>_xll.IMDP("STK","416180","현재가")</f>
        <v>33200</v>
      </c>
      <c r="U634">
        <f>_xll.IMDP("STK","416180","누적거래량")</f>
        <v>12513</v>
      </c>
    </row>
    <row r="635" spans="3:21" x14ac:dyDescent="0.3">
      <c r="C635">
        <v>630</v>
      </c>
      <c r="D635">
        <v>65680</v>
      </c>
      <c r="E635" t="s">
        <v>647</v>
      </c>
      <c r="F635" t="str">
        <f>ConvertStockCode(표.실시간[[#This Row],[코드]])</f>
        <v>N065680</v>
      </c>
      <c r="G635" s="4">
        <f>_xll.IMDP("STK",표.실시간[[#This Row],[nxt_code]],"현재가")</f>
        <v>30500</v>
      </c>
      <c r="H635" s="4">
        <f>_xll.IMDP("STK",표.실시간[[#This Row],[nxt_code]],"시가총액")/10^12</f>
        <v>0.28183436550000002</v>
      </c>
      <c r="I635" t="str">
        <f>_xll.IMDP("","","전일대비부호")</f>
        <v>코드오류</v>
      </c>
      <c r="J635" s="5">
        <f>_xll.IMDP("STK",표.실시간[[#This Row],[nxt_code]],"전일대비")</f>
        <v>350</v>
      </c>
      <c r="K635">
        <f>_xll.IMDP("STK",표.실시간[[#This Row],[nxt_code]],"등락률")</f>
        <v>1.1599999999999999</v>
      </c>
      <c r="L635" s="4">
        <f>_xll.IMDP("STK",표.실시간[[#This Row],[nxt_code]],"누적거래량")</f>
        <v>639</v>
      </c>
      <c r="M635" s="4">
        <f>_xll.IMDP("STK",표.실시간[[#This Row],[nxt_code]],"누적거래대금")</f>
        <v>19514550</v>
      </c>
      <c r="N635" s="4">
        <f>_xll.IMDP("STK",표.실시간[[#This Row],[nxt_code]],"가중평균가")</f>
        <v>30539.201878</v>
      </c>
      <c r="O635" s="4">
        <f>_xll.IMDP("STK",표.실시간[[#This Row],[nxt_code]],"시가")</f>
        <v>30200</v>
      </c>
      <c r="P635" s="4">
        <f>_xll.IMDP("STK",표.실시간[[#This Row],[nxt_code]],"고가")</f>
        <v>30750</v>
      </c>
      <c r="Q635" s="4">
        <f>_xll.IMDP("STK",표.실시간[[#This Row],[nxt_code]],"저가")</f>
        <v>30100</v>
      </c>
      <c r="R635">
        <f>_xll.IMDP("STK",표.실시간[[#This Row],[nxt_code]],"세션명")</f>
        <v>0</v>
      </c>
      <c r="S635">
        <f>_xll.IMDP("STK",표.실시간[[#This Row],[nxt_code]],"체결시간")</f>
        <v>0</v>
      </c>
      <c r="T635" s="4">
        <f>_xll.IMDP("STK","065680","현재가")</f>
        <v>30400</v>
      </c>
      <c r="U635">
        <f>_xll.IMDP("STK","065680","누적거래량")</f>
        <v>417</v>
      </c>
    </row>
    <row r="636" spans="3:21" x14ac:dyDescent="0.3">
      <c r="C636">
        <v>631</v>
      </c>
      <c r="D636">
        <v>11760</v>
      </c>
      <c r="E636" t="s">
        <v>648</v>
      </c>
      <c r="F636" t="str">
        <f>ConvertStockCode(표.실시간[[#This Row],[코드]])</f>
        <v>N011760</v>
      </c>
      <c r="G636" s="4">
        <f>_xll.IMDP("STK",표.실시간[[#This Row],[nxt_code]],"현재가")</f>
        <v>22200</v>
      </c>
      <c r="H636" s="4">
        <f>_xll.IMDP("STK",표.실시간[[#This Row],[nxt_code]],"시가총액")/10^12</f>
        <v>0.29368304519999999</v>
      </c>
      <c r="I636" t="str">
        <f>_xll.IMDP("","","전일대비부호")</f>
        <v>코드오류</v>
      </c>
      <c r="J636" s="5">
        <f>_xll.IMDP("STK",표.실시간[[#This Row],[nxt_code]],"전일대비")</f>
        <v>300</v>
      </c>
      <c r="K636">
        <f>_xll.IMDP("STK",표.실시간[[#This Row],[nxt_code]],"등락률")</f>
        <v>1.37</v>
      </c>
      <c r="L636" s="4">
        <f>_xll.IMDP("STK",표.실시간[[#This Row],[nxt_code]],"누적거래량")</f>
        <v>6253</v>
      </c>
      <c r="M636" s="4">
        <f>_xll.IMDP("STK",표.실시간[[#This Row],[nxt_code]],"누적거래대금")</f>
        <v>139048150</v>
      </c>
      <c r="N636" s="4">
        <f>_xll.IMDP("STK",표.실시간[[#This Row],[nxt_code]],"가중평균가")</f>
        <v>22237.030224999999</v>
      </c>
      <c r="O636" s="4">
        <f>_xll.IMDP("STK",표.실시간[[#This Row],[nxt_code]],"시가")</f>
        <v>22100</v>
      </c>
      <c r="P636" s="4">
        <f>_xll.IMDP("STK",표.실시간[[#This Row],[nxt_code]],"고가")</f>
        <v>22750</v>
      </c>
      <c r="Q636" s="4">
        <f>_xll.IMDP("STK",표.실시간[[#This Row],[nxt_code]],"저가")</f>
        <v>22100</v>
      </c>
      <c r="R636">
        <f>_xll.IMDP("STK",표.실시간[[#This Row],[nxt_code]],"세션명")</f>
        <v>0</v>
      </c>
      <c r="S636">
        <f>_xll.IMDP("STK",표.실시간[[#This Row],[nxt_code]],"체결시간")</f>
        <v>0</v>
      </c>
      <c r="T636" s="4">
        <f>_xll.IMDP("STK","011760","현재가")</f>
        <v>22100</v>
      </c>
      <c r="U636">
        <f>_xll.IMDP("STK","011760","누적거래량")</f>
        <v>605</v>
      </c>
    </row>
    <row r="637" spans="3:21" x14ac:dyDescent="0.3">
      <c r="C637">
        <v>632</v>
      </c>
      <c r="D637">
        <v>472850</v>
      </c>
      <c r="E637" t="s">
        <v>649</v>
      </c>
      <c r="F637" t="str">
        <f>ConvertStockCode(표.실시간[[#This Row],[코드]])</f>
        <v>N472850</v>
      </c>
      <c r="G637" s="4">
        <f>_xll.IMDP("STK",표.실시간[[#This Row],[nxt_code]],"현재가")</f>
        <v>5090</v>
      </c>
      <c r="H637" s="4">
        <f>_xll.IMDP("STK",표.실시간[[#This Row],[nxt_code]],"시가총액")/10^12</f>
        <v>0.29303970868000001</v>
      </c>
      <c r="I637" t="str">
        <f>_xll.IMDP("","","전일대비부호")</f>
        <v>코드오류</v>
      </c>
      <c r="J637" s="5">
        <f>_xll.IMDP("STK",표.실시간[[#This Row],[nxt_code]],"전일대비")</f>
        <v>50</v>
      </c>
      <c r="K637">
        <f>_xll.IMDP("STK",표.실시간[[#This Row],[nxt_code]],"등락률")</f>
        <v>0.99</v>
      </c>
      <c r="L637" s="4">
        <f>_xll.IMDP("STK",표.실시간[[#This Row],[nxt_code]],"누적거래량")</f>
        <v>3606</v>
      </c>
      <c r="M637" s="4">
        <f>_xll.IMDP("STK",표.실시간[[#This Row],[nxt_code]],"누적거래대금")</f>
        <v>18327460</v>
      </c>
      <c r="N637" s="4">
        <f>_xll.IMDP("STK",표.실시간[[#This Row],[nxt_code]],"가중평균가")</f>
        <v>5082.4902940000002</v>
      </c>
      <c r="O637" s="4">
        <f>_xll.IMDP("STK",표.실시간[[#This Row],[nxt_code]],"시가")</f>
        <v>5010</v>
      </c>
      <c r="P637" s="4">
        <f>_xll.IMDP("STK",표.실시간[[#This Row],[nxt_code]],"고가")</f>
        <v>5130</v>
      </c>
      <c r="Q637" s="4">
        <f>_xll.IMDP("STK",표.실시간[[#This Row],[nxt_code]],"저가")</f>
        <v>5010</v>
      </c>
      <c r="R637">
        <f>_xll.IMDP("STK",표.실시간[[#This Row],[nxt_code]],"세션명")</f>
        <v>0</v>
      </c>
      <c r="S637">
        <f>_xll.IMDP("STK",표.실시간[[#This Row],[nxt_code]],"체결시간")</f>
        <v>0</v>
      </c>
      <c r="T637" s="4">
        <f>_xll.IMDP("STK","472850","현재가")</f>
        <v>5100</v>
      </c>
      <c r="U637">
        <f>_xll.IMDP("STK","472850","누적거래량")</f>
        <v>2769</v>
      </c>
    </row>
    <row r="638" spans="3:21" x14ac:dyDescent="0.3">
      <c r="C638">
        <v>633</v>
      </c>
      <c r="D638">
        <v>448280</v>
      </c>
      <c r="E638" t="s">
        <v>650</v>
      </c>
      <c r="F638" t="str">
        <f>ConvertStockCode(표.실시간[[#This Row],[코드]])</f>
        <v>N448280</v>
      </c>
      <c r="G638" s="4">
        <f>_xll.IMDP("STK",표.실시간[[#This Row],[nxt_code]],"현재가")</f>
        <v>9980</v>
      </c>
      <c r="H638" s="4">
        <f>_xll.IMDP("STK",표.실시간[[#This Row],[nxt_code]],"시가총액")/10^12</f>
        <v>0.29571866742000003</v>
      </c>
      <c r="I638" t="str">
        <f>_xll.IMDP("","","전일대비부호")</f>
        <v>코드오류</v>
      </c>
      <c r="J638" s="5">
        <f>_xll.IMDP("STK",표.실시간[[#This Row],[nxt_code]],"전일대비")</f>
        <v>70</v>
      </c>
      <c r="K638">
        <f>_xll.IMDP("STK",표.실시간[[#This Row],[nxt_code]],"등락률")</f>
        <v>0.71</v>
      </c>
      <c r="L638" s="4">
        <f>_xll.IMDP("STK",표.실시간[[#This Row],[nxt_code]],"누적거래량")</f>
        <v>1429</v>
      </c>
      <c r="M638" s="4">
        <f>_xll.IMDP("STK",표.실시간[[#This Row],[nxt_code]],"누적거래대금")</f>
        <v>14251020</v>
      </c>
      <c r="N638" s="4">
        <f>_xll.IMDP("STK",표.실시간[[#This Row],[nxt_code]],"가중평균가")</f>
        <v>9972.7221829999999</v>
      </c>
      <c r="O638" s="4">
        <f>_xll.IMDP("STK",표.실시간[[#This Row],[nxt_code]],"시가")</f>
        <v>9910</v>
      </c>
      <c r="P638" s="4">
        <f>_xll.IMDP("STK",표.실시간[[#This Row],[nxt_code]],"고가")</f>
        <v>10090</v>
      </c>
      <c r="Q638" s="4">
        <f>_xll.IMDP("STK",표.실시간[[#This Row],[nxt_code]],"저가")</f>
        <v>9910</v>
      </c>
      <c r="R638">
        <f>_xll.IMDP("STK",표.실시간[[#This Row],[nxt_code]],"세션명")</f>
        <v>0</v>
      </c>
      <c r="S638">
        <f>_xll.IMDP("STK",표.실시간[[#This Row],[nxt_code]],"체결시간")</f>
        <v>0</v>
      </c>
      <c r="T638" s="4">
        <f>_xll.IMDP("STK","448280","현재가")</f>
        <v>9940</v>
      </c>
      <c r="U638">
        <f>_xll.IMDP("STK","448280","누적거래량")</f>
        <v>1402</v>
      </c>
    </row>
    <row r="639" spans="3:21" x14ac:dyDescent="0.3">
      <c r="C639">
        <v>634</v>
      </c>
      <c r="D639">
        <v>265520</v>
      </c>
      <c r="E639" t="s">
        <v>651</v>
      </c>
      <c r="F639" t="str">
        <f>ConvertStockCode(표.실시간[[#This Row],[코드]])</f>
        <v>N265520</v>
      </c>
      <c r="G639" s="4">
        <f>_xll.IMDP("STK",표.실시간[[#This Row],[nxt_code]],"현재가")</f>
        <v>19030</v>
      </c>
      <c r="H639" s="4">
        <f>_xll.IMDP("STK",표.실시간[[#This Row],[nxt_code]],"시가총액")/10^12</f>
        <v>0.28641712362999999</v>
      </c>
      <c r="I639" t="str">
        <f>_xll.IMDP("","","전일대비부호")</f>
        <v>코드오류</v>
      </c>
      <c r="J639" s="5">
        <f>_xll.IMDP("STK",표.실시간[[#This Row],[nxt_code]],"전일대비")</f>
        <v>10</v>
      </c>
      <c r="K639">
        <f>_xll.IMDP("STK",표.실시간[[#This Row],[nxt_code]],"등락률")</f>
        <v>0.05</v>
      </c>
      <c r="L639" s="4">
        <f>_xll.IMDP("STK",표.실시간[[#This Row],[nxt_code]],"누적거래량")</f>
        <v>9859</v>
      </c>
      <c r="M639" s="4">
        <f>_xll.IMDP("STK",표.실시간[[#This Row],[nxt_code]],"누적거래대금")</f>
        <v>189363450</v>
      </c>
      <c r="N639" s="4">
        <f>_xll.IMDP("STK",표.실시간[[#This Row],[nxt_code]],"가중평균가")</f>
        <v>19207.166041</v>
      </c>
      <c r="O639" s="4">
        <f>_xll.IMDP("STK",표.실시간[[#This Row],[nxt_code]],"시가")</f>
        <v>19030</v>
      </c>
      <c r="P639" s="4">
        <f>_xll.IMDP("STK",표.실시간[[#This Row],[nxt_code]],"고가")</f>
        <v>19350</v>
      </c>
      <c r="Q639" s="4">
        <f>_xll.IMDP("STK",표.실시간[[#This Row],[nxt_code]],"저가")</f>
        <v>19020</v>
      </c>
      <c r="R639">
        <f>_xll.IMDP("STK",표.실시간[[#This Row],[nxt_code]],"세션명")</f>
        <v>0</v>
      </c>
      <c r="S639">
        <f>_xll.IMDP("STK",표.실시간[[#This Row],[nxt_code]],"체결시간")</f>
        <v>0</v>
      </c>
      <c r="T639" s="4">
        <f>_xll.IMDP("STK","265520","현재가")</f>
        <v>19030</v>
      </c>
      <c r="U639">
        <f>_xll.IMDP("STK","265520","누적거래량")</f>
        <v>2160</v>
      </c>
    </row>
    <row r="640" spans="3:21" x14ac:dyDescent="0.3">
      <c r="C640">
        <v>635</v>
      </c>
      <c r="D640">
        <v>92460</v>
      </c>
      <c r="E640" t="s">
        <v>652</v>
      </c>
      <c r="F640" t="str">
        <f>ConvertStockCode(표.실시간[[#This Row],[코드]])</f>
        <v>N092460</v>
      </c>
      <c r="G640" s="4">
        <f>_xll.IMDP("STK",표.실시간[[#This Row],[nxt_code]],"현재가")</f>
        <v>16310</v>
      </c>
      <c r="H640" s="4">
        <f>_xll.IMDP("STK",표.실시간[[#This Row],[nxt_code]],"시가총액")/10^12</f>
        <v>0.27905888080000002</v>
      </c>
      <c r="I640" t="str">
        <f>_xll.IMDP("","","전일대비부호")</f>
        <v>코드오류</v>
      </c>
      <c r="J640" s="5">
        <f>_xll.IMDP("STK",표.실시간[[#This Row],[nxt_code]],"전일대비")</f>
        <v>100</v>
      </c>
      <c r="K640">
        <f>_xll.IMDP("STK",표.실시간[[#This Row],[nxt_code]],"등락률")</f>
        <v>0.62</v>
      </c>
      <c r="L640" s="4">
        <f>_xll.IMDP("STK",표.실시간[[#This Row],[nxt_code]],"누적거래량")</f>
        <v>6690</v>
      </c>
      <c r="M640" s="4">
        <f>_xll.IMDP("STK",표.실시간[[#This Row],[nxt_code]],"누적거래대금")</f>
        <v>109478660</v>
      </c>
      <c r="N640" s="4">
        <f>_xll.IMDP("STK",표.실시간[[#This Row],[nxt_code]],"가중평균가")</f>
        <v>16364.523169</v>
      </c>
      <c r="O640" s="4">
        <f>_xll.IMDP("STK",표.실시간[[#This Row],[nxt_code]],"시가")</f>
        <v>16580</v>
      </c>
      <c r="P640" s="4">
        <f>_xll.IMDP("STK",표.실시간[[#This Row],[nxt_code]],"고가")</f>
        <v>16580</v>
      </c>
      <c r="Q640" s="4">
        <f>_xll.IMDP("STK",표.실시간[[#This Row],[nxt_code]],"저가")</f>
        <v>16260</v>
      </c>
      <c r="R640">
        <f>_xll.IMDP("STK",표.실시간[[#This Row],[nxt_code]],"세션명")</f>
        <v>0</v>
      </c>
      <c r="S640">
        <f>_xll.IMDP("STK",표.실시간[[#This Row],[nxt_code]],"체결시간")</f>
        <v>0</v>
      </c>
      <c r="T640" s="4">
        <f>_xll.IMDP("STK","092460","현재가")</f>
        <v>16310</v>
      </c>
      <c r="U640">
        <f>_xll.IMDP("STK","092460","누적거래량")</f>
        <v>3212</v>
      </c>
    </row>
    <row r="641" spans="3:21" x14ac:dyDescent="0.3">
      <c r="C641">
        <v>636</v>
      </c>
      <c r="D641">
        <v>402030</v>
      </c>
      <c r="E641" t="s">
        <v>653</v>
      </c>
      <c r="F641" t="str">
        <f>ConvertStockCode(표.실시간[[#This Row],[코드]])</f>
        <v>N402030</v>
      </c>
      <c r="G641" s="4">
        <f>_xll.IMDP("STK",표.실시간[[#This Row],[nxt_code]],"현재가")</f>
        <v>22200</v>
      </c>
      <c r="H641" s="4">
        <f>_xll.IMDP("STK",표.실시간[[#This Row],[nxt_code]],"시가총액")/10^12</f>
        <v>0.27788823359999998</v>
      </c>
      <c r="I641" t="str">
        <f>_xll.IMDP("","","전일대비부호")</f>
        <v>코드오류</v>
      </c>
      <c r="J641" s="5">
        <f>_xll.IMDP("STK",표.실시간[[#This Row],[nxt_code]],"전일대비")</f>
        <v>150</v>
      </c>
      <c r="K641">
        <f>_xll.IMDP("STK",표.실시간[[#This Row],[nxt_code]],"등락률")</f>
        <v>0.68</v>
      </c>
      <c r="L641" s="4">
        <f>_xll.IMDP("STK",표.실시간[[#This Row],[nxt_code]],"누적거래량")</f>
        <v>6182</v>
      </c>
      <c r="M641" s="4">
        <f>_xll.IMDP("STK",표.실시간[[#This Row],[nxt_code]],"누적거래대금")</f>
        <v>136856100</v>
      </c>
      <c r="N641" s="4">
        <f>_xll.IMDP("STK",표.실시간[[#This Row],[nxt_code]],"가중평균가")</f>
        <v>22137.835652000002</v>
      </c>
      <c r="O641" s="4">
        <f>_xll.IMDP("STK",표.실시간[[#This Row],[nxt_code]],"시가")</f>
        <v>22300</v>
      </c>
      <c r="P641" s="4">
        <f>_xll.IMDP("STK",표.실시간[[#This Row],[nxt_code]],"고가")</f>
        <v>22300</v>
      </c>
      <c r="Q641" s="4">
        <f>_xll.IMDP("STK",표.실시간[[#This Row],[nxt_code]],"저가")</f>
        <v>22000</v>
      </c>
      <c r="R641">
        <f>_xll.IMDP("STK",표.실시간[[#This Row],[nxt_code]],"세션명")</f>
        <v>0</v>
      </c>
      <c r="S641">
        <f>_xll.IMDP("STK",표.실시간[[#This Row],[nxt_code]],"체결시간")</f>
        <v>0</v>
      </c>
      <c r="T641" s="4">
        <f>_xll.IMDP("STK","402030","현재가")</f>
        <v>22300</v>
      </c>
      <c r="U641">
        <f>_xll.IMDP("STK","402030","누적거래량")</f>
        <v>2612</v>
      </c>
    </row>
    <row r="642" spans="3:21" x14ac:dyDescent="0.3">
      <c r="C642">
        <v>637</v>
      </c>
      <c r="D642">
        <v>43150</v>
      </c>
      <c r="E642" t="s">
        <v>654</v>
      </c>
      <c r="F642" t="str">
        <f>ConvertStockCode(표.실시간[[#This Row],[코드]])</f>
        <v>N043150</v>
      </c>
      <c r="G642" s="4">
        <f>_xll.IMDP("STK",표.실시간[[#This Row],[nxt_code]],"현재가")</f>
        <v>19200</v>
      </c>
      <c r="H642" s="4">
        <f>_xll.IMDP("STK",표.실시간[[#This Row],[nxt_code]],"시가총액")/10^12</f>
        <v>0.28520171519999998</v>
      </c>
      <c r="I642" t="str">
        <f>_xll.IMDP("","","전일대비부호")</f>
        <v>코드오류</v>
      </c>
      <c r="J642" s="5">
        <f>_xll.IMDP("STK",표.실시간[[#This Row],[nxt_code]],"전일대비")</f>
        <v>0</v>
      </c>
      <c r="K642">
        <f>_xll.IMDP("STK",표.실시간[[#This Row],[nxt_code]],"등락률")</f>
        <v>0</v>
      </c>
      <c r="L642" s="4">
        <f>_xll.IMDP("STK",표.실시간[[#This Row],[nxt_code]],"누적거래량")</f>
        <v>150</v>
      </c>
      <c r="M642" s="4">
        <f>_xll.IMDP("STK",표.실시간[[#This Row],[nxt_code]],"누적거래대금")</f>
        <v>2880010</v>
      </c>
      <c r="N642" s="4">
        <f>_xll.IMDP("STK",표.실시간[[#This Row],[nxt_code]],"가중평균가")</f>
        <v>19200.066666999999</v>
      </c>
      <c r="O642" s="4">
        <f>_xll.IMDP("STK",표.실시간[[#This Row],[nxt_code]],"시가")</f>
        <v>19290</v>
      </c>
      <c r="P642" s="4">
        <f>_xll.IMDP("STK",표.실시간[[#This Row],[nxt_code]],"고가")</f>
        <v>19290</v>
      </c>
      <c r="Q642" s="4">
        <f>_xll.IMDP("STK",표.실시간[[#This Row],[nxt_code]],"저가")</f>
        <v>19160</v>
      </c>
      <c r="R642">
        <f>_xll.IMDP("STK",표.실시간[[#This Row],[nxt_code]],"세션명")</f>
        <v>0</v>
      </c>
      <c r="S642">
        <f>_xll.IMDP("STK",표.실시간[[#This Row],[nxt_code]],"체결시간")</f>
        <v>0</v>
      </c>
      <c r="T642" s="4">
        <f>_xll.IMDP("STK","043150","현재가")</f>
        <v>19120</v>
      </c>
      <c r="U642">
        <f>_xll.IMDP("STK","043150","누적거래량")</f>
        <v>427</v>
      </c>
    </row>
    <row r="643" spans="3:21" x14ac:dyDescent="0.3">
      <c r="C643">
        <v>638</v>
      </c>
      <c r="D643">
        <v>338220</v>
      </c>
      <c r="E643" t="s">
        <v>655</v>
      </c>
      <c r="F643" t="str">
        <f>ConvertStockCode(표.실시간[[#This Row],[코드]])</f>
        <v>N338220</v>
      </c>
      <c r="G643" s="4">
        <f>_xll.IMDP("STK",표.실시간[[#This Row],[nxt_code]],"현재가")</f>
        <v>20150</v>
      </c>
      <c r="H643" s="4">
        <f>_xll.IMDP("STK",표.실시간[[#This Row],[nxt_code]],"시가총액")/10^12</f>
        <v>0.28213673345000001</v>
      </c>
      <c r="I643" t="str">
        <f>_xll.IMDP("","","전일대비부호")</f>
        <v>코드오류</v>
      </c>
      <c r="J643" s="5">
        <f>_xll.IMDP("STK",표.실시간[[#This Row],[nxt_code]],"전일대비")</f>
        <v>200</v>
      </c>
      <c r="K643">
        <f>_xll.IMDP("STK",표.실시간[[#This Row],[nxt_code]],"등락률")</f>
        <v>1</v>
      </c>
      <c r="L643" s="4">
        <f>_xll.IMDP("STK",표.실시간[[#This Row],[nxt_code]],"누적거래량")</f>
        <v>17189</v>
      </c>
      <c r="M643" s="4">
        <f>_xll.IMDP("STK",표.실시간[[#This Row],[nxt_code]],"누적거래대금")</f>
        <v>347541450</v>
      </c>
      <c r="N643" s="4">
        <f>_xll.IMDP("STK",표.실시간[[#This Row],[nxt_code]],"가중평균가")</f>
        <v>20218.828902000001</v>
      </c>
      <c r="O643" s="4">
        <f>_xll.IMDP("STK",표.실시간[[#This Row],[nxt_code]],"시가")</f>
        <v>20150</v>
      </c>
      <c r="P643" s="4">
        <f>_xll.IMDP("STK",표.실시간[[#This Row],[nxt_code]],"고가")</f>
        <v>20350</v>
      </c>
      <c r="Q643" s="4">
        <f>_xll.IMDP("STK",표.실시간[[#This Row],[nxt_code]],"저가")</f>
        <v>20100</v>
      </c>
      <c r="R643">
        <f>_xll.IMDP("STK",표.실시간[[#This Row],[nxt_code]],"세션명")</f>
        <v>0</v>
      </c>
      <c r="S643">
        <f>_xll.IMDP("STK",표.실시간[[#This Row],[nxt_code]],"체결시간")</f>
        <v>0</v>
      </c>
      <c r="T643" s="4">
        <f>_xll.IMDP("STK","338220","현재가")</f>
        <v>20150</v>
      </c>
      <c r="U643">
        <f>_xll.IMDP("STK","338220","누적거래량")</f>
        <v>3915</v>
      </c>
    </row>
    <row r="644" spans="3:21" x14ac:dyDescent="0.3">
      <c r="C644">
        <v>639</v>
      </c>
      <c r="D644">
        <v>18310</v>
      </c>
      <c r="E644" t="s">
        <v>656</v>
      </c>
      <c r="F644" t="str">
        <f>ConvertStockCode(표.실시간[[#This Row],[코드]])</f>
        <v>N018310</v>
      </c>
      <c r="G644" s="4">
        <f>_xll.IMDP("STK",표.실시간[[#This Row],[nxt_code]],"현재가")</f>
        <v>19030</v>
      </c>
      <c r="H644" s="4">
        <f>_xll.IMDP("STK",표.실시간[[#This Row],[nxt_code]],"시가총액")/10^12</f>
        <v>0.27974100000000002</v>
      </c>
      <c r="I644" t="str">
        <f>_xll.IMDP("","","전일대비부호")</f>
        <v>코드오류</v>
      </c>
      <c r="J644" s="5">
        <f>_xll.IMDP("STK",표.실시간[[#This Row],[nxt_code]],"전일대비")</f>
        <v>-90</v>
      </c>
      <c r="K644">
        <f>_xll.IMDP("STK",표.실시간[[#This Row],[nxt_code]],"등락률")</f>
        <v>-0.47</v>
      </c>
      <c r="L644" s="4">
        <f>_xll.IMDP("STK",표.실시간[[#This Row],[nxt_code]],"누적거래량")</f>
        <v>30</v>
      </c>
      <c r="M644" s="4">
        <f>_xll.IMDP("STK",표.실시간[[#This Row],[nxt_code]],"누적거래대금")</f>
        <v>570650</v>
      </c>
      <c r="N644" s="4">
        <f>_xll.IMDP("STK",표.실시간[[#This Row],[nxt_code]],"가중평균가")</f>
        <v>19021.666667000001</v>
      </c>
      <c r="O644" s="4">
        <f>_xll.IMDP("STK",표.실시간[[#This Row],[nxt_code]],"시가")</f>
        <v>19010</v>
      </c>
      <c r="P644" s="4">
        <f>_xll.IMDP("STK",표.실시간[[#This Row],[nxt_code]],"고가")</f>
        <v>19030</v>
      </c>
      <c r="Q644" s="4">
        <f>_xll.IMDP("STK",표.실시간[[#This Row],[nxt_code]],"저가")</f>
        <v>19010</v>
      </c>
      <c r="R644">
        <f>_xll.IMDP("STK",표.실시간[[#This Row],[nxt_code]],"세션명")</f>
        <v>0</v>
      </c>
      <c r="S644">
        <f>_xll.IMDP("STK",표.실시간[[#This Row],[nxt_code]],"체결시간")</f>
        <v>0</v>
      </c>
      <c r="T644" s="4">
        <f>_xll.IMDP("STK","018310","현재가")</f>
        <v>19120</v>
      </c>
      <c r="U644">
        <f>_xll.IMDP("STK","018310","누적거래량")</f>
        <v>14</v>
      </c>
    </row>
    <row r="645" spans="3:21" x14ac:dyDescent="0.3">
      <c r="C645">
        <v>640</v>
      </c>
      <c r="D645">
        <v>92730</v>
      </c>
      <c r="E645" t="s">
        <v>657</v>
      </c>
      <c r="F645" t="str">
        <f>ConvertStockCode(표.실시간[[#This Row],[코드]])</f>
        <v>N092730</v>
      </c>
      <c r="G645" s="4">
        <f>_xll.IMDP("STK",표.실시간[[#This Row],[nxt_code]],"현재가")</f>
        <v>18950</v>
      </c>
      <c r="H645" s="4">
        <f>_xll.IMDP("STK",표.실시간[[#This Row],[nxt_code]],"시가총액")/10^12</f>
        <v>0.30373039154999998</v>
      </c>
      <c r="I645" t="str">
        <f>_xll.IMDP("","","전일대비부호")</f>
        <v>코드오류</v>
      </c>
      <c r="J645" s="5">
        <f>_xll.IMDP("STK",표.실시간[[#This Row],[nxt_code]],"전일대비")</f>
        <v>-160</v>
      </c>
      <c r="K645">
        <f>_xll.IMDP("STK",표.실시간[[#This Row],[nxt_code]],"등락률")</f>
        <v>-0.84</v>
      </c>
      <c r="L645" s="4">
        <f>_xll.IMDP("STK",표.실시간[[#This Row],[nxt_code]],"누적거래량")</f>
        <v>2963</v>
      </c>
      <c r="M645" s="4">
        <f>_xll.IMDP("STK",표.실시간[[#This Row],[nxt_code]],"누적거래대금")</f>
        <v>56096290</v>
      </c>
      <c r="N645" s="4">
        <f>_xll.IMDP("STK",표.실시간[[#This Row],[nxt_code]],"가중평균가")</f>
        <v>18932.261222000001</v>
      </c>
      <c r="O645" s="4">
        <f>_xll.IMDP("STK",표.실시간[[#This Row],[nxt_code]],"시가")</f>
        <v>19170</v>
      </c>
      <c r="P645" s="4">
        <f>_xll.IMDP("STK",표.실시간[[#This Row],[nxt_code]],"고가")</f>
        <v>19170</v>
      </c>
      <c r="Q645" s="4">
        <f>_xll.IMDP("STK",표.실시간[[#This Row],[nxt_code]],"저가")</f>
        <v>18770</v>
      </c>
      <c r="R645">
        <f>_xll.IMDP("STK",표.실시간[[#This Row],[nxt_code]],"세션명")</f>
        <v>0</v>
      </c>
      <c r="S645">
        <f>_xll.IMDP("STK",표.실시간[[#This Row],[nxt_code]],"체결시간")</f>
        <v>0</v>
      </c>
      <c r="T645" s="4">
        <f>_xll.IMDP("STK","092730","현재가")</f>
        <v>19110</v>
      </c>
      <c r="U645">
        <f>_xll.IMDP("STK","092730","누적거래량")</f>
        <v>1772</v>
      </c>
    </row>
    <row r="646" spans="3:21" x14ac:dyDescent="0.3">
      <c r="C646">
        <v>641</v>
      </c>
      <c r="D646">
        <v>473980</v>
      </c>
      <c r="E646" t="s">
        <v>658</v>
      </c>
      <c r="F646" t="str">
        <f>ConvertStockCode(표.실시간[[#This Row],[코드]])</f>
        <v>N473980</v>
      </c>
      <c r="G646" s="4">
        <f>_xll.IMDP("STK",표.실시간[[#This Row],[nxt_code]],"현재가")</f>
        <v>26650</v>
      </c>
      <c r="H646" s="4">
        <f>_xll.IMDP("STK",표.실시간[[#This Row],[nxt_code]],"시가총액")/10^12</f>
        <v>0.29318523130000002</v>
      </c>
      <c r="I646" t="str">
        <f>_xll.IMDP("","","전일대비부호")</f>
        <v>코드오류</v>
      </c>
      <c r="J646" s="5">
        <f>_xll.IMDP("STK",표.실시간[[#This Row],[nxt_code]],"전일대비")</f>
        <v>250</v>
      </c>
      <c r="K646">
        <f>_xll.IMDP("STK",표.실시간[[#This Row],[nxt_code]],"등락률")</f>
        <v>0.95</v>
      </c>
      <c r="L646" s="4">
        <f>_xll.IMDP("STK",표.실시간[[#This Row],[nxt_code]],"누적거래량")</f>
        <v>14752</v>
      </c>
      <c r="M646" s="4">
        <f>_xll.IMDP("STK",표.실시간[[#This Row],[nxt_code]],"누적거래대금")</f>
        <v>394174650</v>
      </c>
      <c r="N646" s="4">
        <f>_xll.IMDP("STK",표.실시간[[#This Row],[nxt_code]],"가중평균가")</f>
        <v>26720.082022999999</v>
      </c>
      <c r="O646" s="4">
        <f>_xll.IMDP("STK",표.실시간[[#This Row],[nxt_code]],"시가")</f>
        <v>26650</v>
      </c>
      <c r="P646" s="4">
        <f>_xll.IMDP("STK",표.실시간[[#This Row],[nxt_code]],"고가")</f>
        <v>26850</v>
      </c>
      <c r="Q646" s="4">
        <f>_xll.IMDP("STK",표.실시간[[#This Row],[nxt_code]],"저가")</f>
        <v>26600</v>
      </c>
      <c r="R646">
        <f>_xll.IMDP("STK",표.실시간[[#This Row],[nxt_code]],"세션명")</f>
        <v>0</v>
      </c>
      <c r="S646">
        <f>_xll.IMDP("STK",표.실시간[[#This Row],[nxt_code]],"체결시간")</f>
        <v>0</v>
      </c>
      <c r="T646" s="4">
        <f>_xll.IMDP("STK","473980","현재가")</f>
        <v>26750</v>
      </c>
      <c r="U646">
        <f>_xll.IMDP("STK","473980","누적거래량")</f>
        <v>6764</v>
      </c>
    </row>
    <row r="647" spans="3:21" x14ac:dyDescent="0.3">
      <c r="C647">
        <v>642</v>
      </c>
      <c r="D647">
        <v>294570</v>
      </c>
      <c r="E647" t="s">
        <v>659</v>
      </c>
      <c r="F647" t="str">
        <f>ConvertStockCode(표.실시간[[#This Row],[코드]])</f>
        <v>N294570</v>
      </c>
      <c r="G647" s="4">
        <f>_xll.IMDP("STK",표.실시간[[#This Row],[nxt_code]],"현재가")</f>
        <v>27150</v>
      </c>
      <c r="H647" s="4">
        <f>_xll.IMDP("STK",표.실시간[[#This Row],[nxt_code]],"시가총액")/10^12</f>
        <v>0.2739905238</v>
      </c>
      <c r="I647" t="str">
        <f>_xll.IMDP("","","전일대비부호")</f>
        <v>코드오류</v>
      </c>
      <c r="J647" s="5">
        <f>_xll.IMDP("STK",표.실시간[[#This Row],[nxt_code]],"전일대비")</f>
        <v>100</v>
      </c>
      <c r="K647">
        <f>_xll.IMDP("STK",표.실시간[[#This Row],[nxt_code]],"등락률")</f>
        <v>0.37</v>
      </c>
      <c r="L647" s="4">
        <f>_xll.IMDP("STK",표.실시간[[#This Row],[nxt_code]],"누적거래량")</f>
        <v>1204</v>
      </c>
      <c r="M647" s="4">
        <f>_xll.IMDP("STK",표.실시간[[#This Row],[nxt_code]],"누적거래대금")</f>
        <v>32702300</v>
      </c>
      <c r="N647" s="4">
        <f>_xll.IMDP("STK",표.실시간[[#This Row],[nxt_code]],"가중평균가")</f>
        <v>27161.378737999999</v>
      </c>
      <c r="O647" s="4">
        <f>_xll.IMDP("STK",표.실시간[[#This Row],[nxt_code]],"시가")</f>
        <v>27200</v>
      </c>
      <c r="P647" s="4">
        <f>_xll.IMDP("STK",표.실시간[[#This Row],[nxt_code]],"고가")</f>
        <v>27300</v>
      </c>
      <c r="Q647" s="4">
        <f>_xll.IMDP("STK",표.실시간[[#This Row],[nxt_code]],"저가")</f>
        <v>27050</v>
      </c>
      <c r="R647">
        <f>_xll.IMDP("STK",표.실시간[[#This Row],[nxt_code]],"세션명")</f>
        <v>0</v>
      </c>
      <c r="S647">
        <f>_xll.IMDP("STK",표.실시간[[#This Row],[nxt_code]],"체결시간")</f>
        <v>0</v>
      </c>
      <c r="T647" s="4">
        <f>_xll.IMDP("STK","294570","현재가")</f>
        <v>27100</v>
      </c>
      <c r="U647">
        <f>_xll.IMDP("STK","294570","누적거래량")</f>
        <v>145</v>
      </c>
    </row>
    <row r="648" spans="3:21" x14ac:dyDescent="0.3">
      <c r="C648">
        <v>643</v>
      </c>
      <c r="D648">
        <v>378340</v>
      </c>
      <c r="E648" t="s">
        <v>660</v>
      </c>
      <c r="F648" t="str">
        <f>ConvertStockCode(표.실시간[[#This Row],[코드]])</f>
        <v>N378340</v>
      </c>
      <c r="G648" s="4">
        <f>_xll.IMDP("STK",표.실시간[[#This Row],[nxt_code]],"현재가")</f>
        <v>17810</v>
      </c>
      <c r="H648" s="4">
        <f>_xll.IMDP("STK",표.실시간[[#This Row],[nxt_code]],"시가총액")/10^12</f>
        <v>0.38225392842</v>
      </c>
      <c r="I648" t="str">
        <f>_xll.IMDP("","","전일대비부호")</f>
        <v>코드오류</v>
      </c>
      <c r="J648" s="5">
        <f>_xll.IMDP("STK",표.실시간[[#This Row],[nxt_code]],"전일대비")</f>
        <v>2680</v>
      </c>
      <c r="K648">
        <f>_xll.IMDP("STK",표.실시간[[#This Row],[nxt_code]],"등락률")</f>
        <v>17.71</v>
      </c>
      <c r="L648" s="4">
        <f>_xll.IMDP("STK",표.실시간[[#This Row],[nxt_code]],"누적거래량")</f>
        <v>4012948</v>
      </c>
      <c r="M648" s="4">
        <f>_xll.IMDP("STK",표.실시간[[#This Row],[nxt_code]],"누적거래대금")</f>
        <v>71517272520</v>
      </c>
      <c r="N648" s="4">
        <f>_xll.IMDP("STK",표.실시간[[#This Row],[nxt_code]],"가중평균가")</f>
        <v>17821.629515000001</v>
      </c>
      <c r="O648" s="4">
        <f>_xll.IMDP("STK",표.실시간[[#This Row],[nxt_code]],"시가")</f>
        <v>16350</v>
      </c>
      <c r="P648" s="4">
        <f>_xll.IMDP("STK",표.실시간[[#This Row],[nxt_code]],"고가")</f>
        <v>18650</v>
      </c>
      <c r="Q648" s="4">
        <f>_xll.IMDP("STK",표.실시간[[#This Row],[nxt_code]],"저가")</f>
        <v>15920</v>
      </c>
      <c r="R648">
        <f>_xll.IMDP("STK",표.실시간[[#This Row],[nxt_code]],"세션명")</f>
        <v>0</v>
      </c>
      <c r="S648">
        <f>_xll.IMDP("STK",표.실시간[[#This Row],[nxt_code]],"체결시간")</f>
        <v>0</v>
      </c>
      <c r="T648" s="4">
        <f>_xll.IMDP("STK","378340","현재가")</f>
        <v>17910</v>
      </c>
      <c r="U648">
        <f>_xll.IMDP("STK","378340","누적거래량")</f>
        <v>30638</v>
      </c>
    </row>
    <row r="649" spans="3:21" x14ac:dyDescent="0.3">
      <c r="C649">
        <v>644</v>
      </c>
      <c r="D649">
        <v>7160</v>
      </c>
      <c r="E649" t="s">
        <v>661</v>
      </c>
      <c r="F649" t="str">
        <f>ConvertStockCode(표.실시간[[#This Row],[코드]])</f>
        <v>N007160</v>
      </c>
      <c r="G649" s="4">
        <f>_xll.IMDP("STK",표.실시간[[#This Row],[nxt_code]],"현재가")</f>
        <v>56800</v>
      </c>
      <c r="H649" s="4">
        <f>_xll.IMDP("STK",표.실시간[[#This Row],[nxt_code]],"시가총액")/10^12</f>
        <v>0.28399999999999997</v>
      </c>
      <c r="I649" t="str">
        <f>_xll.IMDP("","","전일대비부호")</f>
        <v>코드오류</v>
      </c>
      <c r="J649" s="5">
        <f>_xll.IMDP("STK",표.실시간[[#This Row],[nxt_code]],"전일대비")</f>
        <v>900</v>
      </c>
      <c r="K649">
        <f>_xll.IMDP("STK",표.실시간[[#This Row],[nxt_code]],"등락률")</f>
        <v>1.61</v>
      </c>
      <c r="L649" s="4">
        <f>_xll.IMDP("STK",표.실시간[[#This Row],[nxt_code]],"누적거래량")</f>
        <v>1581</v>
      </c>
      <c r="M649" s="4">
        <f>_xll.IMDP("STK",표.실시간[[#This Row],[nxt_code]],"누적거래대금")</f>
        <v>89902900</v>
      </c>
      <c r="N649" s="4">
        <f>_xll.IMDP("STK",표.실시간[[#This Row],[nxt_code]],"가중평균가")</f>
        <v>56864.579380000003</v>
      </c>
      <c r="O649" s="4">
        <f>_xll.IMDP("STK",표.실시간[[#This Row],[nxt_code]],"시가")</f>
        <v>56500</v>
      </c>
      <c r="P649" s="4">
        <f>_xll.IMDP("STK",표.실시간[[#This Row],[nxt_code]],"고가")</f>
        <v>57000</v>
      </c>
      <c r="Q649" s="4">
        <f>_xll.IMDP("STK",표.실시간[[#This Row],[nxt_code]],"저가")</f>
        <v>56500</v>
      </c>
      <c r="R649">
        <f>_xll.IMDP("STK",표.실시간[[#This Row],[nxt_code]],"세션명")</f>
        <v>0</v>
      </c>
      <c r="S649">
        <f>_xll.IMDP("STK",표.실시간[[#This Row],[nxt_code]],"체결시간")</f>
        <v>0</v>
      </c>
      <c r="T649" s="4">
        <f>_xll.IMDP("STK","007160","현재가")</f>
        <v>57000</v>
      </c>
      <c r="U649">
        <f>_xll.IMDP("STK","007160","누적거래량")</f>
        <v>9</v>
      </c>
    </row>
    <row r="650" spans="3:21" x14ac:dyDescent="0.3">
      <c r="C650">
        <v>645</v>
      </c>
      <c r="D650">
        <v>43370</v>
      </c>
      <c r="E650" t="s">
        <v>662</v>
      </c>
      <c r="F650" t="str">
        <f>ConvertStockCode(표.실시간[[#This Row],[코드]])</f>
        <v>N043370</v>
      </c>
      <c r="G650" s="4">
        <f>_xll.IMDP("STK",표.실시간[[#This Row],[nxt_code]],"현재가")</f>
        <v>12000</v>
      </c>
      <c r="H650" s="4">
        <f>_xll.IMDP("STK",표.실시간[[#This Row],[nxt_code]],"시가총액")/10^12</f>
        <v>0.252</v>
      </c>
      <c r="I650" t="str">
        <f>_xll.IMDP("","","전일대비부호")</f>
        <v>코드오류</v>
      </c>
      <c r="J650" s="5">
        <f>_xll.IMDP("STK",표.실시간[[#This Row],[nxt_code]],"전일대비")</f>
        <v>-70</v>
      </c>
      <c r="K650">
        <f>_xll.IMDP("STK",표.실시간[[#This Row],[nxt_code]],"등락률")</f>
        <v>-0.57999999999999996</v>
      </c>
      <c r="L650" s="4">
        <f>_xll.IMDP("STK",표.실시간[[#This Row],[nxt_code]],"누적거래량")</f>
        <v>27388</v>
      </c>
      <c r="M650" s="4">
        <f>_xll.IMDP("STK",표.실시간[[#This Row],[nxt_code]],"누적거래대금")</f>
        <v>331443050</v>
      </c>
      <c r="N650" s="4">
        <f>_xll.IMDP("STK",표.실시간[[#This Row],[nxt_code]],"가중평균가")</f>
        <v>12101.76172</v>
      </c>
      <c r="O650" s="4">
        <f>_xll.IMDP("STK",표.실시간[[#This Row],[nxt_code]],"시가")</f>
        <v>12300</v>
      </c>
      <c r="P650" s="4">
        <f>_xll.IMDP("STK",표.실시간[[#This Row],[nxt_code]],"고가")</f>
        <v>12300</v>
      </c>
      <c r="Q650" s="4">
        <f>_xll.IMDP("STK",표.실시간[[#This Row],[nxt_code]],"저가")</f>
        <v>12000</v>
      </c>
      <c r="R650">
        <f>_xll.IMDP("STK",표.실시간[[#This Row],[nxt_code]],"세션명")</f>
        <v>0</v>
      </c>
      <c r="S650">
        <f>_xll.IMDP("STK",표.실시간[[#This Row],[nxt_code]],"체결시간")</f>
        <v>0</v>
      </c>
      <c r="T650" s="4">
        <f>_xll.IMDP("STK","043370","현재가")</f>
        <v>12000</v>
      </c>
      <c r="U650">
        <f>_xll.IMDP("STK","043370","누적거래량")</f>
        <v>5498</v>
      </c>
    </row>
    <row r="651" spans="3:21" x14ac:dyDescent="0.3">
      <c r="C651">
        <v>646</v>
      </c>
      <c r="D651">
        <v>382900</v>
      </c>
      <c r="E651" t="s">
        <v>663</v>
      </c>
      <c r="F651" t="str">
        <f>ConvertStockCode(표.실시간[[#This Row],[코드]])</f>
        <v>N382900</v>
      </c>
      <c r="G651" s="4">
        <f>_xll.IMDP("STK",표.실시간[[#This Row],[nxt_code]],"현재가")</f>
        <v>30950</v>
      </c>
      <c r="H651" s="4">
        <f>_xll.IMDP("STK",표.실시간[[#This Row],[nxt_code]],"시가총액")/10^12</f>
        <v>0.27115295</v>
      </c>
      <c r="I651" t="str">
        <f>_xll.IMDP("","","전일대비부호")</f>
        <v>코드오류</v>
      </c>
      <c r="J651" s="5">
        <f>_xll.IMDP("STK",표.실시간[[#This Row],[nxt_code]],"전일대비")</f>
        <v>100</v>
      </c>
      <c r="K651">
        <f>_xll.IMDP("STK",표.실시간[[#This Row],[nxt_code]],"등락률")</f>
        <v>0.16</v>
      </c>
      <c r="L651" s="4">
        <f>_xll.IMDP("STK",표.실시간[[#This Row],[nxt_code]],"누적거래량")</f>
        <v>7700</v>
      </c>
      <c r="M651" s="4">
        <f>_xll.IMDP("STK",표.실시간[[#This Row],[nxt_code]],"누적거래대금")</f>
        <v>241467000</v>
      </c>
      <c r="N651" s="4">
        <f>_xll.IMDP("STK",표.실시간[[#This Row],[nxt_code]],"가중평균가")</f>
        <v>31036.889459999999</v>
      </c>
      <c r="O651" s="4">
        <f>_xll.IMDP("STK",표.실시간[[#This Row],[nxt_code]],"시가")</f>
        <v>30900</v>
      </c>
      <c r="P651" s="4">
        <f>_xll.IMDP("STK",표.실시간[[#This Row],[nxt_code]],"고가")</f>
        <v>31300</v>
      </c>
      <c r="Q651" s="4">
        <f>_xll.IMDP("STK",표.실시간[[#This Row],[nxt_code]],"저가")</f>
        <v>30800</v>
      </c>
      <c r="R651">
        <f>_xll.IMDP("STK",표.실시간[[#This Row],[nxt_code]],"세션명")</f>
        <v>0</v>
      </c>
      <c r="S651">
        <f>_xll.IMDP("STK",표.실시간[[#This Row],[nxt_code]],"체결시간")</f>
        <v>0</v>
      </c>
      <c r="T651" s="4">
        <f>_xll.IMDP("STK","382900","현재가")</f>
        <v>30950</v>
      </c>
      <c r="U651">
        <f>_xll.IMDP("STK","382900","누적거래량")</f>
        <v>1679</v>
      </c>
    </row>
    <row r="652" spans="3:21" x14ac:dyDescent="0.3">
      <c r="C652">
        <v>647</v>
      </c>
      <c r="D652">
        <v>35600</v>
      </c>
      <c r="E652" t="s">
        <v>664</v>
      </c>
      <c r="F652" t="str">
        <f>ConvertStockCode(표.실시간[[#This Row],[코드]])</f>
        <v>N035600</v>
      </c>
      <c r="G652" s="4">
        <f>_xll.IMDP("STK",표.실시간[[#This Row],[nxt_code]],"현재가")</f>
        <v>9780</v>
      </c>
      <c r="H652" s="4">
        <f>_xll.IMDP("STK",표.실시간[[#This Row],[nxt_code]],"시가총액")/10^12</f>
        <v>0.26948236452000002</v>
      </c>
      <c r="I652" t="str">
        <f>_xll.IMDP("","","전일대비부호")</f>
        <v>코드오류</v>
      </c>
      <c r="J652" s="5">
        <f>_xll.IMDP("STK",표.실시간[[#This Row],[nxt_code]],"전일대비")</f>
        <v>10</v>
      </c>
      <c r="K652">
        <f>_xll.IMDP("STK",표.실시간[[#This Row],[nxt_code]],"등락률")</f>
        <v>0.1</v>
      </c>
      <c r="L652" s="4">
        <f>_xll.IMDP("STK",표.실시간[[#This Row],[nxt_code]],"누적거래량")</f>
        <v>4095</v>
      </c>
      <c r="M652" s="4">
        <f>_xll.IMDP("STK",표.실시간[[#This Row],[nxt_code]],"누적거래대금")</f>
        <v>40055620</v>
      </c>
      <c r="N652" s="4">
        <f>_xll.IMDP("STK",표.실시간[[#This Row],[nxt_code]],"가중평균가")</f>
        <v>9781.5921859999999</v>
      </c>
      <c r="O652" s="4">
        <f>_xll.IMDP("STK",표.실시간[[#This Row],[nxt_code]],"시가")</f>
        <v>9880</v>
      </c>
      <c r="P652" s="4">
        <f>_xll.IMDP("STK",표.실시간[[#This Row],[nxt_code]],"고가")</f>
        <v>9890</v>
      </c>
      <c r="Q652" s="4">
        <f>_xll.IMDP("STK",표.실시간[[#This Row],[nxt_code]],"저가")</f>
        <v>9760</v>
      </c>
      <c r="R652">
        <f>_xll.IMDP("STK",표.실시간[[#This Row],[nxt_code]],"세션명")</f>
        <v>0</v>
      </c>
      <c r="S652">
        <f>_xll.IMDP("STK",표.실시간[[#This Row],[nxt_code]],"체결시간")</f>
        <v>0</v>
      </c>
      <c r="T652" s="4">
        <f>_xll.IMDP("STK","035600","현재가")</f>
        <v>9760</v>
      </c>
      <c r="U652">
        <f>_xll.IMDP("STK","035600","누적거래량")</f>
        <v>192</v>
      </c>
    </row>
    <row r="653" spans="3:21" x14ac:dyDescent="0.3">
      <c r="C653">
        <v>648</v>
      </c>
      <c r="D653">
        <v>13890</v>
      </c>
      <c r="E653" t="s">
        <v>665</v>
      </c>
      <c r="F653" t="str">
        <f>ConvertStockCode(표.실시간[[#This Row],[코드]])</f>
        <v>N013890</v>
      </c>
      <c r="G653" s="4">
        <f>_xll.IMDP("STK",표.실시간[[#This Row],[nxt_code]],"현재가")</f>
        <v>12360</v>
      </c>
      <c r="H653" s="4">
        <f>_xll.IMDP("STK",표.실시간[[#This Row],[nxt_code]],"시가총액")/10^12</f>
        <v>0.27506655936000002</v>
      </c>
      <c r="I653" t="str">
        <f>_xll.IMDP("","","전일대비부호")</f>
        <v>코드오류</v>
      </c>
      <c r="J653" s="5">
        <f>_xll.IMDP("STK",표.실시간[[#This Row],[nxt_code]],"전일대비")</f>
        <v>110</v>
      </c>
      <c r="K653">
        <f>_xll.IMDP("STK",표.실시간[[#This Row],[nxt_code]],"등락률")</f>
        <v>0.9</v>
      </c>
      <c r="L653" s="4">
        <f>_xll.IMDP("STK",표.실시간[[#This Row],[nxt_code]],"누적거래량")</f>
        <v>627</v>
      </c>
      <c r="M653" s="4">
        <f>_xll.IMDP("STK",표.실시간[[#This Row],[nxt_code]],"누적거래대금")</f>
        <v>7776000</v>
      </c>
      <c r="N653" s="4">
        <f>_xll.IMDP("STK",표.실시간[[#This Row],[nxt_code]],"가중평균가")</f>
        <v>12401.913876000001</v>
      </c>
      <c r="O653" s="4">
        <f>_xll.IMDP("STK",표.실시간[[#This Row],[nxt_code]],"시가")</f>
        <v>12490</v>
      </c>
      <c r="P653" s="4">
        <f>_xll.IMDP("STK",표.실시간[[#This Row],[nxt_code]],"고가")</f>
        <v>12490</v>
      </c>
      <c r="Q653" s="4">
        <f>_xll.IMDP("STK",표.실시간[[#This Row],[nxt_code]],"저가")</f>
        <v>12360</v>
      </c>
      <c r="R653">
        <f>_xll.IMDP("STK",표.실시간[[#This Row],[nxt_code]],"세션명")</f>
        <v>0</v>
      </c>
      <c r="S653">
        <f>_xll.IMDP("STK",표.실시간[[#This Row],[nxt_code]],"체결시간")</f>
        <v>0</v>
      </c>
      <c r="T653" s="4">
        <f>_xll.IMDP("STK","013890","현재가")</f>
        <v>12250</v>
      </c>
      <c r="U653">
        <f>_xll.IMDP("STK","013890","누적거래량")</f>
        <v>102</v>
      </c>
    </row>
    <row r="654" spans="3:21" x14ac:dyDescent="0.3">
      <c r="C654">
        <v>649</v>
      </c>
      <c r="D654">
        <v>320</v>
      </c>
      <c r="E654" t="s">
        <v>666</v>
      </c>
      <c r="F654" t="str">
        <f>ConvertStockCode(표.실시간[[#This Row],[코드]])</f>
        <v>N000320</v>
      </c>
      <c r="G654" s="4">
        <f>_xll.IMDP("STK",표.실시간[[#This Row],[nxt_code]],"현재가")</f>
        <v>21150</v>
      </c>
      <c r="H654" s="4">
        <f>_xll.IMDP("STK",표.실시간[[#This Row],[nxt_code]],"시가총액")/10^12</f>
        <v>0.28110784365000002</v>
      </c>
      <c r="I654" t="str">
        <f>_xll.IMDP("","","전일대비부호")</f>
        <v>코드오류</v>
      </c>
      <c r="J654" s="5">
        <f>_xll.IMDP("STK",표.실시간[[#This Row],[nxt_code]],"전일대비")</f>
        <v>850</v>
      </c>
      <c r="K654">
        <f>_xll.IMDP("STK",표.실시간[[#This Row],[nxt_code]],"등락률")</f>
        <v>4.1900000000000004</v>
      </c>
      <c r="L654" s="4">
        <f>_xll.IMDP("STK",표.실시간[[#This Row],[nxt_code]],"누적거래량")</f>
        <v>6775</v>
      </c>
      <c r="M654" s="4">
        <f>_xll.IMDP("STK",표.실시간[[#This Row],[nxt_code]],"누적거래대금")</f>
        <v>133275350</v>
      </c>
      <c r="N654" s="4">
        <f>_xll.IMDP("STK",표.실시간[[#This Row],[nxt_code]],"가중평균가")</f>
        <v>20870.398524</v>
      </c>
      <c r="O654" s="4">
        <f>_xll.IMDP("STK",표.실시간[[#This Row],[nxt_code]],"시가")</f>
        <v>20700</v>
      </c>
      <c r="P654" s="4">
        <f>_xll.IMDP("STK",표.실시간[[#This Row],[nxt_code]],"고가")</f>
        <v>21150</v>
      </c>
      <c r="Q654" s="4">
        <f>_xll.IMDP("STK",표.실시간[[#This Row],[nxt_code]],"저가")</f>
        <v>20450</v>
      </c>
      <c r="R654">
        <f>_xll.IMDP("STK",표.실시간[[#This Row],[nxt_code]],"세션명")</f>
        <v>0</v>
      </c>
      <c r="S654">
        <f>_xll.IMDP("STK",표.실시간[[#This Row],[nxt_code]],"체결시간")</f>
        <v>0</v>
      </c>
      <c r="T654" s="4">
        <f>_xll.IMDP("STK","000320","현재가")</f>
        <v>21150</v>
      </c>
      <c r="U654">
        <f>_xll.IMDP("STK","000320","누적거래량")</f>
        <v>5915</v>
      </c>
    </row>
    <row r="655" spans="3:21" x14ac:dyDescent="0.3">
      <c r="C655">
        <v>650</v>
      </c>
      <c r="D655">
        <v>267980</v>
      </c>
      <c r="E655" t="s">
        <v>667</v>
      </c>
      <c r="F655" t="str">
        <f>ConvertStockCode(표.실시간[[#This Row],[코드]])</f>
        <v>N267980</v>
      </c>
      <c r="G655" s="4">
        <f>_xll.IMDP("STK",표.실시간[[#This Row],[nxt_code]],"현재가")</f>
        <v>34400</v>
      </c>
      <c r="H655" s="4">
        <f>_xll.IMDP("STK",표.실시간[[#This Row],[nxt_code]],"시가총액")/10^12</f>
        <v>0.26362914720000002</v>
      </c>
      <c r="I655" t="str">
        <f>_xll.IMDP("","","전일대비부호")</f>
        <v>코드오류</v>
      </c>
      <c r="J655" s="5">
        <f>_xll.IMDP("STK",표.실시간[[#This Row],[nxt_code]],"전일대비")</f>
        <v>-250</v>
      </c>
      <c r="K655">
        <f>_xll.IMDP("STK",표.실시간[[#This Row],[nxt_code]],"등락률")</f>
        <v>-0.72</v>
      </c>
      <c r="L655" s="4">
        <f>_xll.IMDP("STK",표.실시간[[#This Row],[nxt_code]],"누적거래량")</f>
        <v>350</v>
      </c>
      <c r="M655" s="4">
        <f>_xll.IMDP("STK",표.실시간[[#This Row],[nxt_code]],"누적거래대금")</f>
        <v>12116550</v>
      </c>
      <c r="N655" s="4">
        <f>_xll.IMDP("STK",표.실시간[[#This Row],[nxt_code]],"가중평균가")</f>
        <v>34618.714286000002</v>
      </c>
      <c r="O655" s="4">
        <f>_xll.IMDP("STK",표.실시간[[#This Row],[nxt_code]],"시가")</f>
        <v>34650</v>
      </c>
      <c r="P655" s="4">
        <f>_xll.IMDP("STK",표.실시간[[#This Row],[nxt_code]],"고가")</f>
        <v>34900</v>
      </c>
      <c r="Q655" s="4">
        <f>_xll.IMDP("STK",표.실시간[[#This Row],[nxt_code]],"저가")</f>
        <v>34400</v>
      </c>
      <c r="R655">
        <f>_xll.IMDP("STK",표.실시간[[#This Row],[nxt_code]],"세션명")</f>
        <v>0</v>
      </c>
      <c r="S655">
        <f>_xll.IMDP("STK",표.실시간[[#This Row],[nxt_code]],"체결시간")</f>
        <v>0</v>
      </c>
      <c r="T655" s="4">
        <f>_xll.IMDP("STK","267980","현재가")</f>
        <v>34800</v>
      </c>
      <c r="U655">
        <f>_xll.IMDP("STK","267980","누적거래량")</f>
        <v>10</v>
      </c>
    </row>
    <row r="656" spans="3:21" x14ac:dyDescent="0.3">
      <c r="C656">
        <v>651</v>
      </c>
      <c r="D656">
        <v>5710</v>
      </c>
      <c r="E656" t="s">
        <v>668</v>
      </c>
      <c r="F656" t="str">
        <f>ConvertStockCode(표.실시간[[#This Row],[코드]])</f>
        <v>N005710</v>
      </c>
      <c r="G656" s="4">
        <f>_xll.IMDP("STK",표.실시간[[#This Row],[nxt_code]],"현재가")</f>
        <v>12980</v>
      </c>
      <c r="H656" s="4">
        <f>_xll.IMDP("STK",표.실시간[[#This Row],[nxt_code]],"시가총액")/10^12</f>
        <v>0.26008804800000002</v>
      </c>
      <c r="I656" t="str">
        <f>_xll.IMDP("","","전일대비부호")</f>
        <v>코드오류</v>
      </c>
      <c r="J656" s="5">
        <f>_xll.IMDP("STK",표.실시간[[#This Row],[nxt_code]],"전일대비")</f>
        <v>110</v>
      </c>
      <c r="K656">
        <f>_xll.IMDP("STK",표.실시간[[#This Row],[nxt_code]],"등락률")</f>
        <v>0.85</v>
      </c>
      <c r="L656" s="4">
        <f>_xll.IMDP("STK",표.실시간[[#This Row],[nxt_code]],"누적거래량")</f>
        <v>191</v>
      </c>
      <c r="M656" s="4">
        <f>_xll.IMDP("STK",표.실시간[[#This Row],[nxt_code]],"누적거래대금")</f>
        <v>2467310</v>
      </c>
      <c r="N656" s="4">
        <f>_xll.IMDP("STK",표.실시간[[#This Row],[nxt_code]],"가중평균가")</f>
        <v>12917.853402999999</v>
      </c>
      <c r="O656" s="4">
        <f>_xll.IMDP("STK",표.실시간[[#This Row],[nxt_code]],"시가")</f>
        <v>12900</v>
      </c>
      <c r="P656" s="4">
        <f>_xll.IMDP("STK",표.실시간[[#This Row],[nxt_code]],"고가")</f>
        <v>12990</v>
      </c>
      <c r="Q656" s="4">
        <f>_xll.IMDP("STK",표.실시간[[#This Row],[nxt_code]],"저가")</f>
        <v>12890</v>
      </c>
      <c r="R656">
        <f>_xll.IMDP("STK",표.실시간[[#This Row],[nxt_code]],"세션명")</f>
        <v>0</v>
      </c>
      <c r="S656">
        <f>_xll.IMDP("STK",표.실시간[[#This Row],[nxt_code]],"체결시간")</f>
        <v>0</v>
      </c>
      <c r="T656" s="4">
        <f>_xll.IMDP("STK","005710","현재가")</f>
        <v>13180</v>
      </c>
      <c r="U656">
        <f>_xll.IMDP("STK","005710","누적거래량")</f>
        <v>1208</v>
      </c>
    </row>
    <row r="657" spans="3:21" x14ac:dyDescent="0.3">
      <c r="C657">
        <v>652</v>
      </c>
      <c r="D657">
        <v>1460</v>
      </c>
      <c r="E657" t="s">
        <v>669</v>
      </c>
      <c r="F657" t="str">
        <f>ConvertStockCode(표.실시간[[#This Row],[코드]])</f>
        <v>N001460</v>
      </c>
      <c r="G657" s="4">
        <f>_xll.IMDP("STK",표.실시간[[#This Row],[nxt_code]],"현재가")</f>
        <v>41300</v>
      </c>
      <c r="H657" s="4">
        <f>_xll.IMDP("STK",표.실시간[[#This Row],[nxt_code]],"시가총액")/10^12</f>
        <v>0.257965995</v>
      </c>
      <c r="I657" t="str">
        <f>_xll.IMDP("","","전일대비부호")</f>
        <v>코드오류</v>
      </c>
      <c r="J657" s="5">
        <f>_xll.IMDP("STK",표.실시간[[#This Row],[nxt_code]],"전일대비")</f>
        <v>100</v>
      </c>
      <c r="K657">
        <f>_xll.IMDP("STK",표.실시간[[#This Row],[nxt_code]],"등락률")</f>
        <v>0.24</v>
      </c>
      <c r="L657" s="4">
        <f>_xll.IMDP("STK",표.실시간[[#This Row],[nxt_code]],"누적거래량")</f>
        <v>422</v>
      </c>
      <c r="M657" s="4">
        <f>_xll.IMDP("STK",표.실시간[[#This Row],[nxt_code]],"누적거래대금")</f>
        <v>17383100</v>
      </c>
      <c r="N657" s="4">
        <f>_xll.IMDP("STK",표.실시간[[#This Row],[nxt_code]],"가중평균가")</f>
        <v>41192.180095000003</v>
      </c>
      <c r="O657" s="4">
        <f>_xll.IMDP("STK",표.실시간[[#This Row],[nxt_code]],"시가")</f>
        <v>41200</v>
      </c>
      <c r="P657" s="4">
        <f>_xll.IMDP("STK",표.실시간[[#This Row],[nxt_code]],"고가")</f>
        <v>41300</v>
      </c>
      <c r="Q657" s="4">
        <f>_xll.IMDP("STK",표.실시간[[#This Row],[nxt_code]],"저가")</f>
        <v>40900</v>
      </c>
      <c r="R657">
        <f>_xll.IMDP("STK",표.실시간[[#This Row],[nxt_code]],"세션명")</f>
        <v>0</v>
      </c>
      <c r="S657">
        <f>_xll.IMDP("STK",표.실시간[[#This Row],[nxt_code]],"체결시간")</f>
        <v>0</v>
      </c>
      <c r="T657" s="4">
        <f>_xll.IMDP("STK","001460","현재가")</f>
        <v>41250</v>
      </c>
      <c r="U657">
        <f>_xll.IMDP("STK","001460","누적거래량")</f>
        <v>7</v>
      </c>
    </row>
    <row r="658" spans="3:21" x14ac:dyDescent="0.3">
      <c r="C658">
        <v>653</v>
      </c>
      <c r="D658">
        <v>452430</v>
      </c>
      <c r="E658" t="s">
        <v>670</v>
      </c>
      <c r="F658" t="str">
        <f>ConvertStockCode(표.실시간[[#This Row],[코드]])</f>
        <v>N452430</v>
      </c>
      <c r="G658" s="4">
        <f>_xll.IMDP("STK",표.실시간[[#This Row],[nxt_code]],"현재가")</f>
        <v>33850</v>
      </c>
      <c r="H658" s="4">
        <f>_xll.IMDP("STK",표.실시간[[#This Row],[nxt_code]],"시가총액")/10^12</f>
        <v>0.27818085710000001</v>
      </c>
      <c r="I658" t="str">
        <f>_xll.IMDP("","","전일대비부호")</f>
        <v>코드오류</v>
      </c>
      <c r="J658" s="5">
        <f>_xll.IMDP("STK",표.실시간[[#This Row],[nxt_code]],"전일대비")</f>
        <v>350</v>
      </c>
      <c r="K658">
        <f>_xll.IMDP("STK",표.실시간[[#This Row],[nxt_code]],"등락률")</f>
        <v>1.04</v>
      </c>
      <c r="L658" s="4">
        <f>_xll.IMDP("STK",표.실시간[[#This Row],[nxt_code]],"누적거래량")</f>
        <v>9451</v>
      </c>
      <c r="M658" s="4">
        <f>_xll.IMDP("STK",표.실시간[[#This Row],[nxt_code]],"누적거래대금")</f>
        <v>322609250</v>
      </c>
      <c r="N658" s="4">
        <f>_xll.IMDP("STK",표.실시간[[#This Row],[nxt_code]],"가중평균가")</f>
        <v>34134.932810999999</v>
      </c>
      <c r="O658" s="4">
        <f>_xll.IMDP("STK",표.실시간[[#This Row],[nxt_code]],"시가")</f>
        <v>34500</v>
      </c>
      <c r="P658" s="4">
        <f>_xll.IMDP("STK",표.실시간[[#This Row],[nxt_code]],"고가")</f>
        <v>34700</v>
      </c>
      <c r="Q658" s="4">
        <f>_xll.IMDP("STK",표.실시간[[#This Row],[nxt_code]],"저가")</f>
        <v>33850</v>
      </c>
      <c r="R658">
        <f>_xll.IMDP("STK",표.실시간[[#This Row],[nxt_code]],"세션명")</f>
        <v>0</v>
      </c>
      <c r="S658">
        <f>_xll.IMDP("STK",표.실시간[[#This Row],[nxt_code]],"체결시간")</f>
        <v>0</v>
      </c>
      <c r="T658" s="4">
        <f>_xll.IMDP("STK","452430","현재가")</f>
        <v>34150</v>
      </c>
      <c r="U658">
        <f>_xll.IMDP("STK","452430","누적거래량")</f>
        <v>1748</v>
      </c>
    </row>
    <row r="659" spans="3:21" x14ac:dyDescent="0.3">
      <c r="C659">
        <v>654</v>
      </c>
      <c r="D659">
        <v>4360</v>
      </c>
      <c r="E659" t="s">
        <v>671</v>
      </c>
      <c r="F659" t="str">
        <f>ConvertStockCode(표.실시간[[#This Row],[코드]])</f>
        <v>N004360</v>
      </c>
      <c r="G659" s="4">
        <f>_xll.IMDP("STK",표.실시간[[#This Row],[nxt_code]],"현재가")</f>
        <v>13650</v>
      </c>
      <c r="H659" s="4">
        <f>_xll.IMDP("STK",표.실시간[[#This Row],[nxt_code]],"시가총액")/10^12</f>
        <v>0.26092798095000003</v>
      </c>
      <c r="I659" t="str">
        <f>_xll.IMDP("","","전일대비부호")</f>
        <v>코드오류</v>
      </c>
      <c r="J659" s="5">
        <f>_xll.IMDP("STK",표.실시간[[#This Row],[nxt_code]],"전일대비")</f>
        <v>90</v>
      </c>
      <c r="K659">
        <f>_xll.IMDP("STK",표.실시간[[#This Row],[nxt_code]],"등락률")</f>
        <v>0.66</v>
      </c>
      <c r="L659" s="4">
        <f>_xll.IMDP("STK",표.실시간[[#This Row],[nxt_code]],"누적거래량")</f>
        <v>1833</v>
      </c>
      <c r="M659" s="4">
        <f>_xll.IMDP("STK",표.실시간[[#This Row],[nxt_code]],"누적거래대금")</f>
        <v>24926560</v>
      </c>
      <c r="N659" s="4">
        <f>_xll.IMDP("STK",표.실시간[[#This Row],[nxt_code]],"가중평균가")</f>
        <v>13598.777959999999</v>
      </c>
      <c r="O659" s="4">
        <f>_xll.IMDP("STK",표.실시간[[#This Row],[nxt_code]],"시가")</f>
        <v>13690</v>
      </c>
      <c r="P659" s="4">
        <f>_xll.IMDP("STK",표.실시간[[#This Row],[nxt_code]],"고가")</f>
        <v>13690</v>
      </c>
      <c r="Q659" s="4">
        <f>_xll.IMDP("STK",표.실시간[[#This Row],[nxt_code]],"저가")</f>
        <v>13560</v>
      </c>
      <c r="R659">
        <f>_xll.IMDP("STK",표.실시간[[#This Row],[nxt_code]],"세션명")</f>
        <v>0</v>
      </c>
      <c r="S659">
        <f>_xll.IMDP("STK",표.실시간[[#This Row],[nxt_code]],"체결시간")</f>
        <v>0</v>
      </c>
      <c r="T659" s="4">
        <f>_xll.IMDP("STK","004360","현재가")</f>
        <v>13660</v>
      </c>
      <c r="U659">
        <f>_xll.IMDP("STK","004360","누적거래량")</f>
        <v>126</v>
      </c>
    </row>
    <row r="660" spans="3:21" x14ac:dyDescent="0.3">
      <c r="C660">
        <v>655</v>
      </c>
      <c r="D660">
        <v>380550</v>
      </c>
      <c r="E660" t="s">
        <v>672</v>
      </c>
      <c r="F660" t="str">
        <f>ConvertStockCode(표.실시간[[#This Row],[코드]])</f>
        <v>N380550</v>
      </c>
      <c r="G660" s="4">
        <f>_xll.IMDP("STK",표.실시간[[#This Row],[nxt_code]],"현재가")</f>
        <v>21300</v>
      </c>
      <c r="H660" s="4">
        <f>_xll.IMDP("STK",표.실시간[[#This Row],[nxt_code]],"시가총액")/10^12</f>
        <v>0.24785964390000001</v>
      </c>
      <c r="I660" t="str">
        <f>_xll.IMDP("","","전일대비부호")</f>
        <v>코드오류</v>
      </c>
      <c r="J660" s="5">
        <f>_xll.IMDP("STK",표.실시간[[#This Row],[nxt_code]],"전일대비")</f>
        <v>150</v>
      </c>
      <c r="K660">
        <f>_xll.IMDP("STK",표.실시간[[#This Row],[nxt_code]],"등락률")</f>
        <v>0.71</v>
      </c>
      <c r="L660" s="4">
        <f>_xll.IMDP("STK",표.실시간[[#This Row],[nxt_code]],"누적거래량")</f>
        <v>23541</v>
      </c>
      <c r="M660" s="4">
        <f>_xll.IMDP("STK",표.실시간[[#This Row],[nxt_code]],"누적거래대금")</f>
        <v>502867400</v>
      </c>
      <c r="N660" s="4">
        <f>_xll.IMDP("STK",표.실시간[[#This Row],[nxt_code]],"가중평균가")</f>
        <v>21361.344037999999</v>
      </c>
      <c r="O660" s="4">
        <f>_xll.IMDP("STK",표.실시간[[#This Row],[nxt_code]],"시가")</f>
        <v>21800</v>
      </c>
      <c r="P660" s="4">
        <f>_xll.IMDP("STK",표.실시간[[#This Row],[nxt_code]],"고가")</f>
        <v>21800</v>
      </c>
      <c r="Q660" s="4">
        <f>_xll.IMDP("STK",표.실시간[[#This Row],[nxt_code]],"저가")</f>
        <v>21200</v>
      </c>
      <c r="R660">
        <f>_xll.IMDP("STK",표.실시간[[#This Row],[nxt_code]],"세션명")</f>
        <v>0</v>
      </c>
      <c r="S660">
        <f>_xll.IMDP("STK",표.실시간[[#This Row],[nxt_code]],"체결시간")</f>
        <v>0</v>
      </c>
      <c r="T660" s="4">
        <f>_xll.IMDP("STK","380550","현재가")</f>
        <v>21300</v>
      </c>
      <c r="U660">
        <f>_xll.IMDP("STK","380550","누적거래량")</f>
        <v>2294</v>
      </c>
    </row>
    <row r="661" spans="3:21" x14ac:dyDescent="0.3">
      <c r="C661">
        <v>656</v>
      </c>
      <c r="D661">
        <v>114840</v>
      </c>
      <c r="E661" t="s">
        <v>673</v>
      </c>
      <c r="F661" t="str">
        <f>ConvertStockCode(표.실시간[[#This Row],[코드]])</f>
        <v>N114840</v>
      </c>
      <c r="G661" s="4">
        <f>_xll.IMDP("STK",표.실시간[[#This Row],[nxt_code]],"현재가")</f>
        <v>15470</v>
      </c>
      <c r="H661" s="4">
        <f>_xll.IMDP("STK",표.실시간[[#This Row],[nxt_code]],"시가총액")/10^12</f>
        <v>0.26793885299999998</v>
      </c>
      <c r="I661" t="str">
        <f>_xll.IMDP("","","전일대비부호")</f>
        <v>코드오류</v>
      </c>
      <c r="J661" s="5">
        <f>_xll.IMDP("STK",표.실시간[[#This Row],[nxt_code]],"전일대비")</f>
        <v>100</v>
      </c>
      <c r="K661">
        <f>_xll.IMDP("STK",표.실시간[[#This Row],[nxt_code]],"등락률")</f>
        <v>0.65</v>
      </c>
      <c r="L661" s="4">
        <f>_xll.IMDP("STK",표.실시간[[#This Row],[nxt_code]],"누적거래량")</f>
        <v>2272</v>
      </c>
      <c r="M661" s="4">
        <f>_xll.IMDP("STK",표.실시간[[#This Row],[nxt_code]],"누적거래대금")</f>
        <v>34990050</v>
      </c>
      <c r="N661" s="4">
        <f>_xll.IMDP("STK",표.실시간[[#This Row],[nxt_code]],"가중평균가")</f>
        <v>15400.550176000001</v>
      </c>
      <c r="O661" s="4">
        <f>_xll.IMDP("STK",표.실시간[[#This Row],[nxt_code]],"시가")</f>
        <v>15000</v>
      </c>
      <c r="P661" s="4">
        <f>_xll.IMDP("STK",표.실시간[[#This Row],[nxt_code]],"고가")</f>
        <v>15520</v>
      </c>
      <c r="Q661" s="4">
        <f>_xll.IMDP("STK",표.실시간[[#This Row],[nxt_code]],"저가")</f>
        <v>15000</v>
      </c>
      <c r="R661">
        <f>_xll.IMDP("STK",표.실시간[[#This Row],[nxt_code]],"세션명")</f>
        <v>0</v>
      </c>
      <c r="S661">
        <f>_xll.IMDP("STK",표.실시간[[#This Row],[nxt_code]],"체결시간")</f>
        <v>0</v>
      </c>
      <c r="T661" s="4">
        <f>_xll.IMDP("STK","114840","현재가")</f>
        <v>15370</v>
      </c>
      <c r="U661">
        <f>_xll.IMDP("STK","114840","누적거래량")</f>
        <v>506</v>
      </c>
    </row>
    <row r="662" spans="3:21" x14ac:dyDescent="0.3">
      <c r="C662">
        <v>657</v>
      </c>
      <c r="D662">
        <v>300080</v>
      </c>
      <c r="E662" t="s">
        <v>674</v>
      </c>
      <c r="F662" t="str">
        <f>ConvertStockCode(표.실시간[[#This Row],[코드]])</f>
        <v>N300080</v>
      </c>
      <c r="G662" s="4">
        <f>_xll.IMDP("STK",표.실시간[[#This Row],[nxt_code]],"현재가")</f>
        <v>15880</v>
      </c>
      <c r="H662" s="4">
        <f>_xll.IMDP("STK",표.실시간[[#This Row],[nxt_code]],"시가총액")/10^12</f>
        <v>0.26210656187999998</v>
      </c>
      <c r="I662" t="str">
        <f>_xll.IMDP("","","전일대비부호")</f>
        <v>코드오류</v>
      </c>
      <c r="J662" s="5">
        <f>_xll.IMDP("STK",표.실시간[[#This Row],[nxt_code]],"전일대비")</f>
        <v>430</v>
      </c>
      <c r="K662">
        <f>_xll.IMDP("STK",표.실시간[[#This Row],[nxt_code]],"등락률")</f>
        <v>2.78</v>
      </c>
      <c r="L662" s="4">
        <f>_xll.IMDP("STK",표.실시간[[#This Row],[nxt_code]],"누적거래량")</f>
        <v>50194</v>
      </c>
      <c r="M662" s="4">
        <f>_xll.IMDP("STK",표.실시간[[#This Row],[nxt_code]],"누적거래대금")</f>
        <v>800815530</v>
      </c>
      <c r="N662" s="4">
        <f>_xll.IMDP("STK",표.실시간[[#This Row],[nxt_code]],"가중평균가")</f>
        <v>15954.407499000001</v>
      </c>
      <c r="O662" s="4">
        <f>_xll.IMDP("STK",표.실시간[[#This Row],[nxt_code]],"시가")</f>
        <v>15950</v>
      </c>
      <c r="P662" s="4">
        <f>_xll.IMDP("STK",표.실시간[[#This Row],[nxt_code]],"고가")</f>
        <v>16300</v>
      </c>
      <c r="Q662" s="4">
        <f>_xll.IMDP("STK",표.실시간[[#This Row],[nxt_code]],"저가")</f>
        <v>15700</v>
      </c>
      <c r="R662">
        <f>_xll.IMDP("STK",표.실시간[[#This Row],[nxt_code]],"세션명")</f>
        <v>0</v>
      </c>
      <c r="S662">
        <f>_xll.IMDP("STK",표.실시간[[#This Row],[nxt_code]],"체결시간")</f>
        <v>0</v>
      </c>
      <c r="T662" s="4">
        <f>_xll.IMDP("STK","300080","현재가")</f>
        <v>16050</v>
      </c>
      <c r="U662">
        <f>_xll.IMDP("STK","300080","누적거래량")</f>
        <v>13997</v>
      </c>
    </row>
    <row r="663" spans="3:21" x14ac:dyDescent="0.3">
      <c r="C663">
        <v>658</v>
      </c>
      <c r="D663">
        <v>35150</v>
      </c>
      <c r="E663" t="s">
        <v>675</v>
      </c>
      <c r="F663" t="str">
        <f>ConvertStockCode(표.실시간[[#This Row],[코드]])</f>
        <v>N035150</v>
      </c>
      <c r="G663" s="4">
        <f>_xll.IMDP("STK",표.실시간[[#This Row],[nxt_code]],"현재가")</f>
        <v>12330</v>
      </c>
      <c r="H663" s="4">
        <f>_xll.IMDP("STK",표.실시간[[#This Row],[nxt_code]],"시가총액")/10^12</f>
        <v>0.25349083011000001</v>
      </c>
      <c r="I663" t="str">
        <f>_xll.IMDP("","","전일대비부호")</f>
        <v>코드오류</v>
      </c>
      <c r="J663" s="5">
        <f>_xll.IMDP("STK",표.실시간[[#This Row],[nxt_code]],"전일대비")</f>
        <v>50</v>
      </c>
      <c r="K663">
        <f>_xll.IMDP("STK",표.실시간[[#This Row],[nxt_code]],"등락률")</f>
        <v>0.41</v>
      </c>
      <c r="L663" s="4">
        <f>_xll.IMDP("STK",표.실시간[[#This Row],[nxt_code]],"누적거래량")</f>
        <v>51</v>
      </c>
      <c r="M663" s="4">
        <f>_xll.IMDP("STK",표.실시간[[#This Row],[nxt_code]],"누적거래대금")</f>
        <v>628830</v>
      </c>
      <c r="N663" s="4">
        <f>_xll.IMDP("STK",표.실시간[[#This Row],[nxt_code]],"가중평균가")</f>
        <v>12330</v>
      </c>
      <c r="O663" s="4">
        <f>_xll.IMDP("STK",표.실시간[[#This Row],[nxt_code]],"시가")</f>
        <v>12330</v>
      </c>
      <c r="P663" s="4">
        <f>_xll.IMDP("STK",표.실시간[[#This Row],[nxt_code]],"고가")</f>
        <v>12330</v>
      </c>
      <c r="Q663" s="4">
        <f>_xll.IMDP("STK",표.실시간[[#This Row],[nxt_code]],"저가")</f>
        <v>12330</v>
      </c>
      <c r="R663">
        <f>_xll.IMDP("STK",표.실시간[[#This Row],[nxt_code]],"세션명")</f>
        <v>0</v>
      </c>
      <c r="S663">
        <f>_xll.IMDP("STK",표.실시간[[#This Row],[nxt_code]],"체결시간")</f>
        <v>0</v>
      </c>
      <c r="T663" s="4">
        <f>_xll.IMDP("STK","035150","현재가")</f>
        <v>12280</v>
      </c>
      <c r="U663">
        <f>_xll.IMDP("STK","035150","누적거래량")</f>
        <v>19</v>
      </c>
    </row>
    <row r="664" spans="3:21" x14ac:dyDescent="0.3">
      <c r="C664">
        <v>659</v>
      </c>
      <c r="D664">
        <v>236200</v>
      </c>
      <c r="E664" t="s">
        <v>676</v>
      </c>
      <c r="F664" t="str">
        <f>ConvertStockCode(표.실시간[[#This Row],[코드]])</f>
        <v>N236200</v>
      </c>
      <c r="G664" s="4">
        <f>_xll.IMDP("STK",표.실시간[[#This Row],[nxt_code]],"현재가")</f>
        <v>46050</v>
      </c>
      <c r="H664" s="4">
        <f>_xll.IMDP("STK",표.실시간[[#This Row],[nxt_code]],"시가총액")/10^12</f>
        <v>0.33419742164999999</v>
      </c>
      <c r="I664" t="str">
        <f>_xll.IMDP("","","전일대비부호")</f>
        <v>코드오류</v>
      </c>
      <c r="J664" s="5">
        <f>_xll.IMDP("STK",표.실시간[[#This Row],[nxt_code]],"전일대비")</f>
        <v>10600</v>
      </c>
      <c r="K664">
        <f>_xll.IMDP("STK",표.실시간[[#This Row],[nxt_code]],"등락률")</f>
        <v>29.9</v>
      </c>
      <c r="L664" s="4">
        <f>_xll.IMDP("STK",표.실시간[[#This Row],[nxt_code]],"누적거래량")</f>
        <v>289212</v>
      </c>
      <c r="M664" s="4">
        <f>_xll.IMDP("STK",표.실시간[[#This Row],[nxt_code]],"누적거래대금")</f>
        <v>13116151850</v>
      </c>
      <c r="N664" s="4">
        <f>_xll.IMDP("STK",표.실시간[[#This Row],[nxt_code]],"가중평균가")</f>
        <v>45351.340365999997</v>
      </c>
      <c r="O664" s="4">
        <f>_xll.IMDP("STK",표.실시간[[#This Row],[nxt_code]],"시가")</f>
        <v>38200</v>
      </c>
      <c r="P664" s="4">
        <f>_xll.IMDP("STK",표.실시간[[#This Row],[nxt_code]],"고가")</f>
        <v>46050</v>
      </c>
      <c r="Q664" s="4">
        <f>_xll.IMDP("STK",표.실시간[[#This Row],[nxt_code]],"저가")</f>
        <v>38200</v>
      </c>
      <c r="R664">
        <f>_xll.IMDP("STK",표.실시간[[#This Row],[nxt_code]],"세션명")</f>
        <v>0</v>
      </c>
      <c r="S664">
        <f>_xll.IMDP("STK",표.실시간[[#This Row],[nxt_code]],"체결시간")</f>
        <v>0</v>
      </c>
      <c r="T664" s="4">
        <f>_xll.IMDP("STK","236200","현재가")</f>
        <v>46050</v>
      </c>
      <c r="U664">
        <f>_xll.IMDP("STK","236200","누적거래량")</f>
        <v>62949</v>
      </c>
    </row>
    <row r="665" spans="3:21" x14ac:dyDescent="0.3">
      <c r="C665">
        <v>660</v>
      </c>
      <c r="D665">
        <v>108670</v>
      </c>
      <c r="E665" t="s">
        <v>677</v>
      </c>
      <c r="F665" t="str">
        <f>ConvertStockCode(표.실시간[[#This Row],[코드]])</f>
        <v>N108670</v>
      </c>
      <c r="G665" s="4">
        <f>_xll.IMDP("STK",표.실시간[[#This Row],[nxt_code]],"현재가")</f>
        <v>29000</v>
      </c>
      <c r="H665" s="4">
        <f>_xll.IMDP("STK",표.실시간[[#This Row],[nxt_code]],"시가총액")/10^12</f>
        <v>0.26006243000000001</v>
      </c>
      <c r="I665" t="str">
        <f>_xll.IMDP("","","전일대비부호")</f>
        <v>코드오류</v>
      </c>
      <c r="J665" s="5">
        <f>_xll.IMDP("STK",표.실시간[[#This Row],[nxt_code]],"전일대비")</f>
        <v>150</v>
      </c>
      <c r="K665">
        <f>_xll.IMDP("STK",표.실시간[[#This Row],[nxt_code]],"등락률")</f>
        <v>0.52</v>
      </c>
      <c r="L665" s="4">
        <f>_xll.IMDP("STK",표.실시간[[#This Row],[nxt_code]],"누적거래량")</f>
        <v>931</v>
      </c>
      <c r="M665" s="4">
        <f>_xll.IMDP("STK",표.실시간[[#This Row],[nxt_code]],"누적거래대금")</f>
        <v>27213700</v>
      </c>
      <c r="N665" s="4">
        <f>_xll.IMDP("STK",표.실시간[[#This Row],[nxt_code]],"가중평균가")</f>
        <v>29230.612245</v>
      </c>
      <c r="O665" s="4">
        <f>_xll.IMDP("STK",표.실시간[[#This Row],[nxt_code]],"시가")</f>
        <v>29800</v>
      </c>
      <c r="P665" s="4">
        <f>_xll.IMDP("STK",표.실시간[[#This Row],[nxt_code]],"고가")</f>
        <v>29800</v>
      </c>
      <c r="Q665" s="4">
        <f>_xll.IMDP("STK",표.실시간[[#This Row],[nxt_code]],"저가")</f>
        <v>28900</v>
      </c>
      <c r="R665">
        <f>_xll.IMDP("STK",표.실시간[[#This Row],[nxt_code]],"세션명")</f>
        <v>0</v>
      </c>
      <c r="S665">
        <f>_xll.IMDP("STK",표.실시간[[#This Row],[nxt_code]],"체결시간")</f>
        <v>0</v>
      </c>
      <c r="T665" s="4">
        <f>_xll.IMDP("STK","108670","현재가")</f>
        <v>28750</v>
      </c>
      <c r="U665">
        <f>_xll.IMDP("STK","108670","누적거래량")</f>
        <v>41</v>
      </c>
    </row>
    <row r="666" spans="3:21" x14ac:dyDescent="0.3">
      <c r="C666">
        <v>661</v>
      </c>
      <c r="D666">
        <v>5500</v>
      </c>
      <c r="E666" t="s">
        <v>678</v>
      </c>
      <c r="F666" t="str">
        <f>ConvertStockCode(표.실시간[[#This Row],[코드]])</f>
        <v>N005500</v>
      </c>
      <c r="G666" s="4">
        <f>_xll.IMDP("STK",표.실시간[[#This Row],[nxt_code]],"현재가")</f>
        <v>19130</v>
      </c>
      <c r="H666" s="4">
        <f>_xll.IMDP("STK",표.실시간[[#This Row],[nxt_code]],"시가총액")/10^12</f>
        <v>0.25481160000000003</v>
      </c>
      <c r="I666" t="str">
        <f>_xll.IMDP("","","전일대비부호")</f>
        <v>코드오류</v>
      </c>
      <c r="J666" s="5">
        <f>_xll.IMDP("STK",표.실시간[[#This Row],[nxt_code]],"전일대비")</f>
        <v>-20</v>
      </c>
      <c r="K666">
        <f>_xll.IMDP("STK",표.실시간[[#This Row],[nxt_code]],"등락률")</f>
        <v>-0.1</v>
      </c>
      <c r="L666" s="4">
        <f>_xll.IMDP("STK",표.실시간[[#This Row],[nxt_code]],"누적거래량")</f>
        <v>708</v>
      </c>
      <c r="M666" s="4">
        <f>_xll.IMDP("STK",표.실시간[[#This Row],[nxt_code]],"누적거래대금")</f>
        <v>13646610</v>
      </c>
      <c r="N666" s="4">
        <f>_xll.IMDP("STK",표.실시간[[#This Row],[nxt_code]],"가중평균가")</f>
        <v>19274.872880999999</v>
      </c>
      <c r="O666" s="4">
        <f>_xll.IMDP("STK",표.실시간[[#This Row],[nxt_code]],"시가")</f>
        <v>19430</v>
      </c>
      <c r="P666" s="4">
        <f>_xll.IMDP("STK",표.실시간[[#This Row],[nxt_code]],"고가")</f>
        <v>19430</v>
      </c>
      <c r="Q666" s="4">
        <f>_xll.IMDP("STK",표.실시간[[#This Row],[nxt_code]],"저가")</f>
        <v>19130</v>
      </c>
      <c r="R666">
        <f>_xll.IMDP("STK",표.실시간[[#This Row],[nxt_code]],"세션명")</f>
        <v>0</v>
      </c>
      <c r="S666">
        <f>_xll.IMDP("STK",표.실시간[[#This Row],[nxt_code]],"체결시간")</f>
        <v>0</v>
      </c>
      <c r="T666" s="4">
        <f>_xll.IMDP("STK","005500","현재가")</f>
        <v>19290</v>
      </c>
      <c r="U666">
        <f>_xll.IMDP("STK","005500","누적거래량")</f>
        <v>55</v>
      </c>
    </row>
    <row r="667" spans="3:21" x14ac:dyDescent="0.3">
      <c r="C667">
        <v>662</v>
      </c>
      <c r="D667">
        <v>3220</v>
      </c>
      <c r="E667" t="s">
        <v>679</v>
      </c>
      <c r="F667" t="str">
        <f>ConvertStockCode(표.실시간[[#This Row],[코드]])</f>
        <v>N003220</v>
      </c>
      <c r="G667" s="4">
        <f>_xll.IMDP("STK",표.실시간[[#This Row],[nxt_code]],"현재가")</f>
        <v>11500</v>
      </c>
      <c r="H667" s="4">
        <f>_xll.IMDP("STK",표.실시간[[#This Row],[nxt_code]],"시가총액")/10^12</f>
        <v>0.2579172045</v>
      </c>
      <c r="I667" t="str">
        <f>_xll.IMDP("","","전일대비부호")</f>
        <v>코드오류</v>
      </c>
      <c r="J667" s="5">
        <f>_xll.IMDP("STK",표.실시간[[#This Row],[nxt_code]],"전일대비")</f>
        <v>90</v>
      </c>
      <c r="K667">
        <f>_xll.IMDP("STK",표.실시간[[#This Row],[nxt_code]],"등락률")</f>
        <v>0.79</v>
      </c>
      <c r="L667" s="4">
        <f>_xll.IMDP("STK",표.실시간[[#This Row],[nxt_code]],"누적거래량")</f>
        <v>2327</v>
      </c>
      <c r="M667" s="4">
        <f>_xll.IMDP("STK",표.실시간[[#This Row],[nxt_code]],"누적거래대금")</f>
        <v>26711790</v>
      </c>
      <c r="N667" s="4">
        <f>_xll.IMDP("STK",표.실시간[[#This Row],[nxt_code]],"가중평균가")</f>
        <v>11479.067469</v>
      </c>
      <c r="O667" s="4">
        <f>_xll.IMDP("STK",표.실시간[[#This Row],[nxt_code]],"시가")</f>
        <v>11500</v>
      </c>
      <c r="P667" s="4">
        <f>_xll.IMDP("STK",표.실시간[[#This Row],[nxt_code]],"고가")</f>
        <v>11500</v>
      </c>
      <c r="Q667" s="4">
        <f>_xll.IMDP("STK",표.실시간[[#This Row],[nxt_code]],"저가")</f>
        <v>11410</v>
      </c>
      <c r="R667">
        <f>_xll.IMDP("STK",표.실시간[[#This Row],[nxt_code]],"세션명")</f>
        <v>0</v>
      </c>
      <c r="S667">
        <f>_xll.IMDP("STK",표.실시간[[#This Row],[nxt_code]],"체결시간")</f>
        <v>0</v>
      </c>
      <c r="T667" s="4">
        <f>_xll.IMDP("STK","003220","현재가")</f>
        <v>11500</v>
      </c>
      <c r="U667">
        <f>_xll.IMDP("STK","003220","누적거래량")</f>
        <v>675</v>
      </c>
    </row>
    <row r="668" spans="3:21" x14ac:dyDescent="0.3">
      <c r="C668">
        <v>663</v>
      </c>
      <c r="D668">
        <v>194700</v>
      </c>
      <c r="E668" t="s">
        <v>680</v>
      </c>
      <c r="F668" t="str">
        <f>ConvertStockCode(표.실시간[[#This Row],[코드]])</f>
        <v>N194700</v>
      </c>
      <c r="G668" s="4">
        <f>_xll.IMDP("STK",표.실시간[[#This Row],[nxt_code]],"현재가")</f>
        <v>13630</v>
      </c>
      <c r="H668" s="4">
        <f>_xll.IMDP("STK",표.실시간[[#This Row],[nxt_code]],"시가총액")/10^12</f>
        <v>0.25562857824000002</v>
      </c>
      <c r="I668" t="str">
        <f>_xll.IMDP("","","전일대비부호")</f>
        <v>코드오류</v>
      </c>
      <c r="J668" s="5">
        <f>_xll.IMDP("STK",표.실시간[[#This Row],[nxt_code]],"전일대비")</f>
        <v>30</v>
      </c>
      <c r="K668">
        <f>_xll.IMDP("STK",표.실시간[[#This Row],[nxt_code]],"등락률")</f>
        <v>0.22</v>
      </c>
      <c r="L668" s="4">
        <f>_xll.IMDP("STK",표.실시간[[#This Row],[nxt_code]],"누적거래량")</f>
        <v>3924</v>
      </c>
      <c r="M668" s="4">
        <f>_xll.IMDP("STK",표.실시간[[#This Row],[nxt_code]],"누적거래대금")</f>
        <v>53555760</v>
      </c>
      <c r="N668" s="4">
        <f>_xll.IMDP("STK",표.실시간[[#This Row],[nxt_code]],"가중평균가")</f>
        <v>13648.256880999999</v>
      </c>
      <c r="O668" s="4">
        <f>_xll.IMDP("STK",표.실시간[[#This Row],[nxt_code]],"시가")</f>
        <v>13620</v>
      </c>
      <c r="P668" s="4">
        <f>_xll.IMDP("STK",표.실시간[[#This Row],[nxt_code]],"고가")</f>
        <v>13680</v>
      </c>
      <c r="Q668" s="4">
        <f>_xll.IMDP("STK",표.실시간[[#This Row],[nxt_code]],"저가")</f>
        <v>13620</v>
      </c>
      <c r="R668">
        <f>_xll.IMDP("STK",표.실시간[[#This Row],[nxt_code]],"세션명")</f>
        <v>0</v>
      </c>
      <c r="S668">
        <f>_xll.IMDP("STK",표.실시간[[#This Row],[nxt_code]],"체결시간")</f>
        <v>0</v>
      </c>
      <c r="T668" s="4">
        <f>_xll.IMDP("STK","194700","현재가")</f>
        <v>13520</v>
      </c>
      <c r="U668">
        <f>_xll.IMDP("STK","194700","누적거래량")</f>
        <v>184</v>
      </c>
    </row>
    <row r="669" spans="3:21" x14ac:dyDescent="0.3">
      <c r="C669">
        <v>664</v>
      </c>
      <c r="D669">
        <v>108380</v>
      </c>
      <c r="E669" t="s">
        <v>681</v>
      </c>
      <c r="F669" t="str">
        <f>ConvertStockCode(표.실시간[[#This Row],[코드]])</f>
        <v>N108380</v>
      </c>
      <c r="G669" s="4">
        <f>_xll.IMDP("STK",표.실시간[[#This Row],[nxt_code]],"현재가")</f>
        <v>26700</v>
      </c>
      <c r="H669" s="4">
        <f>_xll.IMDP("STK",표.실시간[[#This Row],[nxt_code]],"시가총액")/10^12</f>
        <v>0.25544779109999999</v>
      </c>
      <c r="I669" t="str">
        <f>_xll.IMDP("","","전일대비부호")</f>
        <v>코드오류</v>
      </c>
      <c r="J669" s="5">
        <f>_xll.IMDP("STK",표.실시간[[#This Row],[nxt_code]],"전일대비")</f>
        <v>1000</v>
      </c>
      <c r="K669">
        <f>_xll.IMDP("STK",표.실시간[[#This Row],[nxt_code]],"등락률")</f>
        <v>3.89</v>
      </c>
      <c r="L669" s="4">
        <f>_xll.IMDP("STK",표.실시간[[#This Row],[nxt_code]],"누적거래량")</f>
        <v>9881</v>
      </c>
      <c r="M669" s="4">
        <f>_xll.IMDP("STK",표.실시간[[#This Row],[nxt_code]],"누적거래대금")</f>
        <v>261391100</v>
      </c>
      <c r="N669" s="4">
        <f>_xll.IMDP("STK",표.실시간[[#This Row],[nxt_code]],"가중평균가")</f>
        <v>26453.911547</v>
      </c>
      <c r="O669" s="4">
        <f>_xll.IMDP("STK",표.실시간[[#This Row],[nxt_code]],"시가")</f>
        <v>25850</v>
      </c>
      <c r="P669" s="4">
        <f>_xll.IMDP("STK",표.실시간[[#This Row],[nxt_code]],"고가")</f>
        <v>27000</v>
      </c>
      <c r="Q669" s="4">
        <f>_xll.IMDP("STK",표.실시간[[#This Row],[nxt_code]],"저가")</f>
        <v>25850</v>
      </c>
      <c r="R669">
        <f>_xll.IMDP("STK",표.실시간[[#This Row],[nxt_code]],"세션명")</f>
        <v>0</v>
      </c>
      <c r="S669">
        <f>_xll.IMDP("STK",표.실시간[[#This Row],[nxt_code]],"체결시간")</f>
        <v>0</v>
      </c>
      <c r="T669" s="4">
        <f>_xll.IMDP("STK","108380","현재가")</f>
        <v>26700</v>
      </c>
      <c r="U669">
        <f>_xll.IMDP("STK","108380","누적거래량")</f>
        <v>9710</v>
      </c>
    </row>
    <row r="670" spans="3:21" x14ac:dyDescent="0.3">
      <c r="C670">
        <v>665</v>
      </c>
      <c r="D670">
        <v>78520</v>
      </c>
      <c r="E670" t="s">
        <v>682</v>
      </c>
      <c r="F670" t="str">
        <f>ConvertStockCode(표.실시간[[#This Row],[코드]])</f>
        <v>N078520</v>
      </c>
      <c r="G670" s="4">
        <f>_xll.IMDP("STK",표.실시간[[#This Row],[nxt_code]],"현재가")</f>
        <v>9950</v>
      </c>
      <c r="H670" s="4">
        <f>_xll.IMDP("STK",표.실시간[[#This Row],[nxt_code]],"시가총액")/10^12</f>
        <v>0.25884090194999998</v>
      </c>
      <c r="I670" t="str">
        <f>_xll.IMDP("","","전일대비부호")</f>
        <v>코드오류</v>
      </c>
      <c r="J670" s="5">
        <f>_xll.IMDP("STK",표.실시간[[#This Row],[nxt_code]],"전일대비")</f>
        <v>-90</v>
      </c>
      <c r="K670">
        <f>_xll.IMDP("STK",표.실시간[[#This Row],[nxt_code]],"등락률")</f>
        <v>-0.9</v>
      </c>
      <c r="L670" s="4">
        <f>_xll.IMDP("STK",표.실시간[[#This Row],[nxt_code]],"누적거래량")</f>
        <v>14922</v>
      </c>
      <c r="M670" s="4">
        <f>_xll.IMDP("STK",표.실시간[[#This Row],[nxt_code]],"누적거래대금")</f>
        <v>150132720</v>
      </c>
      <c r="N670" s="4">
        <f>_xll.IMDP("STK",표.실시간[[#This Row],[nxt_code]],"가중평균가")</f>
        <v>10061.166063999999</v>
      </c>
      <c r="O670" s="4">
        <f>_xll.IMDP("STK",표.실시간[[#This Row],[nxt_code]],"시가")</f>
        <v>10110</v>
      </c>
      <c r="P670" s="4">
        <f>_xll.IMDP("STK",표.실시간[[#This Row],[nxt_code]],"고가")</f>
        <v>10180</v>
      </c>
      <c r="Q670" s="4">
        <f>_xll.IMDP("STK",표.실시간[[#This Row],[nxt_code]],"저가")</f>
        <v>9940</v>
      </c>
      <c r="R670">
        <f>_xll.IMDP("STK",표.실시간[[#This Row],[nxt_code]],"세션명")</f>
        <v>0</v>
      </c>
      <c r="S670">
        <f>_xll.IMDP("STK",표.실시간[[#This Row],[nxt_code]],"체결시간")</f>
        <v>0</v>
      </c>
      <c r="T670" s="4">
        <f>_xll.IMDP("STK","078520","현재가")</f>
        <v>10010</v>
      </c>
      <c r="U670">
        <f>_xll.IMDP("STK","078520","누적거래량")</f>
        <v>4337</v>
      </c>
    </row>
    <row r="671" spans="3:21" x14ac:dyDescent="0.3">
      <c r="C671">
        <v>666</v>
      </c>
      <c r="D671">
        <v>484120</v>
      </c>
      <c r="E671" t="s">
        <v>683</v>
      </c>
      <c r="F671" t="str">
        <f>ConvertStockCode(표.실시간[[#This Row],[코드]])</f>
        <v>N484120</v>
      </c>
      <c r="G671" s="4">
        <f>_xll.IMDP("STK",표.실시간[[#This Row],[nxt_code]],"현재가")</f>
        <v>23500</v>
      </c>
      <c r="H671" s="4">
        <f>_xll.IMDP("STK",표.실시간[[#This Row],[nxt_code]],"시가총액")/10^12</f>
        <v>0.25589201700000003</v>
      </c>
      <c r="I671" t="str">
        <f>_xll.IMDP("","","전일대비부호")</f>
        <v>코드오류</v>
      </c>
      <c r="J671" s="5">
        <f>_xll.IMDP("STK",표.실시간[[#This Row],[nxt_code]],"전일대비")</f>
        <v>0</v>
      </c>
      <c r="K671">
        <f>_xll.IMDP("STK",표.실시간[[#This Row],[nxt_code]],"등락률")</f>
        <v>-0.84</v>
      </c>
      <c r="L671" s="4">
        <f>_xll.IMDP("STK",표.실시간[[#This Row],[nxt_code]],"누적거래량")</f>
        <v>5036</v>
      </c>
      <c r="M671" s="4">
        <f>_xll.IMDP("STK",표.실시간[[#This Row],[nxt_code]],"누적거래대금")</f>
        <v>122145650</v>
      </c>
      <c r="N671" s="4">
        <f>_xll.IMDP("STK",표.실시간[[#This Row],[nxt_code]],"가중평균가")</f>
        <v>23759.122738999999</v>
      </c>
      <c r="O671" s="4">
        <f>_xll.IMDP("STK",표.실시간[[#This Row],[nxt_code]],"시가")</f>
        <v>23700</v>
      </c>
      <c r="P671" s="4">
        <f>_xll.IMDP("STK",표.실시간[[#This Row],[nxt_code]],"고가")</f>
        <v>23950</v>
      </c>
      <c r="Q671" s="4">
        <f>_xll.IMDP("STK",표.실시간[[#This Row],[nxt_code]],"저가")</f>
        <v>23500</v>
      </c>
      <c r="R671">
        <f>_xll.IMDP("STK",표.실시간[[#This Row],[nxt_code]],"세션명")</f>
        <v>0</v>
      </c>
      <c r="S671">
        <f>_xll.IMDP("STK",표.실시간[[#This Row],[nxt_code]],"체결시간")</f>
        <v>0</v>
      </c>
      <c r="T671" s="4">
        <f>_xll.IMDP("STK","484120","현재가")</f>
        <v>23450</v>
      </c>
      <c r="U671">
        <f>_xll.IMDP("STK","484120","누적거래량")</f>
        <v>2164</v>
      </c>
    </row>
    <row r="672" spans="3:21" x14ac:dyDescent="0.3">
      <c r="C672">
        <v>667</v>
      </c>
      <c r="D672">
        <v>51360</v>
      </c>
      <c r="E672" t="s">
        <v>684</v>
      </c>
      <c r="F672" t="str">
        <f>ConvertStockCode(표.실시간[[#This Row],[코드]])</f>
        <v>N051360</v>
      </c>
      <c r="G672" s="4">
        <f>_xll.IMDP("STK",표.실시간[[#This Row],[nxt_code]],"현재가")</f>
        <v>15610</v>
      </c>
      <c r="H672" s="4">
        <f>_xll.IMDP("STK",표.실시간[[#This Row],[nxt_code]],"시가총액")/10^12</f>
        <v>0.23488774421</v>
      </c>
      <c r="I672" t="str">
        <f>_xll.IMDP("","","전일대비부호")</f>
        <v>코드오류</v>
      </c>
      <c r="J672" s="5">
        <f>_xll.IMDP("STK",표.실시간[[#This Row],[nxt_code]],"전일대비")</f>
        <v>80</v>
      </c>
      <c r="K672">
        <f>_xll.IMDP("STK",표.실시간[[#This Row],[nxt_code]],"등락률")</f>
        <v>0.52</v>
      </c>
      <c r="L672" s="4">
        <f>_xll.IMDP("STK",표.실시간[[#This Row],[nxt_code]],"누적거래량")</f>
        <v>87</v>
      </c>
      <c r="M672" s="4">
        <f>_xll.IMDP("STK",표.실시간[[#This Row],[nxt_code]],"누적거래대금")</f>
        <v>1350270</v>
      </c>
      <c r="N672" s="4">
        <f>_xll.IMDP("STK",표.실시간[[#This Row],[nxt_code]],"가중평균가")</f>
        <v>15520.344827999999</v>
      </c>
      <c r="O672" s="4">
        <f>_xll.IMDP("STK",표.실시간[[#This Row],[nxt_code]],"시가")</f>
        <v>15620</v>
      </c>
      <c r="P672" s="4">
        <f>_xll.IMDP("STK",표.실시간[[#This Row],[nxt_code]],"고가")</f>
        <v>15680</v>
      </c>
      <c r="Q672" s="4">
        <f>_xll.IMDP("STK",표.실시간[[#This Row],[nxt_code]],"저가")</f>
        <v>15480</v>
      </c>
      <c r="R672">
        <f>_xll.IMDP("STK",표.실시간[[#This Row],[nxt_code]],"세션명")</f>
        <v>0</v>
      </c>
      <c r="S672">
        <f>_xll.IMDP("STK",표.실시간[[#This Row],[nxt_code]],"체결시간")</f>
        <v>0</v>
      </c>
      <c r="T672" s="4">
        <f>_xll.IMDP("STK","051360","현재가")</f>
        <v>15360</v>
      </c>
      <c r="U672">
        <f>_xll.IMDP("STK","051360","누적거래량")</f>
        <v>734</v>
      </c>
    </row>
    <row r="673" spans="3:21" x14ac:dyDescent="0.3">
      <c r="C673">
        <v>668</v>
      </c>
      <c r="D673">
        <v>37710</v>
      </c>
      <c r="E673" t="s">
        <v>685</v>
      </c>
      <c r="F673" t="str">
        <f>ConvertStockCode(표.실시간[[#This Row],[코드]])</f>
        <v>N037710</v>
      </c>
      <c r="G673" s="4">
        <f>_xll.IMDP("STK",표.실시간[[#This Row],[nxt_code]],"현재가")</f>
        <v>30950</v>
      </c>
      <c r="H673" s="4">
        <f>_xll.IMDP("STK",표.실시간[[#This Row],[nxt_code]],"시가총액")/10^12</f>
        <v>0.24627503049999999</v>
      </c>
      <c r="I673" t="str">
        <f>_xll.IMDP("","","전일대비부호")</f>
        <v>코드오류</v>
      </c>
      <c r="J673" s="5">
        <f>_xll.IMDP("STK",표.실시간[[#This Row],[nxt_code]],"전일대비")</f>
        <v>50</v>
      </c>
      <c r="K673">
        <f>_xll.IMDP("STK",표.실시간[[#This Row],[nxt_code]],"등락률")</f>
        <v>0.16</v>
      </c>
      <c r="L673" s="4">
        <f>_xll.IMDP("STK",표.실시간[[#This Row],[nxt_code]],"누적거래량")</f>
        <v>200</v>
      </c>
      <c r="M673" s="4">
        <f>_xll.IMDP("STK",표.실시간[[#This Row],[nxt_code]],"누적거래대금")</f>
        <v>6196850</v>
      </c>
      <c r="N673" s="4">
        <f>_xll.IMDP("STK",표.실시간[[#This Row],[nxt_code]],"가중평균가")</f>
        <v>30984.25</v>
      </c>
      <c r="O673" s="4">
        <f>_xll.IMDP("STK",표.실시간[[#This Row],[nxt_code]],"시가")</f>
        <v>30850</v>
      </c>
      <c r="P673" s="4">
        <f>_xll.IMDP("STK",표.실시간[[#This Row],[nxt_code]],"고가")</f>
        <v>31050</v>
      </c>
      <c r="Q673" s="4">
        <f>_xll.IMDP("STK",표.실시간[[#This Row],[nxt_code]],"저가")</f>
        <v>30850</v>
      </c>
      <c r="R673">
        <f>_xll.IMDP("STK",표.실시간[[#This Row],[nxt_code]],"세션명")</f>
        <v>0</v>
      </c>
      <c r="S673">
        <f>_xll.IMDP("STK",표.실시간[[#This Row],[nxt_code]],"체결시간")</f>
        <v>0</v>
      </c>
      <c r="T673" s="4">
        <f>_xll.IMDP("STK","037710","현재가")</f>
        <v>30900</v>
      </c>
      <c r="U673">
        <f>_xll.IMDP("STK","037710","누적거래량")</f>
        <v>115</v>
      </c>
    </row>
    <row r="674" spans="3:21" x14ac:dyDescent="0.3">
      <c r="C674">
        <v>669</v>
      </c>
      <c r="D674">
        <v>86390</v>
      </c>
      <c r="E674" t="s">
        <v>686</v>
      </c>
      <c r="F674" t="str">
        <f>ConvertStockCode(표.실시간[[#This Row],[코드]])</f>
        <v>N086390</v>
      </c>
      <c r="G674" s="4">
        <f>_xll.IMDP("STK",표.실시간[[#This Row],[nxt_code]],"현재가")</f>
        <v>11970</v>
      </c>
      <c r="H674" s="4">
        <f>_xll.IMDP("STK",표.실시간[[#This Row],[nxt_code]],"시가총액")/10^12</f>
        <v>0.25297548821999999</v>
      </c>
      <c r="I674" t="str">
        <f>_xll.IMDP("","","전일대비부호")</f>
        <v>코드오류</v>
      </c>
      <c r="J674" s="5">
        <f>_xll.IMDP("STK",표.실시간[[#This Row],[nxt_code]],"전일대비")</f>
        <v>70</v>
      </c>
      <c r="K674">
        <f>_xll.IMDP("STK",표.실시간[[#This Row],[nxt_code]],"등락률")</f>
        <v>0.59</v>
      </c>
      <c r="L674" s="4">
        <f>_xll.IMDP("STK",표.실시간[[#This Row],[nxt_code]],"누적거래량")</f>
        <v>25223</v>
      </c>
      <c r="M674" s="4">
        <f>_xll.IMDP("STK",표.실시간[[#This Row],[nxt_code]],"누적거래대금")</f>
        <v>306753680</v>
      </c>
      <c r="N674" s="4">
        <f>_xll.IMDP("STK",표.실시간[[#This Row],[nxt_code]],"가중평균가")</f>
        <v>12161.665147</v>
      </c>
      <c r="O674" s="4">
        <f>_xll.IMDP("STK",표.실시간[[#This Row],[nxt_code]],"시가")</f>
        <v>12100</v>
      </c>
      <c r="P674" s="4">
        <f>_xll.IMDP("STK",표.실시간[[#This Row],[nxt_code]],"고가")</f>
        <v>12270</v>
      </c>
      <c r="Q674" s="4">
        <f>_xll.IMDP("STK",표.실시간[[#This Row],[nxt_code]],"저가")</f>
        <v>11970</v>
      </c>
      <c r="R674">
        <f>_xll.IMDP("STK",표.실시간[[#This Row],[nxt_code]],"세션명")</f>
        <v>0</v>
      </c>
      <c r="S674">
        <f>_xll.IMDP("STK",표.실시간[[#This Row],[nxt_code]],"체결시간")</f>
        <v>0</v>
      </c>
      <c r="T674" s="4">
        <f>_xll.IMDP("STK","086390","현재가")</f>
        <v>11950</v>
      </c>
      <c r="U674">
        <f>_xll.IMDP("STK","086390","누적거래량")</f>
        <v>5369</v>
      </c>
    </row>
    <row r="675" spans="3:21" x14ac:dyDescent="0.3">
      <c r="C675">
        <v>670</v>
      </c>
      <c r="D675">
        <v>176750</v>
      </c>
      <c r="E675" t="s">
        <v>687</v>
      </c>
      <c r="F675" t="str">
        <f>ConvertStockCode(표.실시간[[#This Row],[코드]])</f>
        <v>N176750</v>
      </c>
      <c r="G675" s="4">
        <f>_xll.IMDP("STK",표.실시간[[#This Row],[nxt_code]],"현재가")</f>
        <v>8730</v>
      </c>
      <c r="H675" s="4">
        <f>_xll.IMDP("STK",표.실시간[[#This Row],[nxt_code]],"시가총액")/10^12</f>
        <v>0.24841407060000001</v>
      </c>
      <c r="I675" t="str">
        <f>_xll.IMDP("","","전일대비부호")</f>
        <v>코드오류</v>
      </c>
      <c r="J675" s="5">
        <f>_xll.IMDP("STK",표.실시간[[#This Row],[nxt_code]],"전일대비")</f>
        <v>130</v>
      </c>
      <c r="K675">
        <f>_xll.IMDP("STK",표.실시간[[#This Row],[nxt_code]],"등락률")</f>
        <v>1.51</v>
      </c>
      <c r="L675" s="4">
        <f>_xll.IMDP("STK",표.실시간[[#This Row],[nxt_code]],"누적거래량")</f>
        <v>2243</v>
      </c>
      <c r="M675" s="4">
        <f>_xll.IMDP("STK",표.실시간[[#This Row],[nxt_code]],"누적거래대금")</f>
        <v>19543800</v>
      </c>
      <c r="N675" s="4">
        <f>_xll.IMDP("STK",표.실시간[[#This Row],[nxt_code]],"가중평균가")</f>
        <v>8713.2411950000005</v>
      </c>
      <c r="O675" s="4">
        <f>_xll.IMDP("STK",표.실시간[[#This Row],[nxt_code]],"시가")</f>
        <v>8630</v>
      </c>
      <c r="P675" s="4">
        <f>_xll.IMDP("STK",표.실시간[[#This Row],[nxt_code]],"고가")</f>
        <v>8790</v>
      </c>
      <c r="Q675" s="4">
        <f>_xll.IMDP("STK",표.실시간[[#This Row],[nxt_code]],"저가")</f>
        <v>8630</v>
      </c>
      <c r="R675">
        <f>_xll.IMDP("STK",표.실시간[[#This Row],[nxt_code]],"세션명")</f>
        <v>0</v>
      </c>
      <c r="S675">
        <f>_xll.IMDP("STK",표.실시간[[#This Row],[nxt_code]],"체결시간")</f>
        <v>0</v>
      </c>
      <c r="T675" s="4">
        <f>_xll.IMDP("STK","176750","현재가")</f>
        <v>8730</v>
      </c>
      <c r="U675">
        <f>_xll.IMDP("STK","176750","누적거래량")</f>
        <v>369</v>
      </c>
    </row>
    <row r="676" spans="3:21" x14ac:dyDescent="0.3">
      <c r="C676">
        <v>671</v>
      </c>
      <c r="D676">
        <v>226320</v>
      </c>
      <c r="E676" t="s">
        <v>688</v>
      </c>
      <c r="F676" t="str">
        <f>ConvertStockCode(표.실시간[[#This Row],[코드]])</f>
        <v>N226320</v>
      </c>
      <c r="G676" s="4">
        <f>_xll.IMDP("STK",표.실시간[[#This Row],[nxt_code]],"현재가")</f>
        <v>11190</v>
      </c>
      <c r="H676" s="4">
        <f>_xll.IMDP("STK",표.실시간[[#This Row],[nxt_code]],"시가총액")/10^12</f>
        <v>0.24538903484999999</v>
      </c>
      <c r="I676" t="str">
        <f>_xll.IMDP("","","전일대비부호")</f>
        <v>코드오류</v>
      </c>
      <c r="J676" s="5">
        <f>_xll.IMDP("STK",표.실시간[[#This Row],[nxt_code]],"전일대비")</f>
        <v>30</v>
      </c>
      <c r="K676">
        <f>_xll.IMDP("STK",표.실시간[[#This Row],[nxt_code]],"등락률")</f>
        <v>0.27</v>
      </c>
      <c r="L676" s="4">
        <f>_xll.IMDP("STK",표.실시간[[#This Row],[nxt_code]],"누적거래량")</f>
        <v>1856</v>
      </c>
      <c r="M676" s="4">
        <f>_xll.IMDP("STK",표.실시간[[#This Row],[nxt_code]],"누적거래대금")</f>
        <v>20753670</v>
      </c>
      <c r="N676" s="4">
        <f>_xll.IMDP("STK",표.실시간[[#This Row],[nxt_code]],"가중평균가")</f>
        <v>11181.934267000001</v>
      </c>
      <c r="O676" s="4">
        <f>_xll.IMDP("STK",표.실시간[[#This Row],[nxt_code]],"시가")</f>
        <v>11190</v>
      </c>
      <c r="P676" s="4">
        <f>_xll.IMDP("STK",표.실시간[[#This Row],[nxt_code]],"고가")</f>
        <v>11220</v>
      </c>
      <c r="Q676" s="4">
        <f>_xll.IMDP("STK",표.실시간[[#This Row],[nxt_code]],"저가")</f>
        <v>11170</v>
      </c>
      <c r="R676">
        <f>_xll.IMDP("STK",표.실시간[[#This Row],[nxt_code]],"세션명")</f>
        <v>0</v>
      </c>
      <c r="S676">
        <f>_xll.IMDP("STK",표.실시간[[#This Row],[nxt_code]],"체결시간")</f>
        <v>0</v>
      </c>
      <c r="T676" s="4">
        <f>_xll.IMDP("STK","226320","현재가")</f>
        <v>11120</v>
      </c>
      <c r="U676">
        <f>_xll.IMDP("STK","226320","누적거래량")</f>
        <v>657</v>
      </c>
    </row>
    <row r="677" spans="3:21" x14ac:dyDescent="0.3">
      <c r="C677">
        <v>672</v>
      </c>
      <c r="D677">
        <v>372170</v>
      </c>
      <c r="E677" t="s">
        <v>689</v>
      </c>
      <c r="F677" t="str">
        <f>ConvertStockCode(표.실시간[[#This Row],[코드]])</f>
        <v>N372170</v>
      </c>
      <c r="G677" s="4">
        <f>_xll.IMDP("STK",표.실시간[[#This Row],[nxt_code]],"현재가")</f>
        <v>32600</v>
      </c>
      <c r="H677" s="4">
        <f>_xll.IMDP("STK",표.실시간[[#This Row],[nxt_code]],"시가총액")/10^12</f>
        <v>0.26011696480000002</v>
      </c>
      <c r="I677" t="str">
        <f>_xll.IMDP("","","전일대비부호")</f>
        <v>코드오류</v>
      </c>
      <c r="J677" s="5">
        <f>_xll.IMDP("STK",표.실시간[[#This Row],[nxt_code]],"전일대비")</f>
        <v>450</v>
      </c>
      <c r="K677">
        <f>_xll.IMDP("STK",표.실시간[[#This Row],[nxt_code]],"등락률")</f>
        <v>1.56</v>
      </c>
      <c r="L677" s="4">
        <f>_xll.IMDP("STK",표.실시간[[#This Row],[nxt_code]],"누적거래량")</f>
        <v>11316</v>
      </c>
      <c r="M677" s="4">
        <f>_xll.IMDP("STK",표.실시간[[#This Row],[nxt_code]],"누적거래대금")</f>
        <v>374120250</v>
      </c>
      <c r="N677" s="4">
        <f>_xll.IMDP("STK",표.실시간[[#This Row],[nxt_code]],"가중평균가")</f>
        <v>33061.174443000004</v>
      </c>
      <c r="O677" s="4">
        <f>_xll.IMDP("STK",표.실시간[[#This Row],[nxt_code]],"시가")</f>
        <v>31900</v>
      </c>
      <c r="P677" s="4">
        <f>_xll.IMDP("STK",표.실시간[[#This Row],[nxt_code]],"고가")</f>
        <v>33450</v>
      </c>
      <c r="Q677" s="4">
        <f>_xll.IMDP("STK",표.실시간[[#This Row],[nxt_code]],"저가")</f>
        <v>31900</v>
      </c>
      <c r="R677">
        <f>_xll.IMDP("STK",표.실시간[[#This Row],[nxt_code]],"세션명")</f>
        <v>0</v>
      </c>
      <c r="S677">
        <f>_xll.IMDP("STK",표.실시간[[#This Row],[nxt_code]],"체결시간")</f>
        <v>0</v>
      </c>
      <c r="T677" s="4">
        <f>_xll.IMDP("STK","372170","현재가")</f>
        <v>32600</v>
      </c>
      <c r="U677">
        <f>_xll.IMDP("STK","372170","누적거래량")</f>
        <v>3008</v>
      </c>
    </row>
    <row r="678" spans="3:21" x14ac:dyDescent="0.3">
      <c r="C678">
        <v>673</v>
      </c>
      <c r="D678">
        <v>89980</v>
      </c>
      <c r="E678" t="s">
        <v>690</v>
      </c>
      <c r="F678" t="str">
        <f>ConvertStockCode(표.실시간[[#This Row],[코드]])</f>
        <v>N089980</v>
      </c>
      <c r="G678" s="4">
        <f>_xll.IMDP("STK",표.실시간[[#This Row],[nxt_code]],"현재가")</f>
        <v>16180</v>
      </c>
      <c r="H678" s="4">
        <f>_xll.IMDP("STK",표.실시간[[#This Row],[nxt_code]],"시가총액")/10^12</f>
        <v>0.25870261865999999</v>
      </c>
      <c r="I678" t="str">
        <f>_xll.IMDP("","","전일대비부호")</f>
        <v>코드오류</v>
      </c>
      <c r="J678" s="5">
        <f>_xll.IMDP("STK",표.실시간[[#This Row],[nxt_code]],"전일대비")</f>
        <v>280</v>
      </c>
      <c r="K678">
        <f>_xll.IMDP("STK",표.실시간[[#This Row],[nxt_code]],"등락률")</f>
        <v>1.76</v>
      </c>
      <c r="L678" s="4">
        <f>_xll.IMDP("STK",표.실시간[[#This Row],[nxt_code]],"누적거래량")</f>
        <v>21275</v>
      </c>
      <c r="M678" s="4">
        <f>_xll.IMDP("STK",표.실시간[[#This Row],[nxt_code]],"누적거래대금")</f>
        <v>343189460</v>
      </c>
      <c r="N678" s="4">
        <f>_xll.IMDP("STK",표.실시간[[#This Row],[nxt_code]],"가중평균가")</f>
        <v>16131.114454</v>
      </c>
      <c r="O678" s="4">
        <f>_xll.IMDP("STK",표.실시간[[#This Row],[nxt_code]],"시가")</f>
        <v>16050</v>
      </c>
      <c r="P678" s="4">
        <f>_xll.IMDP("STK",표.실시간[[#This Row],[nxt_code]],"고가")</f>
        <v>16310</v>
      </c>
      <c r="Q678" s="4">
        <f>_xll.IMDP("STK",표.실시간[[#This Row],[nxt_code]],"저가")</f>
        <v>16020</v>
      </c>
      <c r="R678">
        <f>_xll.IMDP("STK",표.실시간[[#This Row],[nxt_code]],"세션명")</f>
        <v>0</v>
      </c>
      <c r="S678">
        <f>_xll.IMDP("STK",표.실시간[[#This Row],[nxt_code]],"체결시간")</f>
        <v>0</v>
      </c>
      <c r="T678" s="4">
        <f>_xll.IMDP("STK","089980","현재가")</f>
        <v>16090</v>
      </c>
      <c r="U678">
        <f>_xll.IMDP("STK","089980","누적거래량")</f>
        <v>3659</v>
      </c>
    </row>
    <row r="679" spans="3:21" x14ac:dyDescent="0.3">
      <c r="C679">
        <v>674</v>
      </c>
      <c r="D679">
        <v>61090</v>
      </c>
      <c r="E679" t="s">
        <v>691</v>
      </c>
      <c r="F679" t="str">
        <f>ConvertStockCode(표.실시간[[#This Row],[코드]])</f>
        <v>N061090</v>
      </c>
      <c r="G679" s="4">
        <f>_xll.IMDP("STK",표.실시간[[#This Row],[nxt_code]],"현재가")</f>
        <v>42500</v>
      </c>
      <c r="H679" s="4">
        <f>_xll.IMDP("STK",표.실시간[[#This Row],[nxt_code]],"시가총액")/10^12</f>
        <v>0.23738902000000001</v>
      </c>
      <c r="I679" t="str">
        <f>_xll.IMDP("","","전일대비부호")</f>
        <v>코드오류</v>
      </c>
      <c r="J679" s="5">
        <f>_xll.IMDP("STK",표.실시간[[#This Row],[nxt_code]],"전일대비")</f>
        <v>200</v>
      </c>
      <c r="K679">
        <f>_xll.IMDP("STK",표.실시간[[#This Row],[nxt_code]],"등락률")</f>
        <v>0.47</v>
      </c>
      <c r="L679" s="4">
        <f>_xll.IMDP("STK",표.실시간[[#This Row],[nxt_code]],"누적거래량")</f>
        <v>1793</v>
      </c>
      <c r="M679" s="4">
        <f>_xll.IMDP("STK",표.실시간[[#This Row],[nxt_code]],"누적거래대금")</f>
        <v>75989200</v>
      </c>
      <c r="N679" s="4">
        <f>_xll.IMDP("STK",표.실시간[[#This Row],[nxt_code]],"가중평균가")</f>
        <v>42381.037367999998</v>
      </c>
      <c r="O679" s="4">
        <f>_xll.IMDP("STK",표.실시간[[#This Row],[nxt_code]],"시가")</f>
        <v>42300</v>
      </c>
      <c r="P679" s="4">
        <f>_xll.IMDP("STK",표.실시간[[#This Row],[nxt_code]],"고가")</f>
        <v>42600</v>
      </c>
      <c r="Q679" s="4">
        <f>_xll.IMDP("STK",표.실시간[[#This Row],[nxt_code]],"저가")</f>
        <v>42300</v>
      </c>
      <c r="R679">
        <f>_xll.IMDP("STK",표.실시간[[#This Row],[nxt_code]],"세션명")</f>
        <v>0</v>
      </c>
      <c r="S679">
        <f>_xll.IMDP("STK",표.실시간[[#This Row],[nxt_code]],"체결시간")</f>
        <v>0</v>
      </c>
      <c r="T679" s="4">
        <f>_xll.IMDP("STK","061090","현재가")</f>
        <v>42400</v>
      </c>
      <c r="U679">
        <f>_xll.IMDP("STK","061090","누적거래량")</f>
        <v>261</v>
      </c>
    </row>
    <row r="680" spans="3:21" x14ac:dyDescent="0.3">
      <c r="C680">
        <v>675</v>
      </c>
      <c r="D680">
        <v>1130</v>
      </c>
      <c r="E680" t="s">
        <v>692</v>
      </c>
      <c r="F680" t="str">
        <f>ConvertStockCode(표.실시간[[#This Row],[코드]])</f>
        <v>N001130</v>
      </c>
      <c r="G680" s="4">
        <f>_xll.IMDP("STK",표.실시간[[#This Row],[nxt_code]],"현재가")</f>
        <v>143000</v>
      </c>
      <c r="H680" s="4">
        <f>_xll.IMDP("STK",표.실시간[[#This Row],[nxt_code]],"시가총액")/10^12</f>
        <v>0.24167</v>
      </c>
      <c r="I680" t="str">
        <f>_xll.IMDP("","","전일대비부호")</f>
        <v>코드오류</v>
      </c>
      <c r="J680" s="5">
        <f>_xll.IMDP("STK",표.실시간[[#This Row],[nxt_code]],"전일대비")</f>
        <v>1400</v>
      </c>
      <c r="K680">
        <f>_xll.IMDP("STK",표.실시간[[#This Row],[nxt_code]],"등락률")</f>
        <v>0.99</v>
      </c>
      <c r="L680" s="4">
        <f>_xll.IMDP("STK",표.실시간[[#This Row],[nxt_code]],"누적거래량")</f>
        <v>5</v>
      </c>
      <c r="M680" s="4">
        <f>_xll.IMDP("STK",표.실시간[[#This Row],[nxt_code]],"누적거래대금")</f>
        <v>716000</v>
      </c>
      <c r="N680" s="4">
        <f>_xll.IMDP("STK",표.실시간[[#This Row],[nxt_code]],"가중평균가")</f>
        <v>143200</v>
      </c>
      <c r="O680" s="4">
        <f>_xll.IMDP("STK",표.실시간[[#This Row],[nxt_code]],"시가")</f>
        <v>144000</v>
      </c>
      <c r="P680" s="4">
        <f>_xll.IMDP("STK",표.실시간[[#This Row],[nxt_code]],"고가")</f>
        <v>144000</v>
      </c>
      <c r="Q680" s="4">
        <f>_xll.IMDP("STK",표.실시간[[#This Row],[nxt_code]],"저가")</f>
        <v>143000</v>
      </c>
      <c r="R680">
        <f>_xll.IMDP("STK",표.실시간[[#This Row],[nxt_code]],"세션명")</f>
        <v>0</v>
      </c>
      <c r="S680">
        <f>_xll.IMDP("STK",표.실시간[[#This Row],[nxt_code]],"체결시간")</f>
        <v>0</v>
      </c>
      <c r="T680" s="4">
        <f>_xll.IMDP("STK","001130","현재가")</f>
        <v>141800</v>
      </c>
      <c r="U680">
        <f>_xll.IMDP("STK","001130","누적거래량")</f>
        <v>23</v>
      </c>
    </row>
    <row r="681" spans="3:21" x14ac:dyDescent="0.3">
      <c r="C681">
        <v>676</v>
      </c>
      <c r="D681">
        <v>1630</v>
      </c>
      <c r="E681" t="s">
        <v>693</v>
      </c>
      <c r="F681" t="str">
        <f>ConvertStockCode(표.실시간[[#This Row],[코드]])</f>
        <v>N001630</v>
      </c>
      <c r="G681" s="4">
        <f>_xll.IMDP("STK",표.실시간[[#This Row],[nxt_code]],"현재가")</f>
        <v>47200</v>
      </c>
      <c r="H681" s="4">
        <f>_xll.IMDP("STK",표.실시간[[#This Row],[nxt_code]],"시가총액")/10^12</f>
        <v>0.23646543919999999</v>
      </c>
      <c r="I681" t="str">
        <f>_xll.IMDP("","","전일대비부호")</f>
        <v>코드오류</v>
      </c>
      <c r="J681" s="5">
        <f>_xll.IMDP("STK",표.실시간[[#This Row],[nxt_code]],"전일대비")</f>
        <v>200</v>
      </c>
      <c r="K681">
        <f>_xll.IMDP("STK",표.실시간[[#This Row],[nxt_code]],"등락률")</f>
        <v>0.43</v>
      </c>
      <c r="L681" s="4">
        <f>_xll.IMDP("STK",표.실시간[[#This Row],[nxt_code]],"누적거래량")</f>
        <v>151</v>
      </c>
      <c r="M681" s="4">
        <f>_xll.IMDP("STK",표.실시간[[#This Row],[nxt_code]],"누적거래대금")</f>
        <v>7149400</v>
      </c>
      <c r="N681" s="4">
        <f>_xll.IMDP("STK",표.실시간[[#This Row],[nxt_code]],"가중평균가")</f>
        <v>47347.019868000003</v>
      </c>
      <c r="O681" s="4">
        <f>_xll.IMDP("STK",표.실시간[[#This Row],[nxt_code]],"시가")</f>
        <v>47200</v>
      </c>
      <c r="P681" s="4">
        <f>_xll.IMDP("STK",표.실시간[[#This Row],[nxt_code]],"고가")</f>
        <v>47450</v>
      </c>
      <c r="Q681" s="4">
        <f>_xll.IMDP("STK",표.실시간[[#This Row],[nxt_code]],"저가")</f>
        <v>47200</v>
      </c>
      <c r="R681">
        <f>_xll.IMDP("STK",표.실시간[[#This Row],[nxt_code]],"세션명")</f>
        <v>0</v>
      </c>
      <c r="S681">
        <f>_xll.IMDP("STK",표.실시간[[#This Row],[nxt_code]],"체결시간")</f>
        <v>0</v>
      </c>
      <c r="T681" s="4">
        <f>_xll.IMDP("STK","001630","현재가")</f>
        <v>47400</v>
      </c>
      <c r="U681">
        <f>_xll.IMDP("STK","001630","누적거래량")</f>
        <v>229</v>
      </c>
    </row>
    <row r="682" spans="3:21" x14ac:dyDescent="0.3">
      <c r="C682">
        <v>677</v>
      </c>
      <c r="D682">
        <v>1750</v>
      </c>
      <c r="E682" t="s">
        <v>694</v>
      </c>
      <c r="F682" t="str">
        <f>ConvertStockCode(표.실시간[[#This Row],[코드]])</f>
        <v>N001750</v>
      </c>
      <c r="G682" s="4">
        <f>_xll.IMDP("STK",표.실시간[[#This Row],[nxt_code]],"현재가")</f>
        <v>18690</v>
      </c>
      <c r="H682" s="4">
        <f>_xll.IMDP("STK",표.실시간[[#This Row],[nxt_code]],"시가총액")/10^12</f>
        <v>0.23789630045999999</v>
      </c>
      <c r="I682" t="str">
        <f>_xll.IMDP("","","전일대비부호")</f>
        <v>코드오류</v>
      </c>
      <c r="J682" s="5">
        <f>_xll.IMDP("STK",표.실시간[[#This Row],[nxt_code]],"전일대비")</f>
        <v>130</v>
      </c>
      <c r="K682">
        <f>_xll.IMDP("STK",표.실시간[[#This Row],[nxt_code]],"등락률")</f>
        <v>0.7</v>
      </c>
      <c r="L682" s="4">
        <f>_xll.IMDP("STK",표.실시간[[#This Row],[nxt_code]],"누적거래량")</f>
        <v>1121</v>
      </c>
      <c r="M682" s="4">
        <f>_xll.IMDP("STK",표.실시간[[#This Row],[nxt_code]],"누적거래대금")</f>
        <v>20913670</v>
      </c>
      <c r="N682" s="4">
        <f>_xll.IMDP("STK",표.실시간[[#This Row],[nxt_code]],"가중평균가")</f>
        <v>18656.262266000002</v>
      </c>
      <c r="O682" s="4">
        <f>_xll.IMDP("STK",표.실시간[[#This Row],[nxt_code]],"시가")</f>
        <v>18660</v>
      </c>
      <c r="P682" s="4">
        <f>_xll.IMDP("STK",표.실시간[[#This Row],[nxt_code]],"고가")</f>
        <v>18700</v>
      </c>
      <c r="Q682" s="4">
        <f>_xll.IMDP("STK",표.실시간[[#This Row],[nxt_code]],"저가")</f>
        <v>18630</v>
      </c>
      <c r="R682">
        <f>_xll.IMDP("STK",표.실시간[[#This Row],[nxt_code]],"세션명")</f>
        <v>0</v>
      </c>
      <c r="S682">
        <f>_xll.IMDP("STK",표.실시간[[#This Row],[nxt_code]],"체결시간")</f>
        <v>0</v>
      </c>
      <c r="T682" s="4">
        <f>_xll.IMDP("STK","001750","현재가")</f>
        <v>18650</v>
      </c>
      <c r="U682">
        <f>_xll.IMDP("STK","001750","누적거래량")</f>
        <v>31</v>
      </c>
    </row>
    <row r="683" spans="3:21" x14ac:dyDescent="0.3">
      <c r="C683">
        <v>678</v>
      </c>
      <c r="D683">
        <v>241770</v>
      </c>
      <c r="E683" t="s">
        <v>695</v>
      </c>
      <c r="F683" t="str">
        <f>ConvertStockCode(표.실시간[[#This Row],[코드]])</f>
        <v>N241770</v>
      </c>
      <c r="G683" s="4">
        <f>_xll.IMDP("STK",표.실시간[[#This Row],[nxt_code]],"현재가")</f>
        <v>22400</v>
      </c>
      <c r="H683" s="4">
        <f>_xll.IMDP("STK",표.실시간[[#This Row],[nxt_code]],"시가총액")/10^12</f>
        <v>0.228315136</v>
      </c>
      <c r="I683" t="str">
        <f>_xll.IMDP("","","전일대비부호")</f>
        <v>코드오류</v>
      </c>
      <c r="J683" s="5">
        <f>_xll.IMDP("STK",표.실시간[[#This Row],[nxt_code]],"전일대비")</f>
        <v>100</v>
      </c>
      <c r="K683">
        <f>_xll.IMDP("STK",표.실시간[[#This Row],[nxt_code]],"등락률")</f>
        <v>0.45</v>
      </c>
      <c r="L683" s="4">
        <f>_xll.IMDP("STK",표.실시간[[#This Row],[nxt_code]],"누적거래량")</f>
        <v>138</v>
      </c>
      <c r="M683" s="4">
        <f>_xll.IMDP("STK",표.실시간[[#This Row],[nxt_code]],"누적거래대금")</f>
        <v>3096750</v>
      </c>
      <c r="N683" s="4">
        <f>_xll.IMDP("STK",표.실시간[[#This Row],[nxt_code]],"가중평균가")</f>
        <v>22440.217390999998</v>
      </c>
      <c r="O683" s="4">
        <f>_xll.IMDP("STK",표.실시간[[#This Row],[nxt_code]],"시가")</f>
        <v>22450</v>
      </c>
      <c r="P683" s="4">
        <f>_xll.IMDP("STK",표.실시간[[#This Row],[nxt_code]],"고가")</f>
        <v>22450</v>
      </c>
      <c r="Q683" s="4">
        <f>_xll.IMDP("STK",표.실시간[[#This Row],[nxt_code]],"저가")</f>
        <v>22400</v>
      </c>
      <c r="R683">
        <f>_xll.IMDP("STK",표.실시간[[#This Row],[nxt_code]],"세션명")</f>
        <v>0</v>
      </c>
      <c r="S683">
        <f>_xll.IMDP("STK",표.실시간[[#This Row],[nxt_code]],"체결시간")</f>
        <v>0</v>
      </c>
      <c r="T683" s="4">
        <f>_xll.IMDP("STK","241770","현재가")</f>
        <v>22500</v>
      </c>
      <c r="U683">
        <f>_xll.IMDP("STK","241770","누적거래량")</f>
        <v>93</v>
      </c>
    </row>
    <row r="684" spans="3:21" x14ac:dyDescent="0.3">
      <c r="C684">
        <v>679</v>
      </c>
      <c r="D684">
        <v>84010</v>
      </c>
      <c r="E684" t="s">
        <v>696</v>
      </c>
      <c r="F684" t="str">
        <f>ConvertStockCode(표.실시간[[#This Row],[코드]])</f>
        <v>N084010</v>
      </c>
      <c r="G684" s="4">
        <f>_xll.IMDP("STK",표.실시간[[#This Row],[nxt_code]],"현재가")</f>
        <v>10350</v>
      </c>
      <c r="H684" s="4">
        <f>_xll.IMDP("STK",표.실시간[[#This Row],[nxt_code]],"시가총액")/10^12</f>
        <v>0.23716400895</v>
      </c>
      <c r="I684" t="str">
        <f>_xll.IMDP("","","전일대비부호")</f>
        <v>코드오류</v>
      </c>
      <c r="J684" s="5">
        <f>_xll.IMDP("STK",표.실시간[[#This Row],[nxt_code]],"전일대비")</f>
        <v>100</v>
      </c>
      <c r="K684">
        <f>_xll.IMDP("STK",표.실시간[[#This Row],[nxt_code]],"등락률")</f>
        <v>0.98</v>
      </c>
      <c r="L684" s="4">
        <f>_xll.IMDP("STK",표.실시간[[#This Row],[nxt_code]],"누적거래량")</f>
        <v>1318</v>
      </c>
      <c r="M684" s="4">
        <f>_xll.IMDP("STK",표.실시간[[#This Row],[nxt_code]],"누적거래대금")</f>
        <v>13698760</v>
      </c>
      <c r="N684" s="4">
        <f>_xll.IMDP("STK",표.실시간[[#This Row],[nxt_code]],"가중평균가")</f>
        <v>10393.596358000001</v>
      </c>
      <c r="O684" s="4">
        <f>_xll.IMDP("STK",표.실시간[[#This Row],[nxt_code]],"시가")</f>
        <v>10520</v>
      </c>
      <c r="P684" s="4">
        <f>_xll.IMDP("STK",표.실시간[[#This Row],[nxt_code]],"고가")</f>
        <v>10540</v>
      </c>
      <c r="Q684" s="4">
        <f>_xll.IMDP("STK",표.실시간[[#This Row],[nxt_code]],"저가")</f>
        <v>10280</v>
      </c>
      <c r="R684">
        <f>_xll.IMDP("STK",표.실시간[[#This Row],[nxt_code]],"세션명")</f>
        <v>0</v>
      </c>
      <c r="S684">
        <f>_xll.IMDP("STK",표.실시간[[#This Row],[nxt_code]],"체결시간")</f>
        <v>0</v>
      </c>
      <c r="T684" s="4">
        <f>_xll.IMDP("STK","084010","현재가")</f>
        <v>10360</v>
      </c>
      <c r="U684">
        <f>_xll.IMDP("STK","084010","누적거래량")</f>
        <v>182</v>
      </c>
    </row>
    <row r="685" spans="3:21" x14ac:dyDescent="0.3">
      <c r="C685">
        <v>680</v>
      </c>
      <c r="D685" t="s">
        <v>715</v>
      </c>
      <c r="E685" t="s">
        <v>697</v>
      </c>
      <c r="F685" t="str">
        <f>ConvertStockCode(표.실시간[[#This Row],[코드]])</f>
        <v>N0007C0</v>
      </c>
      <c r="G685" s="4">
        <f>_xll.IMDP("STK",표.실시간[[#This Row],[nxt_code]],"현재가")</f>
        <v>37050</v>
      </c>
      <c r="H685" s="4">
        <f>_xll.IMDP("STK",표.실시간[[#This Row],[nxt_code]],"시가총액")/10^12</f>
        <v>0.29752350420000001</v>
      </c>
      <c r="I685" t="str">
        <f>_xll.IMDP("","","전일대비부호")</f>
        <v>코드오류</v>
      </c>
      <c r="J685" s="5">
        <f>_xll.IMDP("STK",표.실시간[[#This Row],[nxt_code]],"전일대비")</f>
        <v>4700</v>
      </c>
      <c r="K685">
        <f>_xll.IMDP("STK",표.실시간[[#This Row],[nxt_code]],"등락률")</f>
        <v>14.35</v>
      </c>
      <c r="L685" s="4">
        <f>_xll.IMDP("STK",표.실시간[[#This Row],[nxt_code]],"누적거래량")</f>
        <v>723100</v>
      </c>
      <c r="M685" s="4">
        <f>_xll.IMDP("STK",표.실시간[[#This Row],[nxt_code]],"누적거래대금")</f>
        <v>26220755425</v>
      </c>
      <c r="N685" s="4">
        <f>_xll.IMDP("STK",표.실시간[[#This Row],[nxt_code]],"가중평균가")</f>
        <v>36261.58958</v>
      </c>
      <c r="O685" s="4">
        <f>_xll.IMDP("STK",표.실시간[[#This Row],[nxt_code]],"시가")</f>
        <v>32550</v>
      </c>
      <c r="P685" s="4">
        <f>_xll.IMDP("STK",표.실시간[[#This Row],[nxt_code]],"고가")</f>
        <v>38200</v>
      </c>
      <c r="Q685" s="4">
        <f>_xll.IMDP("STK",표.실시간[[#This Row],[nxt_code]],"저가")</f>
        <v>32500</v>
      </c>
      <c r="R685">
        <f>_xll.IMDP("STK",표.실시간[[#This Row],[nxt_code]],"세션명")</f>
        <v>0</v>
      </c>
      <c r="S685">
        <f>_xll.IMDP("STK",표.실시간[[#This Row],[nxt_code]],"체결시간")</f>
        <v>0</v>
      </c>
      <c r="T685" s="4">
        <f>_xll.IMDP("STK","0007C0","현재가")</f>
        <v>36100</v>
      </c>
      <c r="U685">
        <f>_xll.IMDP("STK","0007C0","누적거래량")</f>
        <v>3589</v>
      </c>
    </row>
    <row r="686" spans="3:21" x14ac:dyDescent="0.3">
      <c r="C686">
        <v>681</v>
      </c>
      <c r="D686">
        <v>8490</v>
      </c>
      <c r="E686" t="s">
        <v>698</v>
      </c>
      <c r="F686" t="str">
        <f>ConvertStockCode(표.실시간[[#This Row],[코드]])</f>
        <v>N008490</v>
      </c>
      <c r="G686" s="4">
        <f>_xll.IMDP("STK",표.실시간[[#This Row],[nxt_code]],"현재가")</f>
        <v>20850</v>
      </c>
      <c r="H686" s="4">
        <f>_xll.IMDP("STK",표.실시간[[#This Row],[nxt_code]],"시가총액")/10^12</f>
        <v>0.24121600604999999</v>
      </c>
      <c r="I686" t="str">
        <f>_xll.IMDP("","","전일대비부호")</f>
        <v>코드오류</v>
      </c>
      <c r="J686" s="5">
        <f>_xll.IMDP("STK",표.실시간[[#This Row],[nxt_code]],"전일대비")</f>
        <v>50</v>
      </c>
      <c r="K686">
        <f>_xll.IMDP("STK",표.실시간[[#This Row],[nxt_code]],"등락률")</f>
        <v>0.24</v>
      </c>
      <c r="L686" s="4">
        <f>_xll.IMDP("STK",표.실시간[[#This Row],[nxt_code]],"누적거래량")</f>
        <v>358</v>
      </c>
      <c r="M686" s="4">
        <f>_xll.IMDP("STK",표.실시간[[#This Row],[nxt_code]],"누적거래대금")</f>
        <v>7479100</v>
      </c>
      <c r="N686" s="4">
        <f>_xll.IMDP("STK",표.실시간[[#This Row],[nxt_code]],"가중평균가")</f>
        <v>20891.340781999999</v>
      </c>
      <c r="O686" s="4">
        <f>_xll.IMDP("STK",표.실시간[[#This Row],[nxt_code]],"시가")</f>
        <v>20950</v>
      </c>
      <c r="P686" s="4">
        <f>_xll.IMDP("STK",표.실시간[[#This Row],[nxt_code]],"고가")</f>
        <v>20950</v>
      </c>
      <c r="Q686" s="4">
        <f>_xll.IMDP("STK",표.실시간[[#This Row],[nxt_code]],"저가")</f>
        <v>20850</v>
      </c>
      <c r="R686">
        <f>_xll.IMDP("STK",표.실시간[[#This Row],[nxt_code]],"세션명")</f>
        <v>0</v>
      </c>
      <c r="S686">
        <f>_xll.IMDP("STK",표.실시간[[#This Row],[nxt_code]],"체결시간")</f>
        <v>0</v>
      </c>
      <c r="T686" s="4">
        <f>_xll.IMDP("STK","008490","현재가")</f>
        <v>20600</v>
      </c>
      <c r="U686">
        <f>_xll.IMDP("STK","008490","누적거래량")</f>
        <v>76</v>
      </c>
    </row>
    <row r="687" spans="3:21" x14ac:dyDescent="0.3">
      <c r="C687">
        <v>682</v>
      </c>
      <c r="D687">
        <v>488280</v>
      </c>
      <c r="E687" t="s">
        <v>699</v>
      </c>
      <c r="F687" t="str">
        <f>ConvertStockCode(표.실시간[[#This Row],[코드]])</f>
        <v>N488280</v>
      </c>
      <c r="G687" s="4">
        <f>_xll.IMDP("STK",표.실시간[[#This Row],[nxt_code]],"현재가")</f>
        <v>21650</v>
      </c>
      <c r="H687" s="4">
        <f>_xll.IMDP("STK",표.실시간[[#This Row],[nxt_code]],"시가총액")/10^12</f>
        <v>0.23130600709999999</v>
      </c>
      <c r="I687" t="str">
        <f>_xll.IMDP("","","전일대비부호")</f>
        <v>코드오류</v>
      </c>
      <c r="J687" s="5">
        <f>_xll.IMDP("STK",표.실시간[[#This Row],[nxt_code]],"전일대비")</f>
        <v>100</v>
      </c>
      <c r="K687">
        <f>_xll.IMDP("STK",표.실시간[[#This Row],[nxt_code]],"등락률")</f>
        <v>0.7</v>
      </c>
      <c r="L687" s="4">
        <f>_xll.IMDP("STK",표.실시간[[#This Row],[nxt_code]],"누적거래량")</f>
        <v>24267</v>
      </c>
      <c r="M687" s="4">
        <f>_xll.IMDP("STK",표.실시간[[#This Row],[nxt_code]],"누적거래대금")</f>
        <v>535396200</v>
      </c>
      <c r="N687" s="4">
        <f>_xll.IMDP("STK",표.실시간[[#This Row],[nxt_code]],"가중평균가")</f>
        <v>22035.485862000001</v>
      </c>
      <c r="O687" s="4">
        <f>_xll.IMDP("STK",표.실시간[[#This Row],[nxt_code]],"시가")</f>
        <v>21950</v>
      </c>
      <c r="P687" s="4">
        <f>_xll.IMDP("STK",표.실시간[[#This Row],[nxt_code]],"고가")</f>
        <v>22250</v>
      </c>
      <c r="Q687" s="4">
        <f>_xll.IMDP("STK",표.실시간[[#This Row],[nxt_code]],"저가")</f>
        <v>21650</v>
      </c>
      <c r="R687">
        <f>_xll.IMDP("STK",표.실시간[[#This Row],[nxt_code]],"세션명")</f>
        <v>0</v>
      </c>
      <c r="S687">
        <f>_xll.IMDP("STK",표.실시간[[#This Row],[nxt_code]],"체결시간")</f>
        <v>0</v>
      </c>
      <c r="T687" s="4">
        <f>_xll.IMDP("STK","488280","현재가")</f>
        <v>21650</v>
      </c>
      <c r="U687">
        <f>_xll.IMDP("STK","488280","누적거래량")</f>
        <v>9465</v>
      </c>
    </row>
    <row r="688" spans="3:21" x14ac:dyDescent="0.3">
      <c r="C688">
        <v>683</v>
      </c>
      <c r="D688">
        <v>36800</v>
      </c>
      <c r="E688" t="s">
        <v>700</v>
      </c>
      <c r="F688" t="str">
        <f>ConvertStockCode(표.실시간[[#This Row],[코드]])</f>
        <v>N036800</v>
      </c>
      <c r="G688" s="4">
        <f>_xll.IMDP("STK",표.실시간[[#This Row],[nxt_code]],"현재가")</f>
        <v>22800</v>
      </c>
      <c r="H688" s="4">
        <f>_xll.IMDP("STK",표.실시간[[#This Row],[nxt_code]],"시가총액")/10^12</f>
        <v>0.22800000000000001</v>
      </c>
      <c r="I688" t="str">
        <f>_xll.IMDP("","","전일대비부호")</f>
        <v>코드오류</v>
      </c>
      <c r="J688" s="5">
        <f>_xll.IMDP("STK",표.실시간[[#This Row],[nxt_code]],"전일대비")</f>
        <v>-50</v>
      </c>
      <c r="K688">
        <f>_xll.IMDP("STK",표.실시간[[#This Row],[nxt_code]],"등락률")</f>
        <v>-0.22</v>
      </c>
      <c r="L688" s="4">
        <f>_xll.IMDP("STK",표.실시간[[#This Row],[nxt_code]],"누적거래량")</f>
        <v>327</v>
      </c>
      <c r="M688" s="4">
        <f>_xll.IMDP("STK",표.실시간[[#This Row],[nxt_code]],"누적거래대금")</f>
        <v>7454950</v>
      </c>
      <c r="N688" s="4">
        <f>_xll.IMDP("STK",표.실시간[[#This Row],[nxt_code]],"가중평균가")</f>
        <v>22798.012232000001</v>
      </c>
      <c r="O688" s="4">
        <f>_xll.IMDP("STK",표.실시간[[#This Row],[nxt_code]],"시가")</f>
        <v>22600</v>
      </c>
      <c r="P688" s="4">
        <f>_xll.IMDP("STK",표.실시간[[#This Row],[nxt_code]],"고가")</f>
        <v>22900</v>
      </c>
      <c r="Q688" s="4">
        <f>_xll.IMDP("STK",표.실시간[[#This Row],[nxt_code]],"저가")</f>
        <v>22600</v>
      </c>
      <c r="R688">
        <f>_xll.IMDP("STK",표.실시간[[#This Row],[nxt_code]],"세션명")</f>
        <v>0</v>
      </c>
      <c r="S688">
        <f>_xll.IMDP("STK",표.실시간[[#This Row],[nxt_code]],"체결시간")</f>
        <v>0</v>
      </c>
      <c r="T688" s="4">
        <f>_xll.IMDP("STK","036800","현재가")</f>
        <v>22500</v>
      </c>
      <c r="U688">
        <f>_xll.IMDP("STK","036800","누적거래량")</f>
        <v>487</v>
      </c>
    </row>
    <row r="689" spans="3:21" x14ac:dyDescent="0.3">
      <c r="C689">
        <v>684</v>
      </c>
      <c r="D689">
        <v>4980</v>
      </c>
      <c r="E689" t="s">
        <v>701</v>
      </c>
      <c r="F689" t="str">
        <f>ConvertStockCode(표.실시간[[#This Row],[코드]])</f>
        <v>N004980</v>
      </c>
      <c r="G689" s="4">
        <f>_xll.IMDP("STK",표.실시간[[#This Row],[nxt_code]],"현재가")</f>
        <v>9490</v>
      </c>
      <c r="H689" s="4">
        <f>_xll.IMDP("STK",표.실시간[[#This Row],[nxt_code]],"시가총액")/10^12</f>
        <v>0.23265753277000001</v>
      </c>
      <c r="I689" t="str">
        <f>_xll.IMDP("","","전일대비부호")</f>
        <v>코드오류</v>
      </c>
      <c r="J689" s="5">
        <f>_xll.IMDP("STK",표.실시간[[#This Row],[nxt_code]],"전일대비")</f>
        <v>60</v>
      </c>
      <c r="K689">
        <f>_xll.IMDP("STK",표.실시간[[#This Row],[nxt_code]],"등락률")</f>
        <v>0.96</v>
      </c>
      <c r="L689" s="4">
        <f>_xll.IMDP("STK",표.실시간[[#This Row],[nxt_code]],"누적거래량")</f>
        <v>8001</v>
      </c>
      <c r="M689" s="4">
        <f>_xll.IMDP("STK",표.실시간[[#This Row],[nxt_code]],"누적거래대금")</f>
        <v>75871930</v>
      </c>
      <c r="N689" s="4">
        <f>_xll.IMDP("STK",표.실시간[[#This Row],[nxt_code]],"가중평균가")</f>
        <v>9482.7579270000006</v>
      </c>
      <c r="O689" s="4">
        <f>_xll.IMDP("STK",표.실시간[[#This Row],[nxt_code]],"시가")</f>
        <v>9490</v>
      </c>
      <c r="P689" s="4">
        <f>_xll.IMDP("STK",표.실시간[[#This Row],[nxt_code]],"고가")</f>
        <v>9490</v>
      </c>
      <c r="Q689" s="4">
        <f>_xll.IMDP("STK",표.실시간[[#This Row],[nxt_code]],"저가")</f>
        <v>9460</v>
      </c>
      <c r="R689">
        <f>_xll.IMDP("STK",표.실시간[[#This Row],[nxt_code]],"세션명")</f>
        <v>0</v>
      </c>
      <c r="S689">
        <f>_xll.IMDP("STK",표.실시간[[#This Row],[nxt_code]],"체결시간")</f>
        <v>0</v>
      </c>
      <c r="T689" s="4">
        <f>_xll.IMDP("STK","004980","현재가")</f>
        <v>9490</v>
      </c>
      <c r="U689">
        <f>_xll.IMDP("STK","004980","누적거래량")</f>
        <v>69</v>
      </c>
    </row>
    <row r="690" spans="3:21" x14ac:dyDescent="0.3">
      <c r="C690">
        <v>685</v>
      </c>
      <c r="D690">
        <v>237880</v>
      </c>
      <c r="E690" t="s">
        <v>702</v>
      </c>
      <c r="F690" t="str">
        <f>ConvertStockCode(표.실시간[[#This Row],[코드]])</f>
        <v>N237880</v>
      </c>
      <c r="G690" s="4">
        <f>_xll.IMDP("STK",표.실시간[[#This Row],[nxt_code]],"현재가")</f>
        <v>12950</v>
      </c>
      <c r="H690" s="4">
        <f>_xll.IMDP("STK",표.실시간[[#This Row],[nxt_code]],"시가총액")/10^12</f>
        <v>0.23402402135</v>
      </c>
      <c r="I690" t="str">
        <f>_xll.IMDP("","","전일대비부호")</f>
        <v>코드오류</v>
      </c>
      <c r="J690" s="5">
        <f>_xll.IMDP("STK",표.실시간[[#This Row],[nxt_code]],"전일대비")</f>
        <v>160</v>
      </c>
      <c r="K690">
        <f>_xll.IMDP("STK",표.실시간[[#This Row],[nxt_code]],"등락률")</f>
        <v>1.25</v>
      </c>
      <c r="L690" s="4">
        <f>_xll.IMDP("STK",표.실시간[[#This Row],[nxt_code]],"누적거래량")</f>
        <v>8448</v>
      </c>
      <c r="M690" s="4">
        <f>_xll.IMDP("STK",표.실시간[[#This Row],[nxt_code]],"누적거래대금")</f>
        <v>109157760</v>
      </c>
      <c r="N690" s="4">
        <f>_xll.IMDP("STK",표.실시간[[#This Row],[nxt_code]],"가중평균가")</f>
        <v>12921.136364</v>
      </c>
      <c r="O690" s="4">
        <f>_xll.IMDP("STK",표.실시간[[#This Row],[nxt_code]],"시가")</f>
        <v>12800</v>
      </c>
      <c r="P690" s="4">
        <f>_xll.IMDP("STK",표.실시간[[#This Row],[nxt_code]],"고가")</f>
        <v>12950</v>
      </c>
      <c r="Q690" s="4">
        <f>_xll.IMDP("STK",표.실시간[[#This Row],[nxt_code]],"저가")</f>
        <v>12650</v>
      </c>
      <c r="R690">
        <f>_xll.IMDP("STK",표.실시간[[#This Row],[nxt_code]],"세션명")</f>
        <v>0</v>
      </c>
      <c r="S690">
        <f>_xll.IMDP("STK",표.실시간[[#This Row],[nxt_code]],"체결시간")</f>
        <v>0</v>
      </c>
      <c r="T690" s="4">
        <f>_xll.IMDP("STK","237880","현재가")</f>
        <v>12860</v>
      </c>
      <c r="U690">
        <f>_xll.IMDP("STK","237880","누적거래량")</f>
        <v>359</v>
      </c>
    </row>
    <row r="691" spans="3:21" x14ac:dyDescent="0.3">
      <c r="C691">
        <v>686</v>
      </c>
      <c r="D691">
        <v>299030</v>
      </c>
      <c r="E691" t="s">
        <v>703</v>
      </c>
      <c r="F691" t="str">
        <f>ConvertStockCode(표.실시간[[#This Row],[코드]])</f>
        <v>N299030</v>
      </c>
      <c r="G691" s="4">
        <f>_xll.IMDP("STK",표.실시간[[#This Row],[nxt_code]],"현재가")</f>
        <v>30900</v>
      </c>
      <c r="H691" s="4">
        <f>_xll.IMDP("STK",표.실시간[[#This Row],[nxt_code]],"시가총액")/10^12</f>
        <v>0.2498409375</v>
      </c>
      <c r="I691" t="str">
        <f>_xll.IMDP("","","전일대비부호")</f>
        <v>코드오류</v>
      </c>
      <c r="J691" s="5">
        <f>_xll.IMDP("STK",표.실시간[[#This Row],[nxt_code]],"전일대비")</f>
        <v>1150</v>
      </c>
      <c r="K691">
        <f>_xll.IMDP("STK",표.실시간[[#This Row],[nxt_code]],"등락률")</f>
        <v>2.66</v>
      </c>
      <c r="L691" s="4">
        <f>_xll.IMDP("STK",표.실시간[[#This Row],[nxt_code]],"누적거래량")</f>
        <v>42237</v>
      </c>
      <c r="M691" s="4">
        <f>_xll.IMDP("STK",표.실시간[[#This Row],[nxt_code]],"누적거래대금")</f>
        <v>1320335050</v>
      </c>
      <c r="N691" s="4">
        <f>_xll.IMDP("STK",표.실시간[[#This Row],[nxt_code]],"가중평균가")</f>
        <v>31260.152236000002</v>
      </c>
      <c r="O691" s="4">
        <f>_xll.IMDP("STK",표.실시간[[#This Row],[nxt_code]],"시가")</f>
        <v>31300</v>
      </c>
      <c r="P691" s="4">
        <f>_xll.IMDP("STK",표.실시간[[#This Row],[nxt_code]],"고가")</f>
        <v>31850</v>
      </c>
      <c r="Q691" s="4">
        <f>_xll.IMDP("STK",표.실시간[[#This Row],[nxt_code]],"저가")</f>
        <v>30700</v>
      </c>
      <c r="R691">
        <f>_xll.IMDP("STK",표.실시간[[#This Row],[nxt_code]],"세션명")</f>
        <v>0</v>
      </c>
      <c r="S691">
        <f>_xll.IMDP("STK",표.실시간[[#This Row],[nxt_code]],"체결시간")</f>
        <v>0</v>
      </c>
      <c r="T691" s="4">
        <f>_xll.IMDP("STK","299030","현재가")</f>
        <v>30900</v>
      </c>
      <c r="U691">
        <f>_xll.IMDP("STK","299030","누적거래량")</f>
        <v>9917</v>
      </c>
    </row>
    <row r="692" spans="3:21" x14ac:dyDescent="0.3">
      <c r="C692">
        <v>687</v>
      </c>
      <c r="D692">
        <v>439090</v>
      </c>
      <c r="E692" t="s">
        <v>704</v>
      </c>
      <c r="F692" t="str">
        <f>ConvertStockCode(표.실시간[[#This Row],[코드]])</f>
        <v>N439090</v>
      </c>
      <c r="G692" s="4">
        <f>_xll.IMDP("STK",표.실시간[[#This Row],[nxt_code]],"현재가")</f>
        <v>14100</v>
      </c>
      <c r="H692" s="4">
        <f>_xll.IMDP("STK",표.실시간[[#This Row],[nxt_code]],"시가총액")/10^12</f>
        <v>0.23100396600000001</v>
      </c>
      <c r="I692" t="str">
        <f>_xll.IMDP("","","전일대비부호")</f>
        <v>코드오류</v>
      </c>
      <c r="J692" s="5">
        <f>_xll.IMDP("STK",표.실시간[[#This Row],[nxt_code]],"전일대비")</f>
        <v>10</v>
      </c>
      <c r="K692">
        <f>_xll.IMDP("STK",표.실시간[[#This Row],[nxt_code]],"등락률")</f>
        <v>7.0000000000000007E-2</v>
      </c>
      <c r="L692" s="4">
        <f>_xll.IMDP("STK",표.실시간[[#This Row],[nxt_code]],"누적거래량")</f>
        <v>6644</v>
      </c>
      <c r="M692" s="4">
        <f>_xll.IMDP("STK",표.실시간[[#This Row],[nxt_code]],"누적거래대금")</f>
        <v>94160010</v>
      </c>
      <c r="N692" s="4">
        <f>_xll.IMDP("STK",표.실시간[[#This Row],[nxt_code]],"가중평균가")</f>
        <v>14172.186936</v>
      </c>
      <c r="O692" s="4">
        <f>_xll.IMDP("STK",표.실시간[[#This Row],[nxt_code]],"시가")</f>
        <v>14010</v>
      </c>
      <c r="P692" s="4">
        <f>_xll.IMDP("STK",표.실시간[[#This Row],[nxt_code]],"고가")</f>
        <v>14240</v>
      </c>
      <c r="Q692" s="4">
        <f>_xll.IMDP("STK",표.실시간[[#This Row],[nxt_code]],"저가")</f>
        <v>14010</v>
      </c>
      <c r="R692">
        <f>_xll.IMDP("STK",표.실시간[[#This Row],[nxt_code]],"세션명")</f>
        <v>0</v>
      </c>
      <c r="S692">
        <f>_xll.IMDP("STK",표.실시간[[#This Row],[nxt_code]],"체결시간")</f>
        <v>0</v>
      </c>
      <c r="T692" s="4">
        <f>_xll.IMDP("STK","439090","현재가")</f>
        <v>14130</v>
      </c>
      <c r="U692">
        <f>_xll.IMDP("STK","439090","누적거래량")</f>
        <v>804</v>
      </c>
    </row>
    <row r="693" spans="3:21" x14ac:dyDescent="0.3">
      <c r="C693">
        <v>688</v>
      </c>
      <c r="D693">
        <v>39840</v>
      </c>
      <c r="E693" t="s">
        <v>705</v>
      </c>
      <c r="F693" t="str">
        <f>ConvertStockCode(표.실시간[[#This Row],[코드]])</f>
        <v>N039840</v>
      </c>
      <c r="G693" s="4">
        <f>_xll.IMDP("STK",표.실시간[[#This Row],[nxt_code]],"현재가")</f>
        <v>15900</v>
      </c>
      <c r="H693" s="4">
        <f>_xll.IMDP("STK",표.실시간[[#This Row],[nxt_code]],"시가총액")/10^12</f>
        <v>0.22856388329999999</v>
      </c>
      <c r="I693" t="str">
        <f>_xll.IMDP("","","전일대비부호")</f>
        <v>코드오류</v>
      </c>
      <c r="J693" s="5">
        <f>_xll.IMDP("STK",표.실시간[[#This Row],[nxt_code]],"전일대비")</f>
        <v>70</v>
      </c>
      <c r="K693">
        <f>_xll.IMDP("STK",표.실시간[[#This Row],[nxt_code]],"등락률")</f>
        <v>0.44</v>
      </c>
      <c r="L693" s="4">
        <f>_xll.IMDP("STK",표.실시간[[#This Row],[nxt_code]],"누적거래량")</f>
        <v>95</v>
      </c>
      <c r="M693" s="4">
        <f>_xll.IMDP("STK",표.실시간[[#This Row],[nxt_code]],"누적거래대금")</f>
        <v>1506490</v>
      </c>
      <c r="N693" s="4">
        <f>_xll.IMDP("STK",표.실시간[[#This Row],[nxt_code]],"가중평균가")</f>
        <v>15857.789473999999</v>
      </c>
      <c r="O693" s="4">
        <f>_xll.IMDP("STK",표.실시간[[#This Row],[nxt_code]],"시가")</f>
        <v>16000</v>
      </c>
      <c r="P693" s="4">
        <f>_xll.IMDP("STK",표.실시간[[#This Row],[nxt_code]],"고가")</f>
        <v>16000</v>
      </c>
      <c r="Q693" s="4">
        <f>_xll.IMDP("STK",표.실시간[[#This Row],[nxt_code]],"저가")</f>
        <v>15830</v>
      </c>
      <c r="R693">
        <f>_xll.IMDP("STK",표.실시간[[#This Row],[nxt_code]],"세션명")</f>
        <v>0</v>
      </c>
      <c r="S693">
        <f>_xll.IMDP("STK",표.실시간[[#This Row],[nxt_code]],"체결시간")</f>
        <v>0</v>
      </c>
      <c r="T693" s="4">
        <f>_xll.IMDP("STK","039840","현재가")</f>
        <v>15800</v>
      </c>
      <c r="U693">
        <f>_xll.IMDP("STK","039840","누적거래량")</f>
        <v>81</v>
      </c>
    </row>
    <row r="694" spans="3:21" x14ac:dyDescent="0.3">
      <c r="C694">
        <v>689</v>
      </c>
      <c r="D694">
        <v>356680</v>
      </c>
      <c r="E694" t="s">
        <v>706</v>
      </c>
      <c r="F694" t="str">
        <f>ConvertStockCode(표.실시간[[#This Row],[코드]])</f>
        <v>N356680</v>
      </c>
      <c r="G694" s="4">
        <f>_xll.IMDP("STK",표.실시간[[#This Row],[nxt_code]],"현재가")</f>
        <v>7250</v>
      </c>
      <c r="H694" s="4">
        <f>_xll.IMDP("STK",표.실시간[[#This Row],[nxt_code]],"시가총액")/10^12</f>
        <v>0.20694031700000001</v>
      </c>
      <c r="I694" t="str">
        <f>_xll.IMDP("","","전일대비부호")</f>
        <v>코드오류</v>
      </c>
      <c r="J694" s="5">
        <f>_xll.IMDP("STK",표.실시간[[#This Row],[nxt_code]],"전일대비")</f>
        <v>60</v>
      </c>
      <c r="K694">
        <f>_xll.IMDP("STK",표.실시간[[#This Row],[nxt_code]],"등락률")</f>
        <v>0.83</v>
      </c>
      <c r="L694" s="4">
        <f>_xll.IMDP("STK",표.실시간[[#This Row],[nxt_code]],"누적거래량")</f>
        <v>15620</v>
      </c>
      <c r="M694" s="4">
        <f>_xll.IMDP("STK",표.실시간[[#This Row],[nxt_code]],"누적거래대금")</f>
        <v>112766750</v>
      </c>
      <c r="N694" s="4">
        <f>_xll.IMDP("STK",표.실시간[[#This Row],[nxt_code]],"가중평균가")</f>
        <v>7219.3822019999998</v>
      </c>
      <c r="O694" s="4">
        <f>_xll.IMDP("STK",표.실시간[[#This Row],[nxt_code]],"시가")</f>
        <v>7210</v>
      </c>
      <c r="P694" s="4">
        <f>_xll.IMDP("STK",표.실시간[[#This Row],[nxt_code]],"고가")</f>
        <v>7270</v>
      </c>
      <c r="Q694" s="4">
        <f>_xll.IMDP("STK",표.실시간[[#This Row],[nxt_code]],"저가")</f>
        <v>7190</v>
      </c>
      <c r="R694">
        <f>_xll.IMDP("STK",표.실시간[[#This Row],[nxt_code]],"세션명")</f>
        <v>0</v>
      </c>
      <c r="S694">
        <f>_xll.IMDP("STK",표.실시간[[#This Row],[nxt_code]],"체결시간")</f>
        <v>0</v>
      </c>
      <c r="T694" s="4">
        <f>_xll.IMDP("STK","356680","현재가")</f>
        <v>7240</v>
      </c>
      <c r="U694">
        <f>_xll.IMDP("STK","356680","누적거래량")</f>
        <v>3151</v>
      </c>
    </row>
    <row r="695" spans="3:21" x14ac:dyDescent="0.3">
      <c r="C695">
        <v>690</v>
      </c>
      <c r="D695">
        <v>84850</v>
      </c>
      <c r="E695" t="s">
        <v>707</v>
      </c>
      <c r="F695" t="str">
        <f>ConvertStockCode(표.실시간[[#This Row],[코드]])</f>
        <v>N084850</v>
      </c>
      <c r="G695" s="4">
        <f>_xll.IMDP("STK",표.실시간[[#This Row],[nxt_code]],"현재가")</f>
        <v>9300</v>
      </c>
      <c r="H695" s="4">
        <f>_xll.IMDP("STK",표.실시간[[#This Row],[nxt_code]],"시가총액")/10^12</f>
        <v>0.2109512862</v>
      </c>
      <c r="I695" t="str">
        <f>_xll.IMDP("","","전일대비부호")</f>
        <v>코드오류</v>
      </c>
      <c r="J695" s="5">
        <f>_xll.IMDP("STK",표.실시간[[#This Row],[nxt_code]],"전일대비")</f>
        <v>0</v>
      </c>
      <c r="K695">
        <f>_xll.IMDP("STK",표.실시간[[#This Row],[nxt_code]],"등락률")</f>
        <v>0</v>
      </c>
      <c r="L695" s="4">
        <f>_xll.IMDP("STK",표.실시간[[#This Row],[nxt_code]],"누적거래량")</f>
        <v>819</v>
      </c>
      <c r="M695" s="4">
        <f>_xll.IMDP("STK",표.실시간[[#This Row],[nxt_code]],"누적거래대금")</f>
        <v>7599280</v>
      </c>
      <c r="N695" s="4">
        <f>_xll.IMDP("STK",표.실시간[[#This Row],[nxt_code]],"가중평균가")</f>
        <v>9278.7301590000006</v>
      </c>
      <c r="O695" s="4">
        <f>_xll.IMDP("STK",표.실시간[[#This Row],[nxt_code]],"시가")</f>
        <v>9480</v>
      </c>
      <c r="P695" s="4">
        <f>_xll.IMDP("STK",표.실시간[[#This Row],[nxt_code]],"고가")</f>
        <v>9480</v>
      </c>
      <c r="Q695" s="4">
        <f>_xll.IMDP("STK",표.실시간[[#This Row],[nxt_code]],"저가")</f>
        <v>9210</v>
      </c>
      <c r="R695">
        <f>_xll.IMDP("STK",표.실시간[[#This Row],[nxt_code]],"세션명")</f>
        <v>0</v>
      </c>
      <c r="S695">
        <f>_xll.IMDP("STK",표.실시간[[#This Row],[nxt_code]],"체결시간")</f>
        <v>0</v>
      </c>
      <c r="T695" s="4">
        <f>_xll.IMDP("STK","084850","현재가")</f>
        <v>9240</v>
      </c>
      <c r="U695">
        <f>_xll.IMDP("STK","084850","누적거래량")</f>
        <v>331</v>
      </c>
    </row>
    <row r="696" spans="3:21" x14ac:dyDescent="0.3">
      <c r="C696">
        <v>691</v>
      </c>
      <c r="D696">
        <v>469610</v>
      </c>
      <c r="E696" t="s">
        <v>708</v>
      </c>
      <c r="F696" t="str">
        <f>ConvertStockCode(표.실시간[[#This Row],[코드]])</f>
        <v>N469610</v>
      </c>
      <c r="G696" s="4">
        <f>_xll.IMDP("STK",표.실시간[[#This Row],[nxt_code]],"현재가")</f>
        <v>23150</v>
      </c>
      <c r="H696" s="4">
        <f>_xll.IMDP("STK",표.실시간[[#This Row],[nxt_code]],"시가총액")/10^12</f>
        <v>0.205500235</v>
      </c>
      <c r="I696" t="str">
        <f>_xll.IMDP("","","전일대비부호")</f>
        <v>코드오류</v>
      </c>
      <c r="J696" s="5">
        <f>_xll.IMDP("STK",표.실시간[[#This Row],[nxt_code]],"전일대비")</f>
        <v>250</v>
      </c>
      <c r="K696">
        <f>_xll.IMDP("STK",표.실시간[[#This Row],[nxt_code]],"등락률")</f>
        <v>1.0900000000000001</v>
      </c>
      <c r="L696" s="4">
        <f>_xll.IMDP("STK",표.실시간[[#This Row],[nxt_code]],"누적거래량")</f>
        <v>10158</v>
      </c>
      <c r="M696" s="4">
        <f>_xll.IMDP("STK",표.실시간[[#This Row],[nxt_code]],"누적거래대금")</f>
        <v>234795450</v>
      </c>
      <c r="N696" s="4">
        <f>_xll.IMDP("STK",표.실시간[[#This Row],[nxt_code]],"가중평균가")</f>
        <v>23114.338452</v>
      </c>
      <c r="O696" s="4">
        <f>_xll.IMDP("STK",표.실시간[[#This Row],[nxt_code]],"시가")</f>
        <v>23000</v>
      </c>
      <c r="P696" s="4">
        <f>_xll.IMDP("STK",표.실시간[[#This Row],[nxt_code]],"고가")</f>
        <v>23200</v>
      </c>
      <c r="Q696" s="4">
        <f>_xll.IMDP("STK",표.실시간[[#This Row],[nxt_code]],"저가")</f>
        <v>22950</v>
      </c>
      <c r="R696">
        <f>_xll.IMDP("STK",표.실시간[[#This Row],[nxt_code]],"세션명")</f>
        <v>0</v>
      </c>
      <c r="S696">
        <f>_xll.IMDP("STK",표.실시간[[#This Row],[nxt_code]],"체결시간")</f>
        <v>0</v>
      </c>
      <c r="T696" s="4">
        <f>_xll.IMDP("STK","469610","현재가")</f>
        <v>23100</v>
      </c>
      <c r="U696">
        <f>_xll.IMDP("STK","469610","누적거래량")</f>
        <v>3367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71E2-156E-4A2D-8F37-BC8D6DB33DA0}">
  <sheetPr codeName="Sheet2"/>
  <dimension ref="D2:X693"/>
  <sheetViews>
    <sheetView topLeftCell="A157" workbookViewId="0">
      <selection activeCell="L189" sqref="L189"/>
    </sheetView>
  </sheetViews>
  <sheetFormatPr defaultRowHeight="16.5" x14ac:dyDescent="0.3"/>
  <cols>
    <col min="1" max="3" width="1.25" customWidth="1"/>
    <col min="8" max="9" width="13.875" customWidth="1"/>
    <col min="13" max="13" width="11.5" customWidth="1"/>
    <col min="14" max="14" width="12.125" customWidth="1"/>
    <col min="18" max="18" width="10.25" customWidth="1"/>
    <col min="19" max="19" width="13.875" customWidth="1"/>
    <col min="20" max="20" width="12.125" customWidth="1"/>
    <col min="21" max="21" width="10.25" customWidth="1"/>
    <col min="22" max="22" width="11.875" customWidth="1"/>
    <col min="23" max="23" width="12.125" customWidth="1"/>
    <col min="24" max="24" width="13.75" customWidth="1"/>
  </cols>
  <sheetData>
    <row r="2" spans="4:24" x14ac:dyDescent="0.3">
      <c r="D2" t="s">
        <v>0</v>
      </c>
      <c r="E2" t="s">
        <v>1</v>
      </c>
      <c r="F2" t="s">
        <v>2</v>
      </c>
      <c r="G2" t="s">
        <v>3</v>
      </c>
      <c r="H2" t="s">
        <v>716</v>
      </c>
      <c r="I2" t="s">
        <v>717</v>
      </c>
      <c r="J2" t="s">
        <v>4</v>
      </c>
      <c r="K2" t="s">
        <v>5</v>
      </c>
      <c r="L2" t="s">
        <v>6</v>
      </c>
      <c r="M2" t="s">
        <v>7</v>
      </c>
      <c r="N2" t="s">
        <v>8</v>
      </c>
      <c r="O2" t="s">
        <v>9</v>
      </c>
      <c r="P2" t="s">
        <v>10</v>
      </c>
      <c r="Q2" t="s">
        <v>11</v>
      </c>
      <c r="R2" t="s">
        <v>12</v>
      </c>
      <c r="S2" t="s">
        <v>718</v>
      </c>
      <c r="T2" t="s">
        <v>13</v>
      </c>
      <c r="U2" t="s">
        <v>14</v>
      </c>
      <c r="V2" t="s">
        <v>15</v>
      </c>
      <c r="W2" t="s">
        <v>16</v>
      </c>
      <c r="X2" t="s">
        <v>17</v>
      </c>
    </row>
    <row r="3" spans="4:24" x14ac:dyDescent="0.3">
      <c r="D3">
        <v>1</v>
      </c>
      <c r="E3">
        <v>5930</v>
      </c>
      <c r="F3" t="s">
        <v>18</v>
      </c>
      <c r="H3" s="1">
        <v>154700</v>
      </c>
      <c r="I3">
        <v>2</v>
      </c>
      <c r="J3" s="1">
        <v>5200</v>
      </c>
      <c r="K3">
        <v>3.48</v>
      </c>
      <c r="L3" s="1">
        <v>4812069</v>
      </c>
      <c r="M3" s="1">
        <v>743264</v>
      </c>
      <c r="N3" s="1">
        <v>154458</v>
      </c>
      <c r="O3" s="1">
        <v>152100</v>
      </c>
      <c r="P3" s="1">
        <v>160000</v>
      </c>
      <c r="Q3" s="1">
        <v>152100</v>
      </c>
      <c r="R3" t="s">
        <v>709</v>
      </c>
      <c r="S3" s="3">
        <v>0.36804398148148149</v>
      </c>
      <c r="T3" s="1">
        <v>155100</v>
      </c>
      <c r="U3">
        <v>-400</v>
      </c>
      <c r="V3">
        <v>-0.26</v>
      </c>
      <c r="W3" s="1">
        <v>595236</v>
      </c>
      <c r="X3">
        <v>808.43</v>
      </c>
    </row>
    <row r="4" spans="4:24" x14ac:dyDescent="0.3">
      <c r="D4">
        <v>2</v>
      </c>
      <c r="E4">
        <v>660</v>
      </c>
      <c r="F4" t="s">
        <v>19</v>
      </c>
      <c r="H4" s="1">
        <v>767000</v>
      </c>
      <c r="I4">
        <v>2</v>
      </c>
      <c r="J4" s="1">
        <v>27000</v>
      </c>
      <c r="K4">
        <v>3.65</v>
      </c>
      <c r="L4" s="1">
        <v>813468</v>
      </c>
      <c r="M4" s="1">
        <v>624635</v>
      </c>
      <c r="N4" s="1">
        <v>767866</v>
      </c>
      <c r="O4" s="1">
        <v>755000</v>
      </c>
      <c r="P4" s="1">
        <v>781000</v>
      </c>
      <c r="Q4" s="1">
        <v>743000</v>
      </c>
      <c r="R4" t="s">
        <v>709</v>
      </c>
      <c r="S4" s="3">
        <v>0.36804398148148149</v>
      </c>
      <c r="T4" s="1">
        <v>775000</v>
      </c>
      <c r="U4" s="1">
        <v>-8000</v>
      </c>
      <c r="V4">
        <v>-1.03</v>
      </c>
      <c r="W4" s="1">
        <v>77498</v>
      </c>
      <c r="X4" s="2">
        <v>1049.6600000000001</v>
      </c>
    </row>
    <row r="5" spans="4:24" x14ac:dyDescent="0.3">
      <c r="D5">
        <v>3</v>
      </c>
      <c r="E5">
        <v>5380</v>
      </c>
      <c r="F5" t="s">
        <v>20</v>
      </c>
      <c r="H5" s="1">
        <v>588000</v>
      </c>
      <c r="I5">
        <v>2</v>
      </c>
      <c r="J5" s="1">
        <v>39000</v>
      </c>
      <c r="K5">
        <v>7.1</v>
      </c>
      <c r="L5" s="1">
        <v>2029935</v>
      </c>
      <c r="M5" s="1">
        <v>1182711</v>
      </c>
      <c r="N5" s="1">
        <v>582635</v>
      </c>
      <c r="O5" s="1">
        <v>568000</v>
      </c>
      <c r="P5" s="1">
        <v>595000</v>
      </c>
      <c r="Q5" s="1">
        <v>562000</v>
      </c>
      <c r="R5" t="s">
        <v>709</v>
      </c>
      <c r="S5" s="3">
        <v>0.36804398148148149</v>
      </c>
      <c r="T5" s="1">
        <v>588000</v>
      </c>
      <c r="W5" s="1">
        <v>41388</v>
      </c>
      <c r="X5" s="2">
        <v>4904.6400000000003</v>
      </c>
    </row>
    <row r="6" spans="4:24" x14ac:dyDescent="0.3">
      <c r="D6">
        <v>4</v>
      </c>
      <c r="E6">
        <v>373220</v>
      </c>
      <c r="F6" t="s">
        <v>21</v>
      </c>
      <c r="H6" s="1">
        <v>399000</v>
      </c>
      <c r="I6">
        <v>2</v>
      </c>
      <c r="J6" s="1">
        <v>4500</v>
      </c>
      <c r="K6">
        <v>1.1399999999999999</v>
      </c>
      <c r="L6" s="1">
        <v>32788</v>
      </c>
      <c r="M6" s="1">
        <v>13109</v>
      </c>
      <c r="N6" s="1">
        <v>399832</v>
      </c>
      <c r="O6" s="1">
        <v>398000</v>
      </c>
      <c r="P6" s="1">
        <v>401500</v>
      </c>
      <c r="Q6" s="1">
        <v>397500</v>
      </c>
      <c r="R6" t="s">
        <v>709</v>
      </c>
      <c r="S6" s="3">
        <v>0.36804398148148149</v>
      </c>
      <c r="T6" s="1">
        <v>399000</v>
      </c>
      <c r="W6" s="1">
        <v>1392</v>
      </c>
      <c r="X6" s="2">
        <v>2355.4499999999998</v>
      </c>
    </row>
    <row r="7" spans="4:24" x14ac:dyDescent="0.3">
      <c r="D7">
        <v>5</v>
      </c>
      <c r="E7">
        <v>207940</v>
      </c>
      <c r="F7" t="s">
        <v>22</v>
      </c>
      <c r="H7" s="1">
        <v>1893000</v>
      </c>
      <c r="I7">
        <v>2</v>
      </c>
      <c r="J7" s="1">
        <v>20000</v>
      </c>
      <c r="K7">
        <v>1.07</v>
      </c>
      <c r="L7" s="1">
        <v>3228</v>
      </c>
      <c r="M7" s="1">
        <v>6122</v>
      </c>
      <c r="N7" s="1">
        <v>1896730</v>
      </c>
      <c r="O7" s="1">
        <v>1876000</v>
      </c>
      <c r="P7" s="1">
        <v>1915000</v>
      </c>
      <c r="Q7" s="1">
        <v>1876000</v>
      </c>
      <c r="R7" t="s">
        <v>709</v>
      </c>
      <c r="S7" s="3">
        <v>0.36804398148148149</v>
      </c>
      <c r="T7" s="1">
        <v>1915000</v>
      </c>
      <c r="U7" s="1">
        <v>-22000</v>
      </c>
      <c r="V7">
        <v>-1.1499999999999999</v>
      </c>
      <c r="W7" s="1">
        <v>1043</v>
      </c>
      <c r="X7">
        <v>309.49</v>
      </c>
    </row>
    <row r="8" spans="4:24" x14ac:dyDescent="0.3">
      <c r="D8">
        <v>6</v>
      </c>
      <c r="E8">
        <v>270</v>
      </c>
      <c r="F8" t="s">
        <v>23</v>
      </c>
      <c r="H8" s="1">
        <v>177200</v>
      </c>
      <c r="I8">
        <v>2</v>
      </c>
      <c r="J8" s="1">
        <v>5100</v>
      </c>
      <c r="K8">
        <v>2.96</v>
      </c>
      <c r="L8" s="1">
        <v>579744</v>
      </c>
      <c r="M8" s="1">
        <v>102568</v>
      </c>
      <c r="N8" s="1">
        <v>176919</v>
      </c>
      <c r="O8" s="1">
        <v>174200</v>
      </c>
      <c r="P8" s="1">
        <v>178600</v>
      </c>
      <c r="Q8" s="1">
        <v>173100</v>
      </c>
      <c r="R8" t="s">
        <v>709</v>
      </c>
      <c r="S8" s="3">
        <v>0.36803240740740745</v>
      </c>
      <c r="T8" s="1">
        <v>179800</v>
      </c>
      <c r="U8" s="1">
        <v>-2600</v>
      </c>
      <c r="V8">
        <v>-1.45</v>
      </c>
      <c r="W8" s="1">
        <v>28333</v>
      </c>
      <c r="X8" s="2">
        <v>2046.17</v>
      </c>
    </row>
    <row r="9" spans="4:24" x14ac:dyDescent="0.3">
      <c r="D9">
        <v>7</v>
      </c>
      <c r="E9">
        <v>12450</v>
      </c>
      <c r="F9" t="s">
        <v>24</v>
      </c>
      <c r="H9" s="1">
        <v>1307000</v>
      </c>
      <c r="I9">
        <v>5</v>
      </c>
      <c r="J9" s="1">
        <v>8000</v>
      </c>
      <c r="K9">
        <v>-0.61</v>
      </c>
      <c r="L9" s="1">
        <v>21532</v>
      </c>
      <c r="M9" s="1">
        <v>28150</v>
      </c>
      <c r="N9" s="1">
        <v>1307371</v>
      </c>
      <c r="O9" s="1">
        <v>1313000</v>
      </c>
      <c r="P9" s="1">
        <v>1330000</v>
      </c>
      <c r="Q9" s="1">
        <v>1301000</v>
      </c>
      <c r="R9" t="s">
        <v>709</v>
      </c>
      <c r="S9" s="3">
        <v>0.36803240740740745</v>
      </c>
      <c r="T9" s="1">
        <v>1315000</v>
      </c>
      <c r="U9" s="1">
        <v>-8000</v>
      </c>
      <c r="V9">
        <v>-0.61</v>
      </c>
      <c r="W9" s="1">
        <v>1110</v>
      </c>
      <c r="X9" s="2">
        <v>1939.81</v>
      </c>
    </row>
    <row r="10" spans="4:24" x14ac:dyDescent="0.3">
      <c r="D10">
        <v>8</v>
      </c>
      <c r="E10">
        <v>329180</v>
      </c>
      <c r="F10" t="s">
        <v>25</v>
      </c>
      <c r="H10" s="1">
        <v>633000</v>
      </c>
      <c r="I10">
        <v>2</v>
      </c>
      <c r="J10" s="1">
        <v>2000</v>
      </c>
      <c r="K10">
        <v>0.32</v>
      </c>
      <c r="L10" s="1">
        <v>17018</v>
      </c>
      <c r="M10" s="1">
        <v>10809</v>
      </c>
      <c r="N10" s="1">
        <v>635188</v>
      </c>
      <c r="O10" s="1">
        <v>634000</v>
      </c>
      <c r="P10" s="1">
        <v>642000</v>
      </c>
      <c r="Q10" s="1">
        <v>632000</v>
      </c>
      <c r="R10" t="s">
        <v>709</v>
      </c>
      <c r="S10" s="3">
        <v>0.36803240740740745</v>
      </c>
      <c r="T10" s="1">
        <v>630000</v>
      </c>
      <c r="U10" s="1">
        <v>3000</v>
      </c>
      <c r="V10">
        <v>0.48</v>
      </c>
      <c r="W10" s="1">
        <v>1465</v>
      </c>
      <c r="X10" s="2">
        <v>1161.6300000000001</v>
      </c>
    </row>
    <row r="11" spans="4:24" x14ac:dyDescent="0.3">
      <c r="D11">
        <v>9</v>
      </c>
      <c r="E11">
        <v>34020</v>
      </c>
      <c r="F11" t="s">
        <v>26</v>
      </c>
      <c r="H11" s="1">
        <v>93800</v>
      </c>
      <c r="I11">
        <v>2</v>
      </c>
      <c r="J11" s="1">
        <v>2500</v>
      </c>
      <c r="K11">
        <v>2.74</v>
      </c>
      <c r="L11" s="1">
        <v>1863647</v>
      </c>
      <c r="M11" s="1">
        <v>175311</v>
      </c>
      <c r="N11" s="1">
        <v>94068</v>
      </c>
      <c r="O11" s="1">
        <v>93100</v>
      </c>
      <c r="P11" s="1">
        <v>94600</v>
      </c>
      <c r="Q11" s="1">
        <v>92600</v>
      </c>
      <c r="R11" t="s">
        <v>709</v>
      </c>
      <c r="S11" s="3">
        <v>0.36804398148148149</v>
      </c>
      <c r="T11" s="1">
        <v>93800</v>
      </c>
      <c r="W11" s="1">
        <v>33571</v>
      </c>
      <c r="X11" s="2">
        <v>5551.35</v>
      </c>
    </row>
    <row r="12" spans="4:24" x14ac:dyDescent="0.3">
      <c r="D12">
        <v>10</v>
      </c>
      <c r="E12">
        <v>402340</v>
      </c>
      <c r="F12" t="s">
        <v>27</v>
      </c>
      <c r="H12" s="1">
        <v>438500</v>
      </c>
      <c r="I12">
        <v>2</v>
      </c>
      <c r="J12" s="1">
        <v>8500</v>
      </c>
      <c r="K12">
        <v>1.98</v>
      </c>
      <c r="L12" s="1">
        <v>28663</v>
      </c>
      <c r="M12" s="1">
        <v>12610</v>
      </c>
      <c r="N12" s="1">
        <v>439948</v>
      </c>
      <c r="O12" s="1">
        <v>445000</v>
      </c>
      <c r="P12" s="1">
        <v>445000</v>
      </c>
      <c r="Q12" s="1">
        <v>435500</v>
      </c>
      <c r="R12" t="s">
        <v>709</v>
      </c>
      <c r="S12" s="3">
        <v>0.36800925925925926</v>
      </c>
      <c r="T12" s="1">
        <v>442500</v>
      </c>
      <c r="U12" s="1">
        <v>-4000</v>
      </c>
      <c r="V12">
        <v>-0.9</v>
      </c>
      <c r="W12" s="1">
        <v>2720</v>
      </c>
      <c r="X12" s="2">
        <v>1053.78</v>
      </c>
    </row>
    <row r="13" spans="4:24" x14ac:dyDescent="0.3">
      <c r="D13">
        <v>11</v>
      </c>
      <c r="E13">
        <v>105560</v>
      </c>
      <c r="F13" t="s">
        <v>28</v>
      </c>
      <c r="H13" s="1">
        <v>135400</v>
      </c>
      <c r="I13">
        <v>5</v>
      </c>
      <c r="J13" s="1">
        <v>1400</v>
      </c>
      <c r="K13">
        <v>-1.02</v>
      </c>
      <c r="L13" s="1">
        <v>52425</v>
      </c>
      <c r="M13" s="1">
        <v>7118</v>
      </c>
      <c r="N13" s="1">
        <v>135788</v>
      </c>
      <c r="O13" s="1">
        <v>136800</v>
      </c>
      <c r="P13" s="1">
        <v>137500</v>
      </c>
      <c r="Q13" s="1">
        <v>135100</v>
      </c>
      <c r="R13" t="s">
        <v>709</v>
      </c>
      <c r="S13" s="3">
        <v>0.3680208333333333</v>
      </c>
      <c r="T13" s="1">
        <v>140000</v>
      </c>
      <c r="U13" s="1">
        <v>-4600</v>
      </c>
      <c r="V13">
        <v>-3.29</v>
      </c>
      <c r="W13" s="1">
        <v>20805</v>
      </c>
      <c r="X13">
        <v>251.98</v>
      </c>
    </row>
    <row r="14" spans="4:24" x14ac:dyDescent="0.3">
      <c r="D14">
        <v>12</v>
      </c>
      <c r="E14">
        <v>28260</v>
      </c>
      <c r="F14" t="s">
        <v>29</v>
      </c>
      <c r="H14" s="1">
        <v>302000</v>
      </c>
      <c r="I14">
        <v>2</v>
      </c>
      <c r="J14" s="1">
        <v>3000</v>
      </c>
      <c r="K14">
        <v>1</v>
      </c>
      <c r="L14" s="1">
        <v>25237</v>
      </c>
      <c r="M14" s="1">
        <v>7646</v>
      </c>
      <c r="N14" s="1">
        <v>302985</v>
      </c>
      <c r="O14" s="1">
        <v>299500</v>
      </c>
      <c r="P14" s="1">
        <v>305000</v>
      </c>
      <c r="Q14" s="1">
        <v>299500</v>
      </c>
      <c r="R14" t="s">
        <v>709</v>
      </c>
      <c r="S14" s="3">
        <v>0.36797453703703703</v>
      </c>
      <c r="T14" s="1">
        <v>301000</v>
      </c>
      <c r="U14" s="1">
        <v>1000</v>
      </c>
      <c r="V14">
        <v>0.33</v>
      </c>
      <c r="W14" s="1">
        <v>1872</v>
      </c>
      <c r="X14" s="2">
        <v>1348.13</v>
      </c>
    </row>
    <row r="15" spans="4:24" x14ac:dyDescent="0.3">
      <c r="D15">
        <v>13</v>
      </c>
      <c r="E15">
        <v>68270</v>
      </c>
      <c r="F15" t="s">
        <v>30</v>
      </c>
      <c r="H15" s="1">
        <v>206500</v>
      </c>
      <c r="I15">
        <v>2</v>
      </c>
      <c r="J15" s="1">
        <v>2500</v>
      </c>
      <c r="K15">
        <v>1.23</v>
      </c>
      <c r="L15" s="1">
        <v>74247</v>
      </c>
      <c r="M15" s="1">
        <v>15380</v>
      </c>
      <c r="N15" s="1">
        <v>207155</v>
      </c>
      <c r="O15" s="1">
        <v>206500</v>
      </c>
      <c r="P15" s="1">
        <v>211500</v>
      </c>
      <c r="Q15" s="1">
        <v>206000</v>
      </c>
      <c r="R15" t="s">
        <v>709</v>
      </c>
      <c r="S15" s="3">
        <v>0.36804398148148149</v>
      </c>
      <c r="T15" s="1">
        <v>206500</v>
      </c>
      <c r="W15" s="1">
        <v>2566</v>
      </c>
      <c r="X15" s="2">
        <v>2893.49</v>
      </c>
    </row>
    <row r="16" spans="4:24" x14ac:dyDescent="0.3">
      <c r="D16">
        <v>14</v>
      </c>
      <c r="E16">
        <v>12330</v>
      </c>
      <c r="F16" t="s">
        <v>31</v>
      </c>
      <c r="H16" s="1">
        <v>504000</v>
      </c>
      <c r="I16">
        <v>2</v>
      </c>
      <c r="J16" s="1">
        <v>16500</v>
      </c>
      <c r="K16">
        <v>3.38</v>
      </c>
      <c r="L16" s="1">
        <v>137867</v>
      </c>
      <c r="M16" s="1">
        <v>69524</v>
      </c>
      <c r="N16" s="1">
        <v>504287</v>
      </c>
      <c r="O16" s="1">
        <v>500000</v>
      </c>
      <c r="P16" s="1">
        <v>516000</v>
      </c>
      <c r="Q16" s="1">
        <v>467000</v>
      </c>
      <c r="R16" t="s">
        <v>709</v>
      </c>
      <c r="S16" s="3">
        <v>0.36800925925925926</v>
      </c>
      <c r="T16" s="1">
        <v>491000</v>
      </c>
      <c r="U16" s="1">
        <v>13000</v>
      </c>
      <c r="V16">
        <v>2.65</v>
      </c>
      <c r="W16" s="1">
        <v>7199</v>
      </c>
      <c r="X16" s="2">
        <v>1915.08</v>
      </c>
    </row>
    <row r="17" spans="4:24" x14ac:dyDescent="0.3">
      <c r="D17">
        <v>15</v>
      </c>
      <c r="E17">
        <v>42660</v>
      </c>
      <c r="F17" t="s">
        <v>32</v>
      </c>
      <c r="H17" s="1">
        <v>143200</v>
      </c>
      <c r="I17">
        <v>2</v>
      </c>
      <c r="J17" s="1">
        <v>1700</v>
      </c>
      <c r="K17">
        <v>1.2</v>
      </c>
      <c r="L17" s="1">
        <v>314562</v>
      </c>
      <c r="M17" s="1">
        <v>45163</v>
      </c>
      <c r="N17" s="1">
        <v>143576</v>
      </c>
      <c r="O17" s="1">
        <v>143800</v>
      </c>
      <c r="P17" s="1">
        <v>145400</v>
      </c>
      <c r="Q17" s="1">
        <v>143000</v>
      </c>
      <c r="R17" t="s">
        <v>709</v>
      </c>
      <c r="S17" s="3">
        <v>0.36804398148148149</v>
      </c>
      <c r="T17" s="1">
        <v>143200</v>
      </c>
      <c r="W17" s="1">
        <v>9844</v>
      </c>
      <c r="X17" s="2">
        <v>3195.46</v>
      </c>
    </row>
    <row r="18" spans="4:24" x14ac:dyDescent="0.3">
      <c r="D18">
        <v>16</v>
      </c>
      <c r="E18">
        <v>15760</v>
      </c>
      <c r="F18" t="s">
        <v>33</v>
      </c>
      <c r="H18" s="1">
        <v>67500</v>
      </c>
      <c r="I18">
        <v>5</v>
      </c>
      <c r="J18">
        <v>400</v>
      </c>
      <c r="K18">
        <v>-0.59</v>
      </c>
      <c r="L18" s="1">
        <v>1530154</v>
      </c>
      <c r="M18" s="1">
        <v>104736</v>
      </c>
      <c r="N18" s="1">
        <v>68448</v>
      </c>
      <c r="O18" s="1">
        <v>68800</v>
      </c>
      <c r="P18" s="1">
        <v>69900</v>
      </c>
      <c r="Q18" s="1">
        <v>67400</v>
      </c>
      <c r="R18" t="s">
        <v>709</v>
      </c>
      <c r="S18" s="3">
        <v>0.36804398148148149</v>
      </c>
      <c r="T18" s="1">
        <v>68000</v>
      </c>
      <c r="U18">
        <v>-500</v>
      </c>
      <c r="V18">
        <v>-0.74</v>
      </c>
      <c r="W18" s="1">
        <v>41150</v>
      </c>
      <c r="X18" s="2">
        <v>3718.47</v>
      </c>
    </row>
    <row r="19" spans="4:24" x14ac:dyDescent="0.3">
      <c r="D19">
        <v>17</v>
      </c>
      <c r="E19">
        <v>55550</v>
      </c>
      <c r="F19" t="s">
        <v>34</v>
      </c>
      <c r="H19" s="1">
        <v>80900</v>
      </c>
      <c r="I19">
        <v>5</v>
      </c>
      <c r="J19">
        <v>300</v>
      </c>
      <c r="K19">
        <v>-0.37</v>
      </c>
      <c r="L19" s="1">
        <v>51962</v>
      </c>
      <c r="M19" s="1">
        <v>4218</v>
      </c>
      <c r="N19" s="1">
        <v>81184</v>
      </c>
      <c r="O19" s="1">
        <v>81200</v>
      </c>
      <c r="P19" s="1">
        <v>81700</v>
      </c>
      <c r="Q19" s="1">
        <v>80800</v>
      </c>
      <c r="R19" t="s">
        <v>709</v>
      </c>
      <c r="S19" s="3">
        <v>0.36800925925925926</v>
      </c>
      <c r="T19" s="1">
        <v>81200</v>
      </c>
      <c r="U19">
        <v>-300</v>
      </c>
      <c r="V19">
        <v>-0.37</v>
      </c>
      <c r="W19" s="1">
        <v>7205</v>
      </c>
      <c r="X19">
        <v>721.19</v>
      </c>
    </row>
    <row r="20" spans="4:24" x14ac:dyDescent="0.3">
      <c r="D20">
        <v>18</v>
      </c>
      <c r="E20">
        <v>35420</v>
      </c>
      <c r="F20" t="s">
        <v>35</v>
      </c>
      <c r="H20" s="1">
        <v>242000</v>
      </c>
      <c r="I20">
        <v>2</v>
      </c>
      <c r="J20" s="1">
        <v>3500</v>
      </c>
      <c r="K20">
        <v>1.47</v>
      </c>
      <c r="L20" s="1">
        <v>123236</v>
      </c>
      <c r="M20" s="1">
        <v>29854</v>
      </c>
      <c r="N20" s="1">
        <v>242255</v>
      </c>
      <c r="O20" s="1">
        <v>242000</v>
      </c>
      <c r="P20" s="1">
        <v>243500</v>
      </c>
      <c r="Q20" s="1">
        <v>240500</v>
      </c>
      <c r="R20" t="s">
        <v>709</v>
      </c>
      <c r="S20" s="3">
        <v>0.36804398148148149</v>
      </c>
      <c r="T20" s="1">
        <v>242000</v>
      </c>
      <c r="W20" s="1">
        <v>3701</v>
      </c>
      <c r="X20" s="2">
        <v>3329.8</v>
      </c>
    </row>
    <row r="21" spans="4:24" x14ac:dyDescent="0.3">
      <c r="D21">
        <v>19</v>
      </c>
      <c r="E21">
        <v>32830</v>
      </c>
      <c r="F21" t="s">
        <v>36</v>
      </c>
      <c r="H21" s="1">
        <v>176200</v>
      </c>
      <c r="I21">
        <v>2</v>
      </c>
      <c r="J21" s="1">
        <v>1500</v>
      </c>
      <c r="K21">
        <v>0.86</v>
      </c>
      <c r="L21" s="1">
        <v>14383</v>
      </c>
      <c r="M21" s="1">
        <v>2532</v>
      </c>
      <c r="N21" s="1">
        <v>176081</v>
      </c>
      <c r="O21" s="1">
        <v>175200</v>
      </c>
      <c r="P21" s="1">
        <v>177600</v>
      </c>
      <c r="Q21" s="1">
        <v>174700</v>
      </c>
      <c r="R21" t="s">
        <v>709</v>
      </c>
      <c r="S21" s="3">
        <v>0.36792824074074071</v>
      </c>
      <c r="T21" s="1">
        <v>177300</v>
      </c>
      <c r="U21" s="1">
        <v>-1100</v>
      </c>
      <c r="V21">
        <v>-0.62</v>
      </c>
      <c r="W21">
        <v>366</v>
      </c>
      <c r="X21" s="2">
        <v>3929.78</v>
      </c>
    </row>
    <row r="22" spans="4:24" x14ac:dyDescent="0.3">
      <c r="D22">
        <v>20</v>
      </c>
      <c r="E22">
        <v>10130</v>
      </c>
      <c r="F22" t="s">
        <v>37</v>
      </c>
      <c r="H22" s="1">
        <v>1641000</v>
      </c>
      <c r="I22">
        <v>5</v>
      </c>
      <c r="J22" s="1">
        <v>16000</v>
      </c>
      <c r="K22">
        <v>-0.97</v>
      </c>
      <c r="L22" s="1">
        <v>14335</v>
      </c>
      <c r="M22" s="1">
        <v>23600</v>
      </c>
      <c r="N22" s="1">
        <v>1646357</v>
      </c>
      <c r="O22" s="1">
        <v>1680000</v>
      </c>
      <c r="P22" s="1">
        <v>1680000</v>
      </c>
      <c r="Q22" s="1">
        <v>1630000</v>
      </c>
      <c r="R22" t="s">
        <v>709</v>
      </c>
      <c r="S22" s="3">
        <v>0.36804398148148149</v>
      </c>
      <c r="T22" s="1">
        <v>1641000</v>
      </c>
      <c r="W22">
        <v>515</v>
      </c>
      <c r="X22" s="2">
        <v>2783.49</v>
      </c>
    </row>
    <row r="23" spans="4:24" x14ac:dyDescent="0.3">
      <c r="D23">
        <v>21</v>
      </c>
      <c r="E23">
        <v>267260</v>
      </c>
      <c r="F23" t="s">
        <v>38</v>
      </c>
      <c r="H23" s="1">
        <v>905000</v>
      </c>
      <c r="I23">
        <v>2</v>
      </c>
      <c r="J23" s="1">
        <v>11000</v>
      </c>
      <c r="K23">
        <v>1.23</v>
      </c>
      <c r="L23" s="1">
        <v>13182</v>
      </c>
      <c r="M23" s="1">
        <v>11959</v>
      </c>
      <c r="N23" s="1">
        <v>907231</v>
      </c>
      <c r="O23" s="1">
        <v>902000</v>
      </c>
      <c r="P23" s="1">
        <v>920000</v>
      </c>
      <c r="Q23" s="1">
        <v>902000</v>
      </c>
      <c r="R23" t="s">
        <v>709</v>
      </c>
      <c r="S23" s="3">
        <v>0.36783564814814818</v>
      </c>
      <c r="T23" s="1">
        <v>905000</v>
      </c>
      <c r="W23">
        <v>298</v>
      </c>
      <c r="X23" s="2">
        <v>4423.4799999999996</v>
      </c>
    </row>
    <row r="24" spans="4:24" x14ac:dyDescent="0.3">
      <c r="D24">
        <v>22</v>
      </c>
      <c r="E24">
        <v>9540</v>
      </c>
      <c r="F24" t="s">
        <v>39</v>
      </c>
      <c r="H24" s="1">
        <v>433500</v>
      </c>
      <c r="I24">
        <v>2</v>
      </c>
      <c r="J24" s="1">
        <v>5000</v>
      </c>
      <c r="K24">
        <v>1.17</v>
      </c>
      <c r="L24" s="1">
        <v>10795</v>
      </c>
      <c r="M24" s="1">
        <v>4678</v>
      </c>
      <c r="N24" s="1">
        <v>433360</v>
      </c>
      <c r="O24" s="1">
        <v>446500</v>
      </c>
      <c r="P24" s="1">
        <v>446500</v>
      </c>
      <c r="Q24" s="1">
        <v>429500</v>
      </c>
      <c r="R24" t="s">
        <v>709</v>
      </c>
      <c r="S24" s="3">
        <v>0.36804398148148149</v>
      </c>
      <c r="T24" s="1">
        <v>433000</v>
      </c>
      <c r="U24">
        <v>500</v>
      </c>
      <c r="V24">
        <v>0.12</v>
      </c>
      <c r="W24">
        <v>378</v>
      </c>
      <c r="X24" s="2">
        <v>2855.82</v>
      </c>
    </row>
    <row r="25" spans="4:24" x14ac:dyDescent="0.3">
      <c r="D25">
        <v>23</v>
      </c>
      <c r="E25">
        <v>5490</v>
      </c>
      <c r="F25" t="s">
        <v>40</v>
      </c>
      <c r="H25" s="1">
        <v>355500</v>
      </c>
      <c r="I25">
        <v>2</v>
      </c>
      <c r="J25" s="1">
        <v>4500</v>
      </c>
      <c r="K25">
        <v>1.28</v>
      </c>
      <c r="L25" s="1">
        <v>92267</v>
      </c>
      <c r="M25" s="1">
        <v>32902</v>
      </c>
      <c r="N25" s="1">
        <v>356602</v>
      </c>
      <c r="O25" s="1">
        <v>354500</v>
      </c>
      <c r="P25" s="1">
        <v>359500</v>
      </c>
      <c r="Q25" s="1">
        <v>354500</v>
      </c>
      <c r="R25" t="s">
        <v>709</v>
      </c>
      <c r="S25" s="3">
        <v>0.36803240740740745</v>
      </c>
      <c r="T25" s="1">
        <v>357000</v>
      </c>
      <c r="U25" s="1">
        <v>-1500</v>
      </c>
      <c r="V25">
        <v>-0.42</v>
      </c>
      <c r="W25" s="1">
        <v>2042</v>
      </c>
      <c r="X25" s="2">
        <v>4518.46</v>
      </c>
    </row>
    <row r="26" spans="4:24" x14ac:dyDescent="0.3">
      <c r="D26">
        <v>24</v>
      </c>
      <c r="E26">
        <v>86790</v>
      </c>
      <c r="F26" t="s">
        <v>41</v>
      </c>
      <c r="H26" s="1">
        <v>99200</v>
      </c>
      <c r="I26">
        <v>5</v>
      </c>
      <c r="J26">
        <v>600</v>
      </c>
      <c r="K26">
        <v>-0.6</v>
      </c>
      <c r="L26" s="1">
        <v>36009</v>
      </c>
      <c r="M26" s="1">
        <v>3586</v>
      </c>
      <c r="N26" s="1">
        <v>99607</v>
      </c>
      <c r="O26" s="1">
        <v>100000</v>
      </c>
      <c r="P26" s="1">
        <v>100200</v>
      </c>
      <c r="Q26" s="1">
        <v>99100</v>
      </c>
      <c r="R26" t="s">
        <v>709</v>
      </c>
      <c r="S26" s="3">
        <v>0.36803240740740745</v>
      </c>
      <c r="T26" s="1">
        <v>100000</v>
      </c>
      <c r="U26">
        <v>-800</v>
      </c>
      <c r="V26">
        <v>-0.8</v>
      </c>
      <c r="W26" s="1">
        <v>2596</v>
      </c>
      <c r="X26" s="2">
        <v>1387.09</v>
      </c>
    </row>
    <row r="27" spans="4:24" x14ac:dyDescent="0.3">
      <c r="D27">
        <v>25</v>
      </c>
      <c r="E27">
        <v>10140</v>
      </c>
      <c r="F27" t="s">
        <v>42</v>
      </c>
      <c r="H27" s="1">
        <v>31150</v>
      </c>
      <c r="I27">
        <v>2</v>
      </c>
      <c r="J27">
        <v>600</v>
      </c>
      <c r="K27">
        <v>1.96</v>
      </c>
      <c r="L27" s="1">
        <v>896242</v>
      </c>
      <c r="M27" s="1">
        <v>27873</v>
      </c>
      <c r="N27" s="1">
        <v>31100</v>
      </c>
      <c r="O27" s="1">
        <v>31000</v>
      </c>
      <c r="P27" s="1">
        <v>31350</v>
      </c>
      <c r="Q27" s="1">
        <v>30950</v>
      </c>
      <c r="R27" t="s">
        <v>709</v>
      </c>
      <c r="S27" s="3">
        <v>0.36804398148148149</v>
      </c>
      <c r="T27" s="1">
        <v>31150</v>
      </c>
      <c r="W27" s="1">
        <v>30638</v>
      </c>
      <c r="X27" s="2">
        <v>2925.26</v>
      </c>
    </row>
    <row r="28" spans="4:24" x14ac:dyDescent="0.3">
      <c r="D28">
        <v>26</v>
      </c>
      <c r="E28">
        <v>6400</v>
      </c>
      <c r="F28" t="s">
        <v>43</v>
      </c>
      <c r="H28" s="1">
        <v>332500</v>
      </c>
      <c r="I28">
        <v>2</v>
      </c>
      <c r="J28" s="1">
        <v>8500</v>
      </c>
      <c r="K28">
        <v>2.62</v>
      </c>
      <c r="L28" s="1">
        <v>232787</v>
      </c>
      <c r="M28" s="1">
        <v>77615</v>
      </c>
      <c r="N28" s="1">
        <v>333416</v>
      </c>
      <c r="O28" s="1">
        <v>330000</v>
      </c>
      <c r="P28" s="1">
        <v>335000</v>
      </c>
      <c r="Q28" s="1">
        <v>328500</v>
      </c>
      <c r="R28" t="s">
        <v>709</v>
      </c>
      <c r="S28" s="3">
        <v>0.36804398148148149</v>
      </c>
      <c r="T28" s="1">
        <v>333000</v>
      </c>
      <c r="U28">
        <v>-500</v>
      </c>
      <c r="V28">
        <v>-0.15</v>
      </c>
      <c r="W28" s="1">
        <v>7803</v>
      </c>
      <c r="X28" s="2">
        <v>2983.3</v>
      </c>
    </row>
    <row r="29" spans="4:24" x14ac:dyDescent="0.3">
      <c r="D29">
        <v>27</v>
      </c>
      <c r="E29">
        <v>35720</v>
      </c>
      <c r="F29" t="s">
        <v>44</v>
      </c>
      <c r="H29" s="1">
        <v>57800</v>
      </c>
      <c r="I29">
        <v>2</v>
      </c>
      <c r="J29">
        <v>500</v>
      </c>
      <c r="K29">
        <v>0.87</v>
      </c>
      <c r="L29" s="1">
        <v>232267</v>
      </c>
      <c r="M29" s="1">
        <v>13426</v>
      </c>
      <c r="N29" s="1">
        <v>57804</v>
      </c>
      <c r="O29" s="1">
        <v>57600</v>
      </c>
      <c r="P29" s="1">
        <v>58000</v>
      </c>
      <c r="Q29" s="1">
        <v>57600</v>
      </c>
      <c r="R29" t="s">
        <v>709</v>
      </c>
      <c r="S29" s="3">
        <v>0.36803240740740745</v>
      </c>
      <c r="T29" s="1">
        <v>57700</v>
      </c>
      <c r="U29">
        <v>100</v>
      </c>
      <c r="V29">
        <v>0.17</v>
      </c>
      <c r="W29" s="1">
        <v>7658</v>
      </c>
      <c r="X29" s="2">
        <v>3032.99</v>
      </c>
    </row>
    <row r="30" spans="4:24" x14ac:dyDescent="0.3">
      <c r="D30">
        <v>28</v>
      </c>
      <c r="E30">
        <v>51910</v>
      </c>
      <c r="F30" t="s">
        <v>45</v>
      </c>
      <c r="H30" s="1">
        <v>334000</v>
      </c>
      <c r="I30">
        <v>2</v>
      </c>
      <c r="J30" s="1">
        <v>3000</v>
      </c>
      <c r="K30">
        <v>0.91</v>
      </c>
      <c r="L30" s="1">
        <v>17628</v>
      </c>
      <c r="M30" s="1">
        <v>5894</v>
      </c>
      <c r="N30" s="1">
        <v>334397</v>
      </c>
      <c r="O30" s="1">
        <v>331500</v>
      </c>
      <c r="P30" s="1">
        <v>335500</v>
      </c>
      <c r="Q30" s="1">
        <v>331500</v>
      </c>
      <c r="R30" t="s">
        <v>709</v>
      </c>
      <c r="S30" s="3">
        <v>0.36799768518518516</v>
      </c>
      <c r="T30" s="1">
        <v>334000</v>
      </c>
      <c r="W30">
        <v>267</v>
      </c>
      <c r="X30" s="2">
        <v>6602.24</v>
      </c>
    </row>
    <row r="31" spans="4:24" x14ac:dyDescent="0.3">
      <c r="D31">
        <v>29</v>
      </c>
      <c r="E31">
        <v>64350</v>
      </c>
      <c r="F31" t="s">
        <v>46</v>
      </c>
      <c r="H31" s="1">
        <v>216000</v>
      </c>
      <c r="I31">
        <v>2</v>
      </c>
      <c r="J31">
        <v>500</v>
      </c>
      <c r="K31">
        <v>0.23</v>
      </c>
      <c r="L31" s="1">
        <v>88205</v>
      </c>
      <c r="M31" s="1">
        <v>19038</v>
      </c>
      <c r="N31" s="1">
        <v>215844</v>
      </c>
      <c r="O31" s="1">
        <v>216000</v>
      </c>
      <c r="P31" s="1">
        <v>219000</v>
      </c>
      <c r="Q31" s="1">
        <v>214500</v>
      </c>
      <c r="R31" t="s">
        <v>709</v>
      </c>
      <c r="S31" s="3">
        <v>0.36803240740740745</v>
      </c>
      <c r="T31" s="1">
        <v>216500</v>
      </c>
      <c r="U31">
        <v>-500</v>
      </c>
      <c r="V31">
        <v>-0.23</v>
      </c>
      <c r="W31" s="1">
        <v>3061</v>
      </c>
      <c r="X31" s="2">
        <v>2881.57</v>
      </c>
    </row>
    <row r="32" spans="4:24" x14ac:dyDescent="0.3">
      <c r="D32">
        <v>30</v>
      </c>
      <c r="E32">
        <v>810</v>
      </c>
      <c r="F32" t="s">
        <v>47</v>
      </c>
      <c r="H32" s="1">
        <v>495000</v>
      </c>
      <c r="I32">
        <v>5</v>
      </c>
      <c r="J32" s="1">
        <v>3500</v>
      </c>
      <c r="K32">
        <v>-0.7</v>
      </c>
      <c r="L32" s="1">
        <v>3165</v>
      </c>
      <c r="M32" s="1">
        <v>1574</v>
      </c>
      <c r="N32" s="1">
        <v>497330</v>
      </c>
      <c r="O32" s="1">
        <v>498000</v>
      </c>
      <c r="P32" s="1">
        <v>499500</v>
      </c>
      <c r="Q32" s="1">
        <v>495000</v>
      </c>
      <c r="R32" t="s">
        <v>709</v>
      </c>
      <c r="S32" s="3">
        <v>0.36798611111111112</v>
      </c>
      <c r="T32" s="1">
        <v>497500</v>
      </c>
      <c r="U32" s="1">
        <v>-2500</v>
      </c>
      <c r="V32">
        <v>-0.5</v>
      </c>
      <c r="W32">
        <v>172</v>
      </c>
      <c r="X32" s="2">
        <v>1840.11</v>
      </c>
    </row>
    <row r="33" spans="4:24" x14ac:dyDescent="0.3">
      <c r="D33">
        <v>31</v>
      </c>
      <c r="E33">
        <v>86280</v>
      </c>
      <c r="F33" t="s">
        <v>48</v>
      </c>
      <c r="H33" s="1">
        <v>290000</v>
      </c>
      <c r="I33">
        <v>2</v>
      </c>
      <c r="J33" s="1">
        <v>28000</v>
      </c>
      <c r="K33">
        <v>10.69</v>
      </c>
      <c r="L33" s="1">
        <v>822401</v>
      </c>
      <c r="M33" s="1">
        <v>238838</v>
      </c>
      <c r="N33" s="1">
        <v>290416</v>
      </c>
      <c r="O33" s="1">
        <v>270000</v>
      </c>
      <c r="P33" s="1">
        <v>303500</v>
      </c>
      <c r="Q33" s="1">
        <v>266500</v>
      </c>
      <c r="R33" t="s">
        <v>709</v>
      </c>
      <c r="S33" s="3">
        <v>0.36804398148148149</v>
      </c>
      <c r="T33" s="1">
        <v>290000</v>
      </c>
      <c r="W33" s="1">
        <v>7325</v>
      </c>
      <c r="X33" s="2">
        <v>11227.31</v>
      </c>
    </row>
    <row r="34" spans="4:24" x14ac:dyDescent="0.3">
      <c r="D34">
        <v>32</v>
      </c>
      <c r="E34">
        <v>298040</v>
      </c>
      <c r="F34" t="s">
        <v>49</v>
      </c>
      <c r="H34" s="1">
        <v>2350000</v>
      </c>
      <c r="I34">
        <v>2</v>
      </c>
      <c r="J34" s="1">
        <v>31000</v>
      </c>
      <c r="K34">
        <v>1.34</v>
      </c>
      <c r="L34" s="1">
        <v>3731</v>
      </c>
      <c r="M34" s="1">
        <v>8785</v>
      </c>
      <c r="N34" s="1">
        <v>2354636</v>
      </c>
      <c r="O34" s="1">
        <v>2350000</v>
      </c>
      <c r="P34" s="1">
        <v>2379000</v>
      </c>
      <c r="Q34" s="1">
        <v>2336000</v>
      </c>
      <c r="R34" t="s">
        <v>710</v>
      </c>
      <c r="S34" s="3">
        <v>0.35584490740740743</v>
      </c>
      <c r="T34" s="1">
        <v>2319000</v>
      </c>
      <c r="U34" s="1">
        <v>31000</v>
      </c>
      <c r="V34">
        <v>1.34</v>
      </c>
    </row>
    <row r="35" spans="4:24" x14ac:dyDescent="0.3">
      <c r="D35">
        <v>33</v>
      </c>
      <c r="E35">
        <v>34730</v>
      </c>
      <c r="F35" t="s">
        <v>50</v>
      </c>
      <c r="H35" s="1">
        <v>295500</v>
      </c>
      <c r="I35">
        <v>2</v>
      </c>
      <c r="J35" s="1">
        <v>2500</v>
      </c>
      <c r="K35">
        <v>0.85</v>
      </c>
      <c r="L35" s="1">
        <v>14864</v>
      </c>
      <c r="M35" s="1">
        <v>4393</v>
      </c>
      <c r="N35" s="1">
        <v>295536</v>
      </c>
      <c r="O35" s="1">
        <v>294000</v>
      </c>
      <c r="P35" s="1">
        <v>297000</v>
      </c>
      <c r="Q35" s="1">
        <v>294000</v>
      </c>
      <c r="R35" t="s">
        <v>710</v>
      </c>
      <c r="S35" s="3">
        <v>0.35356481481481478</v>
      </c>
      <c r="T35" s="1">
        <v>293000</v>
      </c>
      <c r="U35" s="1">
        <v>2500</v>
      </c>
      <c r="V35">
        <v>0.85</v>
      </c>
    </row>
    <row r="36" spans="4:24" x14ac:dyDescent="0.3">
      <c r="D36">
        <v>34</v>
      </c>
      <c r="E36">
        <v>9150</v>
      </c>
      <c r="F36" t="s">
        <v>51</v>
      </c>
      <c r="H36" s="1">
        <v>285500</v>
      </c>
      <c r="I36">
        <v>2</v>
      </c>
      <c r="J36" s="1">
        <v>5500</v>
      </c>
      <c r="K36">
        <v>1.96</v>
      </c>
      <c r="L36" s="1">
        <v>56146</v>
      </c>
      <c r="M36" s="1">
        <v>16061</v>
      </c>
      <c r="N36" s="1">
        <v>286063</v>
      </c>
      <c r="O36" s="1">
        <v>281500</v>
      </c>
      <c r="P36" s="1">
        <v>287500</v>
      </c>
      <c r="Q36" s="1">
        <v>281500</v>
      </c>
      <c r="R36" t="s">
        <v>710</v>
      </c>
      <c r="S36" s="3">
        <v>0.35584490740740743</v>
      </c>
      <c r="T36" s="1">
        <v>280000</v>
      </c>
      <c r="U36" s="1">
        <v>5500</v>
      </c>
      <c r="V36">
        <v>1.96</v>
      </c>
    </row>
    <row r="37" spans="4:24" x14ac:dyDescent="0.3">
      <c r="D37">
        <v>35</v>
      </c>
      <c r="E37">
        <v>316140</v>
      </c>
      <c r="F37" t="s">
        <v>52</v>
      </c>
      <c r="H37" s="1">
        <v>28650</v>
      </c>
      <c r="I37">
        <v>5</v>
      </c>
      <c r="J37">
        <v>200</v>
      </c>
      <c r="K37">
        <v>-0.69</v>
      </c>
      <c r="L37" s="1">
        <v>59365</v>
      </c>
      <c r="M37" s="1">
        <v>1704</v>
      </c>
      <c r="N37" s="1">
        <v>28718</v>
      </c>
      <c r="O37" s="1">
        <v>29000</v>
      </c>
      <c r="P37" s="1">
        <v>29000</v>
      </c>
      <c r="Q37" s="1">
        <v>28600</v>
      </c>
      <c r="R37" t="s">
        <v>710</v>
      </c>
      <c r="S37" s="3">
        <v>0.35582175925925924</v>
      </c>
      <c r="T37" s="1">
        <v>28650</v>
      </c>
      <c r="W37" s="1">
        <v>2993</v>
      </c>
      <c r="X37" s="2">
        <v>1983.46</v>
      </c>
    </row>
    <row r="38" spans="4:24" x14ac:dyDescent="0.3">
      <c r="D38">
        <v>36</v>
      </c>
      <c r="E38">
        <v>267250</v>
      </c>
      <c r="F38" t="s">
        <v>53</v>
      </c>
      <c r="H38" s="1">
        <v>257000</v>
      </c>
      <c r="I38">
        <v>2</v>
      </c>
      <c r="J38" s="1">
        <v>2500</v>
      </c>
      <c r="K38">
        <v>0.98</v>
      </c>
      <c r="L38" s="1">
        <v>16459</v>
      </c>
      <c r="M38" s="1">
        <v>4247</v>
      </c>
      <c r="N38" s="1">
        <v>258066</v>
      </c>
      <c r="O38" s="1">
        <v>260500</v>
      </c>
      <c r="P38" s="1">
        <v>264000</v>
      </c>
      <c r="Q38" s="1">
        <v>255500</v>
      </c>
      <c r="R38" t="s">
        <v>710</v>
      </c>
      <c r="S38" s="3">
        <v>0.35585648148148147</v>
      </c>
      <c r="T38" s="1">
        <v>254500</v>
      </c>
      <c r="U38" s="1">
        <v>2500</v>
      </c>
      <c r="V38">
        <v>0.98</v>
      </c>
    </row>
    <row r="39" spans="4:24" x14ac:dyDescent="0.3">
      <c r="D39">
        <v>37</v>
      </c>
      <c r="E39">
        <v>196170</v>
      </c>
      <c r="F39" t="s">
        <v>54</v>
      </c>
      <c r="H39" s="1">
        <v>379500</v>
      </c>
      <c r="I39">
        <v>2</v>
      </c>
      <c r="J39" s="1">
        <v>6000</v>
      </c>
      <c r="K39">
        <v>1.61</v>
      </c>
      <c r="L39" s="1">
        <v>587427</v>
      </c>
      <c r="M39" s="1">
        <v>220682</v>
      </c>
      <c r="N39" s="1">
        <v>375677</v>
      </c>
      <c r="O39" s="1">
        <v>372500</v>
      </c>
      <c r="P39" s="1">
        <v>381000</v>
      </c>
      <c r="Q39" s="1">
        <v>366500</v>
      </c>
      <c r="R39" t="s">
        <v>710</v>
      </c>
      <c r="S39" s="3">
        <v>0.35896990740740736</v>
      </c>
      <c r="T39" s="1">
        <v>373500</v>
      </c>
      <c r="U39" s="1">
        <v>6000</v>
      </c>
      <c r="V39">
        <v>1.61</v>
      </c>
    </row>
    <row r="40" spans="4:24" x14ac:dyDescent="0.3">
      <c r="D40">
        <v>38</v>
      </c>
      <c r="E40">
        <v>11200</v>
      </c>
      <c r="F40" t="s">
        <v>55</v>
      </c>
      <c r="H40" s="1">
        <v>20300</v>
      </c>
      <c r="I40">
        <v>2</v>
      </c>
      <c r="J40">
        <v>200</v>
      </c>
      <c r="K40">
        <v>1</v>
      </c>
      <c r="L40" s="1">
        <v>134074</v>
      </c>
      <c r="M40" s="1">
        <v>2719</v>
      </c>
      <c r="N40" s="1">
        <v>20277</v>
      </c>
      <c r="O40" s="1">
        <v>20250</v>
      </c>
      <c r="P40" s="1">
        <v>20350</v>
      </c>
      <c r="Q40" s="1">
        <v>20200</v>
      </c>
      <c r="R40" t="s">
        <v>710</v>
      </c>
      <c r="S40" s="3">
        <v>0.3536111111111111</v>
      </c>
      <c r="T40" s="1">
        <v>20100</v>
      </c>
      <c r="U40">
        <v>200</v>
      </c>
      <c r="V40">
        <v>1</v>
      </c>
    </row>
    <row r="41" spans="4:24" x14ac:dyDescent="0.3">
      <c r="D41">
        <v>39</v>
      </c>
      <c r="E41">
        <v>138040</v>
      </c>
      <c r="F41" t="s">
        <v>56</v>
      </c>
      <c r="H41" s="1">
        <v>105600</v>
      </c>
      <c r="I41">
        <v>2</v>
      </c>
      <c r="J41">
        <v>100</v>
      </c>
      <c r="K41">
        <v>0.09</v>
      </c>
      <c r="L41" s="1">
        <v>4700</v>
      </c>
      <c r="M41">
        <v>496</v>
      </c>
      <c r="N41" s="1">
        <v>105604</v>
      </c>
      <c r="O41" s="1">
        <v>106000</v>
      </c>
      <c r="P41" s="1">
        <v>106000</v>
      </c>
      <c r="Q41" s="1">
        <v>105400</v>
      </c>
      <c r="R41" t="s">
        <v>710</v>
      </c>
      <c r="S41" s="3">
        <v>0.35284722222222226</v>
      </c>
      <c r="T41" s="1">
        <v>105500</v>
      </c>
      <c r="U41">
        <v>100</v>
      </c>
      <c r="V41">
        <v>0.09</v>
      </c>
    </row>
    <row r="42" spans="4:24" x14ac:dyDescent="0.3">
      <c r="D42">
        <v>40</v>
      </c>
      <c r="E42">
        <v>66570</v>
      </c>
      <c r="F42" t="s">
        <v>57</v>
      </c>
      <c r="H42" s="1">
        <v>111800</v>
      </c>
      <c r="I42">
        <v>2</v>
      </c>
      <c r="J42" s="1">
        <v>2500</v>
      </c>
      <c r="K42">
        <v>2.29</v>
      </c>
      <c r="L42" s="1">
        <v>476231</v>
      </c>
      <c r="M42" s="1">
        <v>53295</v>
      </c>
      <c r="N42" s="1">
        <v>111911</v>
      </c>
      <c r="O42" s="1">
        <v>109700</v>
      </c>
      <c r="P42" s="1">
        <v>114000</v>
      </c>
      <c r="Q42" s="1">
        <v>109700</v>
      </c>
      <c r="R42" t="s">
        <v>710</v>
      </c>
      <c r="S42" s="3">
        <v>0.35903935185185182</v>
      </c>
      <c r="T42" s="1">
        <v>109300</v>
      </c>
      <c r="U42" s="1">
        <v>2500</v>
      </c>
      <c r="V42">
        <v>2.29</v>
      </c>
    </row>
    <row r="43" spans="4:24" x14ac:dyDescent="0.3">
      <c r="D43">
        <v>41</v>
      </c>
      <c r="E43">
        <v>3670</v>
      </c>
      <c r="F43" t="s">
        <v>58</v>
      </c>
      <c r="H43" s="1">
        <v>202500</v>
      </c>
      <c r="I43">
        <v>2</v>
      </c>
      <c r="J43" s="1">
        <v>2000</v>
      </c>
      <c r="K43">
        <v>1</v>
      </c>
      <c r="L43" s="1">
        <v>37643</v>
      </c>
      <c r="M43" s="1">
        <v>7667</v>
      </c>
      <c r="N43" s="1">
        <v>203683</v>
      </c>
      <c r="O43" s="1">
        <v>202000</v>
      </c>
      <c r="P43" s="1">
        <v>205500</v>
      </c>
      <c r="Q43" s="1">
        <v>202000</v>
      </c>
      <c r="R43" t="s">
        <v>710</v>
      </c>
      <c r="S43" s="3">
        <v>0.35586805555555556</v>
      </c>
      <c r="T43" s="1">
        <v>200500</v>
      </c>
      <c r="U43" s="1">
        <v>2000</v>
      </c>
      <c r="V43">
        <v>1</v>
      </c>
    </row>
    <row r="44" spans="4:24" x14ac:dyDescent="0.3">
      <c r="D44">
        <v>42</v>
      </c>
      <c r="E44">
        <v>96770</v>
      </c>
      <c r="F44" t="s">
        <v>59</v>
      </c>
      <c r="H44" s="1">
        <v>106800</v>
      </c>
      <c r="I44">
        <v>2</v>
      </c>
      <c r="J44" s="1">
        <v>1000</v>
      </c>
      <c r="K44">
        <v>0.95</v>
      </c>
      <c r="L44" s="1">
        <v>16268</v>
      </c>
      <c r="M44" s="1">
        <v>1741</v>
      </c>
      <c r="N44" s="1">
        <v>107037</v>
      </c>
      <c r="O44" s="1">
        <v>106200</v>
      </c>
      <c r="P44" s="1">
        <v>107500</v>
      </c>
      <c r="Q44" s="1">
        <v>106000</v>
      </c>
      <c r="R44" t="s">
        <v>710</v>
      </c>
      <c r="S44" s="3">
        <v>0.35364583333333338</v>
      </c>
      <c r="T44" s="1">
        <v>105800</v>
      </c>
      <c r="U44" s="1">
        <v>1000</v>
      </c>
      <c r="V44">
        <v>0.95</v>
      </c>
    </row>
    <row r="45" spans="4:24" x14ac:dyDescent="0.3">
      <c r="D45">
        <v>43</v>
      </c>
      <c r="E45">
        <v>6800</v>
      </c>
      <c r="F45" t="s">
        <v>60</v>
      </c>
      <c r="H45" s="1">
        <v>30500</v>
      </c>
      <c r="I45">
        <v>2</v>
      </c>
      <c r="J45">
        <v>750</v>
      </c>
      <c r="K45">
        <v>2.52</v>
      </c>
      <c r="L45" s="1">
        <v>538828</v>
      </c>
      <c r="M45" s="1">
        <v>16415</v>
      </c>
      <c r="N45" s="1">
        <v>30464</v>
      </c>
      <c r="O45" s="1">
        <v>30450</v>
      </c>
      <c r="P45" s="1">
        <v>30600</v>
      </c>
      <c r="Q45" s="1">
        <v>30050</v>
      </c>
      <c r="R45" t="s">
        <v>710</v>
      </c>
      <c r="S45" s="3">
        <v>0.35364583333333338</v>
      </c>
      <c r="T45" s="1">
        <v>29750</v>
      </c>
      <c r="U45">
        <v>750</v>
      </c>
      <c r="V45">
        <v>2.52</v>
      </c>
    </row>
    <row r="46" spans="4:24" x14ac:dyDescent="0.3">
      <c r="D46">
        <v>44</v>
      </c>
      <c r="E46">
        <v>33780</v>
      </c>
      <c r="F46" t="s">
        <v>61</v>
      </c>
      <c r="H46" s="1">
        <v>144200</v>
      </c>
      <c r="I46">
        <v>2</v>
      </c>
      <c r="J46">
        <v>200</v>
      </c>
      <c r="K46">
        <v>0.14000000000000001</v>
      </c>
      <c r="L46" s="1">
        <v>5681</v>
      </c>
      <c r="M46">
        <v>817</v>
      </c>
      <c r="N46" s="1">
        <v>143739</v>
      </c>
      <c r="O46" s="1">
        <v>146500</v>
      </c>
      <c r="P46" s="1">
        <v>146500</v>
      </c>
      <c r="Q46" s="1">
        <v>143400</v>
      </c>
      <c r="R46" t="s">
        <v>710</v>
      </c>
      <c r="S46" s="3">
        <v>0.35357638888888893</v>
      </c>
      <c r="T46" s="1">
        <v>144000</v>
      </c>
      <c r="U46">
        <v>200</v>
      </c>
      <c r="V46">
        <v>0.14000000000000001</v>
      </c>
    </row>
    <row r="47" spans="4:24" x14ac:dyDescent="0.3">
      <c r="D47">
        <v>45</v>
      </c>
      <c r="E47">
        <v>272210</v>
      </c>
      <c r="F47" t="s">
        <v>62</v>
      </c>
      <c r="H47" s="1">
        <v>89900</v>
      </c>
      <c r="I47">
        <v>2</v>
      </c>
      <c r="J47" s="1">
        <v>1100</v>
      </c>
      <c r="K47">
        <v>1.24</v>
      </c>
      <c r="L47" s="1">
        <v>255523</v>
      </c>
      <c r="M47" s="1">
        <v>22976</v>
      </c>
      <c r="N47" s="1">
        <v>89916</v>
      </c>
      <c r="O47" s="1">
        <v>89900</v>
      </c>
      <c r="P47" s="1">
        <v>90600</v>
      </c>
      <c r="Q47" s="1">
        <v>89100</v>
      </c>
      <c r="R47" t="s">
        <v>710</v>
      </c>
      <c r="S47" s="3">
        <v>0.35365740740740742</v>
      </c>
      <c r="T47" s="1">
        <v>88800</v>
      </c>
      <c r="U47" s="1">
        <v>1100</v>
      </c>
      <c r="V47">
        <v>1.24</v>
      </c>
    </row>
    <row r="48" spans="4:24" x14ac:dyDescent="0.3">
      <c r="D48">
        <v>46</v>
      </c>
      <c r="E48">
        <v>42700</v>
      </c>
      <c r="F48" t="s">
        <v>63</v>
      </c>
      <c r="H48" s="1">
        <v>177800</v>
      </c>
      <c r="I48">
        <v>2</v>
      </c>
      <c r="J48" s="1">
        <v>5600</v>
      </c>
      <c r="K48">
        <v>3.25</v>
      </c>
      <c r="L48" s="1">
        <v>311517</v>
      </c>
      <c r="M48" s="1">
        <v>55435</v>
      </c>
      <c r="N48" s="1">
        <v>177952</v>
      </c>
      <c r="O48" s="1">
        <v>178600</v>
      </c>
      <c r="P48" s="1">
        <v>181000</v>
      </c>
      <c r="Q48" s="1">
        <v>176500</v>
      </c>
      <c r="R48" t="s">
        <v>710</v>
      </c>
      <c r="S48" s="3">
        <v>0.35898148148148151</v>
      </c>
      <c r="T48" s="1">
        <v>172200</v>
      </c>
      <c r="U48" s="1">
        <v>5600</v>
      </c>
      <c r="V48">
        <v>3.25</v>
      </c>
    </row>
    <row r="49" spans="4:22" x14ac:dyDescent="0.3">
      <c r="D49">
        <v>47</v>
      </c>
      <c r="E49">
        <v>24110</v>
      </c>
      <c r="F49" t="s">
        <v>64</v>
      </c>
      <c r="H49" s="1">
        <v>20750</v>
      </c>
      <c r="I49">
        <v>3</v>
      </c>
      <c r="L49" s="1">
        <v>39637</v>
      </c>
      <c r="M49">
        <v>820</v>
      </c>
      <c r="N49" s="1">
        <v>20680</v>
      </c>
      <c r="O49" s="1">
        <v>20750</v>
      </c>
      <c r="P49" s="1">
        <v>20750</v>
      </c>
      <c r="Q49" s="1">
        <v>20650</v>
      </c>
      <c r="R49" t="s">
        <v>710</v>
      </c>
      <c r="S49" s="3">
        <v>0.35346064814814815</v>
      </c>
      <c r="T49" s="1">
        <v>20750</v>
      </c>
    </row>
    <row r="50" spans="4:22" x14ac:dyDescent="0.3">
      <c r="D50">
        <v>48</v>
      </c>
      <c r="E50">
        <v>47810</v>
      </c>
      <c r="F50" t="s">
        <v>65</v>
      </c>
      <c r="H50" s="1">
        <v>165300</v>
      </c>
      <c r="I50">
        <v>2</v>
      </c>
      <c r="J50" s="1">
        <v>1100</v>
      </c>
      <c r="K50">
        <v>0.67</v>
      </c>
      <c r="L50" s="1">
        <v>94695</v>
      </c>
      <c r="M50" s="1">
        <v>15597</v>
      </c>
      <c r="N50" s="1">
        <v>164708</v>
      </c>
      <c r="O50" s="1">
        <v>165000</v>
      </c>
      <c r="P50" s="1">
        <v>166100</v>
      </c>
      <c r="Q50" s="1">
        <v>163900</v>
      </c>
      <c r="R50" t="s">
        <v>710</v>
      </c>
      <c r="S50" s="3">
        <v>0.35609953703703701</v>
      </c>
      <c r="T50" s="1">
        <v>164200</v>
      </c>
      <c r="U50" s="1">
        <v>1100</v>
      </c>
      <c r="V50">
        <v>0.67</v>
      </c>
    </row>
    <row r="51" spans="4:22" x14ac:dyDescent="0.3">
      <c r="D51">
        <v>49</v>
      </c>
      <c r="E51">
        <v>247540</v>
      </c>
      <c r="F51" t="s">
        <v>66</v>
      </c>
      <c r="H51" s="1">
        <v>163300</v>
      </c>
      <c r="I51">
        <v>2</v>
      </c>
      <c r="J51" s="1">
        <v>3200</v>
      </c>
      <c r="K51">
        <v>2</v>
      </c>
      <c r="L51" s="1">
        <v>66664</v>
      </c>
      <c r="M51" s="1">
        <v>10884</v>
      </c>
      <c r="N51" s="1">
        <v>163270</v>
      </c>
      <c r="O51" s="1">
        <v>160900</v>
      </c>
      <c r="P51" s="1">
        <v>164000</v>
      </c>
      <c r="Q51" s="1">
        <v>160900</v>
      </c>
      <c r="R51" t="s">
        <v>710</v>
      </c>
      <c r="S51" s="3">
        <v>0.35364583333333338</v>
      </c>
      <c r="T51" s="1">
        <v>160100</v>
      </c>
      <c r="U51" s="1">
        <v>3200</v>
      </c>
      <c r="V51">
        <v>2</v>
      </c>
    </row>
    <row r="52" spans="4:22" x14ac:dyDescent="0.3">
      <c r="D52">
        <v>50</v>
      </c>
      <c r="E52">
        <v>10120</v>
      </c>
      <c r="F52" t="s">
        <v>67</v>
      </c>
      <c r="H52" s="1">
        <v>516000</v>
      </c>
      <c r="I52">
        <v>2</v>
      </c>
      <c r="J52" s="1">
        <v>10000</v>
      </c>
      <c r="K52">
        <v>1.98</v>
      </c>
      <c r="L52" s="1">
        <v>27957</v>
      </c>
      <c r="M52" s="1">
        <v>14478</v>
      </c>
      <c r="N52" s="1">
        <v>517869</v>
      </c>
      <c r="O52" s="1">
        <v>511000</v>
      </c>
      <c r="P52" s="1">
        <v>522000</v>
      </c>
      <c r="Q52" s="1">
        <v>506000</v>
      </c>
      <c r="R52" t="s">
        <v>710</v>
      </c>
      <c r="S52" s="3">
        <v>0.35896990740740736</v>
      </c>
      <c r="T52" s="1">
        <v>506000</v>
      </c>
      <c r="U52" s="1">
        <v>10000</v>
      </c>
      <c r="V52">
        <v>1.98</v>
      </c>
    </row>
    <row r="53" spans="4:22" x14ac:dyDescent="0.3">
      <c r="D53">
        <v>51</v>
      </c>
      <c r="E53">
        <v>352820</v>
      </c>
      <c r="F53" t="s">
        <v>68</v>
      </c>
      <c r="H53" s="1">
        <v>364000</v>
      </c>
      <c r="I53">
        <v>2</v>
      </c>
      <c r="J53" s="1">
        <v>3000</v>
      </c>
      <c r="K53">
        <v>0.83</v>
      </c>
      <c r="L53" s="1">
        <v>27854</v>
      </c>
      <c r="M53" s="1">
        <v>10135</v>
      </c>
      <c r="N53" s="1">
        <v>363869</v>
      </c>
      <c r="O53" s="1">
        <v>362500</v>
      </c>
      <c r="P53" s="1">
        <v>366500</v>
      </c>
      <c r="Q53" s="1">
        <v>361000</v>
      </c>
      <c r="R53" t="s">
        <v>710</v>
      </c>
      <c r="S53" s="3">
        <v>0.35898148148148151</v>
      </c>
      <c r="T53" s="1">
        <v>361000</v>
      </c>
      <c r="U53" s="1">
        <v>3000</v>
      </c>
      <c r="V53">
        <v>0.83</v>
      </c>
    </row>
    <row r="54" spans="4:22" x14ac:dyDescent="0.3">
      <c r="D54">
        <v>52</v>
      </c>
      <c r="E54" t="s">
        <v>711</v>
      </c>
      <c r="F54" t="s">
        <v>69</v>
      </c>
      <c r="H54" s="1">
        <v>619000</v>
      </c>
      <c r="I54">
        <v>2</v>
      </c>
      <c r="J54" s="1">
        <v>4000</v>
      </c>
      <c r="K54">
        <v>0.65</v>
      </c>
      <c r="L54" s="1">
        <v>17776</v>
      </c>
      <c r="M54" s="1">
        <v>11048</v>
      </c>
      <c r="N54" s="1">
        <v>621488</v>
      </c>
      <c r="O54" s="1">
        <v>622000</v>
      </c>
      <c r="P54" s="1">
        <v>629000</v>
      </c>
      <c r="Q54" s="1">
        <v>616000</v>
      </c>
      <c r="R54" t="s">
        <v>710</v>
      </c>
      <c r="S54" s="3">
        <v>0.35364583333333338</v>
      </c>
      <c r="T54" s="1">
        <v>615000</v>
      </c>
      <c r="U54" s="1">
        <v>4000</v>
      </c>
      <c r="V54">
        <v>0.65</v>
      </c>
    </row>
    <row r="55" spans="4:22" x14ac:dyDescent="0.3">
      <c r="D55">
        <v>53</v>
      </c>
      <c r="E55">
        <v>307950</v>
      </c>
      <c r="F55" t="s">
        <v>70</v>
      </c>
      <c r="H55" s="1">
        <v>520000</v>
      </c>
      <c r="I55">
        <v>2</v>
      </c>
      <c r="J55" s="1">
        <v>35000</v>
      </c>
      <c r="K55">
        <v>7.22</v>
      </c>
      <c r="L55" s="1">
        <v>453908</v>
      </c>
      <c r="M55" s="1">
        <v>233492</v>
      </c>
      <c r="N55" s="1">
        <v>514404</v>
      </c>
      <c r="O55" s="1">
        <v>489500</v>
      </c>
      <c r="P55" s="1">
        <v>533000</v>
      </c>
      <c r="Q55" s="1">
        <v>485000</v>
      </c>
      <c r="R55" t="s">
        <v>710</v>
      </c>
      <c r="S55" s="3">
        <v>0.35898148148148151</v>
      </c>
      <c r="T55" s="1">
        <v>485000</v>
      </c>
      <c r="U55" s="1">
        <v>35000</v>
      </c>
      <c r="V55">
        <v>7.22</v>
      </c>
    </row>
    <row r="56" spans="4:22" x14ac:dyDescent="0.3">
      <c r="D56">
        <v>54</v>
      </c>
      <c r="E56">
        <v>30200</v>
      </c>
      <c r="F56" t="s">
        <v>71</v>
      </c>
      <c r="H56" s="1">
        <v>55600</v>
      </c>
      <c r="I56">
        <v>2</v>
      </c>
      <c r="J56">
        <v>300</v>
      </c>
      <c r="K56">
        <v>0.54</v>
      </c>
      <c r="L56" s="1">
        <v>18345</v>
      </c>
      <c r="M56" s="1">
        <v>1019</v>
      </c>
      <c r="N56" s="1">
        <v>55559</v>
      </c>
      <c r="O56" s="1">
        <v>55500</v>
      </c>
      <c r="P56" s="1">
        <v>55800</v>
      </c>
      <c r="Q56" s="1">
        <v>55400</v>
      </c>
      <c r="R56" t="s">
        <v>710</v>
      </c>
      <c r="S56" s="3">
        <v>0.35363425925925923</v>
      </c>
      <c r="T56" s="1">
        <v>55300</v>
      </c>
      <c r="U56">
        <v>300</v>
      </c>
      <c r="V56">
        <v>0.54</v>
      </c>
    </row>
    <row r="57" spans="4:22" x14ac:dyDescent="0.3">
      <c r="D57">
        <v>55</v>
      </c>
      <c r="E57">
        <v>18260</v>
      </c>
      <c r="F57" t="s">
        <v>72</v>
      </c>
      <c r="H57" s="1">
        <v>179900</v>
      </c>
      <c r="I57">
        <v>2</v>
      </c>
      <c r="J57" s="1">
        <v>3200</v>
      </c>
      <c r="K57">
        <v>1.81</v>
      </c>
      <c r="L57" s="1">
        <v>12818</v>
      </c>
      <c r="M57" s="1">
        <v>2301</v>
      </c>
      <c r="N57" s="1">
        <v>179549</v>
      </c>
      <c r="O57" s="1">
        <v>177700</v>
      </c>
      <c r="P57" s="1">
        <v>179900</v>
      </c>
      <c r="Q57" s="1">
        <v>177700</v>
      </c>
      <c r="R57" t="s">
        <v>710</v>
      </c>
      <c r="S57" s="3">
        <v>0.35606481481481483</v>
      </c>
      <c r="T57" s="1">
        <v>176700</v>
      </c>
      <c r="U57" s="1">
        <v>3200</v>
      </c>
      <c r="V57">
        <v>1.81</v>
      </c>
    </row>
    <row r="58" spans="4:22" x14ac:dyDescent="0.3">
      <c r="D58">
        <v>56</v>
      </c>
      <c r="E58">
        <v>150</v>
      </c>
      <c r="F58" t="s">
        <v>73</v>
      </c>
      <c r="H58" s="1">
        <v>850000</v>
      </c>
      <c r="I58">
        <v>2</v>
      </c>
      <c r="J58" s="1">
        <v>25000</v>
      </c>
      <c r="K58">
        <v>3.03</v>
      </c>
      <c r="L58" s="1">
        <v>20405</v>
      </c>
      <c r="M58" s="1">
        <v>17339</v>
      </c>
      <c r="N58" s="1">
        <v>849768</v>
      </c>
      <c r="O58" s="1">
        <v>854000</v>
      </c>
      <c r="P58" s="1">
        <v>911000</v>
      </c>
      <c r="Q58" s="1">
        <v>831000</v>
      </c>
      <c r="R58" t="s">
        <v>710</v>
      </c>
      <c r="S58" s="3">
        <v>0.35598379629629634</v>
      </c>
      <c r="T58" s="1">
        <v>825000</v>
      </c>
      <c r="U58" s="1">
        <v>25000</v>
      </c>
      <c r="V58">
        <v>3.03</v>
      </c>
    </row>
    <row r="59" spans="4:22" x14ac:dyDescent="0.3">
      <c r="D59">
        <v>57</v>
      </c>
      <c r="E59">
        <v>3550</v>
      </c>
      <c r="F59" t="s">
        <v>74</v>
      </c>
      <c r="H59" s="1">
        <v>88800</v>
      </c>
      <c r="I59">
        <v>2</v>
      </c>
      <c r="J59">
        <v>900</v>
      </c>
      <c r="K59">
        <v>1.02</v>
      </c>
      <c r="L59" s="1">
        <v>18582</v>
      </c>
      <c r="M59" s="1">
        <v>1649</v>
      </c>
      <c r="N59" s="1">
        <v>88788</v>
      </c>
      <c r="O59" s="1">
        <v>89000</v>
      </c>
      <c r="P59" s="1">
        <v>89300</v>
      </c>
      <c r="Q59" s="1">
        <v>88300</v>
      </c>
      <c r="R59" t="s">
        <v>710</v>
      </c>
      <c r="S59" s="3">
        <v>0.3560532407407408</v>
      </c>
      <c r="T59" s="1">
        <v>87900</v>
      </c>
      <c r="U59">
        <v>900</v>
      </c>
      <c r="V59">
        <v>1.02</v>
      </c>
    </row>
    <row r="60" spans="4:22" x14ac:dyDescent="0.3">
      <c r="D60">
        <v>58</v>
      </c>
      <c r="E60">
        <v>17670</v>
      </c>
      <c r="F60" t="s">
        <v>75</v>
      </c>
      <c r="H60" s="1">
        <v>62400</v>
      </c>
      <c r="I60">
        <v>2</v>
      </c>
      <c r="J60" s="1">
        <v>1400</v>
      </c>
      <c r="K60">
        <v>2.2999999999999998</v>
      </c>
      <c r="L60" s="1">
        <v>106774</v>
      </c>
      <c r="M60" s="1">
        <v>6661</v>
      </c>
      <c r="N60" s="1">
        <v>62388</v>
      </c>
      <c r="O60" s="1">
        <v>62000</v>
      </c>
      <c r="P60" s="1">
        <v>63500</v>
      </c>
      <c r="Q60" s="1">
        <v>61600</v>
      </c>
      <c r="R60" t="s">
        <v>710</v>
      </c>
      <c r="S60" s="3">
        <v>0.35898148148148151</v>
      </c>
      <c r="T60" s="1">
        <v>61000</v>
      </c>
      <c r="U60" s="1">
        <v>1400</v>
      </c>
      <c r="V60">
        <v>2.2999999999999998</v>
      </c>
    </row>
    <row r="61" spans="4:22" x14ac:dyDescent="0.3">
      <c r="D61">
        <v>59</v>
      </c>
      <c r="E61">
        <v>86520</v>
      </c>
      <c r="F61" t="s">
        <v>76</v>
      </c>
      <c r="H61" s="1">
        <v>96700</v>
      </c>
      <c r="I61">
        <v>2</v>
      </c>
      <c r="J61" s="1">
        <v>1600</v>
      </c>
      <c r="K61">
        <v>1.68</v>
      </c>
      <c r="L61" s="1">
        <v>215766</v>
      </c>
      <c r="M61" s="1">
        <v>20873</v>
      </c>
      <c r="N61" s="1">
        <v>96740</v>
      </c>
      <c r="O61" s="1">
        <v>96200</v>
      </c>
      <c r="P61" s="1">
        <v>97100</v>
      </c>
      <c r="Q61" s="1">
        <v>96100</v>
      </c>
      <c r="R61" t="s">
        <v>710</v>
      </c>
      <c r="S61" s="3">
        <v>0.35601851851851851</v>
      </c>
      <c r="T61" s="1">
        <v>95100</v>
      </c>
      <c r="U61" s="1">
        <v>1600</v>
      </c>
      <c r="V61">
        <v>1.68</v>
      </c>
    </row>
    <row r="62" spans="4:22" x14ac:dyDescent="0.3">
      <c r="D62">
        <v>60</v>
      </c>
      <c r="E62">
        <v>720</v>
      </c>
      <c r="F62" t="s">
        <v>77</v>
      </c>
      <c r="H62" s="1">
        <v>110700</v>
      </c>
      <c r="I62">
        <v>2</v>
      </c>
      <c r="J62" s="1">
        <v>2200</v>
      </c>
      <c r="K62">
        <v>2.0299999999999998</v>
      </c>
      <c r="L62" s="1">
        <v>207672</v>
      </c>
      <c r="M62" s="1">
        <v>23149</v>
      </c>
      <c r="N62" s="1">
        <v>111469</v>
      </c>
      <c r="O62" s="1">
        <v>109900</v>
      </c>
      <c r="P62" s="1">
        <v>112200</v>
      </c>
      <c r="Q62" s="1">
        <v>109800</v>
      </c>
      <c r="R62" t="s">
        <v>710</v>
      </c>
      <c r="S62" s="3">
        <v>0.35898148148148151</v>
      </c>
      <c r="T62" s="1">
        <v>108500</v>
      </c>
      <c r="U62" s="1">
        <v>2200</v>
      </c>
      <c r="V62">
        <v>2.0299999999999998</v>
      </c>
    </row>
    <row r="63" spans="4:22" x14ac:dyDescent="0.3">
      <c r="D63">
        <v>61</v>
      </c>
      <c r="E63">
        <v>79550</v>
      </c>
      <c r="F63" t="s">
        <v>78</v>
      </c>
      <c r="H63" s="1">
        <v>542000</v>
      </c>
      <c r="I63">
        <v>5</v>
      </c>
      <c r="J63" s="1">
        <v>1000</v>
      </c>
      <c r="K63">
        <v>-0.18</v>
      </c>
      <c r="L63" s="1">
        <v>10018</v>
      </c>
      <c r="M63" s="1">
        <v>5439</v>
      </c>
      <c r="N63" s="1">
        <v>542885</v>
      </c>
      <c r="O63" s="1">
        <v>548000</v>
      </c>
      <c r="P63" s="1">
        <v>552000</v>
      </c>
      <c r="Q63" s="1">
        <v>537000</v>
      </c>
      <c r="R63" t="s">
        <v>710</v>
      </c>
      <c r="S63" s="3">
        <v>0.35363425925925923</v>
      </c>
      <c r="T63" s="1">
        <v>543000</v>
      </c>
      <c r="U63" s="1">
        <v>-1000</v>
      </c>
      <c r="V63">
        <v>-0.18</v>
      </c>
    </row>
    <row r="64" spans="4:22" x14ac:dyDescent="0.3">
      <c r="D64">
        <v>62</v>
      </c>
      <c r="E64">
        <v>259960</v>
      </c>
      <c r="F64" t="s">
        <v>79</v>
      </c>
      <c r="H64" s="1">
        <v>232000</v>
      </c>
      <c r="I64">
        <v>2</v>
      </c>
      <c r="J64">
        <v>500</v>
      </c>
      <c r="K64">
        <v>0.22</v>
      </c>
      <c r="L64" s="1">
        <v>3470</v>
      </c>
      <c r="M64">
        <v>807</v>
      </c>
      <c r="N64" s="1">
        <v>232690</v>
      </c>
      <c r="O64" s="1">
        <v>231500</v>
      </c>
      <c r="P64" s="1">
        <v>233500</v>
      </c>
      <c r="Q64" s="1">
        <v>231500</v>
      </c>
      <c r="R64" t="s">
        <v>710</v>
      </c>
      <c r="S64" s="3">
        <v>0.35340277777777779</v>
      </c>
      <c r="T64" s="1">
        <v>231500</v>
      </c>
      <c r="U64">
        <v>500</v>
      </c>
      <c r="V64">
        <v>0.22</v>
      </c>
    </row>
    <row r="65" spans="4:22" x14ac:dyDescent="0.3">
      <c r="D65">
        <v>63</v>
      </c>
      <c r="E65">
        <v>47050</v>
      </c>
      <c r="F65" t="s">
        <v>80</v>
      </c>
      <c r="H65" s="1">
        <v>62000</v>
      </c>
      <c r="I65">
        <v>5</v>
      </c>
      <c r="J65">
        <v>400</v>
      </c>
      <c r="K65">
        <v>-0.64</v>
      </c>
      <c r="L65" s="1">
        <v>219425</v>
      </c>
      <c r="M65" s="1">
        <v>13697</v>
      </c>
      <c r="N65" s="1">
        <v>62424</v>
      </c>
      <c r="O65" s="1">
        <v>63100</v>
      </c>
      <c r="P65" s="1">
        <v>63800</v>
      </c>
      <c r="Q65" s="1">
        <v>61800</v>
      </c>
      <c r="R65" t="s">
        <v>710</v>
      </c>
      <c r="S65" s="3">
        <v>0.35896990740740736</v>
      </c>
      <c r="T65" s="1">
        <v>62400</v>
      </c>
      <c r="U65">
        <v>-400</v>
      </c>
      <c r="V65">
        <v>-0.64</v>
      </c>
    </row>
    <row r="66" spans="4:22" x14ac:dyDescent="0.3">
      <c r="D66">
        <v>64</v>
      </c>
      <c r="E66">
        <v>10950</v>
      </c>
      <c r="F66" t="s">
        <v>81</v>
      </c>
      <c r="H66" s="1">
        <v>92400</v>
      </c>
      <c r="I66">
        <v>2</v>
      </c>
      <c r="J66">
        <v>500</v>
      </c>
      <c r="K66">
        <v>0.54</v>
      </c>
      <c r="L66" s="1">
        <v>12874</v>
      </c>
      <c r="M66" s="1">
        <v>1186</v>
      </c>
      <c r="N66" s="1">
        <v>92119</v>
      </c>
      <c r="O66" s="1">
        <v>91900</v>
      </c>
      <c r="P66" s="1">
        <v>92800</v>
      </c>
      <c r="Q66" s="1">
        <v>91700</v>
      </c>
      <c r="R66" t="s">
        <v>710</v>
      </c>
      <c r="S66" s="3">
        <v>0.35365740740740742</v>
      </c>
      <c r="T66" s="1">
        <v>91900</v>
      </c>
      <c r="U66">
        <v>500</v>
      </c>
      <c r="V66">
        <v>0.54</v>
      </c>
    </row>
    <row r="67" spans="4:22" x14ac:dyDescent="0.3">
      <c r="D67">
        <v>65</v>
      </c>
      <c r="E67">
        <v>71050</v>
      </c>
      <c r="F67" t="s">
        <v>82</v>
      </c>
      <c r="H67" s="1">
        <v>183000</v>
      </c>
      <c r="I67">
        <v>2</v>
      </c>
      <c r="J67" s="1">
        <v>2300</v>
      </c>
      <c r="K67">
        <v>1.27</v>
      </c>
      <c r="L67" s="1">
        <v>11348</v>
      </c>
      <c r="M67" s="1">
        <v>2072</v>
      </c>
      <c r="N67" s="1">
        <v>182605</v>
      </c>
      <c r="O67" s="1">
        <v>182000</v>
      </c>
      <c r="P67" s="1">
        <v>184200</v>
      </c>
      <c r="Q67" s="1">
        <v>181400</v>
      </c>
      <c r="R67" t="s">
        <v>710</v>
      </c>
      <c r="S67" s="3">
        <v>0.35344907407407405</v>
      </c>
      <c r="T67" s="1">
        <v>180700</v>
      </c>
      <c r="U67" s="1">
        <v>2300</v>
      </c>
      <c r="V67">
        <v>1.27</v>
      </c>
    </row>
    <row r="68" spans="4:22" x14ac:dyDescent="0.3">
      <c r="D68">
        <v>66</v>
      </c>
      <c r="E68">
        <v>277810</v>
      </c>
      <c r="F68" t="s">
        <v>83</v>
      </c>
      <c r="H68" s="1">
        <v>520000</v>
      </c>
      <c r="I68">
        <v>2</v>
      </c>
      <c r="J68" s="1">
        <v>6000</v>
      </c>
      <c r="K68">
        <v>1.17</v>
      </c>
      <c r="L68" s="1">
        <v>44241</v>
      </c>
      <c r="M68" s="1">
        <v>23251</v>
      </c>
      <c r="N68" s="1">
        <v>525570</v>
      </c>
      <c r="O68" s="1">
        <v>522000</v>
      </c>
      <c r="P68" s="1">
        <v>533000</v>
      </c>
      <c r="Q68" s="1">
        <v>520000</v>
      </c>
      <c r="R68" t="s">
        <v>710</v>
      </c>
      <c r="S68" s="3">
        <v>0.3560532407407408</v>
      </c>
      <c r="T68" s="1">
        <v>514000</v>
      </c>
      <c r="U68" s="1">
        <v>6000</v>
      </c>
      <c r="V68">
        <v>1.17</v>
      </c>
    </row>
    <row r="69" spans="4:22" x14ac:dyDescent="0.3">
      <c r="D69">
        <v>67</v>
      </c>
      <c r="E69">
        <v>323410</v>
      </c>
      <c r="F69" t="s">
        <v>84</v>
      </c>
      <c r="H69" s="1">
        <v>21300</v>
      </c>
      <c r="I69">
        <v>2</v>
      </c>
      <c r="J69">
        <v>50</v>
      </c>
      <c r="K69">
        <v>0.24</v>
      </c>
      <c r="L69" s="1">
        <v>56610</v>
      </c>
      <c r="M69" s="1">
        <v>1204</v>
      </c>
      <c r="N69" s="1">
        <v>21283</v>
      </c>
      <c r="O69" s="1">
        <v>21350</v>
      </c>
      <c r="P69" s="1">
        <v>21400</v>
      </c>
      <c r="Q69" s="1">
        <v>21250</v>
      </c>
      <c r="R69" t="s">
        <v>710</v>
      </c>
      <c r="S69" s="3">
        <v>0.35606481481481483</v>
      </c>
      <c r="T69" s="1">
        <v>21250</v>
      </c>
      <c r="U69">
        <v>50</v>
      </c>
      <c r="V69">
        <v>0.24</v>
      </c>
    </row>
    <row r="70" spans="4:22" x14ac:dyDescent="0.3">
      <c r="D70">
        <v>68</v>
      </c>
      <c r="E70">
        <v>298380</v>
      </c>
      <c r="F70" t="s">
        <v>85</v>
      </c>
      <c r="H70" s="1">
        <v>179700</v>
      </c>
      <c r="I70">
        <v>2</v>
      </c>
      <c r="J70" s="1">
        <v>2600</v>
      </c>
      <c r="K70">
        <v>1.47</v>
      </c>
      <c r="L70" s="1">
        <v>121341</v>
      </c>
      <c r="M70" s="1">
        <v>21856</v>
      </c>
      <c r="N70" s="1">
        <v>180122</v>
      </c>
      <c r="O70" s="1">
        <v>182500</v>
      </c>
      <c r="P70" s="1">
        <v>182500</v>
      </c>
      <c r="Q70" s="1">
        <v>177100</v>
      </c>
      <c r="R70" t="s">
        <v>710</v>
      </c>
      <c r="S70" s="3">
        <v>0.35607638888888887</v>
      </c>
      <c r="T70" s="1">
        <v>177100</v>
      </c>
      <c r="U70" s="1">
        <v>2600</v>
      </c>
      <c r="V70">
        <v>1.47</v>
      </c>
    </row>
    <row r="71" spans="4:22" x14ac:dyDescent="0.3">
      <c r="D71">
        <v>69</v>
      </c>
      <c r="E71">
        <v>278470</v>
      </c>
      <c r="F71" t="s">
        <v>86</v>
      </c>
      <c r="H71" s="1">
        <v>255000</v>
      </c>
      <c r="I71">
        <v>5</v>
      </c>
      <c r="J71" s="1">
        <v>1500</v>
      </c>
      <c r="K71">
        <v>-0.57999999999999996</v>
      </c>
      <c r="L71" s="1">
        <v>36988</v>
      </c>
      <c r="M71" s="1">
        <v>9410</v>
      </c>
      <c r="N71" s="1">
        <v>254410</v>
      </c>
      <c r="O71" s="1">
        <v>259000</v>
      </c>
      <c r="P71" s="1">
        <v>259500</v>
      </c>
      <c r="Q71" s="1">
        <v>253000</v>
      </c>
      <c r="R71" t="s">
        <v>710</v>
      </c>
      <c r="S71" s="3">
        <v>0.35898148148148151</v>
      </c>
      <c r="T71" s="1">
        <v>256500</v>
      </c>
      <c r="U71" s="1">
        <v>-1500</v>
      </c>
      <c r="V71">
        <v>-0.57999999999999996</v>
      </c>
    </row>
    <row r="72" spans="4:22" x14ac:dyDescent="0.3">
      <c r="D72">
        <v>70</v>
      </c>
      <c r="E72">
        <v>5830</v>
      </c>
      <c r="F72" t="s">
        <v>87</v>
      </c>
      <c r="H72" s="1">
        <v>128100</v>
      </c>
      <c r="I72">
        <v>5</v>
      </c>
      <c r="J72" s="1">
        <v>1000</v>
      </c>
      <c r="K72">
        <v>-0.77</v>
      </c>
      <c r="L72" s="1">
        <v>2713</v>
      </c>
      <c r="M72">
        <v>347</v>
      </c>
      <c r="N72" s="1">
        <v>127963</v>
      </c>
      <c r="O72" s="1">
        <v>128800</v>
      </c>
      <c r="P72" s="1">
        <v>129300</v>
      </c>
      <c r="Q72" s="1">
        <v>126800</v>
      </c>
      <c r="R72" t="s">
        <v>710</v>
      </c>
      <c r="S72" s="3">
        <v>0.35365740740740742</v>
      </c>
      <c r="T72" s="1">
        <v>129100</v>
      </c>
      <c r="U72" s="1">
        <v>-1000</v>
      </c>
      <c r="V72">
        <v>-0.77</v>
      </c>
    </row>
    <row r="73" spans="4:22" x14ac:dyDescent="0.3">
      <c r="D73">
        <v>71</v>
      </c>
      <c r="E73">
        <v>880</v>
      </c>
      <c r="F73" t="s">
        <v>88</v>
      </c>
      <c r="H73" s="1">
        <v>120200</v>
      </c>
      <c r="I73">
        <v>2</v>
      </c>
      <c r="J73">
        <v>700</v>
      </c>
      <c r="K73">
        <v>0.59</v>
      </c>
      <c r="L73" s="1">
        <v>55105</v>
      </c>
      <c r="M73" s="1">
        <v>6620</v>
      </c>
      <c r="N73" s="1">
        <v>120147</v>
      </c>
      <c r="O73" s="1">
        <v>120000</v>
      </c>
      <c r="P73" s="1">
        <v>121000</v>
      </c>
      <c r="Q73" s="1">
        <v>119500</v>
      </c>
      <c r="R73" t="s">
        <v>710</v>
      </c>
      <c r="S73" s="3">
        <v>0.35603009259259261</v>
      </c>
      <c r="T73" s="1">
        <v>119500</v>
      </c>
      <c r="U73">
        <v>700</v>
      </c>
      <c r="V73">
        <v>0.59</v>
      </c>
    </row>
    <row r="74" spans="4:22" x14ac:dyDescent="0.3">
      <c r="D74">
        <v>72</v>
      </c>
      <c r="E74">
        <v>3230</v>
      </c>
      <c r="F74" t="s">
        <v>89</v>
      </c>
      <c r="H74" s="1">
        <v>1194000</v>
      </c>
      <c r="I74">
        <v>5</v>
      </c>
      <c r="J74" s="1">
        <v>6000</v>
      </c>
      <c r="K74">
        <v>-0.5</v>
      </c>
      <c r="L74" s="1">
        <v>3516</v>
      </c>
      <c r="M74" s="1">
        <v>4202</v>
      </c>
      <c r="N74" s="1">
        <v>1195179</v>
      </c>
      <c r="O74" s="1">
        <v>1200000</v>
      </c>
      <c r="P74" s="1">
        <v>1203000</v>
      </c>
      <c r="Q74" s="1">
        <v>1192000</v>
      </c>
      <c r="R74" t="s">
        <v>710</v>
      </c>
      <c r="S74" s="3">
        <v>0.35896990740740736</v>
      </c>
      <c r="T74" s="1">
        <v>1200000</v>
      </c>
      <c r="U74" s="1">
        <v>-6000</v>
      </c>
      <c r="V74">
        <v>-0.5</v>
      </c>
    </row>
    <row r="75" spans="4:22" x14ac:dyDescent="0.3">
      <c r="D75">
        <v>73</v>
      </c>
      <c r="E75">
        <v>326030</v>
      </c>
      <c r="F75" t="s">
        <v>90</v>
      </c>
      <c r="H75" s="1">
        <v>114700</v>
      </c>
      <c r="I75">
        <v>2</v>
      </c>
      <c r="J75">
        <v>700</v>
      </c>
      <c r="K75">
        <v>0.61</v>
      </c>
      <c r="L75" s="1">
        <v>14231</v>
      </c>
      <c r="M75" s="1">
        <v>1630</v>
      </c>
      <c r="N75" s="1">
        <v>114548</v>
      </c>
      <c r="O75" s="1">
        <v>114800</v>
      </c>
      <c r="P75" s="1">
        <v>115200</v>
      </c>
      <c r="Q75" s="1">
        <v>114000</v>
      </c>
      <c r="R75" t="s">
        <v>710</v>
      </c>
      <c r="S75" s="3">
        <v>0.3560532407407408</v>
      </c>
      <c r="T75" s="1">
        <v>114000</v>
      </c>
      <c r="U75">
        <v>700</v>
      </c>
      <c r="V75">
        <v>0.61</v>
      </c>
    </row>
    <row r="76" spans="4:22" x14ac:dyDescent="0.3">
      <c r="D76">
        <v>74</v>
      </c>
      <c r="E76">
        <v>3490</v>
      </c>
      <c r="F76" t="s">
        <v>91</v>
      </c>
      <c r="H76" s="1">
        <v>24350</v>
      </c>
      <c r="I76">
        <v>2</v>
      </c>
      <c r="J76">
        <v>300</v>
      </c>
      <c r="K76">
        <v>1.25</v>
      </c>
      <c r="L76" s="1">
        <v>305222</v>
      </c>
      <c r="M76" s="1">
        <v>7441</v>
      </c>
      <c r="N76" s="1">
        <v>24381</v>
      </c>
      <c r="O76" s="1">
        <v>24100</v>
      </c>
      <c r="P76" s="1">
        <v>24500</v>
      </c>
      <c r="Q76" s="1">
        <v>24100</v>
      </c>
      <c r="R76" t="s">
        <v>710</v>
      </c>
      <c r="S76" s="3">
        <v>0.35607638888888887</v>
      </c>
      <c r="T76" s="1">
        <v>24050</v>
      </c>
      <c r="U76">
        <v>300</v>
      </c>
      <c r="V76">
        <v>1.25</v>
      </c>
    </row>
    <row r="77" spans="4:22" x14ac:dyDescent="0.3">
      <c r="D77">
        <v>75</v>
      </c>
      <c r="E77">
        <v>180640</v>
      </c>
      <c r="F77" t="s">
        <v>92</v>
      </c>
      <c r="H77" s="1">
        <v>130600</v>
      </c>
      <c r="I77">
        <v>2</v>
      </c>
      <c r="J77" s="1">
        <v>3100</v>
      </c>
      <c r="K77">
        <v>2.4300000000000002</v>
      </c>
      <c r="L77" s="1">
        <v>7456</v>
      </c>
      <c r="M77">
        <v>971</v>
      </c>
      <c r="N77" s="1">
        <v>130315</v>
      </c>
      <c r="O77" s="1">
        <v>132000</v>
      </c>
      <c r="P77" s="1">
        <v>147700</v>
      </c>
      <c r="Q77" s="1">
        <v>127900</v>
      </c>
      <c r="R77" t="s">
        <v>710</v>
      </c>
      <c r="S77" s="3">
        <v>0.35603009259259261</v>
      </c>
      <c r="T77" s="1">
        <v>127500</v>
      </c>
      <c r="U77" s="1">
        <v>3100</v>
      </c>
      <c r="V77">
        <v>2.4300000000000002</v>
      </c>
    </row>
    <row r="78" spans="4:22" x14ac:dyDescent="0.3">
      <c r="D78">
        <v>76</v>
      </c>
      <c r="E78">
        <v>161390</v>
      </c>
      <c r="F78" t="s">
        <v>93</v>
      </c>
      <c r="H78" s="1">
        <v>69600</v>
      </c>
      <c r="I78">
        <v>2</v>
      </c>
      <c r="J78" s="1">
        <v>4200</v>
      </c>
      <c r="K78">
        <v>6.42</v>
      </c>
      <c r="L78" s="1">
        <v>26632</v>
      </c>
      <c r="M78" s="1">
        <v>1881</v>
      </c>
      <c r="N78" s="1">
        <v>70634</v>
      </c>
      <c r="O78" s="1">
        <v>69600</v>
      </c>
      <c r="P78" s="1">
        <v>72300</v>
      </c>
      <c r="Q78" s="1">
        <v>68800</v>
      </c>
      <c r="R78" t="s">
        <v>710</v>
      </c>
      <c r="S78" s="3">
        <v>0.3560532407407408</v>
      </c>
      <c r="T78" s="1">
        <v>65400</v>
      </c>
      <c r="U78" s="1">
        <v>4200</v>
      </c>
      <c r="V78">
        <v>6.42</v>
      </c>
    </row>
    <row r="79" spans="4:22" x14ac:dyDescent="0.3">
      <c r="D79">
        <v>77</v>
      </c>
      <c r="E79">
        <v>39490</v>
      </c>
      <c r="F79" t="s">
        <v>94</v>
      </c>
      <c r="H79" s="1">
        <v>316500</v>
      </c>
      <c r="I79">
        <v>2</v>
      </c>
      <c r="J79" s="1">
        <v>8000</v>
      </c>
      <c r="K79">
        <v>2.59</v>
      </c>
      <c r="L79" s="1">
        <v>8282</v>
      </c>
      <c r="M79" s="1">
        <v>2607</v>
      </c>
      <c r="N79" s="1">
        <v>314845</v>
      </c>
      <c r="O79" s="1">
        <v>314000</v>
      </c>
      <c r="P79" s="1">
        <v>316500</v>
      </c>
      <c r="Q79" s="1">
        <v>313000</v>
      </c>
      <c r="R79" t="s">
        <v>710</v>
      </c>
      <c r="S79" s="3">
        <v>0.35601851851851851</v>
      </c>
      <c r="T79" s="1">
        <v>308500</v>
      </c>
      <c r="U79" s="1">
        <v>8000</v>
      </c>
      <c r="V79">
        <v>2.59</v>
      </c>
    </row>
    <row r="80" spans="4:22" x14ac:dyDescent="0.3">
      <c r="D80">
        <v>78</v>
      </c>
      <c r="E80">
        <v>443060</v>
      </c>
      <c r="F80" t="s">
        <v>95</v>
      </c>
      <c r="H80" s="1">
        <v>187300</v>
      </c>
      <c r="I80">
        <v>2</v>
      </c>
      <c r="J80" s="1">
        <v>1400</v>
      </c>
      <c r="K80">
        <v>0.75</v>
      </c>
      <c r="L80" s="1">
        <v>3202</v>
      </c>
      <c r="M80">
        <v>600</v>
      </c>
      <c r="N80" s="1">
        <v>187257</v>
      </c>
      <c r="O80" s="1">
        <v>187800</v>
      </c>
      <c r="P80" s="1">
        <v>187800</v>
      </c>
      <c r="Q80" s="1">
        <v>186600</v>
      </c>
      <c r="R80" t="s">
        <v>710</v>
      </c>
      <c r="S80" s="3">
        <v>0.35322916666666665</v>
      </c>
      <c r="T80" s="1">
        <v>185900</v>
      </c>
      <c r="U80" s="1">
        <v>1400</v>
      </c>
      <c r="V80">
        <v>0.75</v>
      </c>
    </row>
    <row r="81" spans="4:22" x14ac:dyDescent="0.3">
      <c r="D81">
        <v>79</v>
      </c>
      <c r="E81">
        <v>100</v>
      </c>
      <c r="F81" t="s">
        <v>96</v>
      </c>
      <c r="H81" s="1">
        <v>103400</v>
      </c>
      <c r="I81">
        <v>2</v>
      </c>
      <c r="J81">
        <v>600</v>
      </c>
      <c r="K81">
        <v>0.57999999999999996</v>
      </c>
      <c r="L81" s="1">
        <v>34167</v>
      </c>
      <c r="M81" s="1">
        <v>3530</v>
      </c>
      <c r="N81" s="1">
        <v>103335</v>
      </c>
      <c r="O81" s="1">
        <v>103100</v>
      </c>
      <c r="P81" s="1">
        <v>103700</v>
      </c>
      <c r="Q81" s="1">
        <v>103000</v>
      </c>
      <c r="R81" t="s">
        <v>710</v>
      </c>
      <c r="S81" s="3">
        <v>0.3560532407407408</v>
      </c>
      <c r="T81" s="1">
        <v>102800</v>
      </c>
      <c r="U81">
        <v>600</v>
      </c>
      <c r="V81">
        <v>0.57999999999999996</v>
      </c>
    </row>
    <row r="82" spans="4:22" x14ac:dyDescent="0.3">
      <c r="D82">
        <v>80</v>
      </c>
      <c r="E82">
        <v>5940</v>
      </c>
      <c r="F82" t="s">
        <v>97</v>
      </c>
      <c r="H82" s="1">
        <v>22800</v>
      </c>
      <c r="I82">
        <v>2</v>
      </c>
      <c r="J82">
        <v>300</v>
      </c>
      <c r="K82">
        <v>1.33</v>
      </c>
      <c r="L82" s="1">
        <v>53247</v>
      </c>
      <c r="M82" s="1">
        <v>1210</v>
      </c>
      <c r="N82" s="1">
        <v>22725</v>
      </c>
      <c r="O82" s="1">
        <v>22800</v>
      </c>
      <c r="P82" s="1">
        <v>22850</v>
      </c>
      <c r="Q82" s="1">
        <v>22600</v>
      </c>
      <c r="R82" t="s">
        <v>710</v>
      </c>
      <c r="S82" s="3">
        <v>0.35351851851851851</v>
      </c>
      <c r="T82" s="1">
        <v>22500</v>
      </c>
      <c r="U82">
        <v>300</v>
      </c>
      <c r="V82">
        <v>1.33</v>
      </c>
    </row>
    <row r="83" spans="4:22" x14ac:dyDescent="0.3">
      <c r="D83">
        <v>81</v>
      </c>
      <c r="E83">
        <v>7660</v>
      </c>
      <c r="F83" t="s">
        <v>98</v>
      </c>
      <c r="H83" s="1">
        <v>110400</v>
      </c>
      <c r="I83">
        <v>2</v>
      </c>
      <c r="J83" s="1">
        <v>3400</v>
      </c>
      <c r="K83">
        <v>3.18</v>
      </c>
      <c r="L83" s="1">
        <v>107427</v>
      </c>
      <c r="M83" s="1">
        <v>11851</v>
      </c>
      <c r="N83" s="1">
        <v>110322</v>
      </c>
      <c r="O83" s="1">
        <v>109500</v>
      </c>
      <c r="P83" s="1">
        <v>111500</v>
      </c>
      <c r="Q83" s="1">
        <v>109500</v>
      </c>
      <c r="R83" t="s">
        <v>710</v>
      </c>
      <c r="S83" s="3">
        <v>0.35607638888888887</v>
      </c>
      <c r="T83" s="1">
        <v>107000</v>
      </c>
      <c r="U83" s="1">
        <v>3400</v>
      </c>
      <c r="V83">
        <v>3.18</v>
      </c>
    </row>
    <row r="84" spans="4:22" x14ac:dyDescent="0.3">
      <c r="D84">
        <v>82</v>
      </c>
      <c r="E84">
        <v>454910</v>
      </c>
      <c r="F84" t="s">
        <v>99</v>
      </c>
      <c r="H84" s="1">
        <v>122900</v>
      </c>
      <c r="I84">
        <v>2</v>
      </c>
      <c r="J84" s="1">
        <v>2100</v>
      </c>
      <c r="K84">
        <v>1.74</v>
      </c>
      <c r="L84" s="1">
        <v>334700</v>
      </c>
      <c r="M84" s="1">
        <v>41329</v>
      </c>
      <c r="N84" s="1">
        <v>123483</v>
      </c>
      <c r="O84" s="1">
        <v>121500</v>
      </c>
      <c r="P84" s="1">
        <v>124800</v>
      </c>
      <c r="Q84" s="1">
        <v>121100</v>
      </c>
      <c r="R84" t="s">
        <v>710</v>
      </c>
      <c r="S84" s="3">
        <v>0.35607638888888887</v>
      </c>
      <c r="T84" s="1">
        <v>120800</v>
      </c>
      <c r="U84" s="1">
        <v>2100</v>
      </c>
      <c r="V84">
        <v>1.74</v>
      </c>
    </row>
    <row r="85" spans="4:22" x14ac:dyDescent="0.3">
      <c r="D85">
        <v>83</v>
      </c>
      <c r="E85">
        <v>16360</v>
      </c>
      <c r="F85" t="s">
        <v>100</v>
      </c>
      <c r="H85" s="1">
        <v>83100</v>
      </c>
      <c r="I85">
        <v>2</v>
      </c>
      <c r="J85" s="1">
        <v>1500</v>
      </c>
      <c r="K85">
        <v>1.84</v>
      </c>
      <c r="L85" s="1">
        <v>27860</v>
      </c>
      <c r="M85" s="1">
        <v>2301</v>
      </c>
      <c r="N85" s="1">
        <v>82601</v>
      </c>
      <c r="O85" s="1">
        <v>82100</v>
      </c>
      <c r="P85" s="1">
        <v>83200</v>
      </c>
      <c r="Q85" s="1">
        <v>82100</v>
      </c>
      <c r="R85" t="s">
        <v>710</v>
      </c>
      <c r="S85" s="3">
        <v>0.35358796296296297</v>
      </c>
      <c r="T85" s="1">
        <v>81600</v>
      </c>
      <c r="U85" s="1">
        <v>1500</v>
      </c>
      <c r="V85">
        <v>1.84</v>
      </c>
    </row>
    <row r="86" spans="4:22" x14ac:dyDescent="0.3">
      <c r="D86">
        <v>84</v>
      </c>
      <c r="E86">
        <v>6260</v>
      </c>
      <c r="F86" t="s">
        <v>101</v>
      </c>
      <c r="H86" s="1">
        <v>224500</v>
      </c>
      <c r="I86">
        <v>2</v>
      </c>
      <c r="J86" s="1">
        <v>2500</v>
      </c>
      <c r="K86">
        <v>1.1299999999999999</v>
      </c>
      <c r="L86" s="1">
        <v>8189</v>
      </c>
      <c r="M86" s="1">
        <v>1839</v>
      </c>
      <c r="N86" s="1">
        <v>224621</v>
      </c>
      <c r="O86" s="1">
        <v>222500</v>
      </c>
      <c r="P86" s="1">
        <v>226000</v>
      </c>
      <c r="Q86" s="1">
        <v>222500</v>
      </c>
      <c r="R86" t="s">
        <v>710</v>
      </c>
      <c r="S86" s="3">
        <v>0.35354166666666664</v>
      </c>
      <c r="T86" s="1">
        <v>222000</v>
      </c>
      <c r="U86" s="1">
        <v>2500</v>
      </c>
      <c r="V86">
        <v>1.1299999999999999</v>
      </c>
    </row>
    <row r="87" spans="4:22" x14ac:dyDescent="0.3">
      <c r="D87">
        <v>85</v>
      </c>
      <c r="E87">
        <v>90430</v>
      </c>
      <c r="F87" t="s">
        <v>102</v>
      </c>
      <c r="H87" s="1">
        <v>119900</v>
      </c>
      <c r="I87">
        <v>2</v>
      </c>
      <c r="J87">
        <v>800</v>
      </c>
      <c r="K87">
        <v>0.67</v>
      </c>
      <c r="L87" s="1">
        <v>10798</v>
      </c>
      <c r="M87" s="1">
        <v>1294</v>
      </c>
      <c r="N87" s="1">
        <v>119805</v>
      </c>
      <c r="O87" s="1">
        <v>120200</v>
      </c>
      <c r="P87" s="1">
        <v>120700</v>
      </c>
      <c r="Q87" s="1">
        <v>119400</v>
      </c>
      <c r="R87" t="s">
        <v>710</v>
      </c>
      <c r="S87" s="3">
        <v>0.35351851851851851</v>
      </c>
      <c r="T87" s="1">
        <v>119100</v>
      </c>
      <c r="U87">
        <v>800</v>
      </c>
      <c r="V87">
        <v>0.67</v>
      </c>
    </row>
    <row r="88" spans="4:22" x14ac:dyDescent="0.3">
      <c r="D88">
        <v>86</v>
      </c>
      <c r="E88">
        <v>64400</v>
      </c>
      <c r="F88" t="s">
        <v>103</v>
      </c>
      <c r="H88" s="1">
        <v>70500</v>
      </c>
      <c r="I88">
        <v>3</v>
      </c>
      <c r="L88" s="1">
        <v>230818</v>
      </c>
      <c r="M88" s="1">
        <v>16346</v>
      </c>
      <c r="N88" s="1">
        <v>70821</v>
      </c>
      <c r="O88" s="1">
        <v>71100</v>
      </c>
      <c r="P88" s="1">
        <v>71700</v>
      </c>
      <c r="Q88" s="1">
        <v>70400</v>
      </c>
      <c r="R88" t="s">
        <v>710</v>
      </c>
      <c r="S88" s="3">
        <v>0.35607638888888887</v>
      </c>
      <c r="T88" s="1">
        <v>70500</v>
      </c>
    </row>
    <row r="89" spans="4:22" x14ac:dyDescent="0.3">
      <c r="D89">
        <v>87</v>
      </c>
      <c r="E89">
        <v>377300</v>
      </c>
      <c r="F89" t="s">
        <v>104</v>
      </c>
      <c r="H89" s="1">
        <v>50600</v>
      </c>
      <c r="I89">
        <v>2</v>
      </c>
      <c r="J89">
        <v>500</v>
      </c>
      <c r="K89">
        <v>1</v>
      </c>
      <c r="L89" s="1">
        <v>51041</v>
      </c>
      <c r="M89" s="1">
        <v>2583</v>
      </c>
      <c r="N89" s="1">
        <v>50614</v>
      </c>
      <c r="O89" s="1">
        <v>50900</v>
      </c>
      <c r="P89" s="1">
        <v>50900</v>
      </c>
      <c r="Q89" s="1">
        <v>50400</v>
      </c>
      <c r="R89" t="s">
        <v>710</v>
      </c>
      <c r="S89" s="3">
        <v>0.35364583333333338</v>
      </c>
      <c r="T89" s="1">
        <v>50100</v>
      </c>
      <c r="U89">
        <v>500</v>
      </c>
      <c r="V89">
        <v>1</v>
      </c>
    </row>
    <row r="90" spans="4:22" x14ac:dyDescent="0.3">
      <c r="D90">
        <v>88</v>
      </c>
      <c r="E90">
        <v>28300</v>
      </c>
      <c r="F90" t="s">
        <v>105</v>
      </c>
      <c r="H90" s="1">
        <v>51100</v>
      </c>
      <c r="I90">
        <v>2</v>
      </c>
      <c r="J90">
        <v>900</v>
      </c>
      <c r="K90">
        <v>1.79</v>
      </c>
      <c r="L90" s="1">
        <v>40392</v>
      </c>
      <c r="M90" s="1">
        <v>2062</v>
      </c>
      <c r="N90" s="1">
        <v>51061</v>
      </c>
      <c r="O90" s="1">
        <v>50700</v>
      </c>
      <c r="P90" s="1">
        <v>51300</v>
      </c>
      <c r="Q90" s="1">
        <v>50700</v>
      </c>
      <c r="R90" t="s">
        <v>710</v>
      </c>
      <c r="S90" s="3">
        <v>0.35363425925925923</v>
      </c>
      <c r="T90" s="1">
        <v>50200</v>
      </c>
      <c r="U90">
        <v>900</v>
      </c>
      <c r="V90">
        <v>1.79</v>
      </c>
    </row>
    <row r="91" spans="4:22" x14ac:dyDescent="0.3">
      <c r="D91">
        <v>89</v>
      </c>
      <c r="E91">
        <v>11070</v>
      </c>
      <c r="F91" t="s">
        <v>106</v>
      </c>
      <c r="H91" s="1">
        <v>284000</v>
      </c>
      <c r="I91">
        <v>2</v>
      </c>
      <c r="J91" s="1">
        <v>5000</v>
      </c>
      <c r="K91">
        <v>1.79</v>
      </c>
      <c r="L91" s="1">
        <v>8956</v>
      </c>
      <c r="M91" s="1">
        <v>2537</v>
      </c>
      <c r="N91" s="1">
        <v>283298</v>
      </c>
      <c r="O91" s="1">
        <v>280000</v>
      </c>
      <c r="P91" s="1">
        <v>285000</v>
      </c>
      <c r="Q91" s="1">
        <v>280000</v>
      </c>
      <c r="R91" t="s">
        <v>710</v>
      </c>
      <c r="S91" s="3">
        <v>0.35358796296296297</v>
      </c>
      <c r="T91" s="1">
        <v>279000</v>
      </c>
      <c r="U91" s="1">
        <v>5000</v>
      </c>
      <c r="V91">
        <v>1.79</v>
      </c>
    </row>
    <row r="92" spans="4:22" x14ac:dyDescent="0.3">
      <c r="D92">
        <v>90</v>
      </c>
      <c r="E92">
        <v>22100</v>
      </c>
      <c r="F92" t="s">
        <v>107</v>
      </c>
      <c r="H92" s="1">
        <v>43800</v>
      </c>
      <c r="I92">
        <v>2</v>
      </c>
      <c r="J92">
        <v>950</v>
      </c>
      <c r="K92">
        <v>2.2200000000000002</v>
      </c>
      <c r="L92" s="1">
        <v>1202185</v>
      </c>
      <c r="M92" s="1">
        <v>52984</v>
      </c>
      <c r="N92" s="1">
        <v>44073</v>
      </c>
      <c r="O92" s="1">
        <v>43400</v>
      </c>
      <c r="P92" s="1">
        <v>44800</v>
      </c>
      <c r="Q92" s="1">
        <v>43300</v>
      </c>
      <c r="R92" t="s">
        <v>710</v>
      </c>
      <c r="S92" s="3">
        <v>0.35607638888888887</v>
      </c>
      <c r="T92" s="1">
        <v>42850</v>
      </c>
      <c r="U92">
        <v>950</v>
      </c>
      <c r="V92">
        <v>2.2200000000000002</v>
      </c>
    </row>
    <row r="93" spans="4:22" x14ac:dyDescent="0.3">
      <c r="D93">
        <v>91</v>
      </c>
      <c r="E93">
        <v>32640</v>
      </c>
      <c r="F93" t="s">
        <v>108</v>
      </c>
      <c r="H93" s="1">
        <v>15380</v>
      </c>
      <c r="I93">
        <v>5</v>
      </c>
      <c r="J93">
        <v>40</v>
      </c>
      <c r="K93">
        <v>-0.26</v>
      </c>
      <c r="L93" s="1">
        <v>19297</v>
      </c>
      <c r="M93">
        <v>297</v>
      </c>
      <c r="N93" s="1">
        <v>15378</v>
      </c>
      <c r="O93" s="1">
        <v>15420</v>
      </c>
      <c r="P93" s="1">
        <v>15450</v>
      </c>
      <c r="Q93" s="1">
        <v>15260</v>
      </c>
      <c r="R93" t="s">
        <v>710</v>
      </c>
      <c r="S93" s="3">
        <v>0.35212962962962963</v>
      </c>
      <c r="T93" s="1">
        <v>15420</v>
      </c>
      <c r="U93">
        <v>-40</v>
      </c>
      <c r="V93">
        <v>-0.26</v>
      </c>
    </row>
    <row r="94" spans="4:22" x14ac:dyDescent="0.3">
      <c r="D94">
        <v>92</v>
      </c>
      <c r="E94">
        <v>250</v>
      </c>
      <c r="F94" t="s">
        <v>109</v>
      </c>
      <c r="H94" s="1">
        <v>281500</v>
      </c>
      <c r="I94">
        <v>2</v>
      </c>
      <c r="J94" s="1">
        <v>1000</v>
      </c>
      <c r="K94">
        <v>0.36</v>
      </c>
      <c r="L94" s="1">
        <v>19647</v>
      </c>
      <c r="M94" s="1">
        <v>5546</v>
      </c>
      <c r="N94" s="1">
        <v>282271</v>
      </c>
      <c r="O94" s="1">
        <v>281500</v>
      </c>
      <c r="P94" s="1">
        <v>284500</v>
      </c>
      <c r="Q94" s="1">
        <v>280000</v>
      </c>
      <c r="R94" t="s">
        <v>710</v>
      </c>
      <c r="S94" s="3">
        <v>0.35342592592592598</v>
      </c>
      <c r="T94" s="1">
        <v>280500</v>
      </c>
      <c r="U94" s="1">
        <v>1000</v>
      </c>
      <c r="V94">
        <v>0.36</v>
      </c>
    </row>
    <row r="95" spans="4:22" x14ac:dyDescent="0.3">
      <c r="D95">
        <v>93</v>
      </c>
      <c r="E95">
        <v>29780</v>
      </c>
      <c r="F95" t="s">
        <v>110</v>
      </c>
      <c r="H95" s="1">
        <v>53500</v>
      </c>
      <c r="I95">
        <v>5</v>
      </c>
      <c r="J95">
        <v>100</v>
      </c>
      <c r="K95">
        <v>-0.19</v>
      </c>
      <c r="L95" s="1">
        <v>3658</v>
      </c>
      <c r="M95">
        <v>197</v>
      </c>
      <c r="N95" s="1">
        <v>53976</v>
      </c>
      <c r="O95" s="1">
        <v>53900</v>
      </c>
      <c r="P95" s="1">
        <v>54100</v>
      </c>
      <c r="Q95" s="1">
        <v>53400</v>
      </c>
      <c r="R95" t="s">
        <v>710</v>
      </c>
      <c r="S95" s="3">
        <v>0.35319444444444442</v>
      </c>
      <c r="T95" s="1">
        <v>53600</v>
      </c>
      <c r="U95">
        <v>-100</v>
      </c>
      <c r="V95">
        <v>-0.19</v>
      </c>
    </row>
    <row r="96" spans="4:22" x14ac:dyDescent="0.3">
      <c r="D96">
        <v>94</v>
      </c>
      <c r="E96">
        <v>34220</v>
      </c>
      <c r="F96" t="s">
        <v>111</v>
      </c>
      <c r="H96" s="1">
        <v>12270</v>
      </c>
      <c r="I96">
        <v>2</v>
      </c>
      <c r="J96">
        <v>80</v>
      </c>
      <c r="K96">
        <v>0.66</v>
      </c>
      <c r="L96" s="1">
        <v>96463</v>
      </c>
      <c r="M96" s="1">
        <v>1186</v>
      </c>
      <c r="N96" s="1">
        <v>12298</v>
      </c>
      <c r="O96" s="1">
        <v>12200</v>
      </c>
      <c r="P96" s="1">
        <v>12410</v>
      </c>
      <c r="Q96" s="1">
        <v>12200</v>
      </c>
      <c r="R96" t="s">
        <v>710</v>
      </c>
      <c r="S96" s="3">
        <v>0.35364583333333338</v>
      </c>
      <c r="T96" s="1">
        <v>12190</v>
      </c>
      <c r="U96">
        <v>80</v>
      </c>
      <c r="V96">
        <v>0.66</v>
      </c>
    </row>
    <row r="97" spans="4:22" x14ac:dyDescent="0.3">
      <c r="D97">
        <v>95</v>
      </c>
      <c r="E97">
        <v>241560</v>
      </c>
      <c r="F97" t="s">
        <v>112</v>
      </c>
      <c r="H97" s="1">
        <v>60200</v>
      </c>
      <c r="I97">
        <v>2</v>
      </c>
      <c r="J97">
        <v>600</v>
      </c>
      <c r="K97">
        <v>1.01</v>
      </c>
      <c r="L97" s="1">
        <v>6784</v>
      </c>
      <c r="M97">
        <v>409</v>
      </c>
      <c r="N97" s="1">
        <v>60259</v>
      </c>
      <c r="O97" s="1">
        <v>60100</v>
      </c>
      <c r="P97" s="1">
        <v>60500</v>
      </c>
      <c r="Q97" s="1">
        <v>60100</v>
      </c>
      <c r="R97" t="s">
        <v>710</v>
      </c>
      <c r="S97" s="3">
        <v>0.3536111111111111</v>
      </c>
      <c r="T97" s="1">
        <v>59600</v>
      </c>
      <c r="U97">
        <v>600</v>
      </c>
      <c r="V97">
        <v>1.01</v>
      </c>
    </row>
    <row r="98" spans="4:22" x14ac:dyDescent="0.3">
      <c r="D98">
        <v>96</v>
      </c>
      <c r="E98">
        <v>78930</v>
      </c>
      <c r="F98" t="s">
        <v>113</v>
      </c>
      <c r="H98" s="1">
        <v>61000</v>
      </c>
      <c r="I98">
        <v>2</v>
      </c>
      <c r="J98">
        <v>100</v>
      </c>
      <c r="K98">
        <v>0.16</v>
      </c>
      <c r="L98" s="1">
        <v>6694</v>
      </c>
      <c r="M98">
        <v>408</v>
      </c>
      <c r="N98" s="1">
        <v>61008</v>
      </c>
      <c r="O98" s="1">
        <v>60900</v>
      </c>
      <c r="P98" s="1">
        <v>61200</v>
      </c>
      <c r="Q98" s="1">
        <v>60700</v>
      </c>
      <c r="R98" t="s">
        <v>710</v>
      </c>
      <c r="S98" s="3">
        <v>0.35326388888888888</v>
      </c>
      <c r="T98" s="1">
        <v>60900</v>
      </c>
      <c r="U98">
        <v>100</v>
      </c>
      <c r="V98">
        <v>0.16</v>
      </c>
    </row>
    <row r="99" spans="4:22" x14ac:dyDescent="0.3">
      <c r="D99">
        <v>97</v>
      </c>
      <c r="E99">
        <v>1040</v>
      </c>
      <c r="F99" t="s">
        <v>114</v>
      </c>
      <c r="H99" s="1">
        <v>190300</v>
      </c>
      <c r="I99">
        <v>2</v>
      </c>
      <c r="J99" s="1">
        <v>1000</v>
      </c>
      <c r="K99">
        <v>0.53</v>
      </c>
      <c r="L99" s="1">
        <v>5681</v>
      </c>
      <c r="M99" s="1">
        <v>1082</v>
      </c>
      <c r="N99" s="1">
        <v>190440</v>
      </c>
      <c r="O99" s="1">
        <v>189300</v>
      </c>
      <c r="P99" s="1">
        <v>192000</v>
      </c>
      <c r="Q99" s="1">
        <v>189300</v>
      </c>
      <c r="R99" t="s">
        <v>710</v>
      </c>
      <c r="S99" s="3">
        <v>0.35351851851851851</v>
      </c>
      <c r="T99" s="1">
        <v>189300</v>
      </c>
      <c r="U99" s="1">
        <v>1000</v>
      </c>
      <c r="V99">
        <v>0.53</v>
      </c>
    </row>
    <row r="100" spans="4:22" x14ac:dyDescent="0.3">
      <c r="D100">
        <v>98</v>
      </c>
      <c r="E100">
        <v>21240</v>
      </c>
      <c r="F100" t="s">
        <v>115</v>
      </c>
      <c r="H100" s="1">
        <v>76500</v>
      </c>
      <c r="I100">
        <v>5</v>
      </c>
      <c r="J100">
        <v>200</v>
      </c>
      <c r="K100">
        <v>-0.26</v>
      </c>
      <c r="L100" s="1">
        <v>2686</v>
      </c>
      <c r="M100">
        <v>205</v>
      </c>
      <c r="N100" s="1">
        <v>76367</v>
      </c>
      <c r="O100" s="1">
        <v>76700</v>
      </c>
      <c r="P100" s="1">
        <v>76800</v>
      </c>
      <c r="Q100" s="1">
        <v>76000</v>
      </c>
      <c r="R100" t="s">
        <v>710</v>
      </c>
      <c r="S100" s="3">
        <v>0.3535300925925926</v>
      </c>
      <c r="T100" s="1">
        <v>76700</v>
      </c>
      <c r="U100">
        <v>-200</v>
      </c>
      <c r="V100">
        <v>-0.26</v>
      </c>
    </row>
    <row r="101" spans="4:22" x14ac:dyDescent="0.3">
      <c r="D101">
        <v>99</v>
      </c>
      <c r="E101">
        <v>52690</v>
      </c>
      <c r="F101" t="s">
        <v>116</v>
      </c>
      <c r="H101" s="1">
        <v>143600</v>
      </c>
      <c r="I101">
        <v>2</v>
      </c>
      <c r="J101" s="1">
        <v>3800</v>
      </c>
      <c r="K101">
        <v>2.72</v>
      </c>
      <c r="L101" s="1">
        <v>83637</v>
      </c>
      <c r="M101" s="1">
        <v>12056</v>
      </c>
      <c r="N101" s="1">
        <v>144144</v>
      </c>
      <c r="O101" s="1">
        <v>143500</v>
      </c>
      <c r="P101" s="1">
        <v>146700</v>
      </c>
      <c r="Q101" s="1">
        <v>142000</v>
      </c>
      <c r="R101" t="s">
        <v>710</v>
      </c>
      <c r="S101" s="3">
        <v>0.35364583333333338</v>
      </c>
      <c r="T101" s="1">
        <v>139800</v>
      </c>
      <c r="U101" s="1">
        <v>3800</v>
      </c>
      <c r="V101">
        <v>2.72</v>
      </c>
    </row>
    <row r="102" spans="4:22" x14ac:dyDescent="0.3">
      <c r="D102">
        <v>100</v>
      </c>
      <c r="E102">
        <v>141080</v>
      </c>
      <c r="F102" t="s">
        <v>117</v>
      </c>
      <c r="H102" s="1">
        <v>148000</v>
      </c>
      <c r="I102">
        <v>2</v>
      </c>
      <c r="J102" s="1">
        <v>1500</v>
      </c>
      <c r="K102">
        <v>1.02</v>
      </c>
      <c r="L102" s="1">
        <v>35904</v>
      </c>
      <c r="M102" s="1">
        <v>5338</v>
      </c>
      <c r="N102" s="1">
        <v>148670</v>
      </c>
      <c r="O102" s="1">
        <v>147300</v>
      </c>
      <c r="P102" s="1">
        <v>149600</v>
      </c>
      <c r="Q102" s="1">
        <v>147200</v>
      </c>
      <c r="R102" t="s">
        <v>710</v>
      </c>
      <c r="S102" s="3">
        <v>0.35364583333333338</v>
      </c>
      <c r="T102" s="1">
        <v>146500</v>
      </c>
      <c r="U102" s="1">
        <v>1500</v>
      </c>
      <c r="V102">
        <v>1.02</v>
      </c>
    </row>
    <row r="103" spans="4:22" x14ac:dyDescent="0.3">
      <c r="D103">
        <v>101</v>
      </c>
      <c r="E103">
        <v>128940</v>
      </c>
      <c r="F103" t="s">
        <v>118</v>
      </c>
      <c r="H103" s="1">
        <v>419000</v>
      </c>
      <c r="I103">
        <v>2</v>
      </c>
      <c r="J103" s="1">
        <v>4000</v>
      </c>
      <c r="K103">
        <v>0.96</v>
      </c>
      <c r="L103" s="1">
        <v>8105</v>
      </c>
      <c r="M103" s="1">
        <v>3400</v>
      </c>
      <c r="N103" s="1">
        <v>419566</v>
      </c>
      <c r="O103" s="1">
        <v>420000</v>
      </c>
      <c r="P103" s="1">
        <v>423500</v>
      </c>
      <c r="Q103" s="1">
        <v>418500</v>
      </c>
      <c r="R103" t="s">
        <v>710</v>
      </c>
      <c r="S103" s="3">
        <v>0.3558796296296296</v>
      </c>
      <c r="T103" s="1">
        <v>415000</v>
      </c>
      <c r="U103" s="1">
        <v>4000</v>
      </c>
      <c r="V103">
        <v>0.96</v>
      </c>
    </row>
    <row r="104" spans="4:22" x14ac:dyDescent="0.3">
      <c r="D104">
        <v>102</v>
      </c>
      <c r="E104">
        <v>1440</v>
      </c>
      <c r="F104" t="s">
        <v>119</v>
      </c>
      <c r="H104" s="1">
        <v>27450</v>
      </c>
      <c r="I104">
        <v>2</v>
      </c>
      <c r="J104">
        <v>550</v>
      </c>
      <c r="K104">
        <v>2.04</v>
      </c>
      <c r="L104" s="1">
        <v>764621</v>
      </c>
      <c r="M104" s="1">
        <v>20997</v>
      </c>
      <c r="N104" s="1">
        <v>27461</v>
      </c>
      <c r="O104" s="1">
        <v>27550</v>
      </c>
      <c r="P104" s="1">
        <v>27700</v>
      </c>
      <c r="Q104" s="1">
        <v>27350</v>
      </c>
      <c r="R104" t="s">
        <v>710</v>
      </c>
      <c r="S104" s="3">
        <v>0.35898148148148151</v>
      </c>
      <c r="T104" s="1">
        <v>26900</v>
      </c>
      <c r="U104">
        <v>550</v>
      </c>
      <c r="V104">
        <v>2.04</v>
      </c>
    </row>
    <row r="105" spans="4:22" x14ac:dyDescent="0.3">
      <c r="D105">
        <v>103</v>
      </c>
      <c r="E105">
        <v>87010</v>
      </c>
      <c r="F105" t="s">
        <v>120</v>
      </c>
      <c r="H105" s="1">
        <v>219500</v>
      </c>
      <c r="I105">
        <v>2</v>
      </c>
      <c r="J105" s="1">
        <v>6000</v>
      </c>
      <c r="K105">
        <v>2.81</v>
      </c>
      <c r="L105" s="1">
        <v>25599</v>
      </c>
      <c r="M105" s="1">
        <v>5606</v>
      </c>
      <c r="N105" s="1">
        <v>218974</v>
      </c>
      <c r="O105" s="1">
        <v>219000</v>
      </c>
      <c r="P105" s="1">
        <v>225000</v>
      </c>
      <c r="Q105" s="1">
        <v>216000</v>
      </c>
      <c r="R105" t="s">
        <v>710</v>
      </c>
      <c r="S105" s="3">
        <v>0.35364583333333338</v>
      </c>
      <c r="T105" s="1">
        <v>213500</v>
      </c>
      <c r="U105" s="1">
        <v>6000</v>
      </c>
      <c r="V105">
        <v>2.81</v>
      </c>
    </row>
    <row r="106" spans="4:22" x14ac:dyDescent="0.3">
      <c r="D106">
        <v>104</v>
      </c>
      <c r="E106">
        <v>58470</v>
      </c>
      <c r="F106" t="s">
        <v>121</v>
      </c>
      <c r="H106" s="1">
        <v>66200</v>
      </c>
      <c r="I106">
        <v>2</v>
      </c>
      <c r="J106" s="1">
        <v>1500</v>
      </c>
      <c r="K106">
        <v>2.3199999999999998</v>
      </c>
      <c r="L106" s="1">
        <v>34212</v>
      </c>
      <c r="M106" s="1">
        <v>2264</v>
      </c>
      <c r="N106" s="1">
        <v>66166</v>
      </c>
      <c r="O106" s="1">
        <v>67000</v>
      </c>
      <c r="P106" s="1">
        <v>67000</v>
      </c>
      <c r="Q106" s="1">
        <v>65500</v>
      </c>
      <c r="R106" t="s">
        <v>710</v>
      </c>
      <c r="S106" s="3">
        <v>0.35356481481481478</v>
      </c>
      <c r="T106" s="1">
        <v>64700</v>
      </c>
      <c r="U106" s="1">
        <v>1500</v>
      </c>
      <c r="V106">
        <v>2.3199999999999998</v>
      </c>
    </row>
    <row r="107" spans="4:22" x14ac:dyDescent="0.3">
      <c r="D107">
        <v>105</v>
      </c>
      <c r="E107">
        <v>28050</v>
      </c>
      <c r="F107" t="s">
        <v>122</v>
      </c>
      <c r="H107" s="1">
        <v>25100</v>
      </c>
      <c r="I107">
        <v>2</v>
      </c>
      <c r="J107">
        <v>200</v>
      </c>
      <c r="K107">
        <v>0.8</v>
      </c>
      <c r="L107" s="1">
        <v>24136</v>
      </c>
      <c r="M107">
        <v>607</v>
      </c>
      <c r="N107" s="1">
        <v>25134</v>
      </c>
      <c r="O107" s="1">
        <v>25250</v>
      </c>
      <c r="P107" s="1">
        <v>25250</v>
      </c>
      <c r="Q107" s="1">
        <v>25050</v>
      </c>
      <c r="R107" t="s">
        <v>710</v>
      </c>
      <c r="S107" s="3">
        <v>0.35354166666666664</v>
      </c>
      <c r="T107" s="1">
        <v>24900</v>
      </c>
      <c r="U107">
        <v>200</v>
      </c>
      <c r="V107">
        <v>0.8</v>
      </c>
    </row>
    <row r="108" spans="4:22" x14ac:dyDescent="0.3">
      <c r="D108">
        <v>106</v>
      </c>
      <c r="E108">
        <v>36570</v>
      </c>
      <c r="F108" t="s">
        <v>123</v>
      </c>
      <c r="H108" s="1">
        <v>225000</v>
      </c>
      <c r="I108">
        <v>2</v>
      </c>
      <c r="J108" s="1">
        <v>2500</v>
      </c>
      <c r="K108">
        <v>1.1200000000000001</v>
      </c>
      <c r="L108" s="1">
        <v>9008</v>
      </c>
      <c r="M108" s="1">
        <v>2033</v>
      </c>
      <c r="N108" s="1">
        <v>225712</v>
      </c>
      <c r="O108" s="1">
        <v>223500</v>
      </c>
      <c r="P108" s="1">
        <v>228000</v>
      </c>
      <c r="Q108" s="1">
        <v>223500</v>
      </c>
      <c r="R108" t="s">
        <v>710</v>
      </c>
      <c r="S108" s="3">
        <v>0.35362268518518519</v>
      </c>
      <c r="T108" s="1">
        <v>222500</v>
      </c>
      <c r="U108" s="1">
        <v>2500</v>
      </c>
      <c r="V108">
        <v>1.1200000000000001</v>
      </c>
    </row>
    <row r="109" spans="4:22" x14ac:dyDescent="0.3">
      <c r="D109">
        <v>107</v>
      </c>
      <c r="E109">
        <v>138930</v>
      </c>
      <c r="F109" t="s">
        <v>124</v>
      </c>
      <c r="H109" s="1">
        <v>15450</v>
      </c>
      <c r="I109">
        <v>5</v>
      </c>
      <c r="J109">
        <v>120</v>
      </c>
      <c r="K109">
        <v>-0.77</v>
      </c>
      <c r="L109" s="1">
        <v>15505</v>
      </c>
      <c r="M109">
        <v>240</v>
      </c>
      <c r="N109" s="1">
        <v>15477</v>
      </c>
      <c r="O109" s="1">
        <v>15690</v>
      </c>
      <c r="P109" s="1">
        <v>15690</v>
      </c>
      <c r="Q109" s="1">
        <v>15450</v>
      </c>
      <c r="R109" t="s">
        <v>710</v>
      </c>
      <c r="S109" s="3">
        <v>0.35339120370370369</v>
      </c>
      <c r="T109" s="1">
        <v>15570</v>
      </c>
      <c r="U109">
        <v>-120</v>
      </c>
      <c r="V109">
        <v>-0.77</v>
      </c>
    </row>
    <row r="110" spans="4:22" x14ac:dyDescent="0.3">
      <c r="D110">
        <v>108</v>
      </c>
      <c r="E110">
        <v>9830</v>
      </c>
      <c r="F110" t="s">
        <v>125</v>
      </c>
      <c r="H110" s="1">
        <v>27600</v>
      </c>
      <c r="I110">
        <v>2</v>
      </c>
      <c r="J110">
        <v>350</v>
      </c>
      <c r="K110">
        <v>1.28</v>
      </c>
      <c r="L110" s="1">
        <v>112615</v>
      </c>
      <c r="M110" s="1">
        <v>3095</v>
      </c>
      <c r="N110" s="1">
        <v>27479</v>
      </c>
      <c r="O110" s="1">
        <v>27250</v>
      </c>
      <c r="P110" s="1">
        <v>27600</v>
      </c>
      <c r="Q110" s="1">
        <v>27250</v>
      </c>
      <c r="R110" t="s">
        <v>710</v>
      </c>
      <c r="S110" s="3">
        <v>0.35359953703703706</v>
      </c>
      <c r="T110" s="1">
        <v>27250</v>
      </c>
      <c r="U110">
        <v>350</v>
      </c>
      <c r="V110">
        <v>1.28</v>
      </c>
    </row>
    <row r="111" spans="4:22" x14ac:dyDescent="0.3">
      <c r="D111">
        <v>109</v>
      </c>
      <c r="E111">
        <v>271560</v>
      </c>
      <c r="F111" t="s">
        <v>126</v>
      </c>
      <c r="H111" s="1">
        <v>116300</v>
      </c>
      <c r="I111">
        <v>5</v>
      </c>
      <c r="J111">
        <v>700</v>
      </c>
      <c r="K111">
        <v>-0.6</v>
      </c>
      <c r="L111" s="1">
        <v>2923</v>
      </c>
      <c r="M111">
        <v>339</v>
      </c>
      <c r="N111" s="1">
        <v>116076</v>
      </c>
      <c r="O111" s="1">
        <v>117500</v>
      </c>
      <c r="P111" s="1">
        <v>117500</v>
      </c>
      <c r="Q111" s="1">
        <v>114700</v>
      </c>
      <c r="R111" t="s">
        <v>710</v>
      </c>
      <c r="S111" s="3">
        <v>0.35362268518518519</v>
      </c>
      <c r="T111" s="1">
        <v>117000</v>
      </c>
      <c r="U111">
        <v>-700</v>
      </c>
      <c r="V111">
        <v>-0.6</v>
      </c>
    </row>
    <row r="112" spans="4:22" x14ac:dyDescent="0.3">
      <c r="D112">
        <v>110</v>
      </c>
      <c r="E112">
        <v>66970</v>
      </c>
      <c r="F112" t="s">
        <v>127</v>
      </c>
      <c r="H112" s="1">
        <v>113700</v>
      </c>
      <c r="I112">
        <v>2</v>
      </c>
      <c r="J112" s="1">
        <v>2100</v>
      </c>
      <c r="K112">
        <v>1.88</v>
      </c>
      <c r="L112" s="1">
        <v>27618</v>
      </c>
      <c r="M112" s="1">
        <v>3141</v>
      </c>
      <c r="N112" s="1">
        <v>113754</v>
      </c>
      <c r="O112" s="1">
        <v>112500</v>
      </c>
      <c r="P112" s="1">
        <v>114400</v>
      </c>
      <c r="Q112" s="1">
        <v>112500</v>
      </c>
      <c r="R112" t="s">
        <v>710</v>
      </c>
      <c r="S112" s="3">
        <v>0.3558796296296296</v>
      </c>
      <c r="T112" s="1">
        <v>111600</v>
      </c>
      <c r="U112" s="1">
        <v>2100</v>
      </c>
      <c r="V112">
        <v>1.88</v>
      </c>
    </row>
    <row r="113" spans="4:22" x14ac:dyDescent="0.3">
      <c r="D113">
        <v>111</v>
      </c>
      <c r="E113">
        <v>82740</v>
      </c>
      <c r="F113" t="s">
        <v>128</v>
      </c>
      <c r="H113" s="1">
        <v>54500</v>
      </c>
      <c r="I113">
        <v>2</v>
      </c>
      <c r="J113">
        <v>900</v>
      </c>
      <c r="K113">
        <v>1.68</v>
      </c>
      <c r="L113" s="1">
        <v>51971</v>
      </c>
      <c r="M113" s="1">
        <v>2831</v>
      </c>
      <c r="N113" s="1">
        <v>54465</v>
      </c>
      <c r="O113" s="1">
        <v>54300</v>
      </c>
      <c r="P113" s="1">
        <v>55000</v>
      </c>
      <c r="Q113" s="1">
        <v>53900</v>
      </c>
      <c r="R113" t="s">
        <v>710</v>
      </c>
      <c r="S113" s="3">
        <v>0.35364583333333338</v>
      </c>
      <c r="T113" s="1">
        <v>53600</v>
      </c>
      <c r="U113">
        <v>900</v>
      </c>
      <c r="V113">
        <v>1.68</v>
      </c>
    </row>
    <row r="114" spans="4:22" x14ac:dyDescent="0.3">
      <c r="D114">
        <v>112</v>
      </c>
      <c r="E114">
        <v>214450</v>
      </c>
      <c r="F114" t="s">
        <v>129</v>
      </c>
      <c r="H114" s="1">
        <v>434500</v>
      </c>
      <c r="I114">
        <v>2</v>
      </c>
      <c r="J114" s="1">
        <v>6500</v>
      </c>
      <c r="K114">
        <v>1.52</v>
      </c>
      <c r="L114" s="1">
        <v>6774</v>
      </c>
      <c r="M114" s="1">
        <v>2946</v>
      </c>
      <c r="N114" s="1">
        <v>434915</v>
      </c>
      <c r="O114" s="1">
        <v>450000</v>
      </c>
      <c r="P114" s="1">
        <v>450000</v>
      </c>
      <c r="Q114" s="1">
        <v>431000</v>
      </c>
      <c r="R114" t="s">
        <v>710</v>
      </c>
      <c r="S114" s="3">
        <v>0.35356481481481478</v>
      </c>
      <c r="T114" s="1">
        <v>428000</v>
      </c>
      <c r="U114" s="1">
        <v>6500</v>
      </c>
      <c r="V114">
        <v>1.52</v>
      </c>
    </row>
    <row r="115" spans="4:22" x14ac:dyDescent="0.3">
      <c r="D115">
        <v>113</v>
      </c>
      <c r="E115">
        <v>175330</v>
      </c>
      <c r="F115" t="s">
        <v>130</v>
      </c>
      <c r="H115" s="1">
        <v>23600</v>
      </c>
      <c r="I115">
        <v>5</v>
      </c>
      <c r="J115">
        <v>200</v>
      </c>
      <c r="K115">
        <v>-0.84</v>
      </c>
      <c r="L115" s="1">
        <v>11718</v>
      </c>
      <c r="M115">
        <v>277</v>
      </c>
      <c r="N115" s="1">
        <v>23617</v>
      </c>
      <c r="O115" s="1">
        <v>23650</v>
      </c>
      <c r="P115" s="1">
        <v>23750</v>
      </c>
      <c r="Q115" s="1">
        <v>23550</v>
      </c>
      <c r="R115" t="s">
        <v>710</v>
      </c>
      <c r="S115" s="3">
        <v>0.35244212962962962</v>
      </c>
      <c r="T115" s="1">
        <v>23800</v>
      </c>
      <c r="U115">
        <v>-200</v>
      </c>
      <c r="V115">
        <v>-0.84</v>
      </c>
    </row>
    <row r="116" spans="4:22" x14ac:dyDescent="0.3">
      <c r="D116">
        <v>114</v>
      </c>
      <c r="E116">
        <v>62040</v>
      </c>
      <c r="F116" t="s">
        <v>131</v>
      </c>
      <c r="H116" s="1">
        <v>143300</v>
      </c>
      <c r="I116">
        <v>2</v>
      </c>
      <c r="J116" s="1">
        <v>1500</v>
      </c>
      <c r="K116">
        <v>1.06</v>
      </c>
      <c r="L116" s="1">
        <v>20457</v>
      </c>
      <c r="M116" s="1">
        <v>2935</v>
      </c>
      <c r="N116" s="1">
        <v>143472</v>
      </c>
      <c r="O116" s="1">
        <v>144200</v>
      </c>
      <c r="P116" s="1">
        <v>144800</v>
      </c>
      <c r="Q116" s="1">
        <v>142700</v>
      </c>
      <c r="R116" t="s">
        <v>710</v>
      </c>
      <c r="S116" s="3">
        <v>0.35363425925925923</v>
      </c>
      <c r="T116" s="1">
        <v>141800</v>
      </c>
      <c r="U116" s="1">
        <v>1500</v>
      </c>
      <c r="V116">
        <v>1.06</v>
      </c>
    </row>
    <row r="117" spans="4:22" x14ac:dyDescent="0.3">
      <c r="D117">
        <v>115</v>
      </c>
      <c r="E117">
        <v>251270</v>
      </c>
      <c r="F117" t="s">
        <v>132</v>
      </c>
      <c r="H117" s="1">
        <v>49750</v>
      </c>
      <c r="I117">
        <v>2</v>
      </c>
      <c r="J117">
        <v>650</v>
      </c>
      <c r="K117">
        <v>1.32</v>
      </c>
      <c r="L117" s="1">
        <v>4721</v>
      </c>
      <c r="M117">
        <v>233</v>
      </c>
      <c r="N117" s="1">
        <v>49406</v>
      </c>
      <c r="O117" s="1">
        <v>49250</v>
      </c>
      <c r="P117" s="1">
        <v>49750</v>
      </c>
      <c r="Q117" s="1">
        <v>48950</v>
      </c>
      <c r="R117" t="s">
        <v>710</v>
      </c>
      <c r="S117" s="3">
        <v>0.35311342592592593</v>
      </c>
      <c r="T117" s="1">
        <v>49100</v>
      </c>
      <c r="U117">
        <v>650</v>
      </c>
      <c r="V117">
        <v>1.32</v>
      </c>
    </row>
    <row r="118" spans="4:22" x14ac:dyDescent="0.3">
      <c r="D118">
        <v>116</v>
      </c>
      <c r="E118">
        <v>450080</v>
      </c>
      <c r="F118" t="s">
        <v>133</v>
      </c>
      <c r="H118" s="1">
        <v>60300</v>
      </c>
      <c r="I118">
        <v>2</v>
      </c>
      <c r="J118">
        <v>900</v>
      </c>
      <c r="K118">
        <v>1.52</v>
      </c>
      <c r="L118" s="1">
        <v>57655</v>
      </c>
      <c r="M118" s="1">
        <v>3490</v>
      </c>
      <c r="N118" s="1">
        <v>60539</v>
      </c>
      <c r="O118" s="1">
        <v>60100</v>
      </c>
      <c r="P118" s="1">
        <v>61100</v>
      </c>
      <c r="Q118" s="1">
        <v>60000</v>
      </c>
      <c r="R118" t="s">
        <v>710</v>
      </c>
      <c r="S118" s="3">
        <v>0.35364583333333338</v>
      </c>
      <c r="T118" s="1">
        <v>59400</v>
      </c>
      <c r="U118">
        <v>900</v>
      </c>
      <c r="V118">
        <v>1.52</v>
      </c>
    </row>
    <row r="119" spans="4:22" x14ac:dyDescent="0.3">
      <c r="D119">
        <v>117</v>
      </c>
      <c r="E119">
        <v>4020</v>
      </c>
      <c r="F119" t="s">
        <v>134</v>
      </c>
      <c r="H119" s="1">
        <v>31850</v>
      </c>
      <c r="I119">
        <v>2</v>
      </c>
      <c r="J119">
        <v>450</v>
      </c>
      <c r="K119">
        <v>1.43</v>
      </c>
      <c r="L119" s="1">
        <v>53014</v>
      </c>
      <c r="M119" s="1">
        <v>1688</v>
      </c>
      <c r="N119" s="1">
        <v>31845</v>
      </c>
      <c r="O119" s="1">
        <v>31450</v>
      </c>
      <c r="P119" s="1">
        <v>32050</v>
      </c>
      <c r="Q119" s="1">
        <v>31350</v>
      </c>
      <c r="R119" t="s">
        <v>710</v>
      </c>
      <c r="S119" s="3">
        <v>0.35356481481481478</v>
      </c>
      <c r="T119" s="1">
        <v>31400</v>
      </c>
      <c r="U119">
        <v>450</v>
      </c>
      <c r="V119">
        <v>1.43</v>
      </c>
    </row>
    <row r="120" spans="4:22" x14ac:dyDescent="0.3">
      <c r="D120">
        <v>118</v>
      </c>
      <c r="E120">
        <v>11790</v>
      </c>
      <c r="F120" t="s">
        <v>135</v>
      </c>
      <c r="H120" s="1">
        <v>110700</v>
      </c>
      <c r="I120">
        <v>2</v>
      </c>
      <c r="J120" s="1">
        <v>1800</v>
      </c>
      <c r="K120">
        <v>1.65</v>
      </c>
      <c r="L120" s="1">
        <v>26920</v>
      </c>
      <c r="M120" s="1">
        <v>2981</v>
      </c>
      <c r="N120" s="1">
        <v>110739</v>
      </c>
      <c r="O120" s="1">
        <v>111000</v>
      </c>
      <c r="P120" s="1">
        <v>111500</v>
      </c>
      <c r="Q120" s="1">
        <v>109500</v>
      </c>
      <c r="R120" t="s">
        <v>710</v>
      </c>
      <c r="S120" s="3">
        <v>0.35899305555555555</v>
      </c>
      <c r="T120" s="1">
        <v>108900</v>
      </c>
      <c r="U120" s="1">
        <v>1800</v>
      </c>
      <c r="V120">
        <v>1.65</v>
      </c>
    </row>
    <row r="121" spans="4:22" x14ac:dyDescent="0.3">
      <c r="D121">
        <v>119</v>
      </c>
      <c r="E121">
        <v>51900</v>
      </c>
      <c r="F121" t="s">
        <v>136</v>
      </c>
      <c r="H121" s="1">
        <v>271000</v>
      </c>
      <c r="I121">
        <v>2</v>
      </c>
      <c r="J121" s="1">
        <v>1500</v>
      </c>
      <c r="K121">
        <v>0.56000000000000005</v>
      </c>
      <c r="L121" s="1">
        <v>2430</v>
      </c>
      <c r="M121">
        <v>656</v>
      </c>
      <c r="N121" s="1">
        <v>270092</v>
      </c>
      <c r="O121" s="1">
        <v>270000</v>
      </c>
      <c r="P121" s="1">
        <v>271000</v>
      </c>
      <c r="Q121" s="1">
        <v>268000</v>
      </c>
      <c r="R121" t="s">
        <v>710</v>
      </c>
      <c r="S121" s="3">
        <v>0.3536111111111111</v>
      </c>
      <c r="T121" s="1">
        <v>269500</v>
      </c>
      <c r="U121" s="1">
        <v>1500</v>
      </c>
      <c r="V121">
        <v>0.56000000000000005</v>
      </c>
    </row>
    <row r="122" spans="4:22" x14ac:dyDescent="0.3">
      <c r="D122">
        <v>120</v>
      </c>
      <c r="E122">
        <v>990</v>
      </c>
      <c r="F122" t="s">
        <v>137</v>
      </c>
      <c r="H122" s="1">
        <v>93300</v>
      </c>
      <c r="I122">
        <v>2</v>
      </c>
      <c r="J122" s="1">
        <v>3000</v>
      </c>
      <c r="K122">
        <v>3.32</v>
      </c>
      <c r="L122" s="1">
        <v>57934</v>
      </c>
      <c r="M122" s="1">
        <v>5404</v>
      </c>
      <c r="N122" s="1">
        <v>93275</v>
      </c>
      <c r="O122" s="1">
        <v>91200</v>
      </c>
      <c r="P122" s="1">
        <v>94300</v>
      </c>
      <c r="Q122" s="1">
        <v>91200</v>
      </c>
      <c r="R122" t="s">
        <v>710</v>
      </c>
      <c r="S122" s="3">
        <v>0.35365740740740742</v>
      </c>
      <c r="T122" s="1">
        <v>90300</v>
      </c>
      <c r="U122" s="1">
        <v>3000</v>
      </c>
      <c r="V122">
        <v>3.32</v>
      </c>
    </row>
    <row r="123" spans="4:22" x14ac:dyDescent="0.3">
      <c r="D123">
        <v>121</v>
      </c>
      <c r="E123">
        <v>214370</v>
      </c>
      <c r="F123" t="s">
        <v>138</v>
      </c>
      <c r="H123" s="1">
        <v>74600</v>
      </c>
      <c r="I123">
        <v>2</v>
      </c>
      <c r="J123">
        <v>100</v>
      </c>
      <c r="K123">
        <v>0.13</v>
      </c>
      <c r="L123" s="1">
        <v>4120</v>
      </c>
      <c r="M123">
        <v>306</v>
      </c>
      <c r="N123" s="1">
        <v>74153</v>
      </c>
      <c r="O123" s="1">
        <v>72600</v>
      </c>
      <c r="P123" s="1">
        <v>74900</v>
      </c>
      <c r="Q123" s="1">
        <v>72500</v>
      </c>
      <c r="R123" t="s">
        <v>710</v>
      </c>
      <c r="S123" s="3">
        <v>0.35354166666666664</v>
      </c>
      <c r="T123" s="1">
        <v>74500</v>
      </c>
      <c r="U123">
        <v>100</v>
      </c>
      <c r="V123">
        <v>0.13</v>
      </c>
    </row>
    <row r="124" spans="4:22" x14ac:dyDescent="0.3">
      <c r="D124">
        <v>122</v>
      </c>
      <c r="E124">
        <v>2380</v>
      </c>
      <c r="F124" t="s">
        <v>139</v>
      </c>
      <c r="H124" s="1">
        <v>443000</v>
      </c>
      <c r="I124">
        <v>2</v>
      </c>
      <c r="J124" s="1">
        <v>4500</v>
      </c>
      <c r="K124">
        <v>1.03</v>
      </c>
      <c r="L124">
        <v>792</v>
      </c>
      <c r="M124">
        <v>350</v>
      </c>
      <c r="N124" s="1">
        <v>441297</v>
      </c>
      <c r="O124" s="1">
        <v>440000</v>
      </c>
      <c r="P124" s="1">
        <v>446000</v>
      </c>
      <c r="Q124" s="1">
        <v>440000</v>
      </c>
      <c r="R124" t="s">
        <v>710</v>
      </c>
      <c r="S124" s="3">
        <v>0.35347222222222219</v>
      </c>
      <c r="T124" s="1">
        <v>438500</v>
      </c>
      <c r="U124" s="1">
        <v>4500</v>
      </c>
      <c r="V124">
        <v>1.03</v>
      </c>
    </row>
    <row r="125" spans="4:22" x14ac:dyDescent="0.3">
      <c r="D125">
        <v>123</v>
      </c>
      <c r="E125">
        <v>35250</v>
      </c>
      <c r="F125" t="s">
        <v>140</v>
      </c>
      <c r="H125" s="1">
        <v>17960</v>
      </c>
      <c r="I125">
        <v>5</v>
      </c>
      <c r="J125">
        <v>20</v>
      </c>
      <c r="K125">
        <v>-0.11</v>
      </c>
      <c r="L125" s="1">
        <v>26206</v>
      </c>
      <c r="M125">
        <v>470</v>
      </c>
      <c r="N125" s="1">
        <v>17918</v>
      </c>
      <c r="O125" s="1">
        <v>17980</v>
      </c>
      <c r="P125" s="1">
        <v>18010</v>
      </c>
      <c r="Q125" s="1">
        <v>17870</v>
      </c>
      <c r="R125" t="s">
        <v>710</v>
      </c>
      <c r="S125" s="3">
        <v>0.35358796296296297</v>
      </c>
      <c r="T125" s="1">
        <v>17980</v>
      </c>
      <c r="U125">
        <v>-20</v>
      </c>
      <c r="V125">
        <v>-0.11</v>
      </c>
    </row>
    <row r="126" spans="4:22" x14ac:dyDescent="0.3">
      <c r="D126">
        <v>124</v>
      </c>
      <c r="E126">
        <v>214150</v>
      </c>
      <c r="F126" t="s">
        <v>141</v>
      </c>
      <c r="H126" s="1">
        <v>58600</v>
      </c>
      <c r="I126">
        <v>2</v>
      </c>
      <c r="J126">
        <v>200</v>
      </c>
      <c r="K126">
        <v>0.34</v>
      </c>
      <c r="L126" s="1">
        <v>3557</v>
      </c>
      <c r="M126">
        <v>209</v>
      </c>
      <c r="N126" s="1">
        <v>58681</v>
      </c>
      <c r="O126" s="1">
        <v>58800</v>
      </c>
      <c r="P126" s="1">
        <v>59100</v>
      </c>
      <c r="Q126" s="1">
        <v>58400</v>
      </c>
      <c r="R126" t="s">
        <v>710</v>
      </c>
      <c r="S126" s="3">
        <v>0.35358796296296297</v>
      </c>
      <c r="T126" s="1">
        <v>58400</v>
      </c>
      <c r="U126">
        <v>200</v>
      </c>
      <c r="V126">
        <v>0.34</v>
      </c>
    </row>
    <row r="127" spans="4:22" x14ac:dyDescent="0.3">
      <c r="D127">
        <v>125</v>
      </c>
      <c r="E127">
        <v>240810</v>
      </c>
      <c r="F127" t="s">
        <v>142</v>
      </c>
      <c r="H127" s="1">
        <v>78200</v>
      </c>
      <c r="I127">
        <v>2</v>
      </c>
      <c r="J127" s="1">
        <v>1000</v>
      </c>
      <c r="K127">
        <v>1.3</v>
      </c>
      <c r="L127" s="1">
        <v>80436</v>
      </c>
      <c r="M127" s="1">
        <v>6340</v>
      </c>
      <c r="N127" s="1">
        <v>78815</v>
      </c>
      <c r="O127" s="1">
        <v>78500</v>
      </c>
      <c r="P127" s="1">
        <v>79800</v>
      </c>
      <c r="Q127" s="1">
        <v>78100</v>
      </c>
      <c r="R127" t="s">
        <v>710</v>
      </c>
      <c r="S127" s="3">
        <v>0.35364583333333338</v>
      </c>
      <c r="T127" s="1">
        <v>77200</v>
      </c>
      <c r="U127" s="1">
        <v>1000</v>
      </c>
      <c r="V127">
        <v>1.3</v>
      </c>
    </row>
    <row r="128" spans="4:22" x14ac:dyDescent="0.3">
      <c r="D128">
        <v>126</v>
      </c>
      <c r="E128">
        <v>302440</v>
      </c>
      <c r="F128" t="s">
        <v>143</v>
      </c>
      <c r="H128" s="1">
        <v>48900</v>
      </c>
      <c r="I128">
        <v>2</v>
      </c>
      <c r="J128">
        <v>350</v>
      </c>
      <c r="K128">
        <v>0.72</v>
      </c>
      <c r="L128" s="1">
        <v>6914</v>
      </c>
      <c r="M128">
        <v>338</v>
      </c>
      <c r="N128" s="1">
        <v>48858</v>
      </c>
      <c r="O128" s="1">
        <v>49700</v>
      </c>
      <c r="P128" s="1">
        <v>49700</v>
      </c>
      <c r="Q128" s="1">
        <v>48600</v>
      </c>
      <c r="R128" t="s">
        <v>710</v>
      </c>
      <c r="S128" s="3">
        <v>0.35365740740740742</v>
      </c>
      <c r="T128" s="1">
        <v>48550</v>
      </c>
      <c r="U128">
        <v>350</v>
      </c>
      <c r="V128">
        <v>0.72</v>
      </c>
    </row>
    <row r="129" spans="4:22" x14ac:dyDescent="0.3">
      <c r="D129">
        <v>127</v>
      </c>
      <c r="E129">
        <v>108490</v>
      </c>
      <c r="F129" t="s">
        <v>144</v>
      </c>
      <c r="H129" s="1">
        <v>261000</v>
      </c>
      <c r="I129">
        <v>2</v>
      </c>
      <c r="J129" s="1">
        <v>5000</v>
      </c>
      <c r="K129">
        <v>1.95</v>
      </c>
      <c r="L129" s="1">
        <v>45652</v>
      </c>
      <c r="M129" s="1">
        <v>11958</v>
      </c>
      <c r="N129" s="1">
        <v>261930</v>
      </c>
      <c r="O129" s="1">
        <v>259500</v>
      </c>
      <c r="P129" s="1">
        <v>265000</v>
      </c>
      <c r="Q129" s="1">
        <v>259500</v>
      </c>
      <c r="R129" t="s">
        <v>710</v>
      </c>
      <c r="S129" s="3">
        <v>0.35363425925925923</v>
      </c>
      <c r="T129" s="1">
        <v>256000</v>
      </c>
      <c r="U129" s="1">
        <v>5000</v>
      </c>
      <c r="V129">
        <v>1.95</v>
      </c>
    </row>
    <row r="130" spans="4:22" x14ac:dyDescent="0.3">
      <c r="D130">
        <v>128</v>
      </c>
      <c r="E130">
        <v>11780</v>
      </c>
      <c r="F130" t="s">
        <v>145</v>
      </c>
      <c r="H130" s="1">
        <v>145700</v>
      </c>
      <c r="I130">
        <v>2</v>
      </c>
      <c r="J130">
        <v>200</v>
      </c>
      <c r="K130">
        <v>0.14000000000000001</v>
      </c>
      <c r="L130" s="1">
        <v>5997</v>
      </c>
      <c r="M130">
        <v>876</v>
      </c>
      <c r="N130" s="1">
        <v>146186</v>
      </c>
      <c r="O130" s="1">
        <v>149800</v>
      </c>
      <c r="P130" s="1">
        <v>149800</v>
      </c>
      <c r="Q130" s="1">
        <v>145600</v>
      </c>
      <c r="R130" t="s">
        <v>710</v>
      </c>
      <c r="S130" s="3">
        <v>0.3558796296296296</v>
      </c>
      <c r="T130" s="1">
        <v>145500</v>
      </c>
      <c r="U130">
        <v>200</v>
      </c>
      <c r="V130">
        <v>0.14000000000000001</v>
      </c>
    </row>
    <row r="131" spans="4:22" x14ac:dyDescent="0.3">
      <c r="D131">
        <v>129</v>
      </c>
      <c r="E131">
        <v>36460</v>
      </c>
      <c r="F131" t="s">
        <v>146</v>
      </c>
      <c r="H131" s="1">
        <v>40650</v>
      </c>
      <c r="I131">
        <v>2</v>
      </c>
      <c r="J131">
        <v>400</v>
      </c>
      <c r="K131">
        <v>0.99</v>
      </c>
      <c r="L131" s="1">
        <v>99076</v>
      </c>
      <c r="M131" s="1">
        <v>4028</v>
      </c>
      <c r="N131" s="1">
        <v>40652</v>
      </c>
      <c r="O131" s="1">
        <v>40450</v>
      </c>
      <c r="P131" s="1">
        <v>41400</v>
      </c>
      <c r="Q131" s="1">
        <v>40400</v>
      </c>
      <c r="R131" t="s">
        <v>710</v>
      </c>
      <c r="S131" s="3">
        <v>0.35357638888888893</v>
      </c>
      <c r="T131" s="1">
        <v>40250</v>
      </c>
      <c r="U131">
        <v>400</v>
      </c>
      <c r="V131">
        <v>0.99</v>
      </c>
    </row>
    <row r="132" spans="4:22" x14ac:dyDescent="0.3">
      <c r="D132">
        <v>130</v>
      </c>
      <c r="E132">
        <v>111770</v>
      </c>
      <c r="F132" t="s">
        <v>147</v>
      </c>
      <c r="H132" s="1">
        <v>83800</v>
      </c>
      <c r="I132">
        <v>5</v>
      </c>
      <c r="J132" s="1">
        <v>1000</v>
      </c>
      <c r="K132">
        <v>-1.18</v>
      </c>
      <c r="L132" s="1">
        <v>1123</v>
      </c>
      <c r="M132">
        <v>94</v>
      </c>
      <c r="N132" s="1">
        <v>83648</v>
      </c>
      <c r="O132" s="1">
        <v>82500</v>
      </c>
      <c r="P132" s="1">
        <v>84400</v>
      </c>
      <c r="Q132" s="1">
        <v>82500</v>
      </c>
      <c r="R132" t="s">
        <v>710</v>
      </c>
      <c r="S132" s="3">
        <v>0.35297453703703702</v>
      </c>
      <c r="T132" s="1">
        <v>84800</v>
      </c>
      <c r="U132" s="1">
        <v>-1000</v>
      </c>
      <c r="V132">
        <v>-1.18</v>
      </c>
    </row>
    <row r="133" spans="4:22" x14ac:dyDescent="0.3">
      <c r="D133">
        <v>131</v>
      </c>
      <c r="E133">
        <v>39030</v>
      </c>
      <c r="F133" t="s">
        <v>148</v>
      </c>
      <c r="H133" s="1">
        <v>299000</v>
      </c>
      <c r="I133">
        <v>2</v>
      </c>
      <c r="J133" s="1">
        <v>6500</v>
      </c>
      <c r="K133">
        <v>2.2200000000000002</v>
      </c>
      <c r="L133" s="1">
        <v>8827</v>
      </c>
      <c r="M133" s="1">
        <v>2639</v>
      </c>
      <c r="N133" s="1">
        <v>298957</v>
      </c>
      <c r="O133" s="1">
        <v>295500</v>
      </c>
      <c r="P133" s="1">
        <v>301000</v>
      </c>
      <c r="Q133" s="1">
        <v>295500</v>
      </c>
      <c r="R133" t="s">
        <v>710</v>
      </c>
      <c r="S133" s="3">
        <v>0.35363425925925923</v>
      </c>
      <c r="T133" s="1">
        <v>292500</v>
      </c>
      <c r="U133" s="1">
        <v>6500</v>
      </c>
      <c r="V133">
        <v>2.2200000000000002</v>
      </c>
    </row>
    <row r="134" spans="4:22" x14ac:dyDescent="0.3">
      <c r="D134">
        <v>132</v>
      </c>
      <c r="E134">
        <v>17800</v>
      </c>
      <c r="F134" t="s">
        <v>149</v>
      </c>
      <c r="H134" s="1">
        <v>93000</v>
      </c>
      <c r="I134">
        <v>2</v>
      </c>
      <c r="J134">
        <v>500</v>
      </c>
      <c r="K134">
        <v>0.54</v>
      </c>
      <c r="L134" s="1">
        <v>10191</v>
      </c>
      <c r="M134">
        <v>948</v>
      </c>
      <c r="N134" s="1">
        <v>92998</v>
      </c>
      <c r="O134" s="1">
        <v>92800</v>
      </c>
      <c r="P134" s="1">
        <v>93300</v>
      </c>
      <c r="Q134" s="1">
        <v>92600</v>
      </c>
      <c r="R134" t="s">
        <v>710</v>
      </c>
      <c r="S134" s="3">
        <v>0.35362268518518519</v>
      </c>
      <c r="T134" s="1">
        <v>92500</v>
      </c>
      <c r="U134">
        <v>500</v>
      </c>
      <c r="V134">
        <v>0.54</v>
      </c>
    </row>
    <row r="135" spans="4:22" x14ac:dyDescent="0.3">
      <c r="D135">
        <v>133</v>
      </c>
      <c r="E135">
        <v>347850</v>
      </c>
      <c r="F135" t="s">
        <v>150</v>
      </c>
      <c r="H135" s="1">
        <v>81200</v>
      </c>
      <c r="I135">
        <v>2</v>
      </c>
      <c r="J135" s="1">
        <v>1100</v>
      </c>
      <c r="K135">
        <v>1.37</v>
      </c>
      <c r="L135" s="1">
        <v>107431</v>
      </c>
      <c r="M135" s="1">
        <v>8721</v>
      </c>
      <c r="N135" s="1">
        <v>81176</v>
      </c>
      <c r="O135" s="1">
        <v>82100</v>
      </c>
      <c r="P135" s="1">
        <v>83400</v>
      </c>
      <c r="Q135" s="1">
        <v>80300</v>
      </c>
      <c r="R135" t="s">
        <v>710</v>
      </c>
      <c r="S135" s="3">
        <v>0.3536111111111111</v>
      </c>
      <c r="T135" s="1">
        <v>80100</v>
      </c>
      <c r="U135" s="1">
        <v>1100</v>
      </c>
      <c r="V135">
        <v>1.37</v>
      </c>
    </row>
    <row r="136" spans="4:22" x14ac:dyDescent="0.3">
      <c r="D136">
        <v>134</v>
      </c>
      <c r="E136">
        <v>204320</v>
      </c>
      <c r="F136" t="s">
        <v>151</v>
      </c>
      <c r="H136" s="1">
        <v>74600</v>
      </c>
      <c r="I136">
        <v>2</v>
      </c>
      <c r="J136" s="1">
        <v>3200</v>
      </c>
      <c r="K136">
        <v>4.4800000000000004</v>
      </c>
      <c r="L136" s="1">
        <v>1233959</v>
      </c>
      <c r="M136" s="1">
        <v>91675</v>
      </c>
      <c r="N136" s="1">
        <v>74293</v>
      </c>
      <c r="O136" s="1">
        <v>74700</v>
      </c>
      <c r="P136" s="1">
        <v>76700</v>
      </c>
      <c r="Q136" s="1">
        <v>72800</v>
      </c>
      <c r="R136" t="s">
        <v>710</v>
      </c>
      <c r="S136" s="3">
        <v>0.35365740740740742</v>
      </c>
      <c r="T136" s="1">
        <v>71400</v>
      </c>
      <c r="U136" s="1">
        <v>3200</v>
      </c>
      <c r="V136">
        <v>4.4800000000000004</v>
      </c>
    </row>
    <row r="137" spans="4:22" x14ac:dyDescent="0.3">
      <c r="D137">
        <v>135</v>
      </c>
      <c r="E137">
        <v>31210</v>
      </c>
      <c r="F137" t="s">
        <v>152</v>
      </c>
      <c r="H137" s="1">
        <v>49500</v>
      </c>
      <c r="I137">
        <v>2</v>
      </c>
      <c r="J137">
        <v>150</v>
      </c>
      <c r="K137">
        <v>0.3</v>
      </c>
      <c r="L137" s="1">
        <v>1044</v>
      </c>
      <c r="M137">
        <v>52</v>
      </c>
      <c r="N137" s="1">
        <v>49573</v>
      </c>
      <c r="O137" s="1">
        <v>49300</v>
      </c>
      <c r="P137" s="1">
        <v>49750</v>
      </c>
      <c r="Q137" s="1">
        <v>49300</v>
      </c>
      <c r="R137" t="s">
        <v>710</v>
      </c>
      <c r="S137" s="3">
        <v>0.35199074074074077</v>
      </c>
      <c r="T137" s="1">
        <v>49350</v>
      </c>
      <c r="U137">
        <v>150</v>
      </c>
      <c r="V137">
        <v>0.3</v>
      </c>
    </row>
    <row r="138" spans="4:22" x14ac:dyDescent="0.3">
      <c r="D138">
        <v>136</v>
      </c>
      <c r="E138">
        <v>103140</v>
      </c>
      <c r="F138" t="s">
        <v>153</v>
      </c>
      <c r="H138" s="1">
        <v>121800</v>
      </c>
      <c r="I138">
        <v>5</v>
      </c>
      <c r="J138">
        <v>300</v>
      </c>
      <c r="K138">
        <v>-0.25</v>
      </c>
      <c r="L138" s="1">
        <v>30978</v>
      </c>
      <c r="M138" s="1">
        <v>3788</v>
      </c>
      <c r="N138" s="1">
        <v>122295</v>
      </c>
      <c r="O138" s="1">
        <v>122700</v>
      </c>
      <c r="P138" s="1">
        <v>124000</v>
      </c>
      <c r="Q138" s="1">
        <v>121800</v>
      </c>
      <c r="R138" t="s">
        <v>710</v>
      </c>
      <c r="S138" s="3">
        <v>0.35359953703703706</v>
      </c>
      <c r="T138" s="1">
        <v>122100</v>
      </c>
      <c r="U138">
        <v>-300</v>
      </c>
      <c r="V138">
        <v>-0.25</v>
      </c>
    </row>
    <row r="139" spans="4:22" x14ac:dyDescent="0.3">
      <c r="D139">
        <v>137</v>
      </c>
      <c r="E139">
        <v>18880</v>
      </c>
      <c r="F139" t="s">
        <v>154</v>
      </c>
      <c r="H139" s="1">
        <v>3325</v>
      </c>
      <c r="I139">
        <v>2</v>
      </c>
      <c r="J139">
        <v>75</v>
      </c>
      <c r="K139">
        <v>2.31</v>
      </c>
      <c r="L139" s="1">
        <v>1745686</v>
      </c>
      <c r="M139" s="1">
        <v>5800</v>
      </c>
      <c r="N139" s="1">
        <v>3322</v>
      </c>
      <c r="O139" s="1">
        <v>3310</v>
      </c>
      <c r="P139" s="1">
        <v>3360</v>
      </c>
      <c r="Q139" s="1">
        <v>3290</v>
      </c>
      <c r="R139" t="s">
        <v>710</v>
      </c>
      <c r="S139" s="3">
        <v>0.35365740740740742</v>
      </c>
      <c r="T139" s="1">
        <v>3250</v>
      </c>
      <c r="U139">
        <v>75</v>
      </c>
      <c r="V139">
        <v>2.31</v>
      </c>
    </row>
    <row r="140" spans="4:22" x14ac:dyDescent="0.3">
      <c r="D140">
        <v>138</v>
      </c>
      <c r="E140" t="s">
        <v>712</v>
      </c>
      <c r="F140" t="s">
        <v>155</v>
      </c>
      <c r="H140" s="1">
        <v>52200</v>
      </c>
      <c r="I140">
        <v>2</v>
      </c>
      <c r="J140" s="1">
        <v>1200</v>
      </c>
      <c r="K140">
        <v>2.35</v>
      </c>
      <c r="L140" s="1">
        <v>31639</v>
      </c>
      <c r="M140" s="1">
        <v>1657</v>
      </c>
      <c r="N140" s="1">
        <v>52382</v>
      </c>
      <c r="O140" s="1">
        <v>51800</v>
      </c>
      <c r="P140" s="1">
        <v>52900</v>
      </c>
      <c r="Q140" s="1">
        <v>51300</v>
      </c>
      <c r="R140" t="s">
        <v>710</v>
      </c>
      <c r="S140" s="3">
        <v>0.35362268518518519</v>
      </c>
      <c r="T140" s="1">
        <v>51000</v>
      </c>
      <c r="U140" s="1">
        <v>1200</v>
      </c>
      <c r="V140">
        <v>2.35</v>
      </c>
    </row>
    <row r="141" spans="4:22" x14ac:dyDescent="0.3">
      <c r="D141">
        <v>139</v>
      </c>
      <c r="E141">
        <v>5850</v>
      </c>
      <c r="F141" t="s">
        <v>156</v>
      </c>
      <c r="H141" s="1">
        <v>71700</v>
      </c>
      <c r="I141">
        <v>2</v>
      </c>
      <c r="J141" s="1">
        <v>6900</v>
      </c>
      <c r="K141">
        <v>10.65</v>
      </c>
      <c r="L141" s="1">
        <v>715901</v>
      </c>
      <c r="M141" s="1">
        <v>51063</v>
      </c>
      <c r="N141" s="1">
        <v>71326</v>
      </c>
      <c r="O141" s="1">
        <v>67800</v>
      </c>
      <c r="P141" s="1">
        <v>73900</v>
      </c>
      <c r="Q141" s="1">
        <v>67600</v>
      </c>
      <c r="R141" t="s">
        <v>710</v>
      </c>
      <c r="S141" s="3">
        <v>0.35364583333333338</v>
      </c>
      <c r="T141" s="1">
        <v>64800</v>
      </c>
      <c r="U141" s="1">
        <v>6900</v>
      </c>
      <c r="V141">
        <v>10.65</v>
      </c>
    </row>
    <row r="142" spans="4:22" x14ac:dyDescent="0.3">
      <c r="D142">
        <v>140</v>
      </c>
      <c r="E142">
        <v>310210</v>
      </c>
      <c r="F142" t="s">
        <v>157</v>
      </c>
      <c r="H142" s="1">
        <v>180800</v>
      </c>
      <c r="I142">
        <v>2</v>
      </c>
      <c r="J142" s="1">
        <v>1100</v>
      </c>
      <c r="K142">
        <v>0.61</v>
      </c>
      <c r="L142" s="1">
        <v>3131</v>
      </c>
      <c r="M142">
        <v>566</v>
      </c>
      <c r="N142" s="1">
        <v>180740</v>
      </c>
      <c r="O142" s="1">
        <v>181000</v>
      </c>
      <c r="P142" s="1">
        <v>183500</v>
      </c>
      <c r="Q142" s="1">
        <v>179700</v>
      </c>
      <c r="R142" t="s">
        <v>710</v>
      </c>
      <c r="S142" s="3">
        <v>0.35358796296296297</v>
      </c>
      <c r="T142" s="1">
        <v>179700</v>
      </c>
      <c r="U142" s="1">
        <v>1100</v>
      </c>
      <c r="V142">
        <v>0.61</v>
      </c>
    </row>
    <row r="143" spans="4:22" x14ac:dyDescent="0.3">
      <c r="D143">
        <v>141</v>
      </c>
      <c r="E143">
        <v>30530</v>
      </c>
      <c r="F143" t="s">
        <v>158</v>
      </c>
      <c r="H143" s="1">
        <v>42300</v>
      </c>
      <c r="I143">
        <v>2</v>
      </c>
      <c r="J143">
        <v>800</v>
      </c>
      <c r="K143">
        <v>1.93</v>
      </c>
      <c r="L143" s="1">
        <v>344059</v>
      </c>
      <c r="M143" s="1">
        <v>14643</v>
      </c>
      <c r="N143" s="1">
        <v>42560</v>
      </c>
      <c r="O143" s="1">
        <v>42800</v>
      </c>
      <c r="P143" s="1">
        <v>43100</v>
      </c>
      <c r="Q143" s="1">
        <v>41500</v>
      </c>
      <c r="R143" t="s">
        <v>710</v>
      </c>
      <c r="S143" s="3">
        <v>0.35364583333333338</v>
      </c>
      <c r="T143" s="1">
        <v>41500</v>
      </c>
      <c r="U143">
        <v>800</v>
      </c>
      <c r="V143">
        <v>1.93</v>
      </c>
    </row>
    <row r="144" spans="4:22" x14ac:dyDescent="0.3">
      <c r="D144">
        <v>142</v>
      </c>
      <c r="E144">
        <v>97950</v>
      </c>
      <c r="F144" t="s">
        <v>159</v>
      </c>
      <c r="H144" s="1">
        <v>212500</v>
      </c>
      <c r="I144">
        <v>5</v>
      </c>
      <c r="J144">
        <v>500</v>
      </c>
      <c r="K144">
        <v>-0.23</v>
      </c>
      <c r="L144" s="1">
        <v>1556</v>
      </c>
      <c r="M144">
        <v>331</v>
      </c>
      <c r="N144" s="1">
        <v>212641</v>
      </c>
      <c r="O144" s="1">
        <v>213000</v>
      </c>
      <c r="P144" s="1">
        <v>213500</v>
      </c>
      <c r="Q144" s="1">
        <v>212000</v>
      </c>
      <c r="R144" t="s">
        <v>710</v>
      </c>
      <c r="S144" s="3">
        <v>0.35341435185185183</v>
      </c>
      <c r="T144" s="1">
        <v>213000</v>
      </c>
      <c r="U144">
        <v>-500</v>
      </c>
      <c r="V144">
        <v>-0.23</v>
      </c>
    </row>
    <row r="145" spans="4:22" x14ac:dyDescent="0.3">
      <c r="D145">
        <v>143</v>
      </c>
      <c r="E145">
        <v>71970</v>
      </c>
      <c r="F145" t="s">
        <v>160</v>
      </c>
      <c r="H145" s="1">
        <v>94300</v>
      </c>
      <c r="I145">
        <v>2</v>
      </c>
      <c r="J145" s="1">
        <v>1200</v>
      </c>
      <c r="K145">
        <v>1.29</v>
      </c>
      <c r="L145" s="1">
        <v>13888</v>
      </c>
      <c r="M145" s="1">
        <v>1305</v>
      </c>
      <c r="N145" s="1">
        <v>94001</v>
      </c>
      <c r="O145" s="1">
        <v>95000</v>
      </c>
      <c r="P145" s="1">
        <v>95000</v>
      </c>
      <c r="Q145" s="1">
        <v>93400</v>
      </c>
      <c r="R145" t="s">
        <v>710</v>
      </c>
      <c r="S145" s="3">
        <v>0.35359953703703706</v>
      </c>
      <c r="T145" s="1">
        <v>93100</v>
      </c>
      <c r="U145" s="1">
        <v>1200</v>
      </c>
      <c r="V145">
        <v>1.29</v>
      </c>
    </row>
    <row r="146" spans="4:22" x14ac:dyDescent="0.3">
      <c r="D146">
        <v>144</v>
      </c>
      <c r="E146">
        <v>11170</v>
      </c>
      <c r="F146" t="s">
        <v>161</v>
      </c>
      <c r="H146" s="1">
        <v>73500</v>
      </c>
      <c r="I146">
        <v>2</v>
      </c>
      <c r="J146">
        <v>400</v>
      </c>
      <c r="K146">
        <v>0.55000000000000004</v>
      </c>
      <c r="L146" s="1">
        <v>4650</v>
      </c>
      <c r="M146">
        <v>341</v>
      </c>
      <c r="N146" s="1">
        <v>73350</v>
      </c>
      <c r="O146" s="1">
        <v>73400</v>
      </c>
      <c r="P146" s="1">
        <v>73600</v>
      </c>
      <c r="Q146" s="1">
        <v>73100</v>
      </c>
      <c r="R146" t="s">
        <v>710</v>
      </c>
      <c r="S146" s="3">
        <v>0.35358796296296297</v>
      </c>
      <c r="T146" s="1">
        <v>73100</v>
      </c>
      <c r="U146">
        <v>400</v>
      </c>
      <c r="V146">
        <v>0.55000000000000004</v>
      </c>
    </row>
    <row r="147" spans="4:22" x14ac:dyDescent="0.3">
      <c r="D147">
        <v>145</v>
      </c>
      <c r="E147">
        <v>4990</v>
      </c>
      <c r="F147" t="s">
        <v>162</v>
      </c>
      <c r="H147" s="1">
        <v>29000</v>
      </c>
      <c r="I147">
        <v>2</v>
      </c>
      <c r="J147">
        <v>150</v>
      </c>
      <c r="K147">
        <v>0.52</v>
      </c>
      <c r="L147" s="1">
        <v>39460</v>
      </c>
      <c r="M147" s="1">
        <v>1146</v>
      </c>
      <c r="N147" s="1">
        <v>29036</v>
      </c>
      <c r="O147" s="1">
        <v>29000</v>
      </c>
      <c r="P147" s="1">
        <v>29200</v>
      </c>
      <c r="Q147" s="1">
        <v>29000</v>
      </c>
      <c r="R147" t="s">
        <v>710</v>
      </c>
      <c r="S147" s="3">
        <v>0.35342592592592598</v>
      </c>
      <c r="T147" s="1">
        <v>28850</v>
      </c>
      <c r="U147">
        <v>150</v>
      </c>
      <c r="V147">
        <v>0.52</v>
      </c>
    </row>
    <row r="148" spans="4:22" x14ac:dyDescent="0.3">
      <c r="D148">
        <v>146</v>
      </c>
      <c r="E148">
        <v>140410</v>
      </c>
      <c r="F148" t="s">
        <v>163</v>
      </c>
      <c r="H148" s="1">
        <v>99900</v>
      </c>
      <c r="I148">
        <v>5</v>
      </c>
      <c r="J148">
        <v>800</v>
      </c>
      <c r="K148">
        <v>-0.79</v>
      </c>
      <c r="L148" s="1">
        <v>10463</v>
      </c>
      <c r="M148" s="1">
        <v>1047</v>
      </c>
      <c r="N148" s="1">
        <v>100094</v>
      </c>
      <c r="O148" s="1">
        <v>100500</v>
      </c>
      <c r="P148" s="1">
        <v>101800</v>
      </c>
      <c r="Q148" s="1">
        <v>99000</v>
      </c>
      <c r="R148" t="s">
        <v>710</v>
      </c>
      <c r="S148" s="3">
        <v>0.35363425925925923</v>
      </c>
      <c r="T148" s="1">
        <v>100700</v>
      </c>
      <c r="U148">
        <v>-800</v>
      </c>
      <c r="V148">
        <v>-0.79</v>
      </c>
    </row>
    <row r="149" spans="4:22" x14ac:dyDescent="0.3">
      <c r="D149">
        <v>147</v>
      </c>
      <c r="E149">
        <v>14680</v>
      </c>
      <c r="F149" t="s">
        <v>164</v>
      </c>
      <c r="H149" s="1">
        <v>266500</v>
      </c>
      <c r="I149">
        <v>2</v>
      </c>
      <c r="J149" s="1">
        <v>5000</v>
      </c>
      <c r="K149">
        <v>1.91</v>
      </c>
      <c r="L149" s="1">
        <v>2644</v>
      </c>
      <c r="M149">
        <v>706</v>
      </c>
      <c r="N149" s="1">
        <v>266946</v>
      </c>
      <c r="O149" s="1">
        <v>265000</v>
      </c>
      <c r="P149" s="1">
        <v>269500</v>
      </c>
      <c r="Q149" s="1">
        <v>265000</v>
      </c>
      <c r="R149" t="s">
        <v>710</v>
      </c>
      <c r="S149" s="3">
        <v>0.35355324074074074</v>
      </c>
      <c r="T149" s="1">
        <v>261500</v>
      </c>
      <c r="U149" s="1">
        <v>5000</v>
      </c>
      <c r="V149">
        <v>1.91</v>
      </c>
    </row>
    <row r="150" spans="4:22" x14ac:dyDescent="0.3">
      <c r="D150">
        <v>148</v>
      </c>
      <c r="E150">
        <v>12750</v>
      </c>
      <c r="F150" t="s">
        <v>165</v>
      </c>
      <c r="H150" s="1">
        <v>78300</v>
      </c>
      <c r="I150">
        <v>5</v>
      </c>
      <c r="J150" s="1">
        <v>1200</v>
      </c>
      <c r="K150">
        <v>-1.51</v>
      </c>
      <c r="L150" s="1">
        <v>1016</v>
      </c>
      <c r="M150">
        <v>79</v>
      </c>
      <c r="N150" s="1">
        <v>78231</v>
      </c>
      <c r="O150" s="1">
        <v>79500</v>
      </c>
      <c r="P150" s="1">
        <v>79500</v>
      </c>
      <c r="Q150" s="1">
        <v>77300</v>
      </c>
      <c r="R150" t="s">
        <v>710</v>
      </c>
      <c r="S150" s="3">
        <v>0.3536111111111111</v>
      </c>
      <c r="T150" s="1">
        <v>79500</v>
      </c>
      <c r="U150" s="1">
        <v>-1200</v>
      </c>
      <c r="V150">
        <v>-1.51</v>
      </c>
    </row>
    <row r="151" spans="4:22" x14ac:dyDescent="0.3">
      <c r="D151">
        <v>149</v>
      </c>
      <c r="E151">
        <v>103590</v>
      </c>
      <c r="F151" t="s">
        <v>166</v>
      </c>
      <c r="H151" s="1">
        <v>61500</v>
      </c>
      <c r="I151">
        <v>2</v>
      </c>
      <c r="J151">
        <v>400</v>
      </c>
      <c r="K151">
        <v>0.65</v>
      </c>
      <c r="L151" s="1">
        <v>44411</v>
      </c>
      <c r="M151" s="1">
        <v>2746</v>
      </c>
      <c r="N151" s="1">
        <v>61837</v>
      </c>
      <c r="O151" s="1">
        <v>61300</v>
      </c>
      <c r="P151" s="1">
        <v>62300</v>
      </c>
      <c r="Q151" s="1">
        <v>61300</v>
      </c>
      <c r="R151" t="s">
        <v>710</v>
      </c>
      <c r="S151" s="3">
        <v>0.35901620370370368</v>
      </c>
      <c r="T151" s="1">
        <v>61100</v>
      </c>
      <c r="U151">
        <v>400</v>
      </c>
      <c r="V151">
        <v>0.65</v>
      </c>
    </row>
    <row r="152" spans="4:22" x14ac:dyDescent="0.3">
      <c r="D152">
        <v>150</v>
      </c>
      <c r="E152">
        <v>12510</v>
      </c>
      <c r="F152" t="s">
        <v>167</v>
      </c>
      <c r="H152" s="1">
        <v>96100</v>
      </c>
      <c r="I152">
        <v>5</v>
      </c>
      <c r="J152">
        <v>900</v>
      </c>
      <c r="K152">
        <v>-0.93</v>
      </c>
      <c r="L152" s="1">
        <v>2599</v>
      </c>
      <c r="M152">
        <v>250</v>
      </c>
      <c r="N152" s="1">
        <v>96239</v>
      </c>
      <c r="O152" s="1">
        <v>96900</v>
      </c>
      <c r="P152" s="1">
        <v>96900</v>
      </c>
      <c r="Q152" s="1">
        <v>95800</v>
      </c>
      <c r="R152" t="s">
        <v>710</v>
      </c>
      <c r="S152" s="3">
        <v>0.35354166666666664</v>
      </c>
      <c r="T152" s="1">
        <v>97000</v>
      </c>
      <c r="U152">
        <v>-900</v>
      </c>
      <c r="V152">
        <v>-0.93</v>
      </c>
    </row>
    <row r="153" spans="4:22" x14ac:dyDescent="0.3">
      <c r="D153">
        <v>151</v>
      </c>
      <c r="E153">
        <v>257720</v>
      </c>
      <c r="F153" t="s">
        <v>168</v>
      </c>
      <c r="H153" s="1">
        <v>47300</v>
      </c>
      <c r="I153">
        <v>5</v>
      </c>
      <c r="J153">
        <v>350</v>
      </c>
      <c r="K153">
        <v>-0.73</v>
      </c>
      <c r="L153" s="1">
        <v>235883</v>
      </c>
      <c r="M153" s="1">
        <v>11140</v>
      </c>
      <c r="N153" s="1">
        <v>47227</v>
      </c>
      <c r="O153" s="1">
        <v>47900</v>
      </c>
      <c r="P153" s="1">
        <v>48350</v>
      </c>
      <c r="Q153" s="1">
        <v>46750</v>
      </c>
      <c r="R153" t="s">
        <v>710</v>
      </c>
      <c r="S153" s="3">
        <v>0.35901620370370368</v>
      </c>
      <c r="T153" s="1">
        <v>47650</v>
      </c>
      <c r="U153">
        <v>-350</v>
      </c>
      <c r="V153">
        <v>-0.73</v>
      </c>
    </row>
    <row r="154" spans="4:22" x14ac:dyDescent="0.3">
      <c r="D154">
        <v>152</v>
      </c>
      <c r="E154">
        <v>403870</v>
      </c>
      <c r="F154" t="s">
        <v>169</v>
      </c>
      <c r="H154" s="1">
        <v>34050</v>
      </c>
      <c r="I154">
        <v>2</v>
      </c>
      <c r="J154" s="1">
        <v>1200</v>
      </c>
      <c r="K154">
        <v>3.65</v>
      </c>
      <c r="L154" s="1">
        <v>169694</v>
      </c>
      <c r="M154" s="1">
        <v>5758</v>
      </c>
      <c r="N154" s="1">
        <v>33933</v>
      </c>
      <c r="O154" s="1">
        <v>33300</v>
      </c>
      <c r="P154" s="1">
        <v>34100</v>
      </c>
      <c r="Q154" s="1">
        <v>33300</v>
      </c>
      <c r="R154" t="s">
        <v>710</v>
      </c>
      <c r="S154" s="3">
        <v>0.35364583333333338</v>
      </c>
      <c r="T154" s="1">
        <v>32850</v>
      </c>
      <c r="U154" s="1">
        <v>1200</v>
      </c>
      <c r="V154">
        <v>3.65</v>
      </c>
    </row>
    <row r="155" spans="4:22" x14ac:dyDescent="0.3">
      <c r="D155">
        <v>153</v>
      </c>
      <c r="E155">
        <v>145020</v>
      </c>
      <c r="F155" t="s">
        <v>170</v>
      </c>
      <c r="H155" s="1">
        <v>231000</v>
      </c>
      <c r="I155">
        <v>2</v>
      </c>
      <c r="J155" s="1">
        <v>2000</v>
      </c>
      <c r="K155">
        <v>0.87</v>
      </c>
      <c r="L155" s="1">
        <v>2540</v>
      </c>
      <c r="M155">
        <v>586</v>
      </c>
      <c r="N155" s="1">
        <v>230626</v>
      </c>
      <c r="O155" s="1">
        <v>229500</v>
      </c>
      <c r="P155" s="1">
        <v>232500</v>
      </c>
      <c r="Q155" s="1">
        <v>229500</v>
      </c>
      <c r="R155" t="s">
        <v>710</v>
      </c>
      <c r="S155" s="3">
        <v>0.35340277777777779</v>
      </c>
      <c r="T155" s="1">
        <v>229000</v>
      </c>
      <c r="U155" s="1">
        <v>2000</v>
      </c>
      <c r="V155">
        <v>0.87</v>
      </c>
    </row>
    <row r="156" spans="4:22" x14ac:dyDescent="0.3">
      <c r="D156">
        <v>154</v>
      </c>
      <c r="E156">
        <v>457190</v>
      </c>
      <c r="F156" t="s">
        <v>171</v>
      </c>
      <c r="H156" s="1">
        <v>92600</v>
      </c>
      <c r="I156">
        <v>2</v>
      </c>
      <c r="J156" s="1">
        <v>4600</v>
      </c>
      <c r="K156">
        <v>5.23</v>
      </c>
      <c r="L156" s="1">
        <v>657894</v>
      </c>
      <c r="M156" s="1">
        <v>60671</v>
      </c>
      <c r="N156" s="1">
        <v>92219</v>
      </c>
      <c r="O156" s="1">
        <v>91000</v>
      </c>
      <c r="P156" s="1">
        <v>94600</v>
      </c>
      <c r="Q156" s="1">
        <v>89700</v>
      </c>
      <c r="R156" t="s">
        <v>710</v>
      </c>
      <c r="S156" s="3">
        <v>0.35364583333333338</v>
      </c>
      <c r="T156" s="1">
        <v>88000</v>
      </c>
      <c r="U156" s="1">
        <v>4600</v>
      </c>
      <c r="V156">
        <v>5.23</v>
      </c>
    </row>
    <row r="157" spans="4:22" x14ac:dyDescent="0.3">
      <c r="D157">
        <v>155</v>
      </c>
      <c r="E157">
        <v>4170</v>
      </c>
      <c r="F157" t="s">
        <v>172</v>
      </c>
      <c r="H157" s="1">
        <v>290000</v>
      </c>
      <c r="I157">
        <v>2</v>
      </c>
      <c r="J157">
        <v>500</v>
      </c>
      <c r="K157">
        <v>0.17</v>
      </c>
      <c r="L157" s="1">
        <v>1017</v>
      </c>
      <c r="M157">
        <v>295</v>
      </c>
      <c r="N157" s="1">
        <v>290286</v>
      </c>
      <c r="O157" s="1">
        <v>285000</v>
      </c>
      <c r="P157" s="1">
        <v>293000</v>
      </c>
      <c r="Q157" s="1">
        <v>285000</v>
      </c>
      <c r="R157" t="s">
        <v>710</v>
      </c>
      <c r="S157" s="3">
        <v>0.3532986111111111</v>
      </c>
      <c r="T157" s="1">
        <v>289500</v>
      </c>
      <c r="U157">
        <v>500</v>
      </c>
      <c r="V157">
        <v>0.17</v>
      </c>
    </row>
    <row r="158" spans="4:22" x14ac:dyDescent="0.3">
      <c r="D158">
        <v>156</v>
      </c>
      <c r="E158">
        <v>88350</v>
      </c>
      <c r="F158" t="s">
        <v>173</v>
      </c>
      <c r="H158" s="1">
        <v>3195</v>
      </c>
      <c r="I158">
        <v>2</v>
      </c>
      <c r="J158">
        <v>5</v>
      </c>
      <c r="K158">
        <v>0.16</v>
      </c>
      <c r="L158" s="1">
        <v>79012</v>
      </c>
      <c r="M158">
        <v>253</v>
      </c>
      <c r="N158" s="1">
        <v>3195</v>
      </c>
      <c r="O158" s="1">
        <v>3210</v>
      </c>
      <c r="P158" s="1">
        <v>3215</v>
      </c>
      <c r="Q158" s="1">
        <v>3190</v>
      </c>
      <c r="R158" t="s">
        <v>710</v>
      </c>
      <c r="S158" s="3">
        <v>0.35356481481481478</v>
      </c>
      <c r="T158" s="1">
        <v>3190</v>
      </c>
      <c r="U158">
        <v>5</v>
      </c>
      <c r="V158">
        <v>0.16</v>
      </c>
    </row>
    <row r="159" spans="4:22" x14ac:dyDescent="0.3">
      <c r="D159">
        <v>157</v>
      </c>
      <c r="E159">
        <v>263750</v>
      </c>
      <c r="F159" t="s">
        <v>174</v>
      </c>
      <c r="H159" s="1">
        <v>42600</v>
      </c>
      <c r="I159">
        <v>2</v>
      </c>
      <c r="J159" s="1">
        <v>2050</v>
      </c>
      <c r="K159">
        <v>5.0599999999999996</v>
      </c>
      <c r="L159" s="1">
        <v>56424</v>
      </c>
      <c r="M159" s="1">
        <v>2406</v>
      </c>
      <c r="N159" s="1">
        <v>42641</v>
      </c>
      <c r="O159" s="1">
        <v>41450</v>
      </c>
      <c r="P159" s="1">
        <v>44300</v>
      </c>
      <c r="Q159" s="1">
        <v>41450</v>
      </c>
      <c r="R159" t="s">
        <v>710</v>
      </c>
      <c r="S159" s="3">
        <v>0.35362268518518519</v>
      </c>
      <c r="T159" s="1">
        <v>40550</v>
      </c>
      <c r="U159" s="1">
        <v>2050</v>
      </c>
      <c r="V159">
        <v>5.0599999999999996</v>
      </c>
    </row>
    <row r="160" spans="4:22" x14ac:dyDescent="0.3">
      <c r="D160">
        <v>158</v>
      </c>
      <c r="E160">
        <v>1430</v>
      </c>
      <c r="F160" t="s">
        <v>175</v>
      </c>
      <c r="H160" s="1">
        <v>75600</v>
      </c>
      <c r="I160">
        <v>5</v>
      </c>
      <c r="J160">
        <v>900</v>
      </c>
      <c r="K160">
        <v>-1.18</v>
      </c>
      <c r="L160" s="1">
        <v>43532</v>
      </c>
      <c r="M160" s="1">
        <v>3322</v>
      </c>
      <c r="N160" s="1">
        <v>76316</v>
      </c>
      <c r="O160" s="1">
        <v>76500</v>
      </c>
      <c r="P160" s="1">
        <v>78000</v>
      </c>
      <c r="Q160" s="1">
        <v>75500</v>
      </c>
      <c r="R160" t="s">
        <v>710</v>
      </c>
      <c r="S160" s="3">
        <v>0.35358796296296297</v>
      </c>
      <c r="T160" s="1">
        <v>76500</v>
      </c>
      <c r="U160">
        <v>-900</v>
      </c>
      <c r="V160">
        <v>-1.18</v>
      </c>
    </row>
    <row r="161" spans="4:22" x14ac:dyDescent="0.3">
      <c r="D161">
        <v>159</v>
      </c>
      <c r="E161">
        <v>11210</v>
      </c>
      <c r="F161" t="s">
        <v>176</v>
      </c>
      <c r="H161" s="1">
        <v>97900</v>
      </c>
      <c r="I161">
        <v>2</v>
      </c>
      <c r="J161" s="1">
        <v>4200</v>
      </c>
      <c r="K161">
        <v>4.4800000000000004</v>
      </c>
      <c r="L161" s="1">
        <v>571540</v>
      </c>
      <c r="M161" s="1">
        <v>56268</v>
      </c>
      <c r="N161" s="1">
        <v>98450</v>
      </c>
      <c r="O161" s="1">
        <v>94500</v>
      </c>
      <c r="P161" s="1">
        <v>101800</v>
      </c>
      <c r="Q161" s="1">
        <v>94500</v>
      </c>
      <c r="R161" t="s">
        <v>710</v>
      </c>
      <c r="S161" s="3">
        <v>0.35901620370370368</v>
      </c>
      <c r="T161" s="1">
        <v>93700</v>
      </c>
      <c r="U161" s="1">
        <v>4200</v>
      </c>
      <c r="V161">
        <v>4.4800000000000004</v>
      </c>
    </row>
    <row r="162" spans="4:22" x14ac:dyDescent="0.3">
      <c r="D162">
        <v>160</v>
      </c>
      <c r="E162">
        <v>8930</v>
      </c>
      <c r="F162" t="s">
        <v>177</v>
      </c>
      <c r="H162" s="1">
        <v>39100</v>
      </c>
      <c r="I162">
        <v>2</v>
      </c>
      <c r="J162">
        <v>350</v>
      </c>
      <c r="K162">
        <v>0.9</v>
      </c>
      <c r="L162" s="1">
        <v>2361</v>
      </c>
      <c r="M162">
        <v>92</v>
      </c>
      <c r="N162" s="1">
        <v>39069</v>
      </c>
      <c r="O162" s="1">
        <v>39050</v>
      </c>
      <c r="P162" s="1">
        <v>39200</v>
      </c>
      <c r="Q162" s="1">
        <v>38800</v>
      </c>
      <c r="R162" t="s">
        <v>710</v>
      </c>
      <c r="S162" s="3">
        <v>0.35590277777777773</v>
      </c>
      <c r="T162" s="1">
        <v>38750</v>
      </c>
      <c r="U162">
        <v>350</v>
      </c>
      <c r="V162">
        <v>0.9</v>
      </c>
    </row>
    <row r="163" spans="4:22" x14ac:dyDescent="0.3">
      <c r="D163">
        <v>161</v>
      </c>
      <c r="E163">
        <v>51600</v>
      </c>
      <c r="F163" t="s">
        <v>178</v>
      </c>
      <c r="H163" s="1">
        <v>59200</v>
      </c>
      <c r="I163">
        <v>2</v>
      </c>
      <c r="J163" s="1">
        <v>1200</v>
      </c>
      <c r="K163">
        <v>2.0699999999999998</v>
      </c>
      <c r="L163" s="1">
        <v>52312</v>
      </c>
      <c r="M163" s="1">
        <v>3103</v>
      </c>
      <c r="N163" s="1">
        <v>59325</v>
      </c>
      <c r="O163" s="1">
        <v>60100</v>
      </c>
      <c r="P163" s="1">
        <v>61000</v>
      </c>
      <c r="Q163" s="1">
        <v>58900</v>
      </c>
      <c r="R163" t="s">
        <v>710</v>
      </c>
      <c r="S163" s="3">
        <v>0.35901620370370368</v>
      </c>
      <c r="T163" s="1">
        <v>58000</v>
      </c>
      <c r="U163" s="1">
        <v>1200</v>
      </c>
      <c r="V163">
        <v>2.0699999999999998</v>
      </c>
    </row>
    <row r="164" spans="4:22" x14ac:dyDescent="0.3">
      <c r="D164">
        <v>162</v>
      </c>
      <c r="E164">
        <v>357780</v>
      </c>
      <c r="F164" t="s">
        <v>179</v>
      </c>
      <c r="H164" s="1">
        <v>341500</v>
      </c>
      <c r="I164">
        <v>2</v>
      </c>
      <c r="J164" s="1">
        <v>2000</v>
      </c>
      <c r="K164">
        <v>0.59</v>
      </c>
      <c r="L164" s="1">
        <v>6466</v>
      </c>
      <c r="M164" s="1">
        <v>2222</v>
      </c>
      <c r="N164" s="1">
        <v>343639</v>
      </c>
      <c r="O164" s="1">
        <v>339500</v>
      </c>
      <c r="P164" s="1">
        <v>350500</v>
      </c>
      <c r="Q164" s="1">
        <v>339500</v>
      </c>
      <c r="R164" t="s">
        <v>710</v>
      </c>
      <c r="S164" s="3">
        <v>0.35365740740740742</v>
      </c>
      <c r="T164" s="1">
        <v>339500</v>
      </c>
      <c r="U164" s="1">
        <v>2000</v>
      </c>
      <c r="V164">
        <v>0.59</v>
      </c>
    </row>
    <row r="165" spans="4:22" x14ac:dyDescent="0.3">
      <c r="D165">
        <v>163</v>
      </c>
      <c r="E165">
        <v>68760</v>
      </c>
      <c r="F165" t="s">
        <v>180</v>
      </c>
      <c r="H165" s="1">
        <v>60500</v>
      </c>
      <c r="I165">
        <v>2</v>
      </c>
      <c r="J165">
        <v>400</v>
      </c>
      <c r="K165">
        <v>0.67</v>
      </c>
      <c r="L165" s="1">
        <v>7006</v>
      </c>
      <c r="M165">
        <v>424</v>
      </c>
      <c r="N165" s="1">
        <v>60503</v>
      </c>
      <c r="O165" s="1">
        <v>61400</v>
      </c>
      <c r="P165" s="1">
        <v>61400</v>
      </c>
      <c r="Q165" s="1">
        <v>60100</v>
      </c>
      <c r="R165" t="s">
        <v>710</v>
      </c>
      <c r="S165" s="3">
        <v>0.35335648148148152</v>
      </c>
      <c r="T165" s="1">
        <v>60100</v>
      </c>
      <c r="U165">
        <v>400</v>
      </c>
      <c r="V165">
        <v>0.67</v>
      </c>
    </row>
    <row r="166" spans="4:22" x14ac:dyDescent="0.3">
      <c r="D166">
        <v>164</v>
      </c>
      <c r="E166">
        <v>439260</v>
      </c>
      <c r="F166" t="s">
        <v>181</v>
      </c>
      <c r="H166" s="1">
        <v>68500</v>
      </c>
      <c r="I166">
        <v>2</v>
      </c>
      <c r="J166">
        <v>700</v>
      </c>
      <c r="K166">
        <v>1.03</v>
      </c>
      <c r="L166" s="1">
        <v>10638</v>
      </c>
      <c r="M166">
        <v>729</v>
      </c>
      <c r="N166" s="1">
        <v>68547</v>
      </c>
      <c r="O166" s="1">
        <v>68800</v>
      </c>
      <c r="P166" s="1">
        <v>69000</v>
      </c>
      <c r="Q166" s="1">
        <v>68300</v>
      </c>
      <c r="R166" t="s">
        <v>710</v>
      </c>
      <c r="S166" s="3">
        <v>0.35901620370370368</v>
      </c>
      <c r="T166" s="1">
        <v>67800</v>
      </c>
      <c r="U166">
        <v>700</v>
      </c>
      <c r="V166">
        <v>1.03</v>
      </c>
    </row>
    <row r="167" spans="4:22" x14ac:dyDescent="0.3">
      <c r="D167">
        <v>165</v>
      </c>
      <c r="E167">
        <v>489790</v>
      </c>
      <c r="F167" t="s">
        <v>182</v>
      </c>
      <c r="H167" s="1">
        <v>52300</v>
      </c>
      <c r="I167">
        <v>2</v>
      </c>
      <c r="J167" s="1">
        <v>1200</v>
      </c>
      <c r="K167">
        <v>2.35</v>
      </c>
      <c r="L167" s="1">
        <v>69636</v>
      </c>
      <c r="M167" s="1">
        <v>3640</v>
      </c>
      <c r="N167" s="1">
        <v>52272</v>
      </c>
      <c r="O167" s="1">
        <v>52000</v>
      </c>
      <c r="P167" s="1">
        <v>52500</v>
      </c>
      <c r="Q167" s="1">
        <v>51700</v>
      </c>
      <c r="R167" t="s">
        <v>710</v>
      </c>
      <c r="S167" s="3">
        <v>0.35590277777777773</v>
      </c>
      <c r="T167" s="1">
        <v>51100</v>
      </c>
      <c r="U167" s="1">
        <v>1200</v>
      </c>
      <c r="V167">
        <v>2.35</v>
      </c>
    </row>
    <row r="168" spans="4:22" x14ac:dyDescent="0.3">
      <c r="D168">
        <v>166</v>
      </c>
      <c r="E168">
        <v>240</v>
      </c>
      <c r="F168" t="s">
        <v>183</v>
      </c>
      <c r="H168" s="1">
        <v>27500</v>
      </c>
      <c r="I168">
        <v>2</v>
      </c>
      <c r="J168">
        <v>450</v>
      </c>
      <c r="K168">
        <v>1.66</v>
      </c>
      <c r="L168" s="1">
        <v>4064</v>
      </c>
      <c r="M168">
        <v>112</v>
      </c>
      <c r="N168" s="1">
        <v>27573</v>
      </c>
      <c r="O168" s="1">
        <v>27450</v>
      </c>
      <c r="P168" s="1">
        <v>27800</v>
      </c>
      <c r="Q168" s="1">
        <v>27350</v>
      </c>
      <c r="R168" t="s">
        <v>710</v>
      </c>
      <c r="S168" s="3">
        <v>0.35228009259259263</v>
      </c>
      <c r="T168" s="1">
        <v>27050</v>
      </c>
      <c r="U168">
        <v>450</v>
      </c>
      <c r="V168">
        <v>1.66</v>
      </c>
    </row>
    <row r="169" spans="4:22" x14ac:dyDescent="0.3">
      <c r="D169">
        <v>167</v>
      </c>
      <c r="E169">
        <v>26960</v>
      </c>
      <c r="F169" t="s">
        <v>184</v>
      </c>
      <c r="H169" s="1">
        <v>26000</v>
      </c>
      <c r="I169">
        <v>5</v>
      </c>
      <c r="J169">
        <v>100</v>
      </c>
      <c r="K169">
        <v>-0.38</v>
      </c>
      <c r="L169" s="1">
        <v>3699</v>
      </c>
      <c r="M169">
        <v>96</v>
      </c>
      <c r="N169" s="1">
        <v>25930</v>
      </c>
      <c r="O169" s="1">
        <v>26100</v>
      </c>
      <c r="P169" s="1">
        <v>26100</v>
      </c>
      <c r="Q169" s="1">
        <v>25850</v>
      </c>
      <c r="R169" t="s">
        <v>710</v>
      </c>
      <c r="S169" s="3">
        <v>0.35332175925925924</v>
      </c>
      <c r="T169" s="1">
        <v>26100</v>
      </c>
      <c r="U169">
        <v>-100</v>
      </c>
      <c r="V169">
        <v>-0.38</v>
      </c>
    </row>
    <row r="170" spans="4:22" x14ac:dyDescent="0.3">
      <c r="D170">
        <v>168</v>
      </c>
      <c r="E170">
        <v>9970</v>
      </c>
      <c r="F170" t="s">
        <v>185</v>
      </c>
      <c r="H170" s="1">
        <v>191600</v>
      </c>
      <c r="I170">
        <v>5</v>
      </c>
      <c r="J170" s="1">
        <v>2400</v>
      </c>
      <c r="K170">
        <v>-1.24</v>
      </c>
      <c r="L170">
        <v>359</v>
      </c>
      <c r="M170">
        <v>69</v>
      </c>
      <c r="N170" s="1">
        <v>191627</v>
      </c>
      <c r="O170" s="1">
        <v>190400</v>
      </c>
      <c r="P170" s="1">
        <v>192300</v>
      </c>
      <c r="Q170" s="1">
        <v>190200</v>
      </c>
      <c r="R170" t="s">
        <v>710</v>
      </c>
      <c r="S170" s="3">
        <v>0.35350694444444447</v>
      </c>
      <c r="T170" s="1">
        <v>194000</v>
      </c>
      <c r="U170" s="1">
        <v>-2400</v>
      </c>
      <c r="V170">
        <v>-1.24</v>
      </c>
    </row>
    <row r="171" spans="4:22" x14ac:dyDescent="0.3">
      <c r="D171">
        <v>169</v>
      </c>
      <c r="E171">
        <v>4800</v>
      </c>
      <c r="F171" t="s">
        <v>186</v>
      </c>
      <c r="H171" s="1">
        <v>153600</v>
      </c>
      <c r="I171">
        <v>2</v>
      </c>
      <c r="J171" s="1">
        <v>2400</v>
      </c>
      <c r="K171">
        <v>1.59</v>
      </c>
      <c r="L171" s="1">
        <v>2406</v>
      </c>
      <c r="M171">
        <v>373</v>
      </c>
      <c r="N171" s="1">
        <v>154896</v>
      </c>
      <c r="O171" s="1">
        <v>151200</v>
      </c>
      <c r="P171" s="1">
        <v>157000</v>
      </c>
      <c r="Q171" s="1">
        <v>151200</v>
      </c>
      <c r="R171" t="s">
        <v>710</v>
      </c>
      <c r="S171" s="3">
        <v>0.35364583333333338</v>
      </c>
      <c r="T171" s="1">
        <v>151200</v>
      </c>
      <c r="U171" s="1">
        <v>2400</v>
      </c>
      <c r="V171">
        <v>1.59</v>
      </c>
    </row>
    <row r="172" spans="4:22" x14ac:dyDescent="0.3">
      <c r="D172">
        <v>170</v>
      </c>
      <c r="E172">
        <v>383220</v>
      </c>
      <c r="F172" t="s">
        <v>187</v>
      </c>
      <c r="H172" s="1">
        <v>65900</v>
      </c>
      <c r="I172">
        <v>2</v>
      </c>
      <c r="J172">
        <v>200</v>
      </c>
      <c r="K172">
        <v>0.3</v>
      </c>
      <c r="L172" s="1">
        <v>2995</v>
      </c>
      <c r="M172">
        <v>197</v>
      </c>
      <c r="N172" s="1">
        <v>65622</v>
      </c>
      <c r="O172" s="1">
        <v>65800</v>
      </c>
      <c r="P172" s="1">
        <v>66400</v>
      </c>
      <c r="Q172" s="1">
        <v>65400</v>
      </c>
      <c r="R172" t="s">
        <v>710</v>
      </c>
      <c r="S172" s="3">
        <v>0.35336805555555556</v>
      </c>
      <c r="T172" s="1">
        <v>65700</v>
      </c>
      <c r="U172">
        <v>200</v>
      </c>
      <c r="V172">
        <v>0.3</v>
      </c>
    </row>
    <row r="173" spans="4:22" x14ac:dyDescent="0.3">
      <c r="D173">
        <v>171</v>
      </c>
      <c r="E173">
        <v>353200</v>
      </c>
      <c r="F173" t="s">
        <v>188</v>
      </c>
      <c r="H173" s="1">
        <v>51000</v>
      </c>
      <c r="I173">
        <v>2</v>
      </c>
      <c r="J173" s="1">
        <v>1450</v>
      </c>
      <c r="K173">
        <v>2.93</v>
      </c>
      <c r="L173" s="1">
        <v>108801</v>
      </c>
      <c r="M173" s="1">
        <v>5565</v>
      </c>
      <c r="N173" s="1">
        <v>51149</v>
      </c>
      <c r="O173" s="1">
        <v>50900</v>
      </c>
      <c r="P173" s="1">
        <v>51500</v>
      </c>
      <c r="Q173" s="1">
        <v>50200</v>
      </c>
      <c r="R173" t="s">
        <v>710</v>
      </c>
      <c r="S173" s="3">
        <v>0.35362268518518519</v>
      </c>
      <c r="T173" s="1">
        <v>49550</v>
      </c>
      <c r="U173" s="1">
        <v>1450</v>
      </c>
      <c r="V173">
        <v>2.93</v>
      </c>
    </row>
    <row r="174" spans="4:22" x14ac:dyDescent="0.3">
      <c r="D174">
        <v>172</v>
      </c>
      <c r="E174">
        <v>41510</v>
      </c>
      <c r="F174" t="s">
        <v>189</v>
      </c>
      <c r="H174" s="1">
        <v>109200</v>
      </c>
      <c r="I174">
        <v>2</v>
      </c>
      <c r="J174">
        <v>400</v>
      </c>
      <c r="K174">
        <v>0.37</v>
      </c>
      <c r="L174" s="1">
        <v>7710</v>
      </c>
      <c r="M174">
        <v>843</v>
      </c>
      <c r="N174" s="1">
        <v>109327</v>
      </c>
      <c r="O174" s="1">
        <v>109800</v>
      </c>
      <c r="P174" s="1">
        <v>109800</v>
      </c>
      <c r="Q174" s="1">
        <v>109100</v>
      </c>
      <c r="R174" t="s">
        <v>710</v>
      </c>
      <c r="S174" s="3">
        <v>0.35362268518518519</v>
      </c>
      <c r="T174" s="1">
        <v>108800</v>
      </c>
      <c r="U174">
        <v>400</v>
      </c>
      <c r="V174">
        <v>0.37</v>
      </c>
    </row>
    <row r="175" spans="4:22" x14ac:dyDescent="0.3">
      <c r="D175">
        <v>173</v>
      </c>
      <c r="E175">
        <v>58610</v>
      </c>
      <c r="F175" t="s">
        <v>190</v>
      </c>
      <c r="H175" s="1">
        <v>112400</v>
      </c>
      <c r="I175">
        <v>2</v>
      </c>
      <c r="J175" s="1">
        <v>1600</v>
      </c>
      <c r="K175">
        <v>1.44</v>
      </c>
      <c r="L175" s="1">
        <v>290118</v>
      </c>
      <c r="M175" s="1">
        <v>32903</v>
      </c>
      <c r="N175" s="1">
        <v>113413</v>
      </c>
      <c r="O175" s="1">
        <v>112300</v>
      </c>
      <c r="P175" s="1">
        <v>114900</v>
      </c>
      <c r="Q175" s="1">
        <v>111800</v>
      </c>
      <c r="R175" t="s">
        <v>710</v>
      </c>
      <c r="S175" s="3">
        <v>0.35901620370370368</v>
      </c>
      <c r="T175" s="1">
        <v>110800</v>
      </c>
      <c r="U175" s="1">
        <v>1600</v>
      </c>
      <c r="V175">
        <v>1.44</v>
      </c>
    </row>
    <row r="176" spans="4:22" x14ac:dyDescent="0.3">
      <c r="D176">
        <v>174</v>
      </c>
      <c r="E176">
        <v>4370</v>
      </c>
      <c r="F176" t="s">
        <v>191</v>
      </c>
      <c r="H176" s="1">
        <v>407500</v>
      </c>
      <c r="I176">
        <v>2</v>
      </c>
      <c r="J176" s="1">
        <v>1500</v>
      </c>
      <c r="K176">
        <v>0.37</v>
      </c>
      <c r="L176">
        <v>950</v>
      </c>
      <c r="M176">
        <v>387</v>
      </c>
      <c r="N176" s="1">
        <v>407309</v>
      </c>
      <c r="O176" s="1">
        <v>406000</v>
      </c>
      <c r="P176" s="1">
        <v>408000</v>
      </c>
      <c r="Q176" s="1">
        <v>406000</v>
      </c>
      <c r="R176" t="s">
        <v>710</v>
      </c>
      <c r="S176" s="3">
        <v>0.35357638888888893</v>
      </c>
      <c r="T176" s="1">
        <v>406000</v>
      </c>
      <c r="U176" s="1">
        <v>1500</v>
      </c>
      <c r="V176">
        <v>0.37</v>
      </c>
    </row>
    <row r="177" spans="4:22" x14ac:dyDescent="0.3">
      <c r="D177">
        <v>175</v>
      </c>
      <c r="E177">
        <v>1450</v>
      </c>
      <c r="F177" t="s">
        <v>192</v>
      </c>
      <c r="H177" s="1">
        <v>27550</v>
      </c>
      <c r="I177">
        <v>3</v>
      </c>
      <c r="L177" s="1">
        <v>14922</v>
      </c>
      <c r="M177">
        <v>410</v>
      </c>
      <c r="N177" s="1">
        <v>27495</v>
      </c>
      <c r="O177" s="1">
        <v>27550</v>
      </c>
      <c r="P177" s="1">
        <v>27650</v>
      </c>
      <c r="Q177" s="1">
        <v>27400</v>
      </c>
      <c r="R177" t="s">
        <v>710</v>
      </c>
      <c r="S177" s="3">
        <v>0.3536111111111111</v>
      </c>
      <c r="T177" s="1">
        <v>27550</v>
      </c>
    </row>
    <row r="178" spans="4:22" x14ac:dyDescent="0.3">
      <c r="D178">
        <v>176</v>
      </c>
      <c r="E178">
        <v>1720</v>
      </c>
      <c r="F178" t="s">
        <v>193</v>
      </c>
      <c r="H178" s="1">
        <v>149800</v>
      </c>
      <c r="I178">
        <v>5</v>
      </c>
      <c r="J178" s="1">
        <v>1600</v>
      </c>
      <c r="K178">
        <v>-1.06</v>
      </c>
      <c r="L178" s="1">
        <v>5226</v>
      </c>
      <c r="M178">
        <v>784</v>
      </c>
      <c r="N178" s="1">
        <v>150093</v>
      </c>
      <c r="O178" s="1">
        <v>150000</v>
      </c>
      <c r="P178" s="1">
        <v>151300</v>
      </c>
      <c r="Q178" s="1">
        <v>149100</v>
      </c>
      <c r="R178" t="s">
        <v>710</v>
      </c>
      <c r="S178" s="3">
        <v>0.35362268518518519</v>
      </c>
      <c r="T178" s="1">
        <v>151400</v>
      </c>
      <c r="U178" s="1">
        <v>-1600</v>
      </c>
      <c r="V178">
        <v>-1.06</v>
      </c>
    </row>
    <row r="179" spans="4:22" x14ac:dyDescent="0.3">
      <c r="D179">
        <v>177</v>
      </c>
      <c r="E179">
        <v>237690</v>
      </c>
      <c r="F179" t="s">
        <v>194</v>
      </c>
      <c r="H179" s="1">
        <v>118700</v>
      </c>
      <c r="I179">
        <v>2</v>
      </c>
      <c r="J179" s="1">
        <v>1800</v>
      </c>
      <c r="K179">
        <v>1.54</v>
      </c>
      <c r="L179" s="1">
        <v>8752</v>
      </c>
      <c r="M179" s="1">
        <v>1036</v>
      </c>
      <c r="N179" s="1">
        <v>118338</v>
      </c>
      <c r="O179" s="1">
        <v>118000</v>
      </c>
      <c r="P179" s="1">
        <v>119500</v>
      </c>
      <c r="Q179" s="1">
        <v>117700</v>
      </c>
      <c r="R179" t="s">
        <v>710</v>
      </c>
      <c r="S179" s="3">
        <v>0.35342592592592598</v>
      </c>
      <c r="T179" s="1">
        <v>116900</v>
      </c>
      <c r="U179" s="1">
        <v>1800</v>
      </c>
      <c r="V179">
        <v>1.54</v>
      </c>
    </row>
    <row r="180" spans="4:22" x14ac:dyDescent="0.3">
      <c r="D180">
        <v>178</v>
      </c>
      <c r="E180">
        <v>336260</v>
      </c>
      <c r="F180" t="s">
        <v>195</v>
      </c>
      <c r="H180" s="1">
        <v>37300</v>
      </c>
      <c r="I180">
        <v>2</v>
      </c>
      <c r="J180">
        <v>650</v>
      </c>
      <c r="K180">
        <v>1.77</v>
      </c>
      <c r="L180" s="1">
        <v>55572</v>
      </c>
      <c r="M180" s="1">
        <v>2069</v>
      </c>
      <c r="N180" s="1">
        <v>37239</v>
      </c>
      <c r="O180" s="1">
        <v>37150</v>
      </c>
      <c r="P180" s="1">
        <v>37500</v>
      </c>
      <c r="Q180" s="1">
        <v>37050</v>
      </c>
      <c r="R180" t="s">
        <v>710</v>
      </c>
      <c r="S180" s="3">
        <v>0.35364583333333338</v>
      </c>
      <c r="T180" s="1">
        <v>36650</v>
      </c>
      <c r="U180">
        <v>650</v>
      </c>
      <c r="V180">
        <v>1.77</v>
      </c>
    </row>
    <row r="181" spans="4:22" x14ac:dyDescent="0.3">
      <c r="D181">
        <v>179</v>
      </c>
      <c r="E181">
        <v>30000</v>
      </c>
      <c r="F181" t="s">
        <v>196</v>
      </c>
      <c r="H181" s="1">
        <v>20950</v>
      </c>
      <c r="I181">
        <v>3</v>
      </c>
      <c r="L181" s="1">
        <v>7841</v>
      </c>
      <c r="M181">
        <v>164</v>
      </c>
      <c r="N181" s="1">
        <v>20934</v>
      </c>
      <c r="O181" s="1">
        <v>21000</v>
      </c>
      <c r="P181" s="1">
        <v>21050</v>
      </c>
      <c r="Q181" s="1">
        <v>20900</v>
      </c>
      <c r="R181" t="s">
        <v>710</v>
      </c>
      <c r="S181" s="3">
        <v>0.35309027777777779</v>
      </c>
      <c r="T181" s="1">
        <v>20950</v>
      </c>
    </row>
    <row r="182" spans="4:22" x14ac:dyDescent="0.3">
      <c r="D182">
        <v>180</v>
      </c>
      <c r="E182">
        <v>35900</v>
      </c>
      <c r="F182" t="s">
        <v>197</v>
      </c>
      <c r="H182" s="1">
        <v>67800</v>
      </c>
      <c r="I182">
        <v>2</v>
      </c>
      <c r="J182">
        <v>400</v>
      </c>
      <c r="K182">
        <v>0.59</v>
      </c>
      <c r="L182" s="1">
        <v>19973</v>
      </c>
      <c r="M182" s="1">
        <v>1355</v>
      </c>
      <c r="N182" s="1">
        <v>67856</v>
      </c>
      <c r="O182" s="1">
        <v>68700</v>
      </c>
      <c r="P182" s="1">
        <v>68700</v>
      </c>
      <c r="Q182" s="1">
        <v>67700</v>
      </c>
      <c r="R182" t="s">
        <v>710</v>
      </c>
      <c r="S182" s="3">
        <v>0.35357638888888893</v>
      </c>
      <c r="T182" s="1">
        <v>67400</v>
      </c>
      <c r="U182">
        <v>400</v>
      </c>
      <c r="V182">
        <v>0.59</v>
      </c>
    </row>
    <row r="183" spans="4:22" x14ac:dyDescent="0.3">
      <c r="D183">
        <v>181</v>
      </c>
      <c r="E183">
        <v>226950</v>
      </c>
      <c r="F183" t="s">
        <v>198</v>
      </c>
      <c r="H183" s="1">
        <v>118800</v>
      </c>
      <c r="I183">
        <v>2</v>
      </c>
      <c r="J183">
        <v>800</v>
      </c>
      <c r="K183">
        <v>0.68</v>
      </c>
      <c r="L183" s="1">
        <v>46050</v>
      </c>
      <c r="M183" s="1">
        <v>5494</v>
      </c>
      <c r="N183" s="1">
        <v>119299</v>
      </c>
      <c r="O183" s="1">
        <v>122000</v>
      </c>
      <c r="P183" s="1">
        <v>122000</v>
      </c>
      <c r="Q183" s="1">
        <v>118000</v>
      </c>
      <c r="R183" t="s">
        <v>710</v>
      </c>
      <c r="S183" s="3">
        <v>0.35364583333333338</v>
      </c>
      <c r="T183" s="1">
        <v>118000</v>
      </c>
      <c r="U183">
        <v>800</v>
      </c>
      <c r="V183">
        <v>0.68</v>
      </c>
    </row>
    <row r="184" spans="4:22" x14ac:dyDescent="0.3">
      <c r="D184">
        <v>182</v>
      </c>
      <c r="E184">
        <v>9420</v>
      </c>
      <c r="F184" t="s">
        <v>199</v>
      </c>
      <c r="H184" s="1">
        <v>45800</v>
      </c>
      <c r="I184">
        <v>2</v>
      </c>
      <c r="J184">
        <v>300</v>
      </c>
      <c r="K184">
        <v>0.66</v>
      </c>
      <c r="L184" s="1">
        <v>35348</v>
      </c>
      <c r="M184" s="1">
        <v>1626</v>
      </c>
      <c r="N184" s="1">
        <v>46009</v>
      </c>
      <c r="O184" s="1">
        <v>46600</v>
      </c>
      <c r="P184" s="1">
        <v>46600</v>
      </c>
      <c r="Q184" s="1">
        <v>45550</v>
      </c>
      <c r="R184" t="s">
        <v>710</v>
      </c>
      <c r="S184" s="3">
        <v>0.35337962962962965</v>
      </c>
      <c r="T184" s="1">
        <v>45500</v>
      </c>
      <c r="U184">
        <v>300</v>
      </c>
      <c r="V184">
        <v>0.66</v>
      </c>
    </row>
    <row r="185" spans="4:22" x14ac:dyDescent="0.3">
      <c r="D185">
        <v>183</v>
      </c>
      <c r="E185">
        <v>28670</v>
      </c>
      <c r="F185" t="s">
        <v>200</v>
      </c>
      <c r="H185" s="1">
        <v>4465</v>
      </c>
      <c r="I185">
        <v>2</v>
      </c>
      <c r="J185">
        <v>65</v>
      </c>
      <c r="K185">
        <v>1.48</v>
      </c>
      <c r="L185" s="1">
        <v>151280</v>
      </c>
      <c r="M185">
        <v>673</v>
      </c>
      <c r="N185" s="1">
        <v>4447</v>
      </c>
      <c r="O185" s="1">
        <v>4435</v>
      </c>
      <c r="P185" s="1">
        <v>4470</v>
      </c>
      <c r="Q185" s="1">
        <v>4420</v>
      </c>
      <c r="R185" t="s">
        <v>710</v>
      </c>
      <c r="S185" s="3">
        <v>0.35362268518518519</v>
      </c>
      <c r="T185" s="1">
        <v>4400</v>
      </c>
      <c r="U185">
        <v>65</v>
      </c>
      <c r="V185">
        <v>1.48</v>
      </c>
    </row>
    <row r="186" spans="4:22" x14ac:dyDescent="0.3">
      <c r="D186">
        <v>184</v>
      </c>
      <c r="E186">
        <v>81660</v>
      </c>
      <c r="F186" t="s">
        <v>201</v>
      </c>
      <c r="H186" s="1">
        <v>44650</v>
      </c>
      <c r="I186">
        <v>5</v>
      </c>
      <c r="J186">
        <v>350</v>
      </c>
      <c r="K186">
        <v>-0.78</v>
      </c>
      <c r="L186" s="1">
        <v>1644</v>
      </c>
      <c r="M186">
        <v>73</v>
      </c>
      <c r="N186" s="1">
        <v>44576</v>
      </c>
      <c r="O186" s="1">
        <v>44800</v>
      </c>
      <c r="P186" s="1">
        <v>44800</v>
      </c>
      <c r="Q186" s="1">
        <v>44150</v>
      </c>
      <c r="R186" t="s">
        <v>710</v>
      </c>
      <c r="S186" s="3">
        <v>0.35137731481481477</v>
      </c>
      <c r="T186" s="1">
        <v>45000</v>
      </c>
      <c r="U186">
        <v>-350</v>
      </c>
      <c r="V186">
        <v>-0.78</v>
      </c>
    </row>
    <row r="187" spans="4:22" x14ac:dyDescent="0.3">
      <c r="D187">
        <v>185</v>
      </c>
      <c r="E187">
        <v>160190</v>
      </c>
      <c r="F187" t="s">
        <v>202</v>
      </c>
      <c r="H187" s="1">
        <v>76600</v>
      </c>
      <c r="I187">
        <v>2</v>
      </c>
      <c r="J187" s="1">
        <v>3700</v>
      </c>
      <c r="K187">
        <v>5.08</v>
      </c>
      <c r="L187" s="1">
        <v>309975</v>
      </c>
      <c r="M187" s="1">
        <v>24019</v>
      </c>
      <c r="N187" s="1">
        <v>77486</v>
      </c>
      <c r="O187" s="1">
        <v>76000</v>
      </c>
      <c r="P187" s="1">
        <v>79100</v>
      </c>
      <c r="Q187" s="1">
        <v>75300</v>
      </c>
      <c r="R187" t="s">
        <v>710</v>
      </c>
      <c r="S187" s="3">
        <v>0.35364583333333338</v>
      </c>
      <c r="T187" s="1">
        <v>72900</v>
      </c>
      <c r="U187" s="1">
        <v>3700</v>
      </c>
      <c r="V187">
        <v>5.08</v>
      </c>
    </row>
    <row r="188" spans="4:22" x14ac:dyDescent="0.3">
      <c r="D188">
        <v>186</v>
      </c>
      <c r="E188">
        <v>139480</v>
      </c>
      <c r="F188" t="s">
        <v>203</v>
      </c>
      <c r="H188" s="1">
        <v>84300</v>
      </c>
      <c r="I188">
        <v>2</v>
      </c>
      <c r="J188">
        <v>200</v>
      </c>
      <c r="K188">
        <v>0.24</v>
      </c>
      <c r="L188" s="1">
        <v>8515</v>
      </c>
      <c r="M188">
        <v>719</v>
      </c>
      <c r="N188" s="1">
        <v>84492</v>
      </c>
      <c r="O188" s="1">
        <v>84700</v>
      </c>
      <c r="P188" s="1">
        <v>84700</v>
      </c>
      <c r="Q188" s="1">
        <v>84200</v>
      </c>
      <c r="R188" t="s">
        <v>710</v>
      </c>
      <c r="S188" s="3">
        <v>0.35351851851851851</v>
      </c>
      <c r="T188" s="1">
        <v>84100</v>
      </c>
      <c r="U188">
        <v>200</v>
      </c>
      <c r="V188">
        <v>0.24</v>
      </c>
    </row>
    <row r="189" spans="4:22" x14ac:dyDescent="0.3">
      <c r="D189">
        <v>187</v>
      </c>
      <c r="E189">
        <v>437730</v>
      </c>
      <c r="F189" t="s">
        <v>204</v>
      </c>
      <c r="H189" s="1">
        <v>72300</v>
      </c>
      <c r="I189">
        <v>2</v>
      </c>
      <c r="J189">
        <v>900</v>
      </c>
      <c r="K189">
        <v>1.26</v>
      </c>
      <c r="L189" s="1">
        <v>94346</v>
      </c>
      <c r="M189" s="1">
        <v>6858</v>
      </c>
      <c r="N189" s="1">
        <v>72685</v>
      </c>
      <c r="O189" s="1">
        <v>71900</v>
      </c>
      <c r="P189" s="1">
        <v>73400</v>
      </c>
      <c r="Q189" s="1">
        <v>71900</v>
      </c>
      <c r="R189" t="s">
        <v>710</v>
      </c>
      <c r="S189" s="3">
        <v>0.35363425925925923</v>
      </c>
      <c r="T189" s="1">
        <v>71400</v>
      </c>
      <c r="U189">
        <v>900</v>
      </c>
      <c r="V189">
        <v>1.26</v>
      </c>
    </row>
    <row r="190" spans="4:22" x14ac:dyDescent="0.3">
      <c r="D190">
        <v>188</v>
      </c>
      <c r="E190">
        <v>139130</v>
      </c>
      <c r="F190" t="s">
        <v>205</v>
      </c>
      <c r="H190" s="1">
        <v>14260</v>
      </c>
      <c r="I190">
        <v>5</v>
      </c>
      <c r="J190">
        <v>70</v>
      </c>
      <c r="K190">
        <v>-0.49</v>
      </c>
      <c r="L190" s="1">
        <v>9033</v>
      </c>
      <c r="M190">
        <v>129</v>
      </c>
      <c r="N190" s="1">
        <v>14251</v>
      </c>
      <c r="O190" s="1">
        <v>14350</v>
      </c>
      <c r="P190" s="1">
        <v>14350</v>
      </c>
      <c r="Q190" s="1">
        <v>14190</v>
      </c>
      <c r="R190" t="s">
        <v>710</v>
      </c>
      <c r="S190" s="3">
        <v>0.35065972222222225</v>
      </c>
      <c r="T190" s="1">
        <v>14330</v>
      </c>
      <c r="U190">
        <v>-70</v>
      </c>
      <c r="V190">
        <v>-0.49</v>
      </c>
    </row>
    <row r="191" spans="4:22" x14ac:dyDescent="0.3">
      <c r="D191">
        <v>189</v>
      </c>
      <c r="E191">
        <v>120</v>
      </c>
      <c r="F191" t="s">
        <v>206</v>
      </c>
      <c r="H191" s="1">
        <v>97800</v>
      </c>
      <c r="I191">
        <v>5</v>
      </c>
      <c r="J191">
        <v>200</v>
      </c>
      <c r="K191">
        <v>-0.2</v>
      </c>
      <c r="L191" s="1">
        <v>1253</v>
      </c>
      <c r="M191">
        <v>122</v>
      </c>
      <c r="N191" s="1">
        <v>97760</v>
      </c>
      <c r="O191" s="1">
        <v>97500</v>
      </c>
      <c r="P191" s="1">
        <v>98300</v>
      </c>
      <c r="Q191" s="1">
        <v>97500</v>
      </c>
      <c r="R191" t="s">
        <v>710</v>
      </c>
      <c r="S191" s="3">
        <v>0.35268518518518516</v>
      </c>
      <c r="T191" s="1">
        <v>98000</v>
      </c>
      <c r="U191">
        <v>-200</v>
      </c>
      <c r="V191">
        <v>-0.2</v>
      </c>
    </row>
    <row r="192" spans="4:22" x14ac:dyDescent="0.3">
      <c r="D192">
        <v>190</v>
      </c>
      <c r="E192">
        <v>97230</v>
      </c>
      <c r="F192" t="s">
        <v>207</v>
      </c>
      <c r="H192" s="1">
        <v>24650</v>
      </c>
      <c r="I192">
        <v>2</v>
      </c>
      <c r="J192">
        <v>350</v>
      </c>
      <c r="K192">
        <v>1.44</v>
      </c>
      <c r="L192" s="1">
        <v>122482</v>
      </c>
      <c r="M192" s="1">
        <v>3029</v>
      </c>
      <c r="N192" s="1">
        <v>24731</v>
      </c>
      <c r="O192" s="1">
        <v>24800</v>
      </c>
      <c r="P192" s="1">
        <v>24950</v>
      </c>
      <c r="Q192" s="1">
        <v>24550</v>
      </c>
      <c r="R192" t="s">
        <v>710</v>
      </c>
      <c r="S192" s="3">
        <v>0.35365740740740742</v>
      </c>
      <c r="T192" s="1">
        <v>24300</v>
      </c>
      <c r="U192">
        <v>350</v>
      </c>
      <c r="V192">
        <v>1.44</v>
      </c>
    </row>
    <row r="193" spans="4:22" x14ac:dyDescent="0.3">
      <c r="D193">
        <v>191</v>
      </c>
      <c r="E193">
        <v>3690</v>
      </c>
      <c r="F193" t="s">
        <v>208</v>
      </c>
      <c r="H193" s="1">
        <v>11230</v>
      </c>
      <c r="I193">
        <v>2</v>
      </c>
      <c r="J193">
        <v>10</v>
      </c>
      <c r="K193">
        <v>0.09</v>
      </c>
      <c r="L193" s="1">
        <v>2362</v>
      </c>
      <c r="M193">
        <v>26</v>
      </c>
      <c r="N193" s="1">
        <v>11207</v>
      </c>
      <c r="O193" s="1">
        <v>11290</v>
      </c>
      <c r="P193" s="1">
        <v>11290</v>
      </c>
      <c r="Q193" s="1">
        <v>11180</v>
      </c>
      <c r="R193" t="s">
        <v>710</v>
      </c>
      <c r="S193" s="3">
        <v>0.3523958333333333</v>
      </c>
      <c r="T193" s="1">
        <v>11220</v>
      </c>
      <c r="U193">
        <v>10</v>
      </c>
      <c r="V193">
        <v>0.09</v>
      </c>
    </row>
    <row r="194" spans="4:22" x14ac:dyDescent="0.3">
      <c r="D194">
        <v>192</v>
      </c>
      <c r="E194">
        <v>475830</v>
      </c>
      <c r="F194" t="s">
        <v>209</v>
      </c>
      <c r="H194" s="1">
        <v>102900</v>
      </c>
      <c r="I194">
        <v>2</v>
      </c>
      <c r="J194" s="1">
        <v>2900</v>
      </c>
      <c r="K194">
        <v>2.9</v>
      </c>
      <c r="L194" s="1">
        <v>45541</v>
      </c>
      <c r="M194" s="1">
        <v>4676</v>
      </c>
      <c r="N194" s="1">
        <v>102678</v>
      </c>
      <c r="O194" s="1">
        <v>101100</v>
      </c>
      <c r="P194" s="1">
        <v>104000</v>
      </c>
      <c r="Q194" s="1">
        <v>100000</v>
      </c>
      <c r="R194" t="s">
        <v>710</v>
      </c>
      <c r="S194" s="3">
        <v>0.35364583333333338</v>
      </c>
      <c r="T194" s="1">
        <v>100000</v>
      </c>
      <c r="U194" s="1">
        <v>2900</v>
      </c>
      <c r="V194">
        <v>2.9</v>
      </c>
    </row>
    <row r="195" spans="4:22" x14ac:dyDescent="0.3">
      <c r="D195">
        <v>193</v>
      </c>
      <c r="E195">
        <v>95340</v>
      </c>
      <c r="F195" t="s">
        <v>210</v>
      </c>
      <c r="H195" s="1">
        <v>101800</v>
      </c>
      <c r="I195">
        <v>2</v>
      </c>
      <c r="J195" s="1">
        <v>2000</v>
      </c>
      <c r="K195">
        <v>2</v>
      </c>
      <c r="L195" s="1">
        <v>10991</v>
      </c>
      <c r="M195" s="1">
        <v>1119</v>
      </c>
      <c r="N195" s="1">
        <v>101820</v>
      </c>
      <c r="O195" s="1">
        <v>101500</v>
      </c>
      <c r="P195" s="1">
        <v>102000</v>
      </c>
      <c r="Q195" s="1">
        <v>101200</v>
      </c>
      <c r="R195" t="s">
        <v>710</v>
      </c>
      <c r="S195" s="3">
        <v>0.35336805555555556</v>
      </c>
      <c r="T195" s="1">
        <v>99800</v>
      </c>
      <c r="U195" s="1">
        <v>2000</v>
      </c>
      <c r="V195">
        <v>2</v>
      </c>
    </row>
    <row r="196" spans="4:22" x14ac:dyDescent="0.3">
      <c r="D196">
        <v>194</v>
      </c>
      <c r="E196">
        <v>10060</v>
      </c>
      <c r="F196" t="s">
        <v>211</v>
      </c>
      <c r="H196" s="1">
        <v>115400</v>
      </c>
      <c r="I196">
        <v>2</v>
      </c>
      <c r="J196" s="1">
        <v>1200</v>
      </c>
      <c r="K196">
        <v>1.05</v>
      </c>
      <c r="L196" s="1">
        <v>4644</v>
      </c>
      <c r="M196">
        <v>536</v>
      </c>
      <c r="N196" s="1">
        <v>115413</v>
      </c>
      <c r="O196" s="1">
        <v>116000</v>
      </c>
      <c r="P196" s="1">
        <v>116000</v>
      </c>
      <c r="Q196" s="1">
        <v>115000</v>
      </c>
      <c r="R196" t="s">
        <v>710</v>
      </c>
      <c r="S196" s="3">
        <v>0.35364583333333338</v>
      </c>
      <c r="T196" s="1">
        <v>114200</v>
      </c>
      <c r="U196" s="1">
        <v>1200</v>
      </c>
      <c r="V196">
        <v>1.05</v>
      </c>
    </row>
    <row r="197" spans="4:22" x14ac:dyDescent="0.3">
      <c r="D197">
        <v>195</v>
      </c>
      <c r="E197">
        <v>23530</v>
      </c>
      <c r="F197" t="s">
        <v>212</v>
      </c>
      <c r="H197" s="1">
        <v>75400</v>
      </c>
      <c r="I197">
        <v>3</v>
      </c>
      <c r="L197" s="1">
        <v>1057</v>
      </c>
      <c r="M197">
        <v>80</v>
      </c>
      <c r="N197" s="1">
        <v>75279</v>
      </c>
      <c r="O197" s="1">
        <v>76000</v>
      </c>
      <c r="P197" s="1">
        <v>76000</v>
      </c>
      <c r="Q197" s="1">
        <v>75000</v>
      </c>
      <c r="R197" t="s">
        <v>710</v>
      </c>
      <c r="S197" s="3">
        <v>0.35122685185185182</v>
      </c>
      <c r="T197" s="1">
        <v>75400</v>
      </c>
    </row>
    <row r="198" spans="4:22" x14ac:dyDescent="0.3">
      <c r="D198">
        <v>196</v>
      </c>
      <c r="E198">
        <v>5290</v>
      </c>
      <c r="F198" t="s">
        <v>213</v>
      </c>
      <c r="H198" s="1">
        <v>41300</v>
      </c>
      <c r="I198">
        <v>2</v>
      </c>
      <c r="J198">
        <v>800</v>
      </c>
      <c r="K198">
        <v>1.98</v>
      </c>
      <c r="L198" s="1">
        <v>95494</v>
      </c>
      <c r="M198" s="1">
        <v>3940</v>
      </c>
      <c r="N198" s="1">
        <v>41264</v>
      </c>
      <c r="O198" s="1">
        <v>40850</v>
      </c>
      <c r="P198" s="1">
        <v>41700</v>
      </c>
      <c r="Q198" s="1">
        <v>40850</v>
      </c>
      <c r="R198" t="s">
        <v>710</v>
      </c>
      <c r="S198" s="3">
        <v>0.35362268518518519</v>
      </c>
      <c r="T198" s="1">
        <v>40500</v>
      </c>
      <c r="U198">
        <v>800</v>
      </c>
      <c r="V198">
        <v>1.98</v>
      </c>
    </row>
    <row r="199" spans="4:22" x14ac:dyDescent="0.3">
      <c r="D199">
        <v>197</v>
      </c>
      <c r="E199">
        <v>98460</v>
      </c>
      <c r="F199" t="s">
        <v>214</v>
      </c>
      <c r="H199" s="1">
        <v>30650</v>
      </c>
      <c r="I199">
        <v>2</v>
      </c>
      <c r="J199" s="1">
        <v>1600</v>
      </c>
      <c r="K199">
        <v>5.51</v>
      </c>
      <c r="L199" s="1">
        <v>2583485</v>
      </c>
      <c r="M199" s="1">
        <v>78941</v>
      </c>
      <c r="N199" s="1">
        <v>30556</v>
      </c>
      <c r="O199" s="1">
        <v>30050</v>
      </c>
      <c r="P199" s="1">
        <v>31100</v>
      </c>
      <c r="Q199" s="1">
        <v>29750</v>
      </c>
      <c r="R199" t="s">
        <v>710</v>
      </c>
      <c r="S199" s="3">
        <v>0.35590277777777773</v>
      </c>
      <c r="T199" s="1">
        <v>29050</v>
      </c>
      <c r="U199" s="1">
        <v>1600</v>
      </c>
      <c r="V199">
        <v>5.51</v>
      </c>
    </row>
    <row r="200" spans="4:22" x14ac:dyDescent="0.3">
      <c r="D200">
        <v>198</v>
      </c>
      <c r="E200">
        <v>69960</v>
      </c>
      <c r="F200" t="s">
        <v>215</v>
      </c>
      <c r="H200" s="1">
        <v>93000</v>
      </c>
      <c r="I200">
        <v>5</v>
      </c>
      <c r="J200" s="1">
        <v>1200</v>
      </c>
      <c r="K200">
        <v>-1.27</v>
      </c>
      <c r="L200" s="1">
        <v>1603</v>
      </c>
      <c r="M200">
        <v>149</v>
      </c>
      <c r="N200" s="1">
        <v>92880</v>
      </c>
      <c r="O200" s="1">
        <v>93000</v>
      </c>
      <c r="P200" s="1">
        <v>93600</v>
      </c>
      <c r="Q200" s="1">
        <v>92200</v>
      </c>
      <c r="R200" t="s">
        <v>710</v>
      </c>
      <c r="S200" s="3">
        <v>0.35351851851851851</v>
      </c>
      <c r="T200" s="1">
        <v>94200</v>
      </c>
      <c r="U200" s="1">
        <v>-1200</v>
      </c>
      <c r="V200">
        <v>-1.27</v>
      </c>
    </row>
    <row r="201" spans="4:22" x14ac:dyDescent="0.3">
      <c r="D201">
        <v>199</v>
      </c>
      <c r="E201">
        <v>445680</v>
      </c>
      <c r="F201" t="s">
        <v>216</v>
      </c>
      <c r="H201" s="1">
        <v>122900</v>
      </c>
      <c r="I201">
        <v>5</v>
      </c>
      <c r="J201">
        <v>800</v>
      </c>
      <c r="K201">
        <v>-0.65</v>
      </c>
      <c r="L201" s="1">
        <v>4277</v>
      </c>
      <c r="M201">
        <v>527</v>
      </c>
      <c r="N201" s="1">
        <v>123333</v>
      </c>
      <c r="O201" s="1">
        <v>124600</v>
      </c>
      <c r="P201" s="1">
        <v>124900</v>
      </c>
      <c r="Q201" s="1">
        <v>122200</v>
      </c>
      <c r="R201" t="s">
        <v>710</v>
      </c>
      <c r="S201" s="3">
        <v>0.35359953703703706</v>
      </c>
      <c r="T201" s="1">
        <v>123700</v>
      </c>
      <c r="U201">
        <v>-800</v>
      </c>
      <c r="V201">
        <v>-0.65</v>
      </c>
    </row>
    <row r="202" spans="4:22" x14ac:dyDescent="0.3">
      <c r="D202">
        <v>200</v>
      </c>
      <c r="E202">
        <v>192820</v>
      </c>
      <c r="F202" t="s">
        <v>217</v>
      </c>
      <c r="H202" s="1">
        <v>184300</v>
      </c>
      <c r="I202">
        <v>2</v>
      </c>
      <c r="J202">
        <v>100</v>
      </c>
      <c r="K202">
        <v>0.05</v>
      </c>
      <c r="L202" s="1">
        <v>2208</v>
      </c>
      <c r="M202">
        <v>407</v>
      </c>
      <c r="N202" s="1">
        <v>184398</v>
      </c>
      <c r="O202" s="1">
        <v>186000</v>
      </c>
      <c r="P202" s="1">
        <v>186000</v>
      </c>
      <c r="Q202" s="1">
        <v>184200</v>
      </c>
      <c r="R202" t="s">
        <v>710</v>
      </c>
      <c r="S202" s="3">
        <v>0.35328703703703707</v>
      </c>
      <c r="T202" s="1">
        <v>184200</v>
      </c>
      <c r="U202">
        <v>100</v>
      </c>
      <c r="V202">
        <v>0.05</v>
      </c>
    </row>
    <row r="203" spans="4:22" x14ac:dyDescent="0.3">
      <c r="D203">
        <v>201</v>
      </c>
      <c r="E203">
        <v>18670</v>
      </c>
      <c r="F203" t="s">
        <v>218</v>
      </c>
      <c r="H203" s="1">
        <v>224000</v>
      </c>
      <c r="I203">
        <v>2</v>
      </c>
      <c r="J203" s="1">
        <v>2500</v>
      </c>
      <c r="K203">
        <v>1.1299999999999999</v>
      </c>
      <c r="L203">
        <v>835</v>
      </c>
      <c r="M203">
        <v>186</v>
      </c>
      <c r="N203" s="1">
        <v>223232</v>
      </c>
      <c r="O203" s="1">
        <v>224000</v>
      </c>
      <c r="P203" s="1">
        <v>224500</v>
      </c>
      <c r="Q203" s="1">
        <v>222000</v>
      </c>
      <c r="R203" t="s">
        <v>710</v>
      </c>
      <c r="S203" s="3">
        <v>0.35359953703703706</v>
      </c>
      <c r="T203" s="1">
        <v>221500</v>
      </c>
      <c r="U203" s="1">
        <v>2500</v>
      </c>
      <c r="V203">
        <v>1.1299999999999999</v>
      </c>
    </row>
    <row r="204" spans="4:22" x14ac:dyDescent="0.3">
      <c r="D204">
        <v>202</v>
      </c>
      <c r="E204">
        <v>2790</v>
      </c>
      <c r="F204" t="s">
        <v>219</v>
      </c>
      <c r="H204" s="1">
        <v>25950</v>
      </c>
      <c r="I204">
        <v>2</v>
      </c>
      <c r="J204">
        <v>150</v>
      </c>
      <c r="K204">
        <v>0.57999999999999996</v>
      </c>
      <c r="L204" s="1">
        <v>2979</v>
      </c>
      <c r="M204">
        <v>77</v>
      </c>
      <c r="N204" s="1">
        <v>25914</v>
      </c>
      <c r="O204" s="1">
        <v>26300</v>
      </c>
      <c r="P204" s="1">
        <v>26300</v>
      </c>
      <c r="Q204" s="1">
        <v>25850</v>
      </c>
      <c r="R204" t="s">
        <v>710</v>
      </c>
      <c r="S204" s="3">
        <v>0.35250000000000004</v>
      </c>
      <c r="T204" s="1">
        <v>25800</v>
      </c>
      <c r="U204">
        <v>150</v>
      </c>
      <c r="V204">
        <v>0.57999999999999996</v>
      </c>
    </row>
    <row r="205" spans="4:22" x14ac:dyDescent="0.3">
      <c r="D205">
        <v>203</v>
      </c>
      <c r="E205">
        <v>47040</v>
      </c>
      <c r="F205" t="s">
        <v>220</v>
      </c>
      <c r="H205" s="1">
        <v>4885</v>
      </c>
      <c r="I205">
        <v>2</v>
      </c>
      <c r="J205">
        <v>120</v>
      </c>
      <c r="K205">
        <v>2.52</v>
      </c>
      <c r="L205" s="1">
        <v>1015287</v>
      </c>
      <c r="M205" s="1">
        <v>4990</v>
      </c>
      <c r="N205" s="1">
        <v>4915</v>
      </c>
      <c r="O205" s="1">
        <v>4845</v>
      </c>
      <c r="P205" s="1">
        <v>4965</v>
      </c>
      <c r="Q205" s="1">
        <v>4820</v>
      </c>
      <c r="R205" t="s">
        <v>710</v>
      </c>
      <c r="S205" s="3">
        <v>0.35364583333333338</v>
      </c>
      <c r="T205" s="1">
        <v>4765</v>
      </c>
      <c r="U205">
        <v>120</v>
      </c>
      <c r="V205">
        <v>2.52</v>
      </c>
    </row>
    <row r="206" spans="4:22" x14ac:dyDescent="0.3">
      <c r="D206">
        <v>204</v>
      </c>
      <c r="E206">
        <v>476830</v>
      </c>
      <c r="F206" t="s">
        <v>221</v>
      </c>
      <c r="H206" s="1">
        <v>144300</v>
      </c>
      <c r="I206">
        <v>2</v>
      </c>
      <c r="J206" s="1">
        <v>1600</v>
      </c>
      <c r="K206">
        <v>1.1200000000000001</v>
      </c>
      <c r="L206" s="1">
        <v>33287</v>
      </c>
      <c r="M206" s="1">
        <v>4831</v>
      </c>
      <c r="N206" s="1">
        <v>145140</v>
      </c>
      <c r="O206" s="1">
        <v>146100</v>
      </c>
      <c r="P206" s="1">
        <v>146400</v>
      </c>
      <c r="Q206" s="1">
        <v>144000</v>
      </c>
      <c r="R206" t="s">
        <v>710</v>
      </c>
      <c r="S206" s="3">
        <v>0.35363425925925923</v>
      </c>
      <c r="T206" s="1">
        <v>142700</v>
      </c>
      <c r="U206" s="1">
        <v>1600</v>
      </c>
      <c r="V206">
        <v>1.1200000000000001</v>
      </c>
    </row>
    <row r="207" spans="4:22" x14ac:dyDescent="0.3">
      <c r="D207">
        <v>205</v>
      </c>
      <c r="E207">
        <v>282330</v>
      </c>
      <c r="F207" t="s">
        <v>222</v>
      </c>
      <c r="H207" s="1">
        <v>115300</v>
      </c>
      <c r="I207">
        <v>5</v>
      </c>
      <c r="J207" s="1">
        <v>1000</v>
      </c>
      <c r="K207">
        <v>-0.86</v>
      </c>
      <c r="L207">
        <v>422</v>
      </c>
      <c r="M207">
        <v>49</v>
      </c>
      <c r="N207" s="1">
        <v>115045</v>
      </c>
      <c r="O207" s="1">
        <v>113400</v>
      </c>
      <c r="P207" s="1">
        <v>115800</v>
      </c>
      <c r="Q207" s="1">
        <v>113400</v>
      </c>
      <c r="R207" t="s">
        <v>710</v>
      </c>
      <c r="S207" s="3">
        <v>0.35358796296296297</v>
      </c>
      <c r="T207" s="1">
        <v>116300</v>
      </c>
      <c r="U207" s="1">
        <v>-1000</v>
      </c>
      <c r="V207">
        <v>-0.86</v>
      </c>
    </row>
    <row r="208" spans="4:22" x14ac:dyDescent="0.3">
      <c r="D208">
        <v>206</v>
      </c>
      <c r="E208">
        <v>361610</v>
      </c>
      <c r="F208" t="s">
        <v>223</v>
      </c>
      <c r="H208" s="1">
        <v>24350</v>
      </c>
      <c r="I208">
        <v>2</v>
      </c>
      <c r="J208">
        <v>200</v>
      </c>
      <c r="K208">
        <v>0.83</v>
      </c>
      <c r="L208" s="1">
        <v>6288</v>
      </c>
      <c r="M208">
        <v>153</v>
      </c>
      <c r="N208" s="1">
        <v>24321</v>
      </c>
      <c r="O208" s="1">
        <v>24300</v>
      </c>
      <c r="P208" s="1">
        <v>24400</v>
      </c>
      <c r="Q208" s="1">
        <v>24250</v>
      </c>
      <c r="R208" t="s">
        <v>710</v>
      </c>
      <c r="S208" s="3">
        <v>0.35327546296296292</v>
      </c>
      <c r="T208" s="1">
        <v>24150</v>
      </c>
      <c r="U208">
        <v>200</v>
      </c>
      <c r="V208">
        <v>0.83</v>
      </c>
    </row>
    <row r="209" spans="4:22" x14ac:dyDescent="0.3">
      <c r="D209">
        <v>207</v>
      </c>
      <c r="E209">
        <v>83650</v>
      </c>
      <c r="F209" t="s">
        <v>224</v>
      </c>
      <c r="H209" s="1">
        <v>64000</v>
      </c>
      <c r="I209">
        <v>2</v>
      </c>
      <c r="J209" s="1">
        <v>1600</v>
      </c>
      <c r="K209">
        <v>2.56</v>
      </c>
      <c r="L209" s="1">
        <v>198583</v>
      </c>
      <c r="M209" s="1">
        <v>12754</v>
      </c>
      <c r="N209" s="1">
        <v>64226</v>
      </c>
      <c r="O209" s="1">
        <v>63300</v>
      </c>
      <c r="P209" s="1">
        <v>65400</v>
      </c>
      <c r="Q209" s="1">
        <v>63300</v>
      </c>
      <c r="R209" t="s">
        <v>710</v>
      </c>
      <c r="S209" s="3">
        <v>0.35591435185185188</v>
      </c>
      <c r="T209" s="1">
        <v>62400</v>
      </c>
      <c r="U209" s="1">
        <v>1600</v>
      </c>
      <c r="V209">
        <v>2.56</v>
      </c>
    </row>
    <row r="210" spans="4:22" x14ac:dyDescent="0.3">
      <c r="D210">
        <v>208</v>
      </c>
      <c r="E210">
        <v>267270</v>
      </c>
      <c r="F210" t="s">
        <v>225</v>
      </c>
      <c r="H210" s="1">
        <v>113800</v>
      </c>
      <c r="I210">
        <v>2</v>
      </c>
      <c r="J210" s="1">
        <v>2100</v>
      </c>
      <c r="K210">
        <v>1.88</v>
      </c>
      <c r="L210" s="1">
        <v>19292</v>
      </c>
      <c r="M210" s="1">
        <v>2182</v>
      </c>
      <c r="N210" s="1">
        <v>113118</v>
      </c>
      <c r="O210" s="1">
        <v>113800</v>
      </c>
      <c r="P210" s="1">
        <v>113900</v>
      </c>
      <c r="Q210" s="1">
        <v>111900</v>
      </c>
      <c r="R210" t="s">
        <v>710</v>
      </c>
      <c r="S210" s="3">
        <v>0.35363425925925923</v>
      </c>
      <c r="T210" s="1">
        <v>111700</v>
      </c>
      <c r="U210" s="1">
        <v>2100</v>
      </c>
      <c r="V210">
        <v>1.88</v>
      </c>
    </row>
    <row r="211" spans="4:22" x14ac:dyDescent="0.3">
      <c r="D211">
        <v>209</v>
      </c>
      <c r="E211">
        <v>462870</v>
      </c>
      <c r="F211" t="s">
        <v>226</v>
      </c>
      <c r="H211" s="1">
        <v>33350</v>
      </c>
      <c r="I211">
        <v>2</v>
      </c>
      <c r="J211">
        <v>300</v>
      </c>
      <c r="K211">
        <v>0.91</v>
      </c>
      <c r="L211" s="1">
        <v>1923</v>
      </c>
      <c r="M211">
        <v>64</v>
      </c>
      <c r="N211" s="1">
        <v>33278</v>
      </c>
      <c r="O211" s="1">
        <v>33750</v>
      </c>
      <c r="P211" s="1">
        <v>33750</v>
      </c>
      <c r="Q211" s="1">
        <v>33150</v>
      </c>
      <c r="R211" t="s">
        <v>710</v>
      </c>
      <c r="S211" s="3">
        <v>0.35362268518518519</v>
      </c>
      <c r="T211" s="1">
        <v>33050</v>
      </c>
      <c r="U211">
        <v>300</v>
      </c>
      <c r="V211">
        <v>0.91</v>
      </c>
    </row>
    <row r="212" spans="4:22" x14ac:dyDescent="0.3">
      <c r="D212">
        <v>210</v>
      </c>
      <c r="E212">
        <v>64760</v>
      </c>
      <c r="F212" t="s">
        <v>227</v>
      </c>
      <c r="H212" s="1">
        <v>175600</v>
      </c>
      <c r="I212">
        <v>2</v>
      </c>
      <c r="J212" s="1">
        <v>5300</v>
      </c>
      <c r="K212">
        <v>3.11</v>
      </c>
      <c r="L212" s="1">
        <v>5326</v>
      </c>
      <c r="M212">
        <v>931</v>
      </c>
      <c r="N212" s="1">
        <v>174836</v>
      </c>
      <c r="O212" s="1">
        <v>172600</v>
      </c>
      <c r="P212" s="1">
        <v>179900</v>
      </c>
      <c r="Q212" s="1">
        <v>171400</v>
      </c>
      <c r="R212" t="s">
        <v>710</v>
      </c>
      <c r="S212" s="3">
        <v>0.35362268518518519</v>
      </c>
      <c r="T212" s="1">
        <v>170300</v>
      </c>
      <c r="U212" s="1">
        <v>5300</v>
      </c>
      <c r="V212">
        <v>3.11</v>
      </c>
    </row>
    <row r="213" spans="4:22" x14ac:dyDescent="0.3">
      <c r="D213">
        <v>211</v>
      </c>
      <c r="E213">
        <v>466100</v>
      </c>
      <c r="F213" t="s">
        <v>228</v>
      </c>
      <c r="H213" s="1">
        <v>76600</v>
      </c>
      <c r="I213">
        <v>2</v>
      </c>
      <c r="J213" s="1">
        <v>3500</v>
      </c>
      <c r="K213">
        <v>4.79</v>
      </c>
      <c r="L213" s="1">
        <v>694786</v>
      </c>
      <c r="M213" s="1">
        <v>53270</v>
      </c>
      <c r="N213" s="1">
        <v>76671</v>
      </c>
      <c r="O213" s="1">
        <v>74300</v>
      </c>
      <c r="P213" s="1">
        <v>78500</v>
      </c>
      <c r="Q213" s="1">
        <v>74300</v>
      </c>
      <c r="R213" t="s">
        <v>710</v>
      </c>
      <c r="S213" s="3">
        <v>0.35591435185185188</v>
      </c>
      <c r="T213" s="1">
        <v>73100</v>
      </c>
      <c r="U213" s="1">
        <v>3500</v>
      </c>
      <c r="V213">
        <v>4.79</v>
      </c>
    </row>
    <row r="214" spans="4:22" x14ac:dyDescent="0.3">
      <c r="D214">
        <v>212</v>
      </c>
      <c r="E214">
        <v>69620</v>
      </c>
      <c r="F214" t="s">
        <v>229</v>
      </c>
      <c r="H214" s="1">
        <v>162600</v>
      </c>
      <c r="I214">
        <v>5</v>
      </c>
      <c r="J214">
        <v>300</v>
      </c>
      <c r="K214">
        <v>-0.18</v>
      </c>
      <c r="L214" s="1">
        <v>1169</v>
      </c>
      <c r="M214">
        <v>190</v>
      </c>
      <c r="N214" s="1">
        <v>162541</v>
      </c>
      <c r="O214" s="1">
        <v>163000</v>
      </c>
      <c r="P214" s="1">
        <v>163100</v>
      </c>
      <c r="Q214" s="1">
        <v>162100</v>
      </c>
      <c r="R214" t="s">
        <v>710</v>
      </c>
      <c r="S214" s="3">
        <v>0.35230324074074071</v>
      </c>
      <c r="T214" s="1">
        <v>162900</v>
      </c>
      <c r="U214">
        <v>-300</v>
      </c>
      <c r="V214">
        <v>-0.18</v>
      </c>
    </row>
    <row r="215" spans="4:22" x14ac:dyDescent="0.3">
      <c r="D215">
        <v>213</v>
      </c>
      <c r="E215">
        <v>17960</v>
      </c>
      <c r="F215" t="s">
        <v>230</v>
      </c>
      <c r="H215" s="1">
        <v>36250</v>
      </c>
      <c r="I215">
        <v>2</v>
      </c>
      <c r="J215">
        <v>600</v>
      </c>
      <c r="K215">
        <v>1.68</v>
      </c>
      <c r="L215" s="1">
        <v>28015</v>
      </c>
      <c r="M215" s="1">
        <v>1014</v>
      </c>
      <c r="N215" s="1">
        <v>36201</v>
      </c>
      <c r="O215" s="1">
        <v>36150</v>
      </c>
      <c r="P215" s="1">
        <v>37100</v>
      </c>
      <c r="Q215" s="1">
        <v>36000</v>
      </c>
      <c r="R215" t="s">
        <v>710</v>
      </c>
      <c r="S215" s="3">
        <v>0.35363425925925923</v>
      </c>
      <c r="T215" s="1">
        <v>35650</v>
      </c>
      <c r="U215">
        <v>600</v>
      </c>
      <c r="V215">
        <v>1.68</v>
      </c>
    </row>
    <row r="216" spans="4:22" x14ac:dyDescent="0.3">
      <c r="D216">
        <v>214</v>
      </c>
      <c r="E216">
        <v>84370</v>
      </c>
      <c r="F216" t="s">
        <v>231</v>
      </c>
      <c r="H216" s="1">
        <v>80100</v>
      </c>
      <c r="I216">
        <v>2</v>
      </c>
      <c r="J216" s="1">
        <v>2200</v>
      </c>
      <c r="K216">
        <v>2.82</v>
      </c>
      <c r="L216" s="1">
        <v>10616</v>
      </c>
      <c r="M216">
        <v>849</v>
      </c>
      <c r="N216" s="1">
        <v>80016</v>
      </c>
      <c r="O216" s="1">
        <v>79900</v>
      </c>
      <c r="P216" s="1">
        <v>80300</v>
      </c>
      <c r="Q216" s="1">
        <v>79500</v>
      </c>
      <c r="R216" t="s">
        <v>710</v>
      </c>
      <c r="S216" s="3">
        <v>0.35357638888888893</v>
      </c>
      <c r="T216" s="1">
        <v>77900</v>
      </c>
      <c r="U216" s="1">
        <v>2200</v>
      </c>
      <c r="V216">
        <v>2.82</v>
      </c>
    </row>
    <row r="217" spans="4:22" x14ac:dyDescent="0.3">
      <c r="D217">
        <v>215</v>
      </c>
      <c r="E217">
        <v>222800</v>
      </c>
      <c r="F217" t="s">
        <v>232</v>
      </c>
      <c r="H217" s="1">
        <v>49000</v>
      </c>
      <c r="I217">
        <v>2</v>
      </c>
      <c r="J217" s="1">
        <v>1400</v>
      </c>
      <c r="K217">
        <v>2.94</v>
      </c>
      <c r="L217" s="1">
        <v>88892</v>
      </c>
      <c r="M217" s="1">
        <v>4356</v>
      </c>
      <c r="N217" s="1">
        <v>49014</v>
      </c>
      <c r="O217" s="1">
        <v>48100</v>
      </c>
      <c r="P217" s="1">
        <v>49250</v>
      </c>
      <c r="Q217" s="1">
        <v>48100</v>
      </c>
      <c r="R217" t="s">
        <v>710</v>
      </c>
      <c r="S217" s="3">
        <v>0.35590277777777773</v>
      </c>
      <c r="T217" s="1">
        <v>47600</v>
      </c>
      <c r="U217" s="1">
        <v>1400</v>
      </c>
      <c r="V217">
        <v>2.94</v>
      </c>
    </row>
    <row r="218" spans="4:22" x14ac:dyDescent="0.3">
      <c r="D218">
        <v>216</v>
      </c>
      <c r="E218">
        <v>458870</v>
      </c>
      <c r="F218" t="s">
        <v>233</v>
      </c>
      <c r="H218" s="1">
        <v>143700</v>
      </c>
      <c r="I218">
        <v>2</v>
      </c>
      <c r="J218" s="1">
        <v>2400</v>
      </c>
      <c r="K218">
        <v>1.7</v>
      </c>
      <c r="L218" s="1">
        <v>6775</v>
      </c>
      <c r="M218">
        <v>984</v>
      </c>
      <c r="N218" s="1">
        <v>145243</v>
      </c>
      <c r="O218" s="1">
        <v>143600</v>
      </c>
      <c r="P218" s="1">
        <v>146200</v>
      </c>
      <c r="Q218" s="1">
        <v>142300</v>
      </c>
      <c r="R218" t="s">
        <v>710</v>
      </c>
      <c r="S218" s="3">
        <v>0.35347222222222219</v>
      </c>
      <c r="T218" s="1">
        <v>141300</v>
      </c>
      <c r="U218" s="1">
        <v>2400</v>
      </c>
      <c r="V218">
        <v>1.7</v>
      </c>
    </row>
    <row r="219" spans="4:22" x14ac:dyDescent="0.3">
      <c r="D219">
        <v>217</v>
      </c>
      <c r="E219">
        <v>23590</v>
      </c>
      <c r="F219" t="s">
        <v>234</v>
      </c>
      <c r="H219" s="1">
        <v>40100</v>
      </c>
      <c r="I219">
        <v>2</v>
      </c>
      <c r="J219">
        <v>250</v>
      </c>
      <c r="K219">
        <v>0.63</v>
      </c>
      <c r="L219" s="1">
        <v>2237</v>
      </c>
      <c r="M219">
        <v>90</v>
      </c>
      <c r="N219" s="1">
        <v>40129</v>
      </c>
      <c r="O219" s="1">
        <v>39800</v>
      </c>
      <c r="P219" s="1">
        <v>40350</v>
      </c>
      <c r="Q219" s="1">
        <v>39200</v>
      </c>
      <c r="R219" t="s">
        <v>710</v>
      </c>
      <c r="S219" s="3">
        <v>0.35218750000000004</v>
      </c>
      <c r="T219" s="1">
        <v>39850</v>
      </c>
      <c r="U219">
        <v>250</v>
      </c>
      <c r="V219">
        <v>0.63</v>
      </c>
    </row>
    <row r="220" spans="4:22" x14ac:dyDescent="0.3">
      <c r="D220">
        <v>218</v>
      </c>
      <c r="E220">
        <v>32350</v>
      </c>
      <c r="F220" t="s">
        <v>235</v>
      </c>
      <c r="H220" s="1">
        <v>22600</v>
      </c>
      <c r="I220">
        <v>5</v>
      </c>
      <c r="J220">
        <v>350</v>
      </c>
      <c r="K220">
        <v>-1.53</v>
      </c>
      <c r="L220" s="1">
        <v>28203</v>
      </c>
      <c r="M220">
        <v>636</v>
      </c>
      <c r="N220" s="1">
        <v>22545</v>
      </c>
      <c r="O220" s="1">
        <v>23000</v>
      </c>
      <c r="P220" s="1">
        <v>23050</v>
      </c>
      <c r="Q220" s="1">
        <v>22150</v>
      </c>
      <c r="R220" t="s">
        <v>710</v>
      </c>
      <c r="S220" s="3">
        <v>0.35328703703703707</v>
      </c>
      <c r="T220" s="1">
        <v>22950</v>
      </c>
      <c r="U220">
        <v>-350</v>
      </c>
      <c r="V220">
        <v>-1.53</v>
      </c>
    </row>
    <row r="221" spans="4:22" x14ac:dyDescent="0.3">
      <c r="D221">
        <v>219</v>
      </c>
      <c r="E221">
        <v>73240</v>
      </c>
      <c r="F221" t="s">
        <v>236</v>
      </c>
      <c r="H221" s="1">
        <v>6240</v>
      </c>
      <c r="I221">
        <v>2</v>
      </c>
      <c r="J221">
        <v>60</v>
      </c>
      <c r="K221">
        <v>0.97</v>
      </c>
      <c r="L221" s="1">
        <v>21595</v>
      </c>
      <c r="M221">
        <v>134</v>
      </c>
      <c r="N221" s="1">
        <v>6224</v>
      </c>
      <c r="O221" s="1">
        <v>6230</v>
      </c>
      <c r="P221" s="1">
        <v>6300</v>
      </c>
      <c r="Q221" s="1">
        <v>6160</v>
      </c>
      <c r="R221" t="s">
        <v>710</v>
      </c>
      <c r="S221" s="3">
        <v>0.35335648148148152</v>
      </c>
      <c r="T221" s="1">
        <v>6180</v>
      </c>
      <c r="U221">
        <v>60</v>
      </c>
      <c r="V221">
        <v>0.97</v>
      </c>
    </row>
    <row r="222" spans="4:22" x14ac:dyDescent="0.3">
      <c r="D222">
        <v>220</v>
      </c>
      <c r="E222">
        <v>20150</v>
      </c>
      <c r="F222" t="s">
        <v>237</v>
      </c>
      <c r="H222" s="1">
        <v>34150</v>
      </c>
      <c r="I222">
        <v>2</v>
      </c>
      <c r="J222">
        <v>700</v>
      </c>
      <c r="K222">
        <v>2.09</v>
      </c>
      <c r="L222" s="1">
        <v>30686</v>
      </c>
      <c r="M222" s="1">
        <v>1049</v>
      </c>
      <c r="N222" s="1">
        <v>34177</v>
      </c>
      <c r="O222" s="1">
        <v>33450</v>
      </c>
      <c r="P222" s="1">
        <v>34450</v>
      </c>
      <c r="Q222" s="1">
        <v>33350</v>
      </c>
      <c r="R222" t="s">
        <v>710</v>
      </c>
      <c r="S222" s="3">
        <v>0.35363425925925923</v>
      </c>
      <c r="T222" s="1">
        <v>33450</v>
      </c>
      <c r="U222">
        <v>700</v>
      </c>
      <c r="V222">
        <v>2.09</v>
      </c>
    </row>
    <row r="223" spans="4:22" x14ac:dyDescent="0.3">
      <c r="D223">
        <v>221</v>
      </c>
      <c r="E223">
        <v>8770</v>
      </c>
      <c r="F223" t="s">
        <v>238</v>
      </c>
      <c r="H223" s="1">
        <v>45500</v>
      </c>
      <c r="I223">
        <v>2</v>
      </c>
      <c r="J223">
        <v>50</v>
      </c>
      <c r="K223">
        <v>0.11</v>
      </c>
      <c r="L223" s="1">
        <v>7780</v>
      </c>
      <c r="M223">
        <v>354</v>
      </c>
      <c r="N223" s="1">
        <v>45495</v>
      </c>
      <c r="O223" s="1">
        <v>45800</v>
      </c>
      <c r="P223" s="1">
        <v>45800</v>
      </c>
      <c r="Q223" s="1">
        <v>45450</v>
      </c>
      <c r="R223" t="s">
        <v>710</v>
      </c>
      <c r="S223" s="3">
        <v>0.35339120370370369</v>
      </c>
      <c r="T223" s="1">
        <v>45450</v>
      </c>
      <c r="U223">
        <v>50</v>
      </c>
      <c r="V223">
        <v>0.11</v>
      </c>
    </row>
    <row r="224" spans="4:22" x14ac:dyDescent="0.3">
      <c r="D224">
        <v>222</v>
      </c>
      <c r="E224">
        <v>6040</v>
      </c>
      <c r="F224" t="s">
        <v>239</v>
      </c>
      <c r="H224" s="1">
        <v>40250</v>
      </c>
      <c r="I224">
        <v>2</v>
      </c>
      <c r="J224">
        <v>250</v>
      </c>
      <c r="K224">
        <v>0.62</v>
      </c>
      <c r="L224" s="1">
        <v>3341</v>
      </c>
      <c r="M224">
        <v>134</v>
      </c>
      <c r="N224" s="1">
        <v>40226</v>
      </c>
      <c r="O224" s="1">
        <v>40500</v>
      </c>
      <c r="P224" s="1">
        <v>40700</v>
      </c>
      <c r="Q224" s="1">
        <v>40100</v>
      </c>
      <c r="R224" t="s">
        <v>710</v>
      </c>
      <c r="S224" s="3">
        <v>0.35355324074074074</v>
      </c>
      <c r="T224" s="1">
        <v>40000</v>
      </c>
      <c r="U224">
        <v>250</v>
      </c>
      <c r="V224">
        <v>0.63</v>
      </c>
    </row>
    <row r="225" spans="4:22" x14ac:dyDescent="0.3">
      <c r="D225">
        <v>223</v>
      </c>
      <c r="E225">
        <v>178320</v>
      </c>
      <c r="F225" t="s">
        <v>240</v>
      </c>
      <c r="H225" s="1">
        <v>31700</v>
      </c>
      <c r="I225">
        <v>2</v>
      </c>
      <c r="J225" s="1">
        <v>2100</v>
      </c>
      <c r="K225">
        <v>7.09</v>
      </c>
      <c r="L225" s="1">
        <v>988644</v>
      </c>
      <c r="M225" s="1">
        <v>31719</v>
      </c>
      <c r="N225" s="1">
        <v>32083</v>
      </c>
      <c r="O225" s="1">
        <v>31500</v>
      </c>
      <c r="P225" s="1">
        <v>32600</v>
      </c>
      <c r="Q225" s="1">
        <v>31000</v>
      </c>
      <c r="R225" t="s">
        <v>710</v>
      </c>
      <c r="S225" s="3">
        <v>0.35591435185185188</v>
      </c>
      <c r="T225" s="1">
        <v>29600</v>
      </c>
      <c r="U225" s="1">
        <v>2100</v>
      </c>
      <c r="V225">
        <v>7.09</v>
      </c>
    </row>
    <row r="226" spans="4:22" x14ac:dyDescent="0.3">
      <c r="D226">
        <v>224</v>
      </c>
      <c r="E226">
        <v>6280</v>
      </c>
      <c r="F226" t="s">
        <v>241</v>
      </c>
      <c r="H226" s="1">
        <v>151900</v>
      </c>
      <c r="I226">
        <v>2</v>
      </c>
      <c r="J226" s="1">
        <v>1000</v>
      </c>
      <c r="K226">
        <v>0.66</v>
      </c>
      <c r="L226" s="1">
        <v>1560</v>
      </c>
      <c r="M226">
        <v>237</v>
      </c>
      <c r="N226" s="1">
        <v>152070</v>
      </c>
      <c r="O226" s="1">
        <v>151000</v>
      </c>
      <c r="P226" s="1">
        <v>152400</v>
      </c>
      <c r="Q226" s="1">
        <v>151000</v>
      </c>
      <c r="R226" t="s">
        <v>710</v>
      </c>
      <c r="S226" s="3">
        <v>0.35358796296296297</v>
      </c>
      <c r="T226" s="1">
        <v>150900</v>
      </c>
      <c r="U226" s="1">
        <v>1000</v>
      </c>
      <c r="V226">
        <v>0.66</v>
      </c>
    </row>
    <row r="227" spans="4:22" x14ac:dyDescent="0.3">
      <c r="D227">
        <v>225</v>
      </c>
      <c r="E227">
        <v>67310</v>
      </c>
      <c r="F227" t="s">
        <v>242</v>
      </c>
      <c r="H227" s="1">
        <v>26650</v>
      </c>
      <c r="I227">
        <v>2</v>
      </c>
      <c r="J227">
        <v>700</v>
      </c>
      <c r="K227">
        <v>2.7</v>
      </c>
      <c r="L227" s="1">
        <v>156896</v>
      </c>
      <c r="M227" s="1">
        <v>4177</v>
      </c>
      <c r="N227" s="1">
        <v>26627</v>
      </c>
      <c r="O227" s="1">
        <v>26300</v>
      </c>
      <c r="P227" s="1">
        <v>26800</v>
      </c>
      <c r="Q227" s="1">
        <v>26250</v>
      </c>
      <c r="R227" t="s">
        <v>710</v>
      </c>
      <c r="S227" s="3">
        <v>0.35591435185185188</v>
      </c>
      <c r="T227" s="1">
        <v>25950</v>
      </c>
      <c r="U227">
        <v>700</v>
      </c>
      <c r="V227">
        <v>2.7</v>
      </c>
    </row>
    <row r="228" spans="4:22" x14ac:dyDescent="0.3">
      <c r="D228">
        <v>226</v>
      </c>
      <c r="E228">
        <v>298020</v>
      </c>
      <c r="F228" t="s">
        <v>243</v>
      </c>
      <c r="H228" s="1">
        <v>404000</v>
      </c>
      <c r="I228">
        <v>2</v>
      </c>
      <c r="J228" s="1">
        <v>24500</v>
      </c>
      <c r="K228">
        <v>6.46</v>
      </c>
      <c r="L228" s="1">
        <v>33386</v>
      </c>
      <c r="M228" s="1">
        <v>13773</v>
      </c>
      <c r="N228" s="1">
        <v>412538</v>
      </c>
      <c r="O228" s="1">
        <v>420000</v>
      </c>
      <c r="P228" s="1">
        <v>440000</v>
      </c>
      <c r="Q228" s="1">
        <v>401000</v>
      </c>
      <c r="R228" t="s">
        <v>710</v>
      </c>
      <c r="S228" s="3">
        <v>0.35365740740740742</v>
      </c>
      <c r="T228" s="1">
        <v>379500</v>
      </c>
      <c r="U228" s="1">
        <v>24500</v>
      </c>
      <c r="V228">
        <v>6.46</v>
      </c>
    </row>
    <row r="229" spans="4:22" x14ac:dyDescent="0.3">
      <c r="D229">
        <v>227</v>
      </c>
      <c r="E229">
        <v>7070</v>
      </c>
      <c r="F229" t="s">
        <v>244</v>
      </c>
      <c r="H229" s="1">
        <v>20800</v>
      </c>
      <c r="I229">
        <v>5</v>
      </c>
      <c r="J229">
        <v>150</v>
      </c>
      <c r="K229">
        <v>-0.72</v>
      </c>
      <c r="L229" s="1">
        <v>3319</v>
      </c>
      <c r="M229">
        <v>69</v>
      </c>
      <c r="N229" s="1">
        <v>20851</v>
      </c>
      <c r="O229" s="1">
        <v>21150</v>
      </c>
      <c r="P229" s="1">
        <v>21300</v>
      </c>
      <c r="Q229" s="1">
        <v>20800</v>
      </c>
      <c r="R229" t="s">
        <v>710</v>
      </c>
      <c r="S229" s="3">
        <v>0.35177083333333337</v>
      </c>
      <c r="T229" s="1">
        <v>20950</v>
      </c>
      <c r="U229">
        <v>-150</v>
      </c>
      <c r="V229">
        <v>-0.72</v>
      </c>
    </row>
    <row r="230" spans="4:22" x14ac:dyDescent="0.3">
      <c r="D230">
        <v>228</v>
      </c>
      <c r="E230">
        <v>483650</v>
      </c>
      <c r="F230" t="s">
        <v>245</v>
      </c>
      <c r="H230" s="1">
        <v>139800</v>
      </c>
      <c r="I230">
        <v>5</v>
      </c>
      <c r="J230">
        <v>300</v>
      </c>
      <c r="K230">
        <v>-0.21</v>
      </c>
      <c r="L230" s="1">
        <v>4172</v>
      </c>
      <c r="M230">
        <v>585</v>
      </c>
      <c r="N230" s="1">
        <v>140316</v>
      </c>
      <c r="O230" s="1">
        <v>142000</v>
      </c>
      <c r="P230" s="1">
        <v>142000</v>
      </c>
      <c r="Q230" s="1">
        <v>139800</v>
      </c>
      <c r="R230" t="s">
        <v>710</v>
      </c>
      <c r="S230" s="3">
        <v>0.3536111111111111</v>
      </c>
      <c r="T230" s="1">
        <v>140100</v>
      </c>
      <c r="U230">
        <v>-300</v>
      </c>
      <c r="V230">
        <v>-0.21</v>
      </c>
    </row>
    <row r="231" spans="4:22" x14ac:dyDescent="0.3">
      <c r="D231">
        <v>229</v>
      </c>
      <c r="E231">
        <v>3570</v>
      </c>
      <c r="F231" t="s">
        <v>246</v>
      </c>
      <c r="H231" s="1">
        <v>52100</v>
      </c>
      <c r="I231">
        <v>5</v>
      </c>
      <c r="J231">
        <v>100</v>
      </c>
      <c r="K231">
        <v>-0.19</v>
      </c>
      <c r="L231" s="1">
        <v>4970</v>
      </c>
      <c r="M231">
        <v>258</v>
      </c>
      <c r="N231" s="1">
        <v>51995</v>
      </c>
      <c r="O231" s="1">
        <v>51700</v>
      </c>
      <c r="P231" s="1">
        <v>52500</v>
      </c>
      <c r="Q231" s="1">
        <v>51700</v>
      </c>
      <c r="R231" t="s">
        <v>710</v>
      </c>
      <c r="S231" s="3">
        <v>0.35356481481481478</v>
      </c>
      <c r="T231" s="1">
        <v>52200</v>
      </c>
      <c r="U231">
        <v>-100</v>
      </c>
      <c r="V231">
        <v>-0.19</v>
      </c>
    </row>
    <row r="232" spans="4:22" x14ac:dyDescent="0.3">
      <c r="D232">
        <v>230</v>
      </c>
      <c r="E232">
        <v>375500</v>
      </c>
      <c r="F232" t="s">
        <v>247</v>
      </c>
      <c r="H232" s="1">
        <v>43950</v>
      </c>
      <c r="I232">
        <v>2</v>
      </c>
      <c r="J232">
        <v>550</v>
      </c>
      <c r="K232">
        <v>1.27</v>
      </c>
      <c r="L232" s="1">
        <v>35779</v>
      </c>
      <c r="M232" s="1">
        <v>1579</v>
      </c>
      <c r="N232" s="1">
        <v>44130</v>
      </c>
      <c r="O232" s="1">
        <v>43800</v>
      </c>
      <c r="P232" s="1">
        <v>44500</v>
      </c>
      <c r="Q232" s="1">
        <v>43800</v>
      </c>
      <c r="R232" t="s">
        <v>710</v>
      </c>
      <c r="S232" s="3">
        <v>0.35358796296296297</v>
      </c>
      <c r="T232" s="1">
        <v>43400</v>
      </c>
      <c r="U232">
        <v>550</v>
      </c>
      <c r="V232">
        <v>1.27</v>
      </c>
    </row>
    <row r="233" spans="4:22" x14ac:dyDescent="0.3">
      <c r="D233">
        <v>231</v>
      </c>
      <c r="E233">
        <v>39200</v>
      </c>
      <c r="F233" t="s">
        <v>248</v>
      </c>
      <c r="H233" s="1">
        <v>44400</v>
      </c>
      <c r="I233">
        <v>2</v>
      </c>
      <c r="J233">
        <v>500</v>
      </c>
      <c r="K233">
        <v>1.1399999999999999</v>
      </c>
      <c r="L233" s="1">
        <v>7812</v>
      </c>
      <c r="M233">
        <v>347</v>
      </c>
      <c r="N233" s="1">
        <v>44366</v>
      </c>
      <c r="O233" s="1">
        <v>43900</v>
      </c>
      <c r="P233" s="1">
        <v>44600</v>
      </c>
      <c r="Q233" s="1">
        <v>43800</v>
      </c>
      <c r="R233" t="s">
        <v>710</v>
      </c>
      <c r="S233" s="3">
        <v>0.3536111111111111</v>
      </c>
      <c r="T233" s="1">
        <v>43900</v>
      </c>
      <c r="U233">
        <v>500</v>
      </c>
      <c r="V233">
        <v>1.1399999999999999</v>
      </c>
    </row>
    <row r="234" spans="4:22" x14ac:dyDescent="0.3">
      <c r="D234">
        <v>232</v>
      </c>
      <c r="E234">
        <v>112610</v>
      </c>
      <c r="F234" t="s">
        <v>249</v>
      </c>
      <c r="H234" s="1">
        <v>40000</v>
      </c>
      <c r="I234">
        <v>2</v>
      </c>
      <c r="J234">
        <v>300</v>
      </c>
      <c r="K234">
        <v>0.76</v>
      </c>
      <c r="L234" s="1">
        <v>9892</v>
      </c>
      <c r="M234">
        <v>396</v>
      </c>
      <c r="N234" s="1">
        <v>40062</v>
      </c>
      <c r="O234" s="1">
        <v>40200</v>
      </c>
      <c r="P234" s="1">
        <v>40500</v>
      </c>
      <c r="Q234" s="1">
        <v>39900</v>
      </c>
      <c r="R234" t="s">
        <v>710</v>
      </c>
      <c r="S234" s="3">
        <v>0.35357638888888893</v>
      </c>
      <c r="T234" s="1">
        <v>39700</v>
      </c>
      <c r="U234">
        <v>300</v>
      </c>
      <c r="V234">
        <v>0.76</v>
      </c>
    </row>
    <row r="235" spans="4:22" x14ac:dyDescent="0.3">
      <c r="D235">
        <v>233</v>
      </c>
      <c r="E235">
        <v>140860</v>
      </c>
      <c r="F235" t="s">
        <v>250</v>
      </c>
      <c r="H235" s="1">
        <v>235000</v>
      </c>
      <c r="I235">
        <v>2</v>
      </c>
      <c r="J235" s="1">
        <v>1500</v>
      </c>
      <c r="K235">
        <v>0.64</v>
      </c>
      <c r="L235" s="1">
        <v>1513</v>
      </c>
      <c r="M235">
        <v>357</v>
      </c>
      <c r="N235" s="1">
        <v>235795</v>
      </c>
      <c r="O235" s="1">
        <v>236500</v>
      </c>
      <c r="P235" s="1">
        <v>237000</v>
      </c>
      <c r="Q235" s="1">
        <v>233500</v>
      </c>
      <c r="R235" t="s">
        <v>710</v>
      </c>
      <c r="S235" s="3">
        <v>0.35318287037037038</v>
      </c>
      <c r="T235" s="1">
        <v>233500</v>
      </c>
      <c r="U235" s="1">
        <v>1500</v>
      </c>
      <c r="V235">
        <v>0.64</v>
      </c>
    </row>
    <row r="236" spans="4:22" x14ac:dyDescent="0.3">
      <c r="D236">
        <v>234</v>
      </c>
      <c r="E236">
        <v>65350</v>
      </c>
      <c r="F236" t="s">
        <v>251</v>
      </c>
      <c r="H236" s="1">
        <v>58400</v>
      </c>
      <c r="I236">
        <v>2</v>
      </c>
      <c r="J236" s="1">
        <v>1000</v>
      </c>
      <c r="K236">
        <v>1.74</v>
      </c>
      <c r="L236" s="1">
        <v>17106</v>
      </c>
      <c r="M236">
        <v>994</v>
      </c>
      <c r="N236" s="1">
        <v>58123</v>
      </c>
      <c r="O236" s="1">
        <v>57900</v>
      </c>
      <c r="P236" s="1">
        <v>58400</v>
      </c>
      <c r="Q236" s="1">
        <v>57400</v>
      </c>
      <c r="R236" t="s">
        <v>710</v>
      </c>
      <c r="S236" s="3">
        <v>0.35358796296296297</v>
      </c>
      <c r="T236" s="1">
        <v>57400</v>
      </c>
      <c r="U236" s="1">
        <v>1000</v>
      </c>
      <c r="V236">
        <v>1.74</v>
      </c>
    </row>
    <row r="237" spans="4:22" x14ac:dyDescent="0.3">
      <c r="D237">
        <v>235</v>
      </c>
      <c r="E237">
        <v>6360</v>
      </c>
      <c r="F237" t="s">
        <v>252</v>
      </c>
      <c r="H237" s="1">
        <v>18670</v>
      </c>
      <c r="I237">
        <v>2</v>
      </c>
      <c r="J237">
        <v>150</v>
      </c>
      <c r="K237">
        <v>0.81</v>
      </c>
      <c r="L237" s="1">
        <v>28089</v>
      </c>
      <c r="M237">
        <v>524</v>
      </c>
      <c r="N237" s="1">
        <v>18656</v>
      </c>
      <c r="O237" s="1">
        <v>18740</v>
      </c>
      <c r="P237" s="1">
        <v>18740</v>
      </c>
      <c r="Q237" s="1">
        <v>18600</v>
      </c>
      <c r="R237" t="s">
        <v>710</v>
      </c>
      <c r="S237" s="3">
        <v>0.35362268518518519</v>
      </c>
      <c r="T237" s="1">
        <v>18520</v>
      </c>
      <c r="U237">
        <v>150</v>
      </c>
      <c r="V237">
        <v>0.81</v>
      </c>
    </row>
    <row r="238" spans="4:22" x14ac:dyDescent="0.3">
      <c r="D238">
        <v>236</v>
      </c>
      <c r="E238">
        <v>85620</v>
      </c>
      <c r="F238" t="s">
        <v>253</v>
      </c>
      <c r="H238" s="1">
        <v>9000</v>
      </c>
      <c r="I238">
        <v>2</v>
      </c>
      <c r="J238">
        <v>40</v>
      </c>
      <c r="K238">
        <v>0.45</v>
      </c>
      <c r="L238">
        <v>424</v>
      </c>
      <c r="M238">
        <v>4</v>
      </c>
      <c r="N238" s="1">
        <v>9044</v>
      </c>
      <c r="O238" s="1">
        <v>9100</v>
      </c>
      <c r="P238" s="1">
        <v>9120</v>
      </c>
      <c r="Q238" s="1">
        <v>9000</v>
      </c>
      <c r="R238" t="s">
        <v>710</v>
      </c>
      <c r="S238" s="3">
        <v>0.35041666666666665</v>
      </c>
      <c r="T238" s="1">
        <v>8960</v>
      </c>
      <c r="U238">
        <v>40</v>
      </c>
      <c r="V238">
        <v>0.45</v>
      </c>
    </row>
    <row r="239" spans="4:22" x14ac:dyDescent="0.3">
      <c r="D239">
        <v>237</v>
      </c>
      <c r="E239">
        <v>34230</v>
      </c>
      <c r="F239" t="s">
        <v>254</v>
      </c>
      <c r="H239" s="1">
        <v>17160</v>
      </c>
      <c r="I239">
        <v>2</v>
      </c>
      <c r="J239">
        <v>20</v>
      </c>
      <c r="K239">
        <v>0.12</v>
      </c>
      <c r="L239" s="1">
        <v>16241</v>
      </c>
      <c r="M239">
        <v>280</v>
      </c>
      <c r="N239" s="1">
        <v>17212</v>
      </c>
      <c r="O239" s="1">
        <v>17600</v>
      </c>
      <c r="P239" s="1">
        <v>17600</v>
      </c>
      <c r="Q239" s="1">
        <v>17090</v>
      </c>
      <c r="R239" t="s">
        <v>710</v>
      </c>
      <c r="S239" s="3">
        <v>0.35309027777777779</v>
      </c>
      <c r="T239" s="1">
        <v>17140</v>
      </c>
      <c r="U239">
        <v>20</v>
      </c>
      <c r="V239">
        <v>0.12</v>
      </c>
    </row>
    <row r="240" spans="4:22" x14ac:dyDescent="0.3">
      <c r="D240">
        <v>238</v>
      </c>
      <c r="E240">
        <v>20560</v>
      </c>
      <c r="F240" t="s">
        <v>255</v>
      </c>
      <c r="H240" s="1">
        <v>7650</v>
      </c>
      <c r="I240">
        <v>2</v>
      </c>
      <c r="J240">
        <v>30</v>
      </c>
      <c r="K240">
        <v>0.39</v>
      </c>
      <c r="L240" s="1">
        <v>1326</v>
      </c>
      <c r="M240">
        <v>10</v>
      </c>
      <c r="N240" s="1">
        <v>7663</v>
      </c>
      <c r="O240" s="1">
        <v>7720</v>
      </c>
      <c r="P240" s="1">
        <v>7720</v>
      </c>
      <c r="Q240" s="1">
        <v>7650</v>
      </c>
      <c r="R240" t="s">
        <v>710</v>
      </c>
      <c r="S240" s="3">
        <v>0.35339120370370369</v>
      </c>
      <c r="T240" s="1">
        <v>7620</v>
      </c>
      <c r="U240">
        <v>30</v>
      </c>
      <c r="V240">
        <v>0.39</v>
      </c>
    </row>
    <row r="241" spans="4:22" x14ac:dyDescent="0.3">
      <c r="D241">
        <v>239</v>
      </c>
      <c r="E241">
        <v>7310</v>
      </c>
      <c r="F241" t="s">
        <v>256</v>
      </c>
      <c r="H241" s="1">
        <v>386000</v>
      </c>
      <c r="I241">
        <v>2</v>
      </c>
      <c r="J241" s="1">
        <v>2000</v>
      </c>
      <c r="K241">
        <v>0.52</v>
      </c>
      <c r="L241">
        <v>102</v>
      </c>
      <c r="M241">
        <v>39</v>
      </c>
      <c r="N241" s="1">
        <v>385323</v>
      </c>
      <c r="O241" s="1">
        <v>384000</v>
      </c>
      <c r="P241" s="1">
        <v>386500</v>
      </c>
      <c r="Q241" s="1">
        <v>383500</v>
      </c>
      <c r="R241" t="s">
        <v>710</v>
      </c>
      <c r="S241" s="3">
        <v>0.35182870370370373</v>
      </c>
      <c r="T241" s="1">
        <v>384000</v>
      </c>
      <c r="U241" s="1">
        <v>2000</v>
      </c>
      <c r="V241">
        <v>0.52</v>
      </c>
    </row>
    <row r="242" spans="4:22" x14ac:dyDescent="0.3">
      <c r="D242">
        <v>240</v>
      </c>
      <c r="E242">
        <v>161890</v>
      </c>
      <c r="F242" t="s">
        <v>257</v>
      </c>
      <c r="H242" s="1">
        <v>64300</v>
      </c>
      <c r="I242">
        <v>5</v>
      </c>
      <c r="J242">
        <v>200</v>
      </c>
      <c r="K242">
        <v>-0.31</v>
      </c>
      <c r="L242" s="1">
        <v>7088</v>
      </c>
      <c r="M242">
        <v>458</v>
      </c>
      <c r="N242" s="1">
        <v>64640</v>
      </c>
      <c r="O242" s="1">
        <v>65000</v>
      </c>
      <c r="P242" s="1">
        <v>65000</v>
      </c>
      <c r="Q242" s="1">
        <v>64300</v>
      </c>
      <c r="R242" t="s">
        <v>710</v>
      </c>
      <c r="S242" s="3">
        <v>0.35592592592592592</v>
      </c>
      <c r="T242" s="1">
        <v>64500</v>
      </c>
      <c r="U242">
        <v>-200</v>
      </c>
      <c r="V242">
        <v>-0.31</v>
      </c>
    </row>
    <row r="243" spans="4:22" x14ac:dyDescent="0.3">
      <c r="D243">
        <v>241</v>
      </c>
      <c r="E243">
        <v>77970</v>
      </c>
      <c r="F243" t="s">
        <v>258</v>
      </c>
      <c r="H243" s="1">
        <v>37750</v>
      </c>
      <c r="I243">
        <v>5</v>
      </c>
      <c r="J243">
        <v>250</v>
      </c>
      <c r="K243">
        <v>-0.66</v>
      </c>
      <c r="L243" s="1">
        <v>36321</v>
      </c>
      <c r="M243" s="1">
        <v>1387</v>
      </c>
      <c r="N243" s="1">
        <v>38195</v>
      </c>
      <c r="O243" s="1">
        <v>38250</v>
      </c>
      <c r="P243" s="1">
        <v>38750</v>
      </c>
      <c r="Q243" s="1">
        <v>37700</v>
      </c>
      <c r="R243" t="s">
        <v>710</v>
      </c>
      <c r="S243" s="3">
        <v>0.35591435185185188</v>
      </c>
      <c r="T243" s="1">
        <v>38000</v>
      </c>
      <c r="U243">
        <v>-250</v>
      </c>
      <c r="V243">
        <v>-0.66</v>
      </c>
    </row>
    <row r="244" spans="4:22" x14ac:dyDescent="0.3">
      <c r="D244">
        <v>242</v>
      </c>
      <c r="E244">
        <v>89030</v>
      </c>
      <c r="F244" t="s">
        <v>259</v>
      </c>
      <c r="H244" s="1">
        <v>40300</v>
      </c>
      <c r="I244">
        <v>2</v>
      </c>
      <c r="J244" s="1">
        <v>1150</v>
      </c>
      <c r="K244">
        <v>2.94</v>
      </c>
      <c r="L244" s="1">
        <v>284416</v>
      </c>
      <c r="M244" s="1">
        <v>11510</v>
      </c>
      <c r="N244" s="1">
        <v>40471</v>
      </c>
      <c r="O244" s="1">
        <v>39800</v>
      </c>
      <c r="P244" s="1">
        <v>40850</v>
      </c>
      <c r="Q244" s="1">
        <v>39750</v>
      </c>
      <c r="R244" t="s">
        <v>710</v>
      </c>
      <c r="S244" s="3">
        <v>0.35592592592592592</v>
      </c>
      <c r="T244" s="1">
        <v>39150</v>
      </c>
      <c r="U244" s="1">
        <v>1150</v>
      </c>
      <c r="V244">
        <v>2.94</v>
      </c>
    </row>
    <row r="245" spans="4:22" x14ac:dyDescent="0.3">
      <c r="D245">
        <v>243</v>
      </c>
      <c r="E245">
        <v>36930</v>
      </c>
      <c r="F245" t="s">
        <v>260</v>
      </c>
      <c r="H245" s="1">
        <v>31650</v>
      </c>
      <c r="I245">
        <v>2</v>
      </c>
      <c r="J245">
        <v>750</v>
      </c>
      <c r="K245">
        <v>2.4300000000000002</v>
      </c>
      <c r="L245" s="1">
        <v>70797</v>
      </c>
      <c r="M245" s="1">
        <v>2237</v>
      </c>
      <c r="N245" s="1">
        <v>31608</v>
      </c>
      <c r="O245" s="1">
        <v>31300</v>
      </c>
      <c r="P245" s="1">
        <v>31750</v>
      </c>
      <c r="Q245" s="1">
        <v>31250</v>
      </c>
      <c r="R245" t="s">
        <v>710</v>
      </c>
      <c r="S245" s="3">
        <v>0.35591435185185188</v>
      </c>
      <c r="T245" s="1">
        <v>30900</v>
      </c>
      <c r="U245">
        <v>750</v>
      </c>
      <c r="V245">
        <v>2.4300000000000002</v>
      </c>
    </row>
    <row r="246" spans="4:22" x14ac:dyDescent="0.3">
      <c r="D246">
        <v>244</v>
      </c>
      <c r="E246">
        <v>500</v>
      </c>
      <c r="F246" t="s">
        <v>261</v>
      </c>
      <c r="H246" s="1">
        <v>90200</v>
      </c>
      <c r="I246">
        <v>2</v>
      </c>
      <c r="J246" s="1">
        <v>1400</v>
      </c>
      <c r="K246">
        <v>1.58</v>
      </c>
      <c r="L246" s="1">
        <v>4858</v>
      </c>
      <c r="M246">
        <v>439</v>
      </c>
      <c r="N246" s="1">
        <v>90317</v>
      </c>
      <c r="O246" s="1">
        <v>91100</v>
      </c>
      <c r="P246" s="1">
        <v>91300</v>
      </c>
      <c r="Q246" s="1">
        <v>88900</v>
      </c>
      <c r="R246" t="s">
        <v>710</v>
      </c>
      <c r="S246" s="3">
        <v>0.35309027777777779</v>
      </c>
      <c r="T246" s="1">
        <v>88800</v>
      </c>
      <c r="U246" s="1">
        <v>1400</v>
      </c>
      <c r="V246">
        <v>1.58</v>
      </c>
    </row>
    <row r="247" spans="4:22" x14ac:dyDescent="0.3">
      <c r="D247">
        <v>245</v>
      </c>
      <c r="E247">
        <v>7810</v>
      </c>
      <c r="F247" t="s">
        <v>262</v>
      </c>
      <c r="H247" s="1">
        <v>62300</v>
      </c>
      <c r="I247">
        <v>2</v>
      </c>
      <c r="J247" s="1">
        <v>1600</v>
      </c>
      <c r="K247">
        <v>2.64</v>
      </c>
      <c r="L247" s="1">
        <v>35846</v>
      </c>
      <c r="M247" s="1">
        <v>2242</v>
      </c>
      <c r="N247" s="1">
        <v>62551</v>
      </c>
      <c r="O247" s="1">
        <v>61400</v>
      </c>
      <c r="P247" s="1">
        <v>63500</v>
      </c>
      <c r="Q247" s="1">
        <v>61400</v>
      </c>
      <c r="R247" t="s">
        <v>710</v>
      </c>
      <c r="S247" s="3">
        <v>0.35355324074074074</v>
      </c>
      <c r="T247" s="1">
        <v>60700</v>
      </c>
      <c r="U247" s="1">
        <v>1600</v>
      </c>
      <c r="V247">
        <v>2.64</v>
      </c>
    </row>
    <row r="248" spans="4:22" x14ac:dyDescent="0.3">
      <c r="D248">
        <v>246</v>
      </c>
      <c r="E248">
        <v>7340</v>
      </c>
      <c r="F248" t="s">
        <v>263</v>
      </c>
      <c r="H248" s="1">
        <v>25150</v>
      </c>
      <c r="I248">
        <v>2</v>
      </c>
      <c r="J248">
        <v>50</v>
      </c>
      <c r="K248">
        <v>0.2</v>
      </c>
      <c r="L248" s="1">
        <v>11572</v>
      </c>
      <c r="M248">
        <v>291</v>
      </c>
      <c r="N248" s="1">
        <v>25181</v>
      </c>
      <c r="O248" s="1">
        <v>25350</v>
      </c>
      <c r="P248" s="1">
        <v>25500</v>
      </c>
      <c r="Q248" s="1">
        <v>25050</v>
      </c>
      <c r="R248" t="s">
        <v>710</v>
      </c>
      <c r="S248" s="3">
        <v>0.3518634259259259</v>
      </c>
      <c r="T248" s="1">
        <v>25100</v>
      </c>
      <c r="U248">
        <v>50</v>
      </c>
      <c r="V248">
        <v>0.2</v>
      </c>
    </row>
    <row r="249" spans="4:22" x14ac:dyDescent="0.3">
      <c r="D249">
        <v>247</v>
      </c>
      <c r="E249">
        <v>5070</v>
      </c>
      <c r="F249" t="s">
        <v>264</v>
      </c>
      <c r="H249" s="1">
        <v>45250</v>
      </c>
      <c r="I249">
        <v>2</v>
      </c>
      <c r="J249" s="1">
        <v>1000</v>
      </c>
      <c r="K249">
        <v>2.2599999999999998</v>
      </c>
      <c r="L249" s="1">
        <v>21157</v>
      </c>
      <c r="M249">
        <v>953</v>
      </c>
      <c r="N249" s="1">
        <v>45022</v>
      </c>
      <c r="O249" s="1">
        <v>44700</v>
      </c>
      <c r="P249" s="1">
        <v>45300</v>
      </c>
      <c r="Q249" s="1">
        <v>44450</v>
      </c>
      <c r="R249" t="s">
        <v>710</v>
      </c>
      <c r="S249" s="3">
        <v>0.35362268518518519</v>
      </c>
      <c r="T249" s="1">
        <v>44250</v>
      </c>
      <c r="U249" s="1">
        <v>1000</v>
      </c>
      <c r="V249">
        <v>2.2599999999999998</v>
      </c>
    </row>
    <row r="250" spans="4:22" x14ac:dyDescent="0.3">
      <c r="D250">
        <v>248</v>
      </c>
      <c r="E250">
        <v>60370</v>
      </c>
      <c r="F250" t="s">
        <v>265</v>
      </c>
      <c r="H250" s="1">
        <v>28100</v>
      </c>
      <c r="I250">
        <v>2</v>
      </c>
      <c r="J250">
        <v>250</v>
      </c>
      <c r="K250">
        <v>0.9</v>
      </c>
      <c r="L250" s="1">
        <v>19560</v>
      </c>
      <c r="M250">
        <v>551</v>
      </c>
      <c r="N250" s="1">
        <v>28161</v>
      </c>
      <c r="O250" s="1">
        <v>28050</v>
      </c>
      <c r="P250" s="1">
        <v>28350</v>
      </c>
      <c r="Q250" s="1">
        <v>28050</v>
      </c>
      <c r="R250" t="s">
        <v>710</v>
      </c>
      <c r="S250" s="3">
        <v>0.35351851851851851</v>
      </c>
      <c r="T250" s="1">
        <v>27850</v>
      </c>
      <c r="U250">
        <v>250</v>
      </c>
      <c r="V250">
        <v>0.9</v>
      </c>
    </row>
    <row r="251" spans="4:22" x14ac:dyDescent="0.3">
      <c r="D251">
        <v>249</v>
      </c>
      <c r="E251">
        <v>101490</v>
      </c>
      <c r="F251" t="s">
        <v>266</v>
      </c>
      <c r="H251" s="1">
        <v>68700</v>
      </c>
      <c r="I251">
        <v>2</v>
      </c>
      <c r="J251" s="1">
        <v>2300</v>
      </c>
      <c r="K251">
        <v>3.46</v>
      </c>
      <c r="L251" s="1">
        <v>77336</v>
      </c>
      <c r="M251" s="1">
        <v>5325</v>
      </c>
      <c r="N251" s="1">
        <v>68852</v>
      </c>
      <c r="O251" s="1">
        <v>71200</v>
      </c>
      <c r="P251" s="1">
        <v>71200</v>
      </c>
      <c r="Q251" s="1">
        <v>68000</v>
      </c>
      <c r="R251" t="s">
        <v>710</v>
      </c>
      <c r="S251" s="3">
        <v>0.35364583333333338</v>
      </c>
      <c r="T251" s="1">
        <v>66400</v>
      </c>
      <c r="U251" s="1">
        <v>2300</v>
      </c>
      <c r="V251">
        <v>3.46</v>
      </c>
    </row>
    <row r="252" spans="4:22" x14ac:dyDescent="0.3">
      <c r="D252">
        <v>250</v>
      </c>
      <c r="E252">
        <v>323280</v>
      </c>
      <c r="F252" t="s">
        <v>267</v>
      </c>
      <c r="H252" s="1">
        <v>48100</v>
      </c>
      <c r="I252">
        <v>2</v>
      </c>
      <c r="J252" s="1">
        <v>2350</v>
      </c>
      <c r="K252">
        <v>5.14</v>
      </c>
      <c r="L252" s="1">
        <v>190453</v>
      </c>
      <c r="M252" s="1">
        <v>9222</v>
      </c>
      <c r="N252" s="1">
        <v>48421</v>
      </c>
      <c r="O252" s="1">
        <v>47000</v>
      </c>
      <c r="P252" s="1">
        <v>50600</v>
      </c>
      <c r="Q252" s="1">
        <v>47000</v>
      </c>
      <c r="R252" t="s">
        <v>710</v>
      </c>
      <c r="S252" s="3">
        <v>0.35591435185185188</v>
      </c>
      <c r="T252" s="1">
        <v>45750</v>
      </c>
      <c r="U252" s="1">
        <v>2350</v>
      </c>
      <c r="V252">
        <v>5.14</v>
      </c>
    </row>
    <row r="253" spans="4:22" x14ac:dyDescent="0.3">
      <c r="D253">
        <v>251</v>
      </c>
      <c r="E253">
        <v>484870</v>
      </c>
      <c r="F253" t="s">
        <v>268</v>
      </c>
      <c r="H253" s="1">
        <v>160100</v>
      </c>
      <c r="I253">
        <v>2</v>
      </c>
      <c r="J253" s="1">
        <v>3700</v>
      </c>
      <c r="K253">
        <v>2.37</v>
      </c>
      <c r="L253">
        <v>558</v>
      </c>
      <c r="M253">
        <v>89</v>
      </c>
      <c r="N253" s="1">
        <v>159428</v>
      </c>
      <c r="O253" s="1">
        <v>156500</v>
      </c>
      <c r="P253" s="1">
        <v>161200</v>
      </c>
      <c r="Q253" s="1">
        <v>156500</v>
      </c>
      <c r="R253" t="s">
        <v>710</v>
      </c>
      <c r="S253" s="3">
        <v>0.3527777777777778</v>
      </c>
      <c r="T253" s="1">
        <v>156400</v>
      </c>
      <c r="U253" s="1">
        <v>3700</v>
      </c>
      <c r="V253">
        <v>2.37</v>
      </c>
    </row>
    <row r="254" spans="4:22" x14ac:dyDescent="0.3">
      <c r="D254">
        <v>252</v>
      </c>
      <c r="E254">
        <v>1120</v>
      </c>
      <c r="F254" t="s">
        <v>269</v>
      </c>
      <c r="H254" s="1">
        <v>36300</v>
      </c>
      <c r="I254">
        <v>2</v>
      </c>
      <c r="J254">
        <v>350</v>
      </c>
      <c r="K254">
        <v>0.97</v>
      </c>
      <c r="L254" s="1">
        <v>5032</v>
      </c>
      <c r="M254">
        <v>183</v>
      </c>
      <c r="N254" s="1">
        <v>36386</v>
      </c>
      <c r="O254" s="1">
        <v>36050</v>
      </c>
      <c r="P254" s="1">
        <v>36500</v>
      </c>
      <c r="Q254" s="1">
        <v>36050</v>
      </c>
      <c r="R254" t="s">
        <v>710</v>
      </c>
      <c r="S254" s="3">
        <v>0.35296296296296298</v>
      </c>
      <c r="T254" s="1">
        <v>35950</v>
      </c>
      <c r="U254">
        <v>350</v>
      </c>
      <c r="V254">
        <v>0.97</v>
      </c>
    </row>
    <row r="255" spans="4:22" x14ac:dyDescent="0.3">
      <c r="D255">
        <v>253</v>
      </c>
      <c r="E255">
        <v>31980</v>
      </c>
      <c r="F255" t="s">
        <v>270</v>
      </c>
      <c r="H255" s="1">
        <v>65000</v>
      </c>
      <c r="I255">
        <v>2</v>
      </c>
      <c r="J255" s="1">
        <v>1300</v>
      </c>
      <c r="K255">
        <v>2.04</v>
      </c>
      <c r="L255" s="1">
        <v>60006</v>
      </c>
      <c r="M255" s="1">
        <v>3904</v>
      </c>
      <c r="N255" s="1">
        <v>65062</v>
      </c>
      <c r="O255" s="1">
        <v>64200</v>
      </c>
      <c r="P255" s="1">
        <v>66400</v>
      </c>
      <c r="Q255" s="1">
        <v>64100</v>
      </c>
      <c r="R255" t="s">
        <v>710</v>
      </c>
      <c r="S255" s="3">
        <v>0.35362268518518519</v>
      </c>
      <c r="T255" s="1">
        <v>63700</v>
      </c>
      <c r="U255" s="1">
        <v>1300</v>
      </c>
      <c r="V255">
        <v>2.04</v>
      </c>
    </row>
    <row r="256" spans="4:22" x14ac:dyDescent="0.3">
      <c r="D256">
        <v>254</v>
      </c>
      <c r="E256">
        <v>3540</v>
      </c>
      <c r="F256" t="s">
        <v>271</v>
      </c>
      <c r="H256" s="1">
        <v>27450</v>
      </c>
      <c r="I256">
        <v>2</v>
      </c>
      <c r="J256">
        <v>250</v>
      </c>
      <c r="K256">
        <v>0.92</v>
      </c>
      <c r="L256" s="1">
        <v>12008</v>
      </c>
      <c r="M256">
        <v>329</v>
      </c>
      <c r="N256" s="1">
        <v>27411</v>
      </c>
      <c r="O256" s="1">
        <v>27200</v>
      </c>
      <c r="P256" s="1">
        <v>27500</v>
      </c>
      <c r="Q256" s="1">
        <v>27200</v>
      </c>
      <c r="R256" t="s">
        <v>710</v>
      </c>
      <c r="S256" s="3">
        <v>0.35328703703703707</v>
      </c>
      <c r="T256" s="1">
        <v>27200</v>
      </c>
      <c r="U256">
        <v>250</v>
      </c>
      <c r="V256">
        <v>0.92</v>
      </c>
    </row>
    <row r="257" spans="4:22" x14ac:dyDescent="0.3">
      <c r="D257">
        <v>255</v>
      </c>
      <c r="E257">
        <v>35760</v>
      </c>
      <c r="F257" t="s">
        <v>272</v>
      </c>
      <c r="H257" s="1">
        <v>63400</v>
      </c>
      <c r="I257">
        <v>3</v>
      </c>
      <c r="L257" s="1">
        <v>2452</v>
      </c>
      <c r="M257">
        <v>155</v>
      </c>
      <c r="N257" s="1">
        <v>63366</v>
      </c>
      <c r="O257" s="1">
        <v>63400</v>
      </c>
      <c r="P257" s="1">
        <v>63700</v>
      </c>
      <c r="Q257" s="1">
        <v>63100</v>
      </c>
      <c r="R257" t="s">
        <v>710</v>
      </c>
      <c r="S257" s="3">
        <v>0.35363425925925923</v>
      </c>
      <c r="T257" s="1">
        <v>63400</v>
      </c>
    </row>
    <row r="258" spans="4:22" x14ac:dyDescent="0.3">
      <c r="D258">
        <v>256</v>
      </c>
      <c r="E258">
        <v>253450</v>
      </c>
      <c r="F258" t="s">
        <v>273</v>
      </c>
      <c r="H258" s="1">
        <v>45200</v>
      </c>
      <c r="I258">
        <v>2</v>
      </c>
      <c r="J258">
        <v>100</v>
      </c>
      <c r="K258">
        <v>0.22</v>
      </c>
      <c r="L258" s="1">
        <v>2544</v>
      </c>
      <c r="M258">
        <v>115</v>
      </c>
      <c r="N258" s="1">
        <v>45254</v>
      </c>
      <c r="O258" s="1">
        <v>45150</v>
      </c>
      <c r="P258" s="1">
        <v>45450</v>
      </c>
      <c r="Q258" s="1">
        <v>45150</v>
      </c>
      <c r="R258" t="s">
        <v>710</v>
      </c>
      <c r="S258" s="3">
        <v>0.35363425925925923</v>
      </c>
      <c r="T258" s="1">
        <v>45100</v>
      </c>
      <c r="U258">
        <v>100</v>
      </c>
      <c r="V258">
        <v>0.22</v>
      </c>
    </row>
    <row r="259" spans="4:22" x14ac:dyDescent="0.3">
      <c r="D259">
        <v>257</v>
      </c>
      <c r="E259">
        <v>195940</v>
      </c>
      <c r="F259" t="s">
        <v>274</v>
      </c>
      <c r="H259" s="1">
        <v>47550</v>
      </c>
      <c r="I259">
        <v>2</v>
      </c>
      <c r="J259">
        <v>200</v>
      </c>
      <c r="K259">
        <v>0.42</v>
      </c>
      <c r="L259" s="1">
        <v>8653</v>
      </c>
      <c r="M259">
        <v>411</v>
      </c>
      <c r="N259" s="1">
        <v>47511</v>
      </c>
      <c r="O259" s="1">
        <v>47400</v>
      </c>
      <c r="P259" s="1">
        <v>47700</v>
      </c>
      <c r="Q259" s="1">
        <v>47250</v>
      </c>
      <c r="R259" t="s">
        <v>710</v>
      </c>
      <c r="S259" s="3">
        <v>0.35299768518518521</v>
      </c>
      <c r="T259" s="1">
        <v>47350</v>
      </c>
      <c r="U259">
        <v>200</v>
      </c>
      <c r="V259">
        <v>0.42</v>
      </c>
    </row>
    <row r="260" spans="4:22" x14ac:dyDescent="0.3">
      <c r="D260">
        <v>258</v>
      </c>
      <c r="E260">
        <v>348370</v>
      </c>
      <c r="F260" t="s">
        <v>275</v>
      </c>
      <c r="H260" s="1">
        <v>61200</v>
      </c>
      <c r="I260">
        <v>2</v>
      </c>
      <c r="J260">
        <v>600</v>
      </c>
      <c r="K260">
        <v>0.99</v>
      </c>
      <c r="L260" s="1">
        <v>18112</v>
      </c>
      <c r="M260" s="1">
        <v>1105</v>
      </c>
      <c r="N260" s="1">
        <v>60997</v>
      </c>
      <c r="O260" s="1">
        <v>61300</v>
      </c>
      <c r="P260" s="1">
        <v>61600</v>
      </c>
      <c r="Q260" s="1">
        <v>60600</v>
      </c>
      <c r="R260" t="s">
        <v>710</v>
      </c>
      <c r="S260" s="3">
        <v>0.35362268518518519</v>
      </c>
      <c r="T260" s="1">
        <v>60600</v>
      </c>
      <c r="U260">
        <v>600</v>
      </c>
      <c r="V260">
        <v>0.99</v>
      </c>
    </row>
    <row r="261" spans="4:22" x14ac:dyDescent="0.3">
      <c r="D261">
        <v>259</v>
      </c>
      <c r="E261">
        <v>294870</v>
      </c>
      <c r="F261" t="s">
        <v>276</v>
      </c>
      <c r="H261" s="1">
        <v>20250</v>
      </c>
      <c r="I261">
        <v>2</v>
      </c>
      <c r="J261">
        <v>200</v>
      </c>
      <c r="K261">
        <v>1</v>
      </c>
      <c r="L261" s="1">
        <v>6923</v>
      </c>
      <c r="M261">
        <v>140</v>
      </c>
      <c r="N261" s="1">
        <v>20201</v>
      </c>
      <c r="O261" s="1">
        <v>20200</v>
      </c>
      <c r="P261" s="1">
        <v>20250</v>
      </c>
      <c r="Q261" s="1">
        <v>20100</v>
      </c>
      <c r="R261" t="s">
        <v>710</v>
      </c>
      <c r="S261" s="3">
        <v>0.35319444444444442</v>
      </c>
      <c r="T261" s="1">
        <v>20050</v>
      </c>
      <c r="U261">
        <v>200</v>
      </c>
      <c r="V261">
        <v>1</v>
      </c>
    </row>
    <row r="262" spans="4:22" x14ac:dyDescent="0.3">
      <c r="D262">
        <v>260</v>
      </c>
      <c r="E262">
        <v>5440</v>
      </c>
      <c r="F262" t="s">
        <v>277</v>
      </c>
      <c r="H262" s="1">
        <v>8470</v>
      </c>
      <c r="I262">
        <v>2</v>
      </c>
      <c r="J262">
        <v>50</v>
      </c>
      <c r="K262">
        <v>0.59</v>
      </c>
      <c r="L262" s="1">
        <v>3339</v>
      </c>
      <c r="M262">
        <v>28</v>
      </c>
      <c r="N262" s="1">
        <v>8403</v>
      </c>
      <c r="O262" s="1">
        <v>8260</v>
      </c>
      <c r="P262" s="1">
        <v>8480</v>
      </c>
      <c r="Q262" s="1">
        <v>8260</v>
      </c>
      <c r="R262" t="s">
        <v>710</v>
      </c>
      <c r="S262" s="3">
        <v>0.35355324074074074</v>
      </c>
      <c r="T262" s="1">
        <v>8420</v>
      </c>
      <c r="U262">
        <v>50</v>
      </c>
      <c r="V262">
        <v>0.59</v>
      </c>
    </row>
    <row r="263" spans="4:22" x14ac:dyDescent="0.3">
      <c r="D263">
        <v>261</v>
      </c>
      <c r="E263">
        <v>290650</v>
      </c>
      <c r="F263" t="s">
        <v>278</v>
      </c>
      <c r="H263" s="1">
        <v>52900</v>
      </c>
      <c r="I263">
        <v>2</v>
      </c>
      <c r="J263">
        <v>400</v>
      </c>
      <c r="K263">
        <v>0.76</v>
      </c>
      <c r="L263" s="1">
        <v>22956</v>
      </c>
      <c r="M263" s="1">
        <v>1210</v>
      </c>
      <c r="N263" s="1">
        <v>52725</v>
      </c>
      <c r="O263" s="1">
        <v>53400</v>
      </c>
      <c r="P263" s="1">
        <v>53400</v>
      </c>
      <c r="Q263" s="1">
        <v>52000</v>
      </c>
      <c r="R263" t="s">
        <v>710</v>
      </c>
      <c r="S263" s="3">
        <v>0.35364583333333338</v>
      </c>
      <c r="T263" s="1">
        <v>52500</v>
      </c>
      <c r="U263">
        <v>400</v>
      </c>
      <c r="V263">
        <v>0.76</v>
      </c>
    </row>
    <row r="264" spans="4:22" x14ac:dyDescent="0.3">
      <c r="D264">
        <v>262</v>
      </c>
      <c r="E264">
        <v>1800</v>
      </c>
      <c r="F264" t="s">
        <v>279</v>
      </c>
      <c r="H264" s="1">
        <v>20550</v>
      </c>
      <c r="I264">
        <v>3</v>
      </c>
      <c r="L264" s="1">
        <v>5743</v>
      </c>
      <c r="M264">
        <v>118</v>
      </c>
      <c r="N264" s="1">
        <v>20492</v>
      </c>
      <c r="O264" s="1">
        <v>20700</v>
      </c>
      <c r="P264" s="1">
        <v>20800</v>
      </c>
      <c r="Q264" s="1">
        <v>20400</v>
      </c>
      <c r="R264" t="s">
        <v>710</v>
      </c>
      <c r="S264" s="3">
        <v>0.35350694444444447</v>
      </c>
      <c r="T264" s="1">
        <v>20550</v>
      </c>
    </row>
    <row r="265" spans="4:22" x14ac:dyDescent="0.3">
      <c r="D265">
        <v>263</v>
      </c>
      <c r="E265">
        <v>85660</v>
      </c>
      <c r="F265" t="s">
        <v>280</v>
      </c>
      <c r="H265" s="1">
        <v>16130</v>
      </c>
      <c r="I265">
        <v>5</v>
      </c>
      <c r="J265">
        <v>190</v>
      </c>
      <c r="K265">
        <v>-1.1599999999999999</v>
      </c>
      <c r="L265" s="1">
        <v>123220</v>
      </c>
      <c r="M265" s="1">
        <v>1994</v>
      </c>
      <c r="N265" s="1">
        <v>16181</v>
      </c>
      <c r="O265" s="1">
        <v>16330</v>
      </c>
      <c r="P265" s="1">
        <v>16430</v>
      </c>
      <c r="Q265" s="1">
        <v>16080</v>
      </c>
      <c r="R265" t="s">
        <v>710</v>
      </c>
      <c r="S265" s="3">
        <v>0.35363425925925923</v>
      </c>
      <c r="T265" s="1">
        <v>16320</v>
      </c>
      <c r="U265">
        <v>-190</v>
      </c>
      <c r="V265">
        <v>-1.1599999999999999</v>
      </c>
    </row>
    <row r="266" spans="4:22" x14ac:dyDescent="0.3">
      <c r="D266">
        <v>264</v>
      </c>
      <c r="E266">
        <v>3090</v>
      </c>
      <c r="F266" t="s">
        <v>281</v>
      </c>
      <c r="H266" s="1">
        <v>22000</v>
      </c>
      <c r="I266">
        <v>2</v>
      </c>
      <c r="J266">
        <v>150</v>
      </c>
      <c r="K266">
        <v>0.69</v>
      </c>
      <c r="L266" s="1">
        <v>2876</v>
      </c>
      <c r="M266">
        <v>63</v>
      </c>
      <c r="N266" s="1">
        <v>21811</v>
      </c>
      <c r="O266" s="1">
        <v>21650</v>
      </c>
      <c r="P266" s="1">
        <v>22250</v>
      </c>
      <c r="Q266" s="1">
        <v>21650</v>
      </c>
      <c r="R266" t="s">
        <v>710</v>
      </c>
      <c r="S266" s="3">
        <v>0.35347222222222219</v>
      </c>
      <c r="T266" s="1">
        <v>21850</v>
      </c>
      <c r="U266">
        <v>150</v>
      </c>
      <c r="V266">
        <v>0.69</v>
      </c>
    </row>
    <row r="267" spans="4:22" x14ac:dyDescent="0.3">
      <c r="D267">
        <v>265</v>
      </c>
      <c r="E267">
        <v>122870</v>
      </c>
      <c r="F267" t="s">
        <v>282</v>
      </c>
      <c r="H267" s="1">
        <v>68300</v>
      </c>
      <c r="I267">
        <v>2</v>
      </c>
      <c r="J267">
        <v>500</v>
      </c>
      <c r="K267">
        <v>0.74</v>
      </c>
      <c r="L267" s="1">
        <v>12371</v>
      </c>
      <c r="M267">
        <v>847</v>
      </c>
      <c r="N267" s="1">
        <v>68466</v>
      </c>
      <c r="O267" s="1">
        <v>67900</v>
      </c>
      <c r="P267" s="1">
        <v>68800</v>
      </c>
      <c r="Q267" s="1">
        <v>67800</v>
      </c>
      <c r="R267" t="s">
        <v>710</v>
      </c>
      <c r="S267" s="3">
        <v>0.35593750000000002</v>
      </c>
      <c r="T267" s="1">
        <v>67800</v>
      </c>
      <c r="U267">
        <v>500</v>
      </c>
      <c r="V267">
        <v>0.74</v>
      </c>
    </row>
    <row r="268" spans="4:22" x14ac:dyDescent="0.3">
      <c r="D268">
        <v>266</v>
      </c>
      <c r="E268">
        <v>71320</v>
      </c>
      <c r="F268" t="s">
        <v>283</v>
      </c>
      <c r="H268" s="1">
        <v>110400</v>
      </c>
      <c r="I268">
        <v>2</v>
      </c>
      <c r="J268">
        <v>400</v>
      </c>
      <c r="K268">
        <v>0.36</v>
      </c>
      <c r="L268">
        <v>591</v>
      </c>
      <c r="M268">
        <v>65</v>
      </c>
      <c r="N268" s="1">
        <v>110514</v>
      </c>
      <c r="O268" s="1">
        <v>110000</v>
      </c>
      <c r="P268" s="1">
        <v>110800</v>
      </c>
      <c r="Q268" s="1">
        <v>110000</v>
      </c>
      <c r="R268" t="s">
        <v>710</v>
      </c>
      <c r="S268" s="3">
        <v>0.35253472222222221</v>
      </c>
      <c r="T268" s="1">
        <v>110000</v>
      </c>
      <c r="U268">
        <v>400</v>
      </c>
      <c r="V268">
        <v>0.36</v>
      </c>
    </row>
    <row r="269" spans="4:22" x14ac:dyDescent="0.3">
      <c r="D269">
        <v>267</v>
      </c>
      <c r="E269">
        <v>7390</v>
      </c>
      <c r="F269" t="s">
        <v>284</v>
      </c>
      <c r="H269" s="1">
        <v>19770</v>
      </c>
      <c r="I269">
        <v>2</v>
      </c>
      <c r="J269">
        <v>170</v>
      </c>
      <c r="K269">
        <v>0.87</v>
      </c>
      <c r="L269" s="1">
        <v>21548</v>
      </c>
      <c r="M269">
        <v>426</v>
      </c>
      <c r="N269" s="1">
        <v>19810</v>
      </c>
      <c r="O269" s="1">
        <v>19650</v>
      </c>
      <c r="P269" s="1">
        <v>20000</v>
      </c>
      <c r="Q269" s="1">
        <v>19650</v>
      </c>
      <c r="R269" t="s">
        <v>710</v>
      </c>
      <c r="S269" s="3">
        <v>0.35593750000000002</v>
      </c>
      <c r="T269" s="1">
        <v>19600</v>
      </c>
      <c r="U269">
        <v>170</v>
      </c>
      <c r="V269">
        <v>0.87</v>
      </c>
    </row>
    <row r="270" spans="4:22" x14ac:dyDescent="0.3">
      <c r="D270">
        <v>268</v>
      </c>
      <c r="E270">
        <v>293490</v>
      </c>
      <c r="F270" t="s">
        <v>285</v>
      </c>
      <c r="H270" s="1">
        <v>14150</v>
      </c>
      <c r="I270">
        <v>2</v>
      </c>
      <c r="J270">
        <v>180</v>
      </c>
      <c r="K270">
        <v>1.29</v>
      </c>
      <c r="L270" s="1">
        <v>6556</v>
      </c>
      <c r="M270">
        <v>93</v>
      </c>
      <c r="N270" s="1">
        <v>14109</v>
      </c>
      <c r="O270" s="1">
        <v>14010</v>
      </c>
      <c r="P270" s="1">
        <v>14160</v>
      </c>
      <c r="Q270" s="1">
        <v>13970</v>
      </c>
      <c r="R270" t="s">
        <v>710</v>
      </c>
      <c r="S270" s="3">
        <v>0.35334490740740737</v>
      </c>
      <c r="T270" s="1">
        <v>13970</v>
      </c>
      <c r="U270">
        <v>180</v>
      </c>
      <c r="V270">
        <v>1.29</v>
      </c>
    </row>
    <row r="271" spans="4:22" x14ac:dyDescent="0.3">
      <c r="D271">
        <v>269</v>
      </c>
      <c r="E271">
        <v>80</v>
      </c>
      <c r="F271" t="s">
        <v>286</v>
      </c>
      <c r="H271" s="1">
        <v>17820</v>
      </c>
      <c r="I271">
        <v>3</v>
      </c>
      <c r="L271" s="1">
        <v>7094</v>
      </c>
      <c r="M271">
        <v>126</v>
      </c>
      <c r="N271" s="1">
        <v>17804</v>
      </c>
      <c r="O271" s="1">
        <v>17910</v>
      </c>
      <c r="P271" s="1">
        <v>17910</v>
      </c>
      <c r="Q271" s="1">
        <v>17790</v>
      </c>
      <c r="R271" t="s">
        <v>710</v>
      </c>
      <c r="S271" s="3">
        <v>0.3533101851851852</v>
      </c>
      <c r="T271" s="1">
        <v>17820</v>
      </c>
    </row>
    <row r="272" spans="4:22" x14ac:dyDescent="0.3">
      <c r="D272">
        <v>270</v>
      </c>
      <c r="E272">
        <v>96530</v>
      </c>
      <c r="F272" t="s">
        <v>287</v>
      </c>
      <c r="H272" s="1">
        <v>23850</v>
      </c>
      <c r="I272">
        <v>2</v>
      </c>
      <c r="J272">
        <v>150</v>
      </c>
      <c r="K272">
        <v>0.63</v>
      </c>
      <c r="L272" s="1">
        <v>6258</v>
      </c>
      <c r="M272">
        <v>149</v>
      </c>
      <c r="N272" s="1">
        <v>23806</v>
      </c>
      <c r="O272" s="1">
        <v>23800</v>
      </c>
      <c r="P272" s="1">
        <v>23900</v>
      </c>
      <c r="Q272" s="1">
        <v>23700</v>
      </c>
      <c r="R272" t="s">
        <v>710</v>
      </c>
      <c r="S272" s="3">
        <v>0.35305555555555551</v>
      </c>
      <c r="T272" s="1">
        <v>23700</v>
      </c>
      <c r="U272">
        <v>150</v>
      </c>
      <c r="V272">
        <v>0.63</v>
      </c>
    </row>
    <row r="273" spans="4:22" x14ac:dyDescent="0.3">
      <c r="D273">
        <v>271</v>
      </c>
      <c r="E273">
        <v>3380</v>
      </c>
      <c r="F273" t="s">
        <v>288</v>
      </c>
      <c r="H273" s="1">
        <v>11080</v>
      </c>
      <c r="I273">
        <v>2</v>
      </c>
      <c r="J273">
        <v>150</v>
      </c>
      <c r="K273">
        <v>1.37</v>
      </c>
      <c r="L273" s="1">
        <v>91563</v>
      </c>
      <c r="M273" s="1">
        <v>1014</v>
      </c>
      <c r="N273" s="1">
        <v>11077</v>
      </c>
      <c r="O273" s="1">
        <v>11000</v>
      </c>
      <c r="P273" s="1">
        <v>11240</v>
      </c>
      <c r="Q273" s="1">
        <v>11000</v>
      </c>
      <c r="R273" t="s">
        <v>710</v>
      </c>
      <c r="S273" s="3">
        <v>0.35362268518518519</v>
      </c>
      <c r="T273" s="1">
        <v>10930</v>
      </c>
      <c r="U273">
        <v>150</v>
      </c>
      <c r="V273">
        <v>1.37</v>
      </c>
    </row>
    <row r="274" spans="4:22" x14ac:dyDescent="0.3">
      <c r="D274">
        <v>272</v>
      </c>
      <c r="E274">
        <v>120110</v>
      </c>
      <c r="F274" t="s">
        <v>289</v>
      </c>
      <c r="H274" s="1">
        <v>44900</v>
      </c>
      <c r="I274">
        <v>2</v>
      </c>
      <c r="J274">
        <v>800</v>
      </c>
      <c r="K274">
        <v>1.81</v>
      </c>
      <c r="L274" s="1">
        <v>7652</v>
      </c>
      <c r="M274">
        <v>342</v>
      </c>
      <c r="N274" s="1">
        <v>44717</v>
      </c>
      <c r="O274" s="1">
        <v>45500</v>
      </c>
      <c r="P274" s="1">
        <v>45500</v>
      </c>
      <c r="Q274" s="1">
        <v>44450</v>
      </c>
      <c r="R274" t="s">
        <v>710</v>
      </c>
      <c r="S274" s="3">
        <v>0.35344907407407405</v>
      </c>
      <c r="T274" s="1">
        <v>44100</v>
      </c>
      <c r="U274">
        <v>800</v>
      </c>
      <c r="V274">
        <v>1.81</v>
      </c>
    </row>
    <row r="275" spans="4:22" x14ac:dyDescent="0.3">
      <c r="D275">
        <v>273</v>
      </c>
      <c r="E275">
        <v>456160</v>
      </c>
      <c r="F275" t="s">
        <v>290</v>
      </c>
      <c r="H275" s="1">
        <v>75200</v>
      </c>
      <c r="I275">
        <v>2</v>
      </c>
      <c r="J275" s="1">
        <v>1000</v>
      </c>
      <c r="K275">
        <v>1.35</v>
      </c>
      <c r="L275" s="1">
        <v>89160</v>
      </c>
      <c r="M275" s="1">
        <v>6738</v>
      </c>
      <c r="N275" s="1">
        <v>75571</v>
      </c>
      <c r="O275" s="1">
        <v>75700</v>
      </c>
      <c r="P275" s="1">
        <v>76800</v>
      </c>
      <c r="Q275" s="1">
        <v>75000</v>
      </c>
      <c r="R275" t="s">
        <v>710</v>
      </c>
      <c r="S275" s="3">
        <v>0.35364583333333338</v>
      </c>
      <c r="T275" s="1">
        <v>74200</v>
      </c>
      <c r="U275" s="1">
        <v>1000</v>
      </c>
      <c r="V275">
        <v>1.35</v>
      </c>
    </row>
    <row r="276" spans="4:22" x14ac:dyDescent="0.3">
      <c r="D276">
        <v>274</v>
      </c>
      <c r="E276">
        <v>300720</v>
      </c>
      <c r="F276" t="s">
        <v>291</v>
      </c>
      <c r="H276" s="1">
        <v>16620</v>
      </c>
      <c r="I276">
        <v>2</v>
      </c>
      <c r="J276">
        <v>130</v>
      </c>
      <c r="K276">
        <v>0.79</v>
      </c>
      <c r="L276" s="1">
        <v>3427</v>
      </c>
      <c r="M276">
        <v>57</v>
      </c>
      <c r="N276" s="1">
        <v>16636</v>
      </c>
      <c r="O276" s="1">
        <v>16700</v>
      </c>
      <c r="P276" s="1">
        <v>16710</v>
      </c>
      <c r="Q276" s="1">
        <v>16490</v>
      </c>
      <c r="R276" t="s">
        <v>710</v>
      </c>
      <c r="S276" s="3">
        <v>0.35357638888888893</v>
      </c>
      <c r="T276" s="1">
        <v>16490</v>
      </c>
      <c r="U276">
        <v>130</v>
      </c>
      <c r="V276">
        <v>0.79</v>
      </c>
    </row>
    <row r="277" spans="4:22" x14ac:dyDescent="0.3">
      <c r="D277">
        <v>275</v>
      </c>
      <c r="E277">
        <v>232140</v>
      </c>
      <c r="F277" t="s">
        <v>292</v>
      </c>
      <c r="H277" s="1">
        <v>14760</v>
      </c>
      <c r="I277">
        <v>2</v>
      </c>
      <c r="J277">
        <v>420</v>
      </c>
      <c r="K277">
        <v>2.93</v>
      </c>
      <c r="L277" s="1">
        <v>89216</v>
      </c>
      <c r="M277" s="1">
        <v>1315</v>
      </c>
      <c r="N277" s="1">
        <v>14739</v>
      </c>
      <c r="O277" s="1">
        <v>14540</v>
      </c>
      <c r="P277" s="1">
        <v>14800</v>
      </c>
      <c r="Q277" s="1">
        <v>14540</v>
      </c>
      <c r="R277" t="s">
        <v>710</v>
      </c>
      <c r="S277" s="3">
        <v>0.35363425925925923</v>
      </c>
      <c r="T277" s="1">
        <v>14340</v>
      </c>
      <c r="U277">
        <v>420</v>
      </c>
      <c r="V277">
        <v>2.93</v>
      </c>
    </row>
    <row r="278" spans="4:22" x14ac:dyDescent="0.3">
      <c r="D278">
        <v>276</v>
      </c>
      <c r="E278">
        <v>5300</v>
      </c>
      <c r="F278" t="s">
        <v>293</v>
      </c>
      <c r="H278" s="1">
        <v>130000</v>
      </c>
      <c r="I278">
        <v>5</v>
      </c>
      <c r="J278">
        <v>300</v>
      </c>
      <c r="K278">
        <v>-0.23</v>
      </c>
      <c r="L278">
        <v>622</v>
      </c>
      <c r="M278">
        <v>81</v>
      </c>
      <c r="N278" s="1">
        <v>129606</v>
      </c>
      <c r="O278" s="1">
        <v>128700</v>
      </c>
      <c r="P278" s="1">
        <v>130100</v>
      </c>
      <c r="Q278" s="1">
        <v>128600</v>
      </c>
      <c r="R278" t="s">
        <v>710</v>
      </c>
      <c r="S278" s="3">
        <v>0.35357638888888893</v>
      </c>
      <c r="T278" s="1">
        <v>130300</v>
      </c>
      <c r="U278">
        <v>-300</v>
      </c>
      <c r="V278">
        <v>-0.23</v>
      </c>
    </row>
    <row r="279" spans="4:22" x14ac:dyDescent="0.3">
      <c r="D279">
        <v>277</v>
      </c>
      <c r="E279">
        <v>100090</v>
      </c>
      <c r="F279" t="s">
        <v>294</v>
      </c>
      <c r="H279" s="1">
        <v>19190</v>
      </c>
      <c r="I279">
        <v>2</v>
      </c>
      <c r="J279">
        <v>160</v>
      </c>
      <c r="K279">
        <v>0.84</v>
      </c>
      <c r="L279" s="1">
        <v>21676</v>
      </c>
      <c r="M279">
        <v>416</v>
      </c>
      <c r="N279" s="1">
        <v>19213</v>
      </c>
      <c r="O279" s="1">
        <v>19030</v>
      </c>
      <c r="P279" s="1">
        <v>19300</v>
      </c>
      <c r="Q279" s="1">
        <v>19030</v>
      </c>
      <c r="R279" t="s">
        <v>710</v>
      </c>
      <c r="S279" s="3">
        <v>0.35327546296296292</v>
      </c>
      <c r="T279" s="1">
        <v>19030</v>
      </c>
      <c r="U279">
        <v>160</v>
      </c>
      <c r="V279">
        <v>0.84</v>
      </c>
    </row>
    <row r="280" spans="4:22" x14ac:dyDescent="0.3">
      <c r="D280">
        <v>278</v>
      </c>
      <c r="E280">
        <v>388720</v>
      </c>
      <c r="F280" t="s">
        <v>295</v>
      </c>
      <c r="H280" s="1">
        <v>101000</v>
      </c>
      <c r="I280">
        <v>2</v>
      </c>
      <c r="J280" s="1">
        <v>4000</v>
      </c>
      <c r="K280">
        <v>4.12</v>
      </c>
      <c r="L280" s="1">
        <v>175567</v>
      </c>
      <c r="M280" s="1">
        <v>17871</v>
      </c>
      <c r="N280" s="1">
        <v>101790</v>
      </c>
      <c r="O280" s="1">
        <v>98600</v>
      </c>
      <c r="P280" s="1">
        <v>104500</v>
      </c>
      <c r="Q280" s="1">
        <v>98600</v>
      </c>
      <c r="R280" t="s">
        <v>710</v>
      </c>
      <c r="S280" s="3">
        <v>0.35593750000000002</v>
      </c>
      <c r="T280" s="1">
        <v>97000</v>
      </c>
      <c r="U280" s="1">
        <v>4000</v>
      </c>
      <c r="V280">
        <v>4.12</v>
      </c>
    </row>
    <row r="281" spans="4:22" x14ac:dyDescent="0.3">
      <c r="D281">
        <v>279</v>
      </c>
      <c r="E281">
        <v>319660</v>
      </c>
      <c r="F281" t="s">
        <v>296</v>
      </c>
      <c r="H281" s="1">
        <v>40750</v>
      </c>
      <c r="I281">
        <v>2</v>
      </c>
      <c r="J281" s="1">
        <v>1200</v>
      </c>
      <c r="K281">
        <v>3.03</v>
      </c>
      <c r="L281" s="1">
        <v>31918</v>
      </c>
      <c r="M281" s="1">
        <v>1299</v>
      </c>
      <c r="N281" s="1">
        <v>40698</v>
      </c>
      <c r="O281" s="1">
        <v>40200</v>
      </c>
      <c r="P281" s="1">
        <v>40800</v>
      </c>
      <c r="Q281" s="1">
        <v>40200</v>
      </c>
      <c r="R281" t="s">
        <v>710</v>
      </c>
      <c r="S281" s="3">
        <v>0.35350694444444447</v>
      </c>
      <c r="T281" s="1">
        <v>39550</v>
      </c>
      <c r="U281" s="1">
        <v>1200</v>
      </c>
      <c r="V281">
        <v>3.03</v>
      </c>
    </row>
    <row r="282" spans="4:22" x14ac:dyDescent="0.3">
      <c r="D282">
        <v>280</v>
      </c>
      <c r="E282">
        <v>249420</v>
      </c>
      <c r="F282" t="s">
        <v>297</v>
      </c>
      <c r="H282" s="1">
        <v>37000</v>
      </c>
      <c r="I282">
        <v>3</v>
      </c>
      <c r="L282" s="1">
        <v>72237</v>
      </c>
      <c r="M282" s="1">
        <v>2676</v>
      </c>
      <c r="N282" s="1">
        <v>37039</v>
      </c>
      <c r="O282" s="1">
        <v>37000</v>
      </c>
      <c r="P282" s="1">
        <v>37400</v>
      </c>
      <c r="Q282" s="1">
        <v>36850</v>
      </c>
      <c r="R282" t="s">
        <v>710</v>
      </c>
      <c r="S282" s="3">
        <v>0.35365740740740742</v>
      </c>
      <c r="T282" s="1">
        <v>37000</v>
      </c>
    </row>
    <row r="283" spans="4:22" x14ac:dyDescent="0.3">
      <c r="D283">
        <v>281</v>
      </c>
      <c r="E283">
        <v>30610</v>
      </c>
      <c r="F283" t="s">
        <v>298</v>
      </c>
      <c r="H283" s="1">
        <v>10270</v>
      </c>
      <c r="I283">
        <v>2</v>
      </c>
      <c r="J283">
        <v>130</v>
      </c>
      <c r="K283">
        <v>1.28</v>
      </c>
      <c r="L283" s="1">
        <v>2631</v>
      </c>
      <c r="M283">
        <v>27</v>
      </c>
      <c r="N283" s="1">
        <v>10279</v>
      </c>
      <c r="O283" s="1">
        <v>10150</v>
      </c>
      <c r="P283" s="1">
        <v>10290</v>
      </c>
      <c r="Q283" s="1">
        <v>10150</v>
      </c>
      <c r="R283" t="s">
        <v>710</v>
      </c>
      <c r="S283" s="3">
        <v>0.35357638888888893</v>
      </c>
      <c r="T283" s="1">
        <v>10140</v>
      </c>
      <c r="U283">
        <v>130</v>
      </c>
      <c r="V283">
        <v>1.28</v>
      </c>
    </row>
    <row r="284" spans="4:22" x14ac:dyDescent="0.3">
      <c r="D284">
        <v>282</v>
      </c>
      <c r="E284">
        <v>4000</v>
      </c>
      <c r="F284" t="s">
        <v>299</v>
      </c>
      <c r="H284" s="1">
        <v>45200</v>
      </c>
      <c r="I284">
        <v>2</v>
      </c>
      <c r="J284">
        <v>950</v>
      </c>
      <c r="K284">
        <v>2.15</v>
      </c>
      <c r="L284" s="1">
        <v>1564</v>
      </c>
      <c r="M284">
        <v>70</v>
      </c>
      <c r="N284" s="1">
        <v>44973</v>
      </c>
      <c r="O284" s="1">
        <v>44500</v>
      </c>
      <c r="P284" s="1">
        <v>45600</v>
      </c>
      <c r="Q284" s="1">
        <v>44400</v>
      </c>
      <c r="R284" t="s">
        <v>710</v>
      </c>
      <c r="S284" s="3">
        <v>0.35212962962962963</v>
      </c>
      <c r="T284" s="1">
        <v>44250</v>
      </c>
      <c r="U284">
        <v>950</v>
      </c>
      <c r="V284">
        <v>2.15</v>
      </c>
    </row>
    <row r="285" spans="4:22" x14ac:dyDescent="0.3">
      <c r="D285">
        <v>283</v>
      </c>
      <c r="E285">
        <v>281740</v>
      </c>
      <c r="F285" t="s">
        <v>300</v>
      </c>
      <c r="H285" s="1">
        <v>17880</v>
      </c>
      <c r="I285">
        <v>2</v>
      </c>
      <c r="J285" s="1">
        <v>1680</v>
      </c>
      <c r="K285">
        <v>10.37</v>
      </c>
      <c r="L285" s="1">
        <v>1725544</v>
      </c>
      <c r="M285" s="1">
        <v>30505</v>
      </c>
      <c r="N285" s="1">
        <v>17678</v>
      </c>
      <c r="O285" s="1">
        <v>16490</v>
      </c>
      <c r="P285" s="1">
        <v>18260</v>
      </c>
      <c r="Q285" s="1">
        <v>16490</v>
      </c>
      <c r="R285" t="s">
        <v>710</v>
      </c>
      <c r="S285" s="3">
        <v>0.35593750000000002</v>
      </c>
      <c r="T285" s="1">
        <v>16200</v>
      </c>
      <c r="U285" s="1">
        <v>1680</v>
      </c>
      <c r="V285">
        <v>10.37</v>
      </c>
    </row>
    <row r="286" spans="4:22" x14ac:dyDescent="0.3">
      <c r="D286">
        <v>284</v>
      </c>
      <c r="E286">
        <v>229640</v>
      </c>
      <c r="F286" t="s">
        <v>301</v>
      </c>
      <c r="H286" s="1">
        <v>38000</v>
      </c>
      <c r="I286">
        <v>2</v>
      </c>
      <c r="J286">
        <v>750</v>
      </c>
      <c r="K286">
        <v>2.0099999999999998</v>
      </c>
      <c r="L286" s="1">
        <v>7636</v>
      </c>
      <c r="M286">
        <v>289</v>
      </c>
      <c r="N286" s="1">
        <v>37843</v>
      </c>
      <c r="O286" s="1">
        <v>37750</v>
      </c>
      <c r="P286" s="1">
        <v>38000</v>
      </c>
      <c r="Q286" s="1">
        <v>37400</v>
      </c>
      <c r="R286" t="s">
        <v>710</v>
      </c>
      <c r="S286" s="3">
        <v>0.35355324074074074</v>
      </c>
      <c r="T286" s="1">
        <v>37250</v>
      </c>
      <c r="U286">
        <v>750</v>
      </c>
      <c r="V286">
        <v>2.0099999999999998</v>
      </c>
    </row>
    <row r="287" spans="4:22" x14ac:dyDescent="0.3">
      <c r="D287">
        <v>285</v>
      </c>
      <c r="E287">
        <v>185750</v>
      </c>
      <c r="F287" t="s">
        <v>302</v>
      </c>
      <c r="H287" s="1">
        <v>83300</v>
      </c>
      <c r="I287">
        <v>2</v>
      </c>
      <c r="J287">
        <v>300</v>
      </c>
      <c r="K287">
        <v>0.36</v>
      </c>
      <c r="L287" s="1">
        <v>1577</v>
      </c>
      <c r="M287">
        <v>132</v>
      </c>
      <c r="N287" s="1">
        <v>83630</v>
      </c>
      <c r="O287" s="1">
        <v>83100</v>
      </c>
      <c r="P287" s="1">
        <v>84100</v>
      </c>
      <c r="Q287" s="1">
        <v>83100</v>
      </c>
      <c r="R287" t="s">
        <v>710</v>
      </c>
      <c r="S287" s="3">
        <v>0.35332175925925924</v>
      </c>
      <c r="T287" s="1">
        <v>83000</v>
      </c>
      <c r="U287">
        <v>300</v>
      </c>
      <c r="V287">
        <v>0.36</v>
      </c>
    </row>
    <row r="288" spans="4:22" x14ac:dyDescent="0.3">
      <c r="D288">
        <v>286</v>
      </c>
      <c r="E288">
        <v>6120</v>
      </c>
      <c r="F288" t="s">
        <v>303</v>
      </c>
      <c r="H288" s="1">
        <v>62200</v>
      </c>
      <c r="I288">
        <v>2</v>
      </c>
      <c r="J288">
        <v>600</v>
      </c>
      <c r="K288">
        <v>0.97</v>
      </c>
      <c r="L288">
        <v>234</v>
      </c>
      <c r="M288">
        <v>15</v>
      </c>
      <c r="N288" s="1">
        <v>62228</v>
      </c>
      <c r="O288" s="1">
        <v>61800</v>
      </c>
      <c r="P288" s="1">
        <v>62400</v>
      </c>
      <c r="Q288" s="1">
        <v>61800</v>
      </c>
      <c r="R288" t="s">
        <v>710</v>
      </c>
      <c r="S288" s="3">
        <v>0.35236111111111112</v>
      </c>
      <c r="T288" s="1">
        <v>61600</v>
      </c>
      <c r="U288">
        <v>600</v>
      </c>
      <c r="V288">
        <v>0.97</v>
      </c>
    </row>
    <row r="289" spans="4:22" x14ac:dyDescent="0.3">
      <c r="D289">
        <v>287</v>
      </c>
      <c r="E289">
        <v>285130</v>
      </c>
      <c r="F289" t="s">
        <v>304</v>
      </c>
      <c r="H289" s="1">
        <v>65900</v>
      </c>
      <c r="I289">
        <v>2</v>
      </c>
      <c r="J289">
        <v>200</v>
      </c>
      <c r="K289">
        <v>0.3</v>
      </c>
      <c r="L289" s="1">
        <v>1110</v>
      </c>
      <c r="M289">
        <v>73</v>
      </c>
      <c r="N289" s="1">
        <v>65870</v>
      </c>
      <c r="O289" s="1">
        <v>65500</v>
      </c>
      <c r="P289" s="1">
        <v>66400</v>
      </c>
      <c r="Q289" s="1">
        <v>65500</v>
      </c>
      <c r="R289" t="s">
        <v>710</v>
      </c>
      <c r="S289" s="3">
        <v>0.35322916666666665</v>
      </c>
      <c r="T289" s="1">
        <v>65700</v>
      </c>
      <c r="U289">
        <v>200</v>
      </c>
      <c r="V289">
        <v>0.3</v>
      </c>
    </row>
    <row r="290" spans="4:22" x14ac:dyDescent="0.3">
      <c r="D290">
        <v>288</v>
      </c>
      <c r="E290">
        <v>397030</v>
      </c>
      <c r="F290" t="s">
        <v>305</v>
      </c>
      <c r="H290" s="1">
        <v>49050</v>
      </c>
      <c r="I290">
        <v>2</v>
      </c>
      <c r="J290">
        <v>800</v>
      </c>
      <c r="K290">
        <v>1.66</v>
      </c>
      <c r="L290" s="1">
        <v>27819</v>
      </c>
      <c r="M290" s="1">
        <v>1368</v>
      </c>
      <c r="N290" s="1">
        <v>49172</v>
      </c>
      <c r="O290" s="1">
        <v>49700</v>
      </c>
      <c r="P290" s="1">
        <v>49700</v>
      </c>
      <c r="Q290" s="1">
        <v>48800</v>
      </c>
      <c r="R290" t="s">
        <v>710</v>
      </c>
      <c r="S290" s="3">
        <v>0.35359953703703706</v>
      </c>
      <c r="T290" s="1">
        <v>48250</v>
      </c>
      <c r="U290">
        <v>800</v>
      </c>
      <c r="V290">
        <v>1.66</v>
      </c>
    </row>
    <row r="291" spans="4:22" x14ac:dyDescent="0.3">
      <c r="D291">
        <v>289</v>
      </c>
      <c r="E291">
        <v>204270</v>
      </c>
      <c r="F291" t="s">
        <v>306</v>
      </c>
      <c r="H291" s="1">
        <v>19440</v>
      </c>
      <c r="I291">
        <v>2</v>
      </c>
      <c r="J291">
        <v>300</v>
      </c>
      <c r="K291">
        <v>1.57</v>
      </c>
      <c r="L291" s="1">
        <v>27414</v>
      </c>
      <c r="M291">
        <v>532</v>
      </c>
      <c r="N291" s="1">
        <v>19423</v>
      </c>
      <c r="O291" s="1">
        <v>19200</v>
      </c>
      <c r="P291" s="1">
        <v>19800</v>
      </c>
      <c r="Q291" s="1">
        <v>19200</v>
      </c>
      <c r="R291" t="s">
        <v>710</v>
      </c>
      <c r="S291" s="3">
        <v>0.35350694444444447</v>
      </c>
      <c r="T291" s="1">
        <v>19140</v>
      </c>
      <c r="U291">
        <v>300</v>
      </c>
      <c r="V291">
        <v>1.57</v>
      </c>
    </row>
    <row r="292" spans="4:22" x14ac:dyDescent="0.3">
      <c r="D292">
        <v>290</v>
      </c>
      <c r="E292">
        <v>328130</v>
      </c>
      <c r="F292" t="s">
        <v>307</v>
      </c>
      <c r="H292" s="1">
        <v>38250</v>
      </c>
      <c r="I292">
        <v>2</v>
      </c>
      <c r="J292">
        <v>550</v>
      </c>
      <c r="K292">
        <v>1.46</v>
      </c>
      <c r="L292" s="1">
        <v>17287</v>
      </c>
      <c r="M292">
        <v>663</v>
      </c>
      <c r="N292" s="1">
        <v>38332</v>
      </c>
      <c r="O292" s="1">
        <v>37600</v>
      </c>
      <c r="P292" s="1">
        <v>38500</v>
      </c>
      <c r="Q292" s="1">
        <v>37600</v>
      </c>
      <c r="R292" t="s">
        <v>710</v>
      </c>
      <c r="S292" s="3">
        <v>0.35357638888888893</v>
      </c>
      <c r="T292" s="1">
        <v>37700</v>
      </c>
      <c r="U292">
        <v>550</v>
      </c>
      <c r="V292">
        <v>1.46</v>
      </c>
    </row>
    <row r="293" spans="4:22" x14ac:dyDescent="0.3">
      <c r="D293">
        <v>291</v>
      </c>
      <c r="E293">
        <v>75580</v>
      </c>
      <c r="F293" t="s">
        <v>308</v>
      </c>
      <c r="H293" s="1">
        <v>19480</v>
      </c>
      <c r="I293">
        <v>2</v>
      </c>
      <c r="J293">
        <v>240</v>
      </c>
      <c r="K293">
        <v>1.25</v>
      </c>
      <c r="L293" s="1">
        <v>36875</v>
      </c>
      <c r="M293">
        <v>720</v>
      </c>
      <c r="N293" s="1">
        <v>19534</v>
      </c>
      <c r="O293" s="1">
        <v>19300</v>
      </c>
      <c r="P293" s="1">
        <v>19740</v>
      </c>
      <c r="Q293" s="1">
        <v>19280</v>
      </c>
      <c r="R293" t="s">
        <v>710</v>
      </c>
      <c r="S293" s="3">
        <v>0.35364583333333338</v>
      </c>
      <c r="T293" s="1">
        <v>19240</v>
      </c>
      <c r="U293">
        <v>240</v>
      </c>
      <c r="V293">
        <v>1.25</v>
      </c>
    </row>
    <row r="294" spans="4:22" x14ac:dyDescent="0.3">
      <c r="D294">
        <v>292</v>
      </c>
      <c r="E294">
        <v>89860</v>
      </c>
      <c r="F294" t="s">
        <v>309</v>
      </c>
      <c r="H294" s="1">
        <v>30050</v>
      </c>
      <c r="I294">
        <v>5</v>
      </c>
      <c r="J294">
        <v>50</v>
      </c>
      <c r="K294">
        <v>-0.17</v>
      </c>
      <c r="L294">
        <v>283</v>
      </c>
      <c r="M294">
        <v>9</v>
      </c>
      <c r="N294" s="1">
        <v>30076</v>
      </c>
      <c r="O294" s="1">
        <v>30000</v>
      </c>
      <c r="P294" s="1">
        <v>30150</v>
      </c>
      <c r="Q294" s="1">
        <v>30000</v>
      </c>
      <c r="R294" t="s">
        <v>710</v>
      </c>
      <c r="S294" s="3">
        <v>0.35363425925925923</v>
      </c>
      <c r="T294" s="1">
        <v>30100</v>
      </c>
      <c r="U294">
        <v>-50</v>
      </c>
      <c r="V294">
        <v>-0.17</v>
      </c>
    </row>
    <row r="295" spans="4:22" x14ac:dyDescent="0.3">
      <c r="D295">
        <v>293</v>
      </c>
      <c r="E295">
        <v>192080</v>
      </c>
      <c r="F295" t="s">
        <v>310</v>
      </c>
      <c r="H295" s="1">
        <v>50100</v>
      </c>
      <c r="I295">
        <v>2</v>
      </c>
      <c r="J295">
        <v>200</v>
      </c>
      <c r="K295">
        <v>0.4</v>
      </c>
      <c r="L295" s="1">
        <v>3030</v>
      </c>
      <c r="M295">
        <v>152</v>
      </c>
      <c r="N295" s="1">
        <v>50039</v>
      </c>
      <c r="O295" s="1">
        <v>49900</v>
      </c>
      <c r="P295" s="1">
        <v>50500</v>
      </c>
      <c r="Q295" s="1">
        <v>49900</v>
      </c>
      <c r="R295" t="s">
        <v>710</v>
      </c>
      <c r="S295" s="3">
        <v>0.35333333333333333</v>
      </c>
      <c r="T295" s="1">
        <v>49900</v>
      </c>
      <c r="U295">
        <v>200</v>
      </c>
      <c r="V295">
        <v>0.4</v>
      </c>
    </row>
    <row r="296" spans="4:22" x14ac:dyDescent="0.3">
      <c r="D296">
        <v>294</v>
      </c>
      <c r="E296">
        <v>64960</v>
      </c>
      <c r="F296" t="s">
        <v>311</v>
      </c>
      <c r="H296" s="1">
        <v>40200</v>
      </c>
      <c r="I296">
        <v>2</v>
      </c>
      <c r="J296">
        <v>750</v>
      </c>
      <c r="K296">
        <v>1.9</v>
      </c>
      <c r="L296" s="1">
        <v>23759</v>
      </c>
      <c r="M296">
        <v>956</v>
      </c>
      <c r="N296" s="1">
        <v>40226</v>
      </c>
      <c r="O296" s="1">
        <v>40400</v>
      </c>
      <c r="P296" s="1">
        <v>40650</v>
      </c>
      <c r="Q296" s="1">
        <v>39950</v>
      </c>
      <c r="R296" t="s">
        <v>710</v>
      </c>
      <c r="S296" s="3">
        <v>0.35363425925925923</v>
      </c>
      <c r="T296" s="1">
        <v>39450</v>
      </c>
      <c r="U296">
        <v>750</v>
      </c>
      <c r="V296">
        <v>1.9</v>
      </c>
    </row>
    <row r="297" spans="4:22" x14ac:dyDescent="0.3">
      <c r="D297">
        <v>295</v>
      </c>
      <c r="E297">
        <v>166090</v>
      </c>
      <c r="F297" t="s">
        <v>312</v>
      </c>
      <c r="H297" s="1">
        <v>53700</v>
      </c>
      <c r="I297">
        <v>2</v>
      </c>
      <c r="J297" s="1">
        <v>2400</v>
      </c>
      <c r="K297">
        <v>4.68</v>
      </c>
      <c r="L297" s="1">
        <v>57002</v>
      </c>
      <c r="M297" s="1">
        <v>3073</v>
      </c>
      <c r="N297" s="1">
        <v>53913</v>
      </c>
      <c r="O297" s="1">
        <v>53300</v>
      </c>
      <c r="P297" s="1">
        <v>66600</v>
      </c>
      <c r="Q297" s="1">
        <v>52800</v>
      </c>
      <c r="R297" t="s">
        <v>710</v>
      </c>
      <c r="S297" s="3">
        <v>0.35363425925925923</v>
      </c>
      <c r="T297" s="1">
        <v>51300</v>
      </c>
      <c r="U297" s="1">
        <v>2400</v>
      </c>
      <c r="V297">
        <v>4.68</v>
      </c>
    </row>
    <row r="298" spans="4:22" x14ac:dyDescent="0.3">
      <c r="D298">
        <v>296</v>
      </c>
      <c r="E298">
        <v>9240</v>
      </c>
      <c r="F298" t="s">
        <v>313</v>
      </c>
      <c r="H298" s="1">
        <v>44950</v>
      </c>
      <c r="I298">
        <v>2</v>
      </c>
      <c r="J298">
        <v>350</v>
      </c>
      <c r="K298">
        <v>0.78</v>
      </c>
      <c r="L298" s="1">
        <v>4718</v>
      </c>
      <c r="M298">
        <v>212</v>
      </c>
      <c r="N298" s="1">
        <v>44902</v>
      </c>
      <c r="O298" s="1">
        <v>44600</v>
      </c>
      <c r="P298" s="1">
        <v>45000</v>
      </c>
      <c r="Q298" s="1">
        <v>44600</v>
      </c>
      <c r="R298" t="s">
        <v>710</v>
      </c>
      <c r="S298" s="3">
        <v>0.35342592592592598</v>
      </c>
      <c r="T298" s="1">
        <v>44600</v>
      </c>
      <c r="U298">
        <v>350</v>
      </c>
      <c r="V298">
        <v>0.78</v>
      </c>
    </row>
    <row r="299" spans="4:22" x14ac:dyDescent="0.3">
      <c r="D299">
        <v>297</v>
      </c>
      <c r="E299">
        <v>388210</v>
      </c>
      <c r="F299" t="s">
        <v>314</v>
      </c>
      <c r="H299" s="1">
        <v>114000</v>
      </c>
      <c r="I299">
        <v>2</v>
      </c>
      <c r="J299" s="1">
        <v>4100</v>
      </c>
      <c r="K299">
        <v>3.73</v>
      </c>
      <c r="L299" s="1">
        <v>19959</v>
      </c>
      <c r="M299" s="1">
        <v>2276</v>
      </c>
      <c r="N299" s="1">
        <v>114045</v>
      </c>
      <c r="O299" s="1">
        <v>113100</v>
      </c>
      <c r="P299" s="1">
        <v>115300</v>
      </c>
      <c r="Q299" s="1">
        <v>113100</v>
      </c>
      <c r="R299" t="s">
        <v>710</v>
      </c>
      <c r="S299" s="3">
        <v>0.35357638888888893</v>
      </c>
      <c r="T299" s="1">
        <v>109900</v>
      </c>
      <c r="U299" s="1">
        <v>4100</v>
      </c>
      <c r="V299">
        <v>3.73</v>
      </c>
    </row>
    <row r="300" spans="4:22" x14ac:dyDescent="0.3">
      <c r="D300">
        <v>298</v>
      </c>
      <c r="E300">
        <v>183300</v>
      </c>
      <c r="F300" t="s">
        <v>315</v>
      </c>
      <c r="H300" s="1">
        <v>100800</v>
      </c>
      <c r="I300">
        <v>2</v>
      </c>
      <c r="J300" s="1">
        <v>2400</v>
      </c>
      <c r="K300">
        <v>2.44</v>
      </c>
      <c r="L300" s="1">
        <v>16543</v>
      </c>
      <c r="M300" s="1">
        <v>1674</v>
      </c>
      <c r="N300" s="1">
        <v>101184</v>
      </c>
      <c r="O300" s="1">
        <v>99100</v>
      </c>
      <c r="P300" s="1">
        <v>101700</v>
      </c>
      <c r="Q300" s="1">
        <v>99000</v>
      </c>
      <c r="R300" t="s">
        <v>710</v>
      </c>
      <c r="S300" s="3">
        <v>0.35365740740740742</v>
      </c>
      <c r="T300" s="1">
        <v>98400</v>
      </c>
      <c r="U300" s="1">
        <v>2400</v>
      </c>
      <c r="V300">
        <v>2.44</v>
      </c>
    </row>
    <row r="301" spans="4:22" x14ac:dyDescent="0.3">
      <c r="D301">
        <v>299</v>
      </c>
      <c r="E301">
        <v>80220</v>
      </c>
      <c r="F301" t="s">
        <v>316</v>
      </c>
      <c r="H301" s="1">
        <v>30450</v>
      </c>
      <c r="I301">
        <v>2</v>
      </c>
      <c r="J301" s="1">
        <v>1400</v>
      </c>
      <c r="K301">
        <v>4.82</v>
      </c>
      <c r="L301" s="1">
        <v>747976</v>
      </c>
      <c r="M301" s="1">
        <v>22999</v>
      </c>
      <c r="N301" s="1">
        <v>30747</v>
      </c>
      <c r="O301" s="1">
        <v>31950</v>
      </c>
      <c r="P301" s="1">
        <v>31950</v>
      </c>
      <c r="Q301" s="1">
        <v>30300</v>
      </c>
      <c r="R301" t="s">
        <v>710</v>
      </c>
      <c r="S301" s="3">
        <v>0.35364583333333338</v>
      </c>
      <c r="T301" s="1">
        <v>29050</v>
      </c>
      <c r="U301" s="1">
        <v>1400</v>
      </c>
      <c r="V301">
        <v>4.82</v>
      </c>
    </row>
    <row r="302" spans="4:22" x14ac:dyDescent="0.3">
      <c r="D302">
        <v>300</v>
      </c>
      <c r="E302">
        <v>295310</v>
      </c>
      <c r="F302" t="s">
        <v>317</v>
      </c>
      <c r="H302" s="1">
        <v>87200</v>
      </c>
      <c r="I302">
        <v>5</v>
      </c>
      <c r="J302" s="1">
        <v>1300</v>
      </c>
      <c r="K302">
        <v>-1.47</v>
      </c>
      <c r="L302" s="1">
        <v>48272</v>
      </c>
      <c r="M302" s="1">
        <v>4237</v>
      </c>
      <c r="N302" s="1">
        <v>87763</v>
      </c>
      <c r="O302" s="1">
        <v>88000</v>
      </c>
      <c r="P302" s="1">
        <v>89800</v>
      </c>
      <c r="Q302" s="1">
        <v>86900</v>
      </c>
      <c r="R302" t="s">
        <v>710</v>
      </c>
      <c r="S302" s="3">
        <v>0.35365740740740742</v>
      </c>
      <c r="T302" s="1">
        <v>88500</v>
      </c>
      <c r="U302" s="1">
        <v>-1300</v>
      </c>
      <c r="V302">
        <v>-1.47</v>
      </c>
    </row>
    <row r="303" spans="4:22" x14ac:dyDescent="0.3">
      <c r="D303">
        <v>301</v>
      </c>
      <c r="E303">
        <v>6650</v>
      </c>
      <c r="F303" t="s">
        <v>318</v>
      </c>
      <c r="H303" s="1">
        <v>158200</v>
      </c>
      <c r="I303">
        <v>2</v>
      </c>
      <c r="J303">
        <v>700</v>
      </c>
      <c r="K303">
        <v>0.44</v>
      </c>
      <c r="L303">
        <v>931</v>
      </c>
      <c r="M303">
        <v>148</v>
      </c>
      <c r="N303" s="1">
        <v>159300</v>
      </c>
      <c r="O303" s="1">
        <v>157600</v>
      </c>
      <c r="P303" s="1">
        <v>161200</v>
      </c>
      <c r="Q303" s="1">
        <v>157600</v>
      </c>
      <c r="R303" t="s">
        <v>710</v>
      </c>
      <c r="S303" s="3">
        <v>0.35355324074074074</v>
      </c>
      <c r="T303" s="1">
        <v>157500</v>
      </c>
      <c r="U303">
        <v>700</v>
      </c>
      <c r="V303">
        <v>0.44</v>
      </c>
    </row>
    <row r="304" spans="4:22" x14ac:dyDescent="0.3">
      <c r="D304">
        <v>302</v>
      </c>
      <c r="E304">
        <v>280360</v>
      </c>
      <c r="F304" t="s">
        <v>319</v>
      </c>
      <c r="H304" s="1">
        <v>110400</v>
      </c>
      <c r="I304">
        <v>2</v>
      </c>
      <c r="J304" s="1">
        <v>1400</v>
      </c>
      <c r="K304">
        <v>1.28</v>
      </c>
      <c r="L304" s="1">
        <v>1178</v>
      </c>
      <c r="M304">
        <v>130</v>
      </c>
      <c r="N304" s="1">
        <v>110313</v>
      </c>
      <c r="O304" s="1">
        <v>109400</v>
      </c>
      <c r="P304" s="1">
        <v>110500</v>
      </c>
      <c r="Q304" s="1">
        <v>109300</v>
      </c>
      <c r="R304" t="s">
        <v>710</v>
      </c>
      <c r="S304" s="3">
        <v>0.35265046296296299</v>
      </c>
      <c r="T304" s="1">
        <v>109000</v>
      </c>
      <c r="U304" s="1">
        <v>1400</v>
      </c>
      <c r="V304">
        <v>1.28</v>
      </c>
    </row>
    <row r="305" spans="4:22" x14ac:dyDescent="0.3">
      <c r="D305">
        <v>303</v>
      </c>
      <c r="E305">
        <v>131970</v>
      </c>
      <c r="F305" t="s">
        <v>320</v>
      </c>
      <c r="H305" s="1">
        <v>53100</v>
      </c>
      <c r="I305">
        <v>2</v>
      </c>
      <c r="J305" s="1">
        <v>1500</v>
      </c>
      <c r="K305">
        <v>2.91</v>
      </c>
      <c r="L305" s="1">
        <v>41887</v>
      </c>
      <c r="M305" s="1">
        <v>2223</v>
      </c>
      <c r="N305" s="1">
        <v>53078</v>
      </c>
      <c r="O305" s="1">
        <v>53600</v>
      </c>
      <c r="P305" s="1">
        <v>53700</v>
      </c>
      <c r="Q305" s="1">
        <v>52600</v>
      </c>
      <c r="R305" t="s">
        <v>710</v>
      </c>
      <c r="S305" s="3">
        <v>0.35364583333333338</v>
      </c>
      <c r="T305" s="1">
        <v>51600</v>
      </c>
      <c r="U305" s="1">
        <v>1500</v>
      </c>
      <c r="V305">
        <v>2.91</v>
      </c>
    </row>
    <row r="306" spans="4:22" x14ac:dyDescent="0.3">
      <c r="D306">
        <v>304</v>
      </c>
      <c r="E306">
        <v>12630</v>
      </c>
      <c r="F306" t="s">
        <v>321</v>
      </c>
      <c r="H306" s="1">
        <v>16900</v>
      </c>
      <c r="I306">
        <v>2</v>
      </c>
      <c r="J306">
        <v>160</v>
      </c>
      <c r="K306">
        <v>0.96</v>
      </c>
      <c r="L306" s="1">
        <v>1664</v>
      </c>
      <c r="M306">
        <v>28</v>
      </c>
      <c r="N306" s="1">
        <v>16949</v>
      </c>
      <c r="O306" s="1">
        <v>16750</v>
      </c>
      <c r="P306" s="1">
        <v>17280</v>
      </c>
      <c r="Q306" s="1">
        <v>16740</v>
      </c>
      <c r="R306" t="s">
        <v>710</v>
      </c>
      <c r="S306" s="3">
        <v>0.35319444444444442</v>
      </c>
      <c r="T306" s="1">
        <v>16740</v>
      </c>
      <c r="U306">
        <v>160</v>
      </c>
      <c r="V306">
        <v>0.96</v>
      </c>
    </row>
    <row r="307" spans="4:22" x14ac:dyDescent="0.3">
      <c r="D307">
        <v>305</v>
      </c>
      <c r="E307">
        <v>376900</v>
      </c>
      <c r="F307" t="s">
        <v>322</v>
      </c>
      <c r="H307" s="1">
        <v>64400</v>
      </c>
      <c r="I307">
        <v>2</v>
      </c>
      <c r="J307" s="1">
        <v>1900</v>
      </c>
      <c r="K307">
        <v>3.04</v>
      </c>
      <c r="L307" s="1">
        <v>27859</v>
      </c>
      <c r="M307" s="1">
        <v>1790</v>
      </c>
      <c r="N307" s="1">
        <v>64253</v>
      </c>
      <c r="O307" s="1">
        <v>64900</v>
      </c>
      <c r="P307" s="1">
        <v>66000</v>
      </c>
      <c r="Q307" s="1">
        <v>63700</v>
      </c>
      <c r="R307" t="s">
        <v>710</v>
      </c>
      <c r="S307" s="3">
        <v>0.35359953703703706</v>
      </c>
      <c r="T307" s="1">
        <v>62500</v>
      </c>
      <c r="U307" s="1">
        <v>1900</v>
      </c>
      <c r="V307">
        <v>3.04</v>
      </c>
    </row>
    <row r="308" spans="4:22" x14ac:dyDescent="0.3">
      <c r="D308">
        <v>306</v>
      </c>
      <c r="E308">
        <v>161580</v>
      </c>
      <c r="F308" t="s">
        <v>323</v>
      </c>
      <c r="H308" s="1">
        <v>43050</v>
      </c>
      <c r="I308">
        <v>2</v>
      </c>
      <c r="J308" s="1">
        <v>1200</v>
      </c>
      <c r="K308">
        <v>2.87</v>
      </c>
      <c r="L308" s="1">
        <v>47183</v>
      </c>
      <c r="M308" s="1">
        <v>2029</v>
      </c>
      <c r="N308" s="1">
        <v>43003</v>
      </c>
      <c r="O308" s="1">
        <v>42600</v>
      </c>
      <c r="P308" s="1">
        <v>43250</v>
      </c>
      <c r="Q308" s="1">
        <v>42600</v>
      </c>
      <c r="R308" t="s">
        <v>710</v>
      </c>
      <c r="S308" s="3">
        <v>0.35365740740740742</v>
      </c>
      <c r="T308" s="1">
        <v>41850</v>
      </c>
      <c r="U308" s="1">
        <v>1200</v>
      </c>
      <c r="V308">
        <v>2.87</v>
      </c>
    </row>
    <row r="309" spans="4:22" x14ac:dyDescent="0.3">
      <c r="D309">
        <v>307</v>
      </c>
      <c r="E309">
        <v>137310</v>
      </c>
      <c r="F309" t="s">
        <v>324</v>
      </c>
      <c r="H309" s="1">
        <v>8250</v>
      </c>
      <c r="I309">
        <v>2</v>
      </c>
      <c r="J309">
        <v>40</v>
      </c>
      <c r="K309">
        <v>0.49</v>
      </c>
      <c r="L309" s="1">
        <v>3115</v>
      </c>
      <c r="M309">
        <v>26</v>
      </c>
      <c r="N309" s="1">
        <v>8221</v>
      </c>
      <c r="O309" s="1">
        <v>8230</v>
      </c>
      <c r="P309" s="1">
        <v>8310</v>
      </c>
      <c r="Q309" s="1">
        <v>8200</v>
      </c>
      <c r="R309" t="s">
        <v>710</v>
      </c>
      <c r="S309" s="3">
        <v>0.35359953703703706</v>
      </c>
      <c r="T309" s="1">
        <v>8210</v>
      </c>
      <c r="U309">
        <v>40</v>
      </c>
      <c r="V309">
        <v>0.49</v>
      </c>
    </row>
    <row r="310" spans="4:22" x14ac:dyDescent="0.3">
      <c r="D310">
        <v>308</v>
      </c>
      <c r="E310">
        <v>82270</v>
      </c>
      <c r="F310" t="s">
        <v>325</v>
      </c>
      <c r="H310" s="1">
        <v>23350</v>
      </c>
      <c r="I310">
        <v>2</v>
      </c>
      <c r="J310">
        <v>250</v>
      </c>
      <c r="K310">
        <v>1.08</v>
      </c>
      <c r="L310" s="1">
        <v>12189</v>
      </c>
      <c r="M310">
        <v>285</v>
      </c>
      <c r="N310" s="1">
        <v>23355</v>
      </c>
      <c r="O310" s="1">
        <v>23100</v>
      </c>
      <c r="P310" s="1">
        <v>23750</v>
      </c>
      <c r="Q310" s="1">
        <v>23100</v>
      </c>
      <c r="R310" t="s">
        <v>710</v>
      </c>
      <c r="S310" s="3">
        <v>0.35354166666666664</v>
      </c>
      <c r="T310" s="1">
        <v>23100</v>
      </c>
      <c r="U310">
        <v>250</v>
      </c>
      <c r="V310">
        <v>1.08</v>
      </c>
    </row>
    <row r="311" spans="4:22" x14ac:dyDescent="0.3">
      <c r="D311">
        <v>309</v>
      </c>
      <c r="E311">
        <v>30190</v>
      </c>
      <c r="F311" t="s">
        <v>326</v>
      </c>
      <c r="H311" s="1">
        <v>16600</v>
      </c>
      <c r="I311">
        <v>2</v>
      </c>
      <c r="J311">
        <v>200</v>
      </c>
      <c r="K311">
        <v>1.22</v>
      </c>
      <c r="L311">
        <v>4</v>
      </c>
      <c r="N311" s="1">
        <v>16600</v>
      </c>
      <c r="O311" s="1">
        <v>16600</v>
      </c>
      <c r="P311" s="1">
        <v>16600</v>
      </c>
      <c r="Q311" s="1">
        <v>16600</v>
      </c>
      <c r="R311" t="s">
        <v>710</v>
      </c>
      <c r="S311" s="3">
        <v>0.34791666666666665</v>
      </c>
      <c r="T311" s="1">
        <v>16400</v>
      </c>
      <c r="U311">
        <v>200</v>
      </c>
      <c r="V311">
        <v>1.22</v>
      </c>
    </row>
    <row r="312" spans="4:22" x14ac:dyDescent="0.3">
      <c r="D312">
        <v>310</v>
      </c>
      <c r="E312">
        <v>486990</v>
      </c>
      <c r="F312" t="s">
        <v>327</v>
      </c>
      <c r="H312" s="1">
        <v>45850</v>
      </c>
      <c r="I312">
        <v>2</v>
      </c>
      <c r="J312" s="1">
        <v>3600</v>
      </c>
      <c r="K312">
        <v>8.52</v>
      </c>
      <c r="L312" s="1">
        <v>250363</v>
      </c>
      <c r="M312" s="1">
        <v>11161</v>
      </c>
      <c r="N312" s="1">
        <v>44578</v>
      </c>
      <c r="O312" s="1">
        <v>42650</v>
      </c>
      <c r="P312" s="1">
        <v>46000</v>
      </c>
      <c r="Q312" s="1">
        <v>42650</v>
      </c>
      <c r="R312" t="s">
        <v>710</v>
      </c>
      <c r="S312" s="3">
        <v>0.35365740740740742</v>
      </c>
      <c r="T312" s="1">
        <v>42250</v>
      </c>
      <c r="U312" s="1">
        <v>3600</v>
      </c>
      <c r="V312">
        <v>8.52</v>
      </c>
    </row>
    <row r="313" spans="4:22" x14ac:dyDescent="0.3">
      <c r="D313">
        <v>311</v>
      </c>
      <c r="E313">
        <v>181710</v>
      </c>
      <c r="F313" t="s">
        <v>328</v>
      </c>
      <c r="H313" s="1">
        <v>29750</v>
      </c>
      <c r="I313">
        <v>2</v>
      </c>
      <c r="J313">
        <v>350</v>
      </c>
      <c r="K313">
        <v>1.19</v>
      </c>
      <c r="L313">
        <v>279</v>
      </c>
      <c r="M313">
        <v>8</v>
      </c>
      <c r="N313" s="1">
        <v>29733</v>
      </c>
      <c r="O313" s="1">
        <v>29900</v>
      </c>
      <c r="P313" s="1">
        <v>29950</v>
      </c>
      <c r="Q313" s="1">
        <v>29700</v>
      </c>
      <c r="R313" t="s">
        <v>710</v>
      </c>
      <c r="S313" s="3">
        <v>0.35182870370370373</v>
      </c>
      <c r="T313" s="1">
        <v>29400</v>
      </c>
      <c r="U313">
        <v>350</v>
      </c>
      <c r="V313">
        <v>1.19</v>
      </c>
    </row>
    <row r="314" spans="4:22" x14ac:dyDescent="0.3">
      <c r="D314">
        <v>312</v>
      </c>
      <c r="E314">
        <v>78600</v>
      </c>
      <c r="F314" t="s">
        <v>329</v>
      </c>
      <c r="H314" s="1">
        <v>62900</v>
      </c>
      <c r="I314">
        <v>2</v>
      </c>
      <c r="J314" s="1">
        <v>1100</v>
      </c>
      <c r="K314">
        <v>1.78</v>
      </c>
      <c r="L314" s="1">
        <v>16372</v>
      </c>
      <c r="M314" s="1">
        <v>1026</v>
      </c>
      <c r="N314" s="1">
        <v>62693</v>
      </c>
      <c r="O314" s="1">
        <v>62300</v>
      </c>
      <c r="P314" s="1">
        <v>63200</v>
      </c>
      <c r="Q314" s="1">
        <v>62300</v>
      </c>
      <c r="R314" t="s">
        <v>710</v>
      </c>
      <c r="S314" s="3">
        <v>0.35356481481481478</v>
      </c>
      <c r="T314" s="1">
        <v>61800</v>
      </c>
      <c r="U314" s="1">
        <v>1100</v>
      </c>
      <c r="V314">
        <v>1.78</v>
      </c>
    </row>
    <row r="315" spans="4:22" x14ac:dyDescent="0.3">
      <c r="D315">
        <v>313</v>
      </c>
      <c r="E315">
        <v>298050</v>
      </c>
      <c r="F315" t="s">
        <v>330</v>
      </c>
      <c r="H315" s="1">
        <v>216000</v>
      </c>
      <c r="I315">
        <v>2</v>
      </c>
      <c r="J315">
        <v>500</v>
      </c>
      <c r="K315">
        <v>0.23</v>
      </c>
      <c r="L315" s="1">
        <v>5043</v>
      </c>
      <c r="M315" s="1">
        <v>1103</v>
      </c>
      <c r="N315" s="1">
        <v>218793</v>
      </c>
      <c r="O315" s="1">
        <v>220000</v>
      </c>
      <c r="P315" s="1">
        <v>222500</v>
      </c>
      <c r="Q315" s="1">
        <v>214000</v>
      </c>
      <c r="R315" t="s">
        <v>710</v>
      </c>
      <c r="S315" s="3">
        <v>0.35359953703703706</v>
      </c>
      <c r="T315" s="1">
        <v>215500</v>
      </c>
      <c r="U315">
        <v>500</v>
      </c>
      <c r="V315">
        <v>0.23</v>
      </c>
    </row>
    <row r="316" spans="4:22" x14ac:dyDescent="0.3">
      <c r="D316">
        <v>314</v>
      </c>
      <c r="E316">
        <v>95610</v>
      </c>
      <c r="F316" t="s">
        <v>331</v>
      </c>
      <c r="H316" s="1">
        <v>48750</v>
      </c>
      <c r="I316">
        <v>2</v>
      </c>
      <c r="J316" s="1">
        <v>1450</v>
      </c>
      <c r="K316">
        <v>3.07</v>
      </c>
      <c r="L316" s="1">
        <v>18292</v>
      </c>
      <c r="M316">
        <v>892</v>
      </c>
      <c r="N316" s="1">
        <v>48746</v>
      </c>
      <c r="O316" s="1">
        <v>48300</v>
      </c>
      <c r="P316" s="1">
        <v>49050</v>
      </c>
      <c r="Q316" s="1">
        <v>48200</v>
      </c>
      <c r="R316" t="s">
        <v>710</v>
      </c>
      <c r="S316" s="3">
        <v>0.3536111111111111</v>
      </c>
      <c r="T316" s="1">
        <v>47300</v>
      </c>
      <c r="U316" s="1">
        <v>1450</v>
      </c>
      <c r="V316">
        <v>3.07</v>
      </c>
    </row>
    <row r="317" spans="4:22" x14ac:dyDescent="0.3">
      <c r="D317">
        <v>315</v>
      </c>
      <c r="E317">
        <v>192400</v>
      </c>
      <c r="F317" t="s">
        <v>332</v>
      </c>
      <c r="H317" s="1">
        <v>27000</v>
      </c>
      <c r="I317">
        <v>2</v>
      </c>
      <c r="J317">
        <v>50</v>
      </c>
      <c r="K317">
        <v>0.19</v>
      </c>
      <c r="L317">
        <v>81</v>
      </c>
      <c r="M317">
        <v>2</v>
      </c>
      <c r="N317" s="1">
        <v>27041</v>
      </c>
      <c r="O317" s="1">
        <v>27000</v>
      </c>
      <c r="P317" s="1">
        <v>27150</v>
      </c>
      <c r="Q317" s="1">
        <v>27000</v>
      </c>
      <c r="R317" t="s">
        <v>710</v>
      </c>
      <c r="S317" s="3">
        <v>0.35337962962962965</v>
      </c>
      <c r="T317" s="1">
        <v>26950</v>
      </c>
      <c r="U317">
        <v>50</v>
      </c>
      <c r="V317">
        <v>0.19</v>
      </c>
    </row>
    <row r="318" spans="4:22" x14ac:dyDescent="0.3">
      <c r="D318">
        <v>316</v>
      </c>
      <c r="E318">
        <v>670</v>
      </c>
      <c r="F318" t="s">
        <v>333</v>
      </c>
      <c r="H318" s="1">
        <v>52900</v>
      </c>
      <c r="I318">
        <v>2</v>
      </c>
      <c r="J318">
        <v>200</v>
      </c>
      <c r="K318">
        <v>0.38</v>
      </c>
      <c r="L318" s="1">
        <v>1314</v>
      </c>
      <c r="M318">
        <v>70</v>
      </c>
      <c r="N318" s="1">
        <v>52932</v>
      </c>
      <c r="O318" s="1">
        <v>53200</v>
      </c>
      <c r="P318" s="1">
        <v>53200</v>
      </c>
      <c r="Q318" s="1">
        <v>52700</v>
      </c>
      <c r="R318" t="s">
        <v>710</v>
      </c>
      <c r="S318" s="3">
        <v>0.35344907407407405</v>
      </c>
      <c r="T318" s="1">
        <v>52700</v>
      </c>
      <c r="U318">
        <v>200</v>
      </c>
      <c r="V318">
        <v>0.38</v>
      </c>
    </row>
    <row r="319" spans="4:22" x14ac:dyDescent="0.3">
      <c r="D319">
        <v>317</v>
      </c>
      <c r="E319">
        <v>137400</v>
      </c>
      <c r="F319" t="s">
        <v>334</v>
      </c>
      <c r="H319" s="1">
        <v>40000</v>
      </c>
      <c r="I319">
        <v>2</v>
      </c>
      <c r="J319">
        <v>900</v>
      </c>
      <c r="K319">
        <v>2.2999999999999998</v>
      </c>
      <c r="L319" s="1">
        <v>26701</v>
      </c>
      <c r="M319" s="1">
        <v>1068</v>
      </c>
      <c r="N319" s="1">
        <v>40002</v>
      </c>
      <c r="O319" s="1">
        <v>39500</v>
      </c>
      <c r="P319" s="1">
        <v>40150</v>
      </c>
      <c r="Q319" s="1">
        <v>39500</v>
      </c>
      <c r="R319" t="s">
        <v>710</v>
      </c>
      <c r="S319" s="3">
        <v>0.35363425925925923</v>
      </c>
      <c r="T319" s="1">
        <v>39100</v>
      </c>
      <c r="U319">
        <v>900</v>
      </c>
      <c r="V319">
        <v>2.2999999999999998</v>
      </c>
    </row>
    <row r="320" spans="4:22" x14ac:dyDescent="0.3">
      <c r="D320">
        <v>318</v>
      </c>
      <c r="E320">
        <v>6730</v>
      </c>
      <c r="F320" t="s">
        <v>335</v>
      </c>
      <c r="H320" s="1">
        <v>14520</v>
      </c>
      <c r="I320">
        <v>2</v>
      </c>
      <c r="J320">
        <v>140</v>
      </c>
      <c r="K320">
        <v>0.97</v>
      </c>
      <c r="L320" s="1">
        <v>89888</v>
      </c>
      <c r="M320" s="1">
        <v>1307</v>
      </c>
      <c r="N320" s="1">
        <v>14535</v>
      </c>
      <c r="O320" s="1">
        <v>14660</v>
      </c>
      <c r="P320" s="1">
        <v>14660</v>
      </c>
      <c r="Q320" s="1">
        <v>14450</v>
      </c>
      <c r="R320" t="s">
        <v>710</v>
      </c>
      <c r="S320" s="3">
        <v>0.35364583333333338</v>
      </c>
      <c r="T320" s="1">
        <v>14380</v>
      </c>
      <c r="U320">
        <v>140</v>
      </c>
      <c r="V320">
        <v>0.97</v>
      </c>
    </row>
    <row r="321" spans="4:22" x14ac:dyDescent="0.3">
      <c r="D321">
        <v>319</v>
      </c>
      <c r="E321">
        <v>218410</v>
      </c>
      <c r="F321" t="s">
        <v>336</v>
      </c>
      <c r="H321" s="1">
        <v>35450</v>
      </c>
      <c r="I321">
        <v>2</v>
      </c>
      <c r="J321" s="1">
        <v>1000</v>
      </c>
      <c r="K321">
        <v>2.9</v>
      </c>
      <c r="L321" s="1">
        <v>15684</v>
      </c>
      <c r="M321">
        <v>552</v>
      </c>
      <c r="N321" s="1">
        <v>35173</v>
      </c>
      <c r="O321" s="1">
        <v>34900</v>
      </c>
      <c r="P321" s="1">
        <v>35500</v>
      </c>
      <c r="Q321" s="1">
        <v>34750</v>
      </c>
      <c r="R321" t="s">
        <v>710</v>
      </c>
      <c r="S321" s="3">
        <v>0.35365740740740742</v>
      </c>
      <c r="T321" s="1">
        <v>34450</v>
      </c>
      <c r="U321" s="1">
        <v>1000</v>
      </c>
      <c r="V321">
        <v>2.9</v>
      </c>
    </row>
    <row r="322" spans="4:22" x14ac:dyDescent="0.3">
      <c r="D322">
        <v>320</v>
      </c>
      <c r="E322">
        <v>36530</v>
      </c>
      <c r="F322" t="s">
        <v>337</v>
      </c>
      <c r="H322" s="1">
        <v>57400</v>
      </c>
      <c r="I322">
        <v>2</v>
      </c>
      <c r="J322">
        <v>600</v>
      </c>
      <c r="K322">
        <v>1.06</v>
      </c>
      <c r="L322">
        <v>927</v>
      </c>
      <c r="M322">
        <v>53</v>
      </c>
      <c r="N322" s="1">
        <v>57422</v>
      </c>
      <c r="O322" s="1">
        <v>56800</v>
      </c>
      <c r="P322" s="1">
        <v>57700</v>
      </c>
      <c r="Q322" s="1">
        <v>56800</v>
      </c>
      <c r="R322" t="s">
        <v>710</v>
      </c>
      <c r="S322" s="3">
        <v>0.3522569444444445</v>
      </c>
      <c r="T322" s="1">
        <v>56800</v>
      </c>
      <c r="U322">
        <v>600</v>
      </c>
      <c r="V322">
        <v>1.06</v>
      </c>
    </row>
    <row r="323" spans="4:22" x14ac:dyDescent="0.3">
      <c r="D323">
        <v>321</v>
      </c>
      <c r="E323">
        <v>389470</v>
      </c>
      <c r="F323" t="s">
        <v>338</v>
      </c>
      <c r="H323" s="1">
        <v>74500</v>
      </c>
      <c r="I323">
        <v>2</v>
      </c>
      <c r="J323">
        <v>700</v>
      </c>
      <c r="K323">
        <v>0.95</v>
      </c>
      <c r="L323" s="1">
        <v>6558</v>
      </c>
      <c r="M323">
        <v>490</v>
      </c>
      <c r="N323" s="1">
        <v>74757</v>
      </c>
      <c r="O323" s="1">
        <v>75500</v>
      </c>
      <c r="P323" s="1">
        <v>75900</v>
      </c>
      <c r="Q323" s="1">
        <v>74300</v>
      </c>
      <c r="R323" t="s">
        <v>710</v>
      </c>
      <c r="S323" s="3">
        <v>0.35357638888888893</v>
      </c>
      <c r="T323" s="1">
        <v>73800</v>
      </c>
      <c r="U323">
        <v>700</v>
      </c>
      <c r="V323">
        <v>0.95</v>
      </c>
    </row>
    <row r="324" spans="4:22" x14ac:dyDescent="0.3">
      <c r="D324">
        <v>322</v>
      </c>
      <c r="E324">
        <v>56190</v>
      </c>
      <c r="F324" t="s">
        <v>339</v>
      </c>
      <c r="H324" s="1">
        <v>25850</v>
      </c>
      <c r="I324">
        <v>2</v>
      </c>
      <c r="J324">
        <v>400</v>
      </c>
      <c r="K324">
        <v>1.57</v>
      </c>
      <c r="L324" s="1">
        <v>15833</v>
      </c>
      <c r="M324">
        <v>410</v>
      </c>
      <c r="N324" s="1">
        <v>25913</v>
      </c>
      <c r="O324" s="1">
        <v>25700</v>
      </c>
      <c r="P324" s="1">
        <v>26200</v>
      </c>
      <c r="Q324" s="1">
        <v>25700</v>
      </c>
      <c r="R324" t="s">
        <v>710</v>
      </c>
      <c r="S324" s="3">
        <v>0.35348379629629628</v>
      </c>
      <c r="T324" s="1">
        <v>25450</v>
      </c>
      <c r="U324">
        <v>400</v>
      </c>
      <c r="V324">
        <v>1.57</v>
      </c>
    </row>
    <row r="325" spans="4:22" x14ac:dyDescent="0.3">
      <c r="D325">
        <v>323</v>
      </c>
      <c r="E325">
        <v>82920</v>
      </c>
      <c r="F325" t="s">
        <v>340</v>
      </c>
      <c r="H325" s="1">
        <v>20100</v>
      </c>
      <c r="I325">
        <v>2</v>
      </c>
      <c r="J325">
        <v>220</v>
      </c>
      <c r="K325">
        <v>1.1100000000000001</v>
      </c>
      <c r="L325" s="1">
        <v>19421</v>
      </c>
      <c r="M325">
        <v>393</v>
      </c>
      <c r="N325" s="1">
        <v>20223</v>
      </c>
      <c r="O325" s="1">
        <v>19880</v>
      </c>
      <c r="P325" s="1">
        <v>20350</v>
      </c>
      <c r="Q325" s="1">
        <v>19880</v>
      </c>
      <c r="R325" t="s">
        <v>710</v>
      </c>
      <c r="S325" s="3">
        <v>0.35362268518518519</v>
      </c>
      <c r="T325" s="1">
        <v>19880</v>
      </c>
      <c r="U325">
        <v>220</v>
      </c>
      <c r="V325">
        <v>1.1100000000000001</v>
      </c>
    </row>
    <row r="326" spans="4:22" x14ac:dyDescent="0.3">
      <c r="D326">
        <v>324</v>
      </c>
      <c r="E326">
        <v>90360</v>
      </c>
      <c r="F326" t="s">
        <v>341</v>
      </c>
      <c r="H326" s="1">
        <v>93400</v>
      </c>
      <c r="I326">
        <v>2</v>
      </c>
      <c r="J326" s="1">
        <v>2500</v>
      </c>
      <c r="K326">
        <v>2.75</v>
      </c>
      <c r="L326" s="1">
        <v>108814</v>
      </c>
      <c r="M326" s="1">
        <v>10178</v>
      </c>
      <c r="N326" s="1">
        <v>93535</v>
      </c>
      <c r="O326" s="1">
        <v>93000</v>
      </c>
      <c r="P326" s="1">
        <v>94600</v>
      </c>
      <c r="Q326" s="1">
        <v>92600</v>
      </c>
      <c r="R326" t="s">
        <v>710</v>
      </c>
      <c r="S326" s="3">
        <v>0.35365740740740742</v>
      </c>
      <c r="T326" s="1">
        <v>90900</v>
      </c>
      <c r="U326" s="1">
        <v>2500</v>
      </c>
      <c r="V326">
        <v>2.75</v>
      </c>
    </row>
    <row r="327" spans="4:22" x14ac:dyDescent="0.3">
      <c r="D327">
        <v>325</v>
      </c>
      <c r="E327">
        <v>4490</v>
      </c>
      <c r="F327" t="s">
        <v>342</v>
      </c>
      <c r="H327" s="1">
        <v>63900</v>
      </c>
      <c r="I327">
        <v>2</v>
      </c>
      <c r="J327">
        <v>600</v>
      </c>
      <c r="K327">
        <v>0.95</v>
      </c>
      <c r="L327" s="1">
        <v>2161</v>
      </c>
      <c r="M327">
        <v>138</v>
      </c>
      <c r="N327" s="1">
        <v>63678</v>
      </c>
      <c r="O327" s="1">
        <v>63300</v>
      </c>
      <c r="P327" s="1">
        <v>63900</v>
      </c>
      <c r="Q327" s="1">
        <v>63300</v>
      </c>
      <c r="R327" t="s">
        <v>710</v>
      </c>
      <c r="S327" s="3">
        <v>0.35311342592592593</v>
      </c>
      <c r="T327" s="1">
        <v>63300</v>
      </c>
      <c r="U327">
        <v>600</v>
      </c>
      <c r="V327">
        <v>0.95</v>
      </c>
    </row>
    <row r="328" spans="4:22" x14ac:dyDescent="0.3">
      <c r="D328">
        <v>326</v>
      </c>
      <c r="E328">
        <v>36540</v>
      </c>
      <c r="F328" t="s">
        <v>343</v>
      </c>
      <c r="H328" s="1">
        <v>5400</v>
      </c>
      <c r="I328">
        <v>2</v>
      </c>
      <c r="J328">
        <v>200</v>
      </c>
      <c r="K328">
        <v>3.85</v>
      </c>
      <c r="L328" s="1">
        <v>610741</v>
      </c>
      <c r="M328" s="1">
        <v>3320</v>
      </c>
      <c r="N328" s="1">
        <v>5435</v>
      </c>
      <c r="O328" s="1">
        <v>5600</v>
      </c>
      <c r="P328" s="1">
        <v>5750</v>
      </c>
      <c r="Q328" s="1">
        <v>5390</v>
      </c>
      <c r="R328" t="s">
        <v>710</v>
      </c>
      <c r="S328" s="3">
        <v>0.35362268518518519</v>
      </c>
      <c r="T328" s="1">
        <v>5200</v>
      </c>
      <c r="U328">
        <v>200</v>
      </c>
      <c r="V328">
        <v>3.85</v>
      </c>
    </row>
    <row r="329" spans="4:22" x14ac:dyDescent="0.3">
      <c r="D329">
        <v>327</v>
      </c>
      <c r="E329">
        <v>195870</v>
      </c>
      <c r="F329" t="s">
        <v>344</v>
      </c>
      <c r="H329" s="1">
        <v>52100</v>
      </c>
      <c r="I329">
        <v>2</v>
      </c>
      <c r="J329" s="1">
        <v>1100</v>
      </c>
      <c r="K329">
        <v>2.16</v>
      </c>
      <c r="L329" s="1">
        <v>16347</v>
      </c>
      <c r="M329">
        <v>851</v>
      </c>
      <c r="N329" s="1">
        <v>52070</v>
      </c>
      <c r="O329" s="1">
        <v>51900</v>
      </c>
      <c r="P329" s="1">
        <v>52400</v>
      </c>
      <c r="Q329" s="1">
        <v>51800</v>
      </c>
      <c r="R329" t="s">
        <v>710</v>
      </c>
      <c r="S329" s="3">
        <v>0.35357638888888893</v>
      </c>
      <c r="T329" s="1">
        <v>51000</v>
      </c>
      <c r="U329" s="1">
        <v>1100</v>
      </c>
      <c r="V329">
        <v>2.16</v>
      </c>
    </row>
    <row r="330" spans="4:22" x14ac:dyDescent="0.3">
      <c r="D330">
        <v>328</v>
      </c>
      <c r="E330">
        <v>417200</v>
      </c>
      <c r="F330" t="s">
        <v>345</v>
      </c>
      <c r="H330" s="1">
        <v>13090</v>
      </c>
      <c r="I330">
        <v>2</v>
      </c>
      <c r="J330">
        <v>240</v>
      </c>
      <c r="K330">
        <v>1.87</v>
      </c>
      <c r="L330" s="1">
        <v>58655</v>
      </c>
      <c r="M330">
        <v>765</v>
      </c>
      <c r="N330" s="1">
        <v>13048</v>
      </c>
      <c r="O330" s="1">
        <v>12850</v>
      </c>
      <c r="P330" s="1">
        <v>13130</v>
      </c>
      <c r="Q330" s="1">
        <v>12850</v>
      </c>
      <c r="R330" t="s">
        <v>710</v>
      </c>
      <c r="S330" s="3">
        <v>0.35364583333333338</v>
      </c>
      <c r="T330" s="1">
        <v>12850</v>
      </c>
      <c r="U330">
        <v>240</v>
      </c>
      <c r="V330">
        <v>1.87</v>
      </c>
    </row>
    <row r="331" spans="4:22" x14ac:dyDescent="0.3">
      <c r="D331">
        <v>329</v>
      </c>
      <c r="E331">
        <v>112040</v>
      </c>
      <c r="F331" t="s">
        <v>346</v>
      </c>
      <c r="H331" s="1">
        <v>25600</v>
      </c>
      <c r="I331">
        <v>2</v>
      </c>
      <c r="J331">
        <v>150</v>
      </c>
      <c r="K331">
        <v>0.59</v>
      </c>
      <c r="L331" s="1">
        <v>4300</v>
      </c>
      <c r="M331">
        <v>110</v>
      </c>
      <c r="N331" s="1">
        <v>25655</v>
      </c>
      <c r="O331" s="1">
        <v>26150</v>
      </c>
      <c r="P331" s="1">
        <v>26150</v>
      </c>
      <c r="Q331" s="1">
        <v>25450</v>
      </c>
      <c r="R331" t="s">
        <v>710</v>
      </c>
      <c r="S331" s="3">
        <v>0.35342592592592598</v>
      </c>
      <c r="T331" s="1">
        <v>25450</v>
      </c>
      <c r="U331">
        <v>150</v>
      </c>
      <c r="V331">
        <v>0.59</v>
      </c>
    </row>
    <row r="332" spans="4:22" x14ac:dyDescent="0.3">
      <c r="D332">
        <v>330</v>
      </c>
      <c r="E332">
        <v>213420</v>
      </c>
      <c r="F332" t="s">
        <v>347</v>
      </c>
      <c r="H332" s="1">
        <v>34600</v>
      </c>
      <c r="I332">
        <v>2</v>
      </c>
      <c r="J332">
        <v>500</v>
      </c>
      <c r="K332">
        <v>1.47</v>
      </c>
      <c r="L332" s="1">
        <v>9181</v>
      </c>
      <c r="M332">
        <v>317</v>
      </c>
      <c r="N332" s="1">
        <v>34499</v>
      </c>
      <c r="O332" s="1">
        <v>34300</v>
      </c>
      <c r="P332" s="1">
        <v>34600</v>
      </c>
      <c r="Q332" s="1">
        <v>34300</v>
      </c>
      <c r="R332" t="s">
        <v>710</v>
      </c>
      <c r="S332" s="3">
        <v>0.3536111111111111</v>
      </c>
      <c r="T332" s="1">
        <v>34100</v>
      </c>
      <c r="U332">
        <v>500</v>
      </c>
      <c r="V332">
        <v>1.47</v>
      </c>
    </row>
    <row r="333" spans="4:22" x14ac:dyDescent="0.3">
      <c r="D333">
        <v>331</v>
      </c>
      <c r="E333">
        <v>358570</v>
      </c>
      <c r="F333" t="s">
        <v>348</v>
      </c>
      <c r="H333" s="1">
        <v>13450</v>
      </c>
      <c r="I333">
        <v>2</v>
      </c>
      <c r="J333">
        <v>80</v>
      </c>
      <c r="K333">
        <v>0.6</v>
      </c>
      <c r="L333" s="1">
        <v>28153</v>
      </c>
      <c r="M333">
        <v>380</v>
      </c>
      <c r="N333" s="1">
        <v>13487</v>
      </c>
      <c r="O333" s="1">
        <v>13420</v>
      </c>
      <c r="P333" s="1">
        <v>13580</v>
      </c>
      <c r="Q333" s="1">
        <v>13420</v>
      </c>
      <c r="R333" t="s">
        <v>710</v>
      </c>
      <c r="S333" s="3">
        <v>0.35363425925925923</v>
      </c>
      <c r="T333" s="1">
        <v>13370</v>
      </c>
      <c r="U333">
        <v>80</v>
      </c>
      <c r="V333">
        <v>0.6</v>
      </c>
    </row>
    <row r="334" spans="4:22" x14ac:dyDescent="0.3">
      <c r="D334">
        <v>332</v>
      </c>
      <c r="E334">
        <v>468530</v>
      </c>
      <c r="F334" t="s">
        <v>349</v>
      </c>
      <c r="H334" s="1">
        <v>78400</v>
      </c>
      <c r="I334">
        <v>2</v>
      </c>
      <c r="J334" s="1">
        <v>2500</v>
      </c>
      <c r="K334">
        <v>3.29</v>
      </c>
      <c r="L334" s="1">
        <v>42140</v>
      </c>
      <c r="M334" s="1">
        <v>3301</v>
      </c>
      <c r="N334" s="1">
        <v>78344</v>
      </c>
      <c r="O334" s="1">
        <v>77200</v>
      </c>
      <c r="P334" s="1">
        <v>79500</v>
      </c>
      <c r="Q334" s="1">
        <v>77000</v>
      </c>
      <c r="R334" t="s">
        <v>710</v>
      </c>
      <c r="S334" s="3">
        <v>0.35365740740740742</v>
      </c>
      <c r="T334" s="1">
        <v>75900</v>
      </c>
      <c r="U334" s="1">
        <v>2500</v>
      </c>
      <c r="V334">
        <v>3.29</v>
      </c>
    </row>
    <row r="335" spans="4:22" x14ac:dyDescent="0.3">
      <c r="D335">
        <v>333</v>
      </c>
      <c r="E335">
        <v>86900</v>
      </c>
      <c r="F335" t="s">
        <v>350</v>
      </c>
      <c r="H335" s="1">
        <v>117100</v>
      </c>
      <c r="I335">
        <v>5</v>
      </c>
      <c r="J335">
        <v>900</v>
      </c>
      <c r="K335">
        <v>-0.76</v>
      </c>
      <c r="L335" s="1">
        <v>1481</v>
      </c>
      <c r="M335">
        <v>174</v>
      </c>
      <c r="N335" s="1">
        <v>117282</v>
      </c>
      <c r="O335" s="1">
        <v>118000</v>
      </c>
      <c r="P335" s="1">
        <v>118000</v>
      </c>
      <c r="Q335" s="1">
        <v>116800</v>
      </c>
      <c r="R335" t="s">
        <v>710</v>
      </c>
      <c r="S335" s="3">
        <v>0.35337962962962965</v>
      </c>
      <c r="T335" s="1">
        <v>118000</v>
      </c>
      <c r="U335">
        <v>-900</v>
      </c>
      <c r="V335">
        <v>-0.76</v>
      </c>
    </row>
    <row r="336" spans="4:22" x14ac:dyDescent="0.3">
      <c r="D336">
        <v>334</v>
      </c>
      <c r="E336">
        <v>317450</v>
      </c>
      <c r="F336" t="s">
        <v>351</v>
      </c>
      <c r="H336" s="1">
        <v>58500</v>
      </c>
      <c r="I336">
        <v>2</v>
      </c>
      <c r="J336">
        <v>200</v>
      </c>
      <c r="K336">
        <v>0.34</v>
      </c>
      <c r="L336" s="1">
        <v>1549</v>
      </c>
      <c r="M336">
        <v>91</v>
      </c>
      <c r="N336" s="1">
        <v>58658</v>
      </c>
      <c r="O336" s="1">
        <v>58600</v>
      </c>
      <c r="P336" s="1">
        <v>59100</v>
      </c>
      <c r="Q336" s="1">
        <v>58500</v>
      </c>
      <c r="R336" t="s">
        <v>710</v>
      </c>
      <c r="S336" s="3">
        <v>0.3536111111111111</v>
      </c>
      <c r="T336" s="1">
        <v>58300</v>
      </c>
      <c r="U336">
        <v>200</v>
      </c>
      <c r="V336">
        <v>0.34</v>
      </c>
    </row>
    <row r="337" spans="4:22" x14ac:dyDescent="0.3">
      <c r="D337">
        <v>335</v>
      </c>
      <c r="E337">
        <v>476060</v>
      </c>
      <c r="F337" t="s">
        <v>352</v>
      </c>
      <c r="H337" s="1">
        <v>18890</v>
      </c>
      <c r="I337">
        <v>2</v>
      </c>
      <c r="J337">
        <v>280</v>
      </c>
      <c r="K337">
        <v>1.5</v>
      </c>
      <c r="L337" s="1">
        <v>109637</v>
      </c>
      <c r="M337" s="1">
        <v>2076</v>
      </c>
      <c r="N337" s="1">
        <v>18933</v>
      </c>
      <c r="O337" s="1">
        <v>19000</v>
      </c>
      <c r="P337" s="1">
        <v>19080</v>
      </c>
      <c r="Q337" s="1">
        <v>18810</v>
      </c>
      <c r="R337" t="s">
        <v>710</v>
      </c>
      <c r="S337" s="3">
        <v>0.35357638888888893</v>
      </c>
      <c r="T337" s="1">
        <v>18610</v>
      </c>
      <c r="U337">
        <v>280</v>
      </c>
      <c r="V337">
        <v>1.5</v>
      </c>
    </row>
    <row r="338" spans="4:22" x14ac:dyDescent="0.3">
      <c r="D338">
        <v>336</v>
      </c>
      <c r="E338">
        <v>3240</v>
      </c>
      <c r="F338" t="s">
        <v>353</v>
      </c>
      <c r="H338" s="1">
        <v>750000</v>
      </c>
      <c r="I338">
        <v>3</v>
      </c>
      <c r="L338">
        <v>25</v>
      </c>
      <c r="M338">
        <v>19</v>
      </c>
      <c r="N338" s="1">
        <v>748160</v>
      </c>
      <c r="O338" s="1">
        <v>745000</v>
      </c>
      <c r="P338" s="1">
        <v>751000</v>
      </c>
      <c r="Q338" s="1">
        <v>744000</v>
      </c>
      <c r="R338" t="s">
        <v>710</v>
      </c>
      <c r="S338" s="3">
        <v>0.35015046296296298</v>
      </c>
      <c r="T338" s="1">
        <v>750000</v>
      </c>
    </row>
    <row r="339" spans="4:22" x14ac:dyDescent="0.3">
      <c r="D339">
        <v>337</v>
      </c>
      <c r="E339">
        <v>3160</v>
      </c>
      <c r="F339" t="s">
        <v>354</v>
      </c>
      <c r="H339" s="1">
        <v>29500</v>
      </c>
      <c r="I339">
        <v>2</v>
      </c>
      <c r="J339">
        <v>700</v>
      </c>
      <c r="K339">
        <v>2.4300000000000002</v>
      </c>
      <c r="L339" s="1">
        <v>69766</v>
      </c>
      <c r="M339" s="1">
        <v>2071</v>
      </c>
      <c r="N339" s="1">
        <v>29688</v>
      </c>
      <c r="O339" s="1">
        <v>29500</v>
      </c>
      <c r="P339" s="1">
        <v>30300</v>
      </c>
      <c r="Q339" s="1">
        <v>29500</v>
      </c>
      <c r="R339" t="s">
        <v>710</v>
      </c>
      <c r="S339" s="3">
        <v>0.35364583333333338</v>
      </c>
      <c r="T339" s="1">
        <v>28800</v>
      </c>
      <c r="U339">
        <v>700</v>
      </c>
      <c r="V339">
        <v>2.4300000000000002</v>
      </c>
    </row>
    <row r="340" spans="4:22" x14ac:dyDescent="0.3">
      <c r="D340">
        <v>338</v>
      </c>
      <c r="E340">
        <v>131290</v>
      </c>
      <c r="F340" t="s">
        <v>355</v>
      </c>
      <c r="H340" s="1">
        <v>75400</v>
      </c>
      <c r="I340">
        <v>2</v>
      </c>
      <c r="J340" s="1">
        <v>1900</v>
      </c>
      <c r="K340">
        <v>2.59</v>
      </c>
      <c r="L340" s="1">
        <v>19993</v>
      </c>
      <c r="M340" s="1">
        <v>1523</v>
      </c>
      <c r="N340" s="1">
        <v>76156</v>
      </c>
      <c r="O340" s="1">
        <v>74600</v>
      </c>
      <c r="P340" s="1">
        <v>76800</v>
      </c>
      <c r="Q340" s="1">
        <v>74600</v>
      </c>
      <c r="R340" t="s">
        <v>710</v>
      </c>
      <c r="S340" s="3">
        <v>0.35365740740740742</v>
      </c>
      <c r="T340" s="1">
        <v>73500</v>
      </c>
      <c r="U340" s="1">
        <v>1900</v>
      </c>
      <c r="V340">
        <v>2.59</v>
      </c>
    </row>
    <row r="341" spans="4:22" x14ac:dyDescent="0.3">
      <c r="D341">
        <v>339</v>
      </c>
      <c r="E341">
        <v>33500</v>
      </c>
      <c r="F341" t="s">
        <v>356</v>
      </c>
      <c r="H341" s="1">
        <v>27750</v>
      </c>
      <c r="I341">
        <v>2</v>
      </c>
      <c r="J341">
        <v>600</v>
      </c>
      <c r="K341">
        <v>2.21</v>
      </c>
      <c r="L341" s="1">
        <v>7218</v>
      </c>
      <c r="M341">
        <v>200</v>
      </c>
      <c r="N341" s="1">
        <v>27640</v>
      </c>
      <c r="O341" s="1">
        <v>27300</v>
      </c>
      <c r="P341" s="1">
        <v>27850</v>
      </c>
      <c r="Q341" s="1">
        <v>27300</v>
      </c>
      <c r="R341" t="s">
        <v>710</v>
      </c>
      <c r="S341" s="3">
        <v>0.35357638888888893</v>
      </c>
      <c r="T341" s="1">
        <v>27150</v>
      </c>
      <c r="U341">
        <v>600</v>
      </c>
      <c r="V341">
        <v>2.21</v>
      </c>
    </row>
    <row r="342" spans="4:22" x14ac:dyDescent="0.3">
      <c r="D342">
        <v>340</v>
      </c>
      <c r="E342">
        <v>108320</v>
      </c>
      <c r="F342" t="s">
        <v>357</v>
      </c>
      <c r="H342" s="1">
        <v>50600</v>
      </c>
      <c r="I342">
        <v>2</v>
      </c>
      <c r="J342">
        <v>600</v>
      </c>
      <c r="K342">
        <v>1.2</v>
      </c>
      <c r="L342" s="1">
        <v>2603</v>
      </c>
      <c r="M342">
        <v>131</v>
      </c>
      <c r="N342" s="1">
        <v>50459</v>
      </c>
      <c r="O342" s="1">
        <v>50600</v>
      </c>
      <c r="P342" s="1">
        <v>50600</v>
      </c>
      <c r="Q342" s="1">
        <v>50300</v>
      </c>
      <c r="R342" t="s">
        <v>710</v>
      </c>
      <c r="S342" s="3">
        <v>0.35346064814814815</v>
      </c>
      <c r="T342" s="1">
        <v>50000</v>
      </c>
      <c r="U342">
        <v>600</v>
      </c>
      <c r="V342">
        <v>1.2</v>
      </c>
    </row>
    <row r="343" spans="4:22" x14ac:dyDescent="0.3">
      <c r="D343">
        <v>341</v>
      </c>
      <c r="E343">
        <v>60280</v>
      </c>
      <c r="F343" t="s">
        <v>358</v>
      </c>
      <c r="H343" s="1">
        <v>19850</v>
      </c>
      <c r="I343">
        <v>2</v>
      </c>
      <c r="J343" s="1">
        <v>2790</v>
      </c>
      <c r="K343">
        <v>16.350000000000001</v>
      </c>
      <c r="L343" s="1">
        <v>4000255</v>
      </c>
      <c r="M343" s="1">
        <v>79110</v>
      </c>
      <c r="N343" s="1">
        <v>19776</v>
      </c>
      <c r="O343" s="1">
        <v>19130</v>
      </c>
      <c r="P343" s="1">
        <v>20200</v>
      </c>
      <c r="Q343" s="1">
        <v>18500</v>
      </c>
      <c r="R343" t="s">
        <v>710</v>
      </c>
      <c r="S343" s="3">
        <v>0.35365740740740742</v>
      </c>
      <c r="T343" s="1">
        <v>17060</v>
      </c>
      <c r="U343" s="1">
        <v>2790</v>
      </c>
      <c r="V343">
        <v>16.350000000000001</v>
      </c>
    </row>
    <row r="344" spans="4:22" x14ac:dyDescent="0.3">
      <c r="D344">
        <v>342</v>
      </c>
      <c r="E344">
        <v>100840</v>
      </c>
      <c r="F344" t="s">
        <v>359</v>
      </c>
      <c r="H344" s="1">
        <v>39350</v>
      </c>
      <c r="I344">
        <v>2</v>
      </c>
      <c r="J344">
        <v>850</v>
      </c>
      <c r="K344">
        <v>2.21</v>
      </c>
      <c r="L344" s="1">
        <v>11025</v>
      </c>
      <c r="M344">
        <v>434</v>
      </c>
      <c r="N344" s="1">
        <v>39355</v>
      </c>
      <c r="O344" s="1">
        <v>39400</v>
      </c>
      <c r="P344" s="1">
        <v>39650</v>
      </c>
      <c r="Q344" s="1">
        <v>39100</v>
      </c>
      <c r="R344" t="s">
        <v>710</v>
      </c>
      <c r="S344" s="3">
        <v>0.35364583333333338</v>
      </c>
      <c r="T344" s="1">
        <v>38500</v>
      </c>
      <c r="U344">
        <v>850</v>
      </c>
      <c r="V344">
        <v>2.21</v>
      </c>
    </row>
    <row r="345" spans="4:22" x14ac:dyDescent="0.3">
      <c r="D345">
        <v>343</v>
      </c>
      <c r="E345">
        <v>9450</v>
      </c>
      <c r="F345" t="s">
        <v>360</v>
      </c>
      <c r="H345" s="1">
        <v>55800</v>
      </c>
      <c r="I345">
        <v>2</v>
      </c>
      <c r="J345">
        <v>100</v>
      </c>
      <c r="K345">
        <v>0.18</v>
      </c>
      <c r="L345" s="1">
        <v>1441</v>
      </c>
      <c r="M345">
        <v>80</v>
      </c>
      <c r="N345" s="1">
        <v>55753</v>
      </c>
      <c r="O345" s="1">
        <v>55700</v>
      </c>
      <c r="P345" s="1">
        <v>56300</v>
      </c>
      <c r="Q345" s="1">
        <v>55400</v>
      </c>
      <c r="R345" t="s">
        <v>710</v>
      </c>
      <c r="S345" s="3">
        <v>0.35283564814814811</v>
      </c>
      <c r="T345" s="1">
        <v>55700</v>
      </c>
      <c r="U345">
        <v>100</v>
      </c>
      <c r="V345">
        <v>0.18</v>
      </c>
    </row>
    <row r="346" spans="4:22" x14ac:dyDescent="0.3">
      <c r="D346">
        <v>344</v>
      </c>
      <c r="E346">
        <v>36830</v>
      </c>
      <c r="F346" t="s">
        <v>361</v>
      </c>
      <c r="H346" s="1">
        <v>38700</v>
      </c>
      <c r="I346">
        <v>2</v>
      </c>
      <c r="J346">
        <v>200</v>
      </c>
      <c r="K346">
        <v>0.52</v>
      </c>
      <c r="L346" s="1">
        <v>6106</v>
      </c>
      <c r="M346">
        <v>236</v>
      </c>
      <c r="N346" s="1">
        <v>38625</v>
      </c>
      <c r="O346" s="1">
        <v>38550</v>
      </c>
      <c r="P346" s="1">
        <v>38750</v>
      </c>
      <c r="Q346" s="1">
        <v>38350</v>
      </c>
      <c r="R346" t="s">
        <v>710</v>
      </c>
      <c r="S346" s="3">
        <v>0.35350694444444447</v>
      </c>
      <c r="T346" s="1">
        <v>38500</v>
      </c>
      <c r="U346">
        <v>200</v>
      </c>
      <c r="V346">
        <v>0.52</v>
      </c>
    </row>
    <row r="347" spans="4:22" x14ac:dyDescent="0.3">
      <c r="D347">
        <v>345</v>
      </c>
      <c r="E347">
        <v>281820</v>
      </c>
      <c r="F347" t="s">
        <v>362</v>
      </c>
      <c r="H347" s="1">
        <v>39050</v>
      </c>
      <c r="I347">
        <v>2</v>
      </c>
      <c r="J347">
        <v>900</v>
      </c>
      <c r="K347">
        <v>2.36</v>
      </c>
      <c r="L347" s="1">
        <v>12758</v>
      </c>
      <c r="M347">
        <v>497</v>
      </c>
      <c r="N347" s="1">
        <v>38994</v>
      </c>
      <c r="O347" s="1">
        <v>38650</v>
      </c>
      <c r="P347" s="1">
        <v>39150</v>
      </c>
      <c r="Q347" s="1">
        <v>38400</v>
      </c>
      <c r="R347" t="s">
        <v>710</v>
      </c>
      <c r="S347" s="3">
        <v>0.35346064814814815</v>
      </c>
      <c r="T347" s="1">
        <v>38150</v>
      </c>
      <c r="U347">
        <v>900</v>
      </c>
      <c r="V347">
        <v>2.36</v>
      </c>
    </row>
    <row r="348" spans="4:22" x14ac:dyDescent="0.3">
      <c r="D348">
        <v>346</v>
      </c>
      <c r="E348">
        <v>114090</v>
      </c>
      <c r="F348" t="s">
        <v>363</v>
      </c>
      <c r="H348" s="1">
        <v>13050</v>
      </c>
      <c r="I348">
        <v>2</v>
      </c>
      <c r="J348">
        <v>50</v>
      </c>
      <c r="K348">
        <v>0.38</v>
      </c>
      <c r="L348" s="1">
        <v>1276</v>
      </c>
      <c r="M348">
        <v>17</v>
      </c>
      <c r="N348" s="1">
        <v>13026</v>
      </c>
      <c r="O348" s="1">
        <v>13010</v>
      </c>
      <c r="P348" s="1">
        <v>13120</v>
      </c>
      <c r="Q348" s="1">
        <v>12950</v>
      </c>
      <c r="R348" t="s">
        <v>710</v>
      </c>
      <c r="S348" s="3">
        <v>0.35282407407407407</v>
      </c>
      <c r="T348" s="1">
        <v>13000</v>
      </c>
      <c r="U348">
        <v>50</v>
      </c>
      <c r="V348">
        <v>0.38</v>
      </c>
    </row>
    <row r="349" spans="4:22" x14ac:dyDescent="0.3">
      <c r="D349">
        <v>347</v>
      </c>
      <c r="E349">
        <v>25540</v>
      </c>
      <c r="F349" t="s">
        <v>364</v>
      </c>
      <c r="H349" s="1">
        <v>79800</v>
      </c>
      <c r="I349">
        <v>2</v>
      </c>
      <c r="J349" s="1">
        <v>3400</v>
      </c>
      <c r="K349">
        <v>4.45</v>
      </c>
      <c r="L349" s="1">
        <v>14028</v>
      </c>
      <c r="M349" s="1">
        <v>1114</v>
      </c>
      <c r="N349" s="1">
        <v>79396</v>
      </c>
      <c r="O349" s="1">
        <v>77600</v>
      </c>
      <c r="P349" s="1">
        <v>80000</v>
      </c>
      <c r="Q349" s="1">
        <v>77600</v>
      </c>
      <c r="R349" t="s">
        <v>710</v>
      </c>
      <c r="S349" s="3">
        <v>0.35359953703703706</v>
      </c>
      <c r="T349" s="1">
        <v>76400</v>
      </c>
      <c r="U349" s="1">
        <v>3400</v>
      </c>
      <c r="V349">
        <v>4.45</v>
      </c>
    </row>
    <row r="350" spans="4:22" x14ac:dyDescent="0.3">
      <c r="D350">
        <v>348</v>
      </c>
      <c r="E350">
        <v>424870</v>
      </c>
      <c r="F350" t="s">
        <v>365</v>
      </c>
      <c r="H350" s="1">
        <v>10850</v>
      </c>
      <c r="I350">
        <v>2</v>
      </c>
      <c r="J350">
        <v>60</v>
      </c>
      <c r="K350">
        <v>0.56000000000000005</v>
      </c>
      <c r="L350" s="1">
        <v>97689</v>
      </c>
      <c r="M350" s="1">
        <v>1059</v>
      </c>
      <c r="N350" s="1">
        <v>10838</v>
      </c>
      <c r="O350" s="1">
        <v>10820</v>
      </c>
      <c r="P350" s="1">
        <v>10950</v>
      </c>
      <c r="Q350" s="1">
        <v>10770</v>
      </c>
      <c r="R350" t="s">
        <v>710</v>
      </c>
      <c r="S350" s="3">
        <v>0.35364583333333338</v>
      </c>
      <c r="T350" s="1">
        <v>10790</v>
      </c>
      <c r="U350">
        <v>60</v>
      </c>
      <c r="V350">
        <v>0.56000000000000005</v>
      </c>
    </row>
    <row r="351" spans="4:22" x14ac:dyDescent="0.3">
      <c r="D351">
        <v>349</v>
      </c>
      <c r="E351">
        <v>225570</v>
      </c>
      <c r="F351" t="s">
        <v>366</v>
      </c>
      <c r="H351" s="1">
        <v>12100</v>
      </c>
      <c r="I351">
        <v>2</v>
      </c>
      <c r="J351">
        <v>70</v>
      </c>
      <c r="K351">
        <v>0.57999999999999996</v>
      </c>
      <c r="L351" s="1">
        <v>3462</v>
      </c>
      <c r="M351">
        <v>42</v>
      </c>
      <c r="N351" s="1">
        <v>12107</v>
      </c>
      <c r="O351" s="1">
        <v>12100</v>
      </c>
      <c r="P351" s="1">
        <v>12130</v>
      </c>
      <c r="Q351" s="1">
        <v>12070</v>
      </c>
      <c r="R351" t="s">
        <v>710</v>
      </c>
      <c r="S351" s="3">
        <v>0.35365740740740742</v>
      </c>
      <c r="T351" s="1">
        <v>12030</v>
      </c>
      <c r="U351">
        <v>70</v>
      </c>
      <c r="V351">
        <v>0.57999999999999996</v>
      </c>
    </row>
    <row r="352" spans="4:22" x14ac:dyDescent="0.3">
      <c r="D352">
        <v>350</v>
      </c>
      <c r="E352">
        <v>93370</v>
      </c>
      <c r="F352" t="s">
        <v>367</v>
      </c>
      <c r="H352" s="1">
        <v>7430</v>
      </c>
      <c r="I352">
        <v>2</v>
      </c>
      <c r="J352">
        <v>50</v>
      </c>
      <c r="K352">
        <v>0.68</v>
      </c>
      <c r="L352" s="1">
        <v>49649</v>
      </c>
      <c r="M352">
        <v>369</v>
      </c>
      <c r="N352" s="1">
        <v>7424</v>
      </c>
      <c r="O352" s="1">
        <v>7360</v>
      </c>
      <c r="P352" s="1">
        <v>7470</v>
      </c>
      <c r="Q352" s="1">
        <v>7360</v>
      </c>
      <c r="R352" t="s">
        <v>710</v>
      </c>
      <c r="S352" s="3">
        <v>0.35344907407407405</v>
      </c>
      <c r="T352" s="1">
        <v>7380</v>
      </c>
      <c r="U352">
        <v>50</v>
      </c>
      <c r="V352">
        <v>0.68</v>
      </c>
    </row>
    <row r="353" spans="4:22" x14ac:dyDescent="0.3">
      <c r="D353">
        <v>351</v>
      </c>
      <c r="E353">
        <v>189300</v>
      </c>
      <c r="F353" t="s">
        <v>368</v>
      </c>
      <c r="H353" s="1">
        <v>73900</v>
      </c>
      <c r="I353">
        <v>2</v>
      </c>
      <c r="J353" s="1">
        <v>1400</v>
      </c>
      <c r="K353">
        <v>1.93</v>
      </c>
      <c r="L353" s="1">
        <v>25306</v>
      </c>
      <c r="M353" s="1">
        <v>1879</v>
      </c>
      <c r="N353" s="1">
        <v>74235</v>
      </c>
      <c r="O353" s="1">
        <v>80000</v>
      </c>
      <c r="P353" s="1">
        <v>80000</v>
      </c>
      <c r="Q353" s="1">
        <v>73400</v>
      </c>
      <c r="R353" t="s">
        <v>710</v>
      </c>
      <c r="S353" s="3">
        <v>0.35362268518518519</v>
      </c>
      <c r="T353" s="1">
        <v>72500</v>
      </c>
      <c r="U353" s="1">
        <v>1400</v>
      </c>
      <c r="V353">
        <v>1.93</v>
      </c>
    </row>
    <row r="354" spans="4:22" x14ac:dyDescent="0.3">
      <c r="D354">
        <v>352</v>
      </c>
      <c r="E354">
        <v>241710</v>
      </c>
      <c r="F354" t="s">
        <v>369</v>
      </c>
      <c r="H354" s="1">
        <v>74200</v>
      </c>
      <c r="I354">
        <v>2</v>
      </c>
      <c r="J354">
        <v>400</v>
      </c>
      <c r="K354">
        <v>0.54</v>
      </c>
      <c r="L354" s="1">
        <v>3246</v>
      </c>
      <c r="M354">
        <v>242</v>
      </c>
      <c r="N354" s="1">
        <v>74470</v>
      </c>
      <c r="O354" s="1">
        <v>72500</v>
      </c>
      <c r="P354" s="1">
        <v>75000</v>
      </c>
      <c r="Q354" s="1">
        <v>72500</v>
      </c>
      <c r="R354" t="s">
        <v>710</v>
      </c>
      <c r="S354" s="3">
        <v>0.35297453703703702</v>
      </c>
      <c r="T354" s="1">
        <v>73800</v>
      </c>
      <c r="U354">
        <v>400</v>
      </c>
      <c r="V354">
        <v>0.54</v>
      </c>
    </row>
    <row r="355" spans="4:22" x14ac:dyDescent="0.3">
      <c r="D355">
        <v>353</v>
      </c>
      <c r="E355">
        <v>5690</v>
      </c>
      <c r="F355" t="s">
        <v>370</v>
      </c>
      <c r="H355" s="1">
        <v>13170</v>
      </c>
      <c r="I355">
        <v>2</v>
      </c>
      <c r="J355">
        <v>630</v>
      </c>
      <c r="K355">
        <v>5.0199999999999996</v>
      </c>
      <c r="L355" s="1">
        <v>335335</v>
      </c>
      <c r="M355" s="1">
        <v>4358</v>
      </c>
      <c r="N355" s="1">
        <v>12995</v>
      </c>
      <c r="O355" s="1">
        <v>12700</v>
      </c>
      <c r="P355" s="1">
        <v>13600</v>
      </c>
      <c r="Q355" s="1">
        <v>12700</v>
      </c>
      <c r="R355" t="s">
        <v>710</v>
      </c>
      <c r="S355" s="3">
        <v>0.35364583333333338</v>
      </c>
      <c r="T355" s="1">
        <v>12540</v>
      </c>
      <c r="U355">
        <v>630</v>
      </c>
      <c r="V355">
        <v>5.0199999999999996</v>
      </c>
    </row>
    <row r="356" spans="4:22" x14ac:dyDescent="0.3">
      <c r="D356">
        <v>354</v>
      </c>
      <c r="E356">
        <v>499790</v>
      </c>
      <c r="F356" t="s">
        <v>371</v>
      </c>
      <c r="H356" s="1">
        <v>39850</v>
      </c>
      <c r="I356">
        <v>2</v>
      </c>
      <c r="J356">
        <v>400</v>
      </c>
      <c r="K356">
        <v>1.01</v>
      </c>
      <c r="L356" s="1">
        <v>1304</v>
      </c>
      <c r="M356">
        <v>52</v>
      </c>
      <c r="N356" s="1">
        <v>39653</v>
      </c>
      <c r="O356" s="1">
        <v>39500</v>
      </c>
      <c r="P356" s="1">
        <v>39850</v>
      </c>
      <c r="Q356" s="1">
        <v>39450</v>
      </c>
      <c r="R356" t="s">
        <v>710</v>
      </c>
      <c r="S356" s="3">
        <v>0.35346064814814815</v>
      </c>
      <c r="T356" s="1">
        <v>39450</v>
      </c>
      <c r="U356">
        <v>400</v>
      </c>
      <c r="V356">
        <v>1.01</v>
      </c>
    </row>
    <row r="357" spans="4:22" x14ac:dyDescent="0.3">
      <c r="D357">
        <v>355</v>
      </c>
      <c r="E357">
        <v>348210</v>
      </c>
      <c r="F357" t="s">
        <v>372</v>
      </c>
      <c r="H357" s="1">
        <v>75200</v>
      </c>
      <c r="I357">
        <v>2</v>
      </c>
      <c r="J357">
        <v>800</v>
      </c>
      <c r="K357">
        <v>1.08</v>
      </c>
      <c r="L357" s="1">
        <v>2351</v>
      </c>
      <c r="M357">
        <v>177</v>
      </c>
      <c r="N357" s="1">
        <v>75404</v>
      </c>
      <c r="O357" s="1">
        <v>74700</v>
      </c>
      <c r="P357" s="1">
        <v>75800</v>
      </c>
      <c r="Q357" s="1">
        <v>74600</v>
      </c>
      <c r="R357" t="s">
        <v>710</v>
      </c>
      <c r="S357" s="3">
        <v>0.35351851851851851</v>
      </c>
      <c r="T357" s="1">
        <v>74400</v>
      </c>
      <c r="U357">
        <v>800</v>
      </c>
      <c r="V357">
        <v>1.08</v>
      </c>
    </row>
    <row r="358" spans="4:22" x14ac:dyDescent="0.3">
      <c r="D358">
        <v>356</v>
      </c>
      <c r="E358">
        <v>14620</v>
      </c>
      <c r="F358" t="s">
        <v>373</v>
      </c>
      <c r="H358" s="1">
        <v>29400</v>
      </c>
      <c r="I358">
        <v>2</v>
      </c>
      <c r="J358">
        <v>350</v>
      </c>
      <c r="K358">
        <v>1.2</v>
      </c>
      <c r="L358" s="1">
        <v>14531</v>
      </c>
      <c r="M358">
        <v>427</v>
      </c>
      <c r="N358" s="1">
        <v>29413</v>
      </c>
      <c r="O358" s="1">
        <v>29400</v>
      </c>
      <c r="P358" s="1">
        <v>29600</v>
      </c>
      <c r="Q358" s="1">
        <v>29300</v>
      </c>
      <c r="R358" t="s">
        <v>710</v>
      </c>
      <c r="S358" s="3">
        <v>0.35354166666666664</v>
      </c>
      <c r="T358" s="1">
        <v>29050</v>
      </c>
      <c r="U358">
        <v>350</v>
      </c>
      <c r="V358">
        <v>1.2</v>
      </c>
    </row>
    <row r="359" spans="4:22" x14ac:dyDescent="0.3">
      <c r="D359">
        <v>357</v>
      </c>
      <c r="E359">
        <v>7700</v>
      </c>
      <c r="F359" t="s">
        <v>374</v>
      </c>
      <c r="H359" s="1">
        <v>19600</v>
      </c>
      <c r="I359">
        <v>2</v>
      </c>
      <c r="J359">
        <v>440</v>
      </c>
      <c r="K359">
        <v>2.2999999999999998</v>
      </c>
      <c r="L359">
        <v>35</v>
      </c>
      <c r="M359">
        <v>1</v>
      </c>
      <c r="N359" s="1">
        <v>19586</v>
      </c>
      <c r="O359" s="1">
        <v>19900</v>
      </c>
      <c r="P359" s="1">
        <v>19900</v>
      </c>
      <c r="Q359" s="1">
        <v>19310</v>
      </c>
      <c r="R359" t="s">
        <v>710</v>
      </c>
      <c r="S359" s="3">
        <v>0.35326388888888888</v>
      </c>
      <c r="T359" s="1">
        <v>19160</v>
      </c>
      <c r="U359">
        <v>440</v>
      </c>
      <c r="V359">
        <v>2.2999999999999998</v>
      </c>
    </row>
    <row r="360" spans="4:22" x14ac:dyDescent="0.3">
      <c r="D360">
        <v>358</v>
      </c>
      <c r="E360">
        <v>9520</v>
      </c>
      <c r="F360" t="s">
        <v>375</v>
      </c>
      <c r="H360" s="1">
        <v>18400</v>
      </c>
      <c r="I360">
        <v>2</v>
      </c>
      <c r="J360">
        <v>90</v>
      </c>
      <c r="K360">
        <v>0.49</v>
      </c>
      <c r="L360" s="1">
        <v>147432</v>
      </c>
      <c r="M360" s="1">
        <v>2718</v>
      </c>
      <c r="N360" s="1">
        <v>18433</v>
      </c>
      <c r="O360" s="1">
        <v>18410</v>
      </c>
      <c r="P360" s="1">
        <v>18540</v>
      </c>
      <c r="Q360" s="1">
        <v>18330</v>
      </c>
      <c r="R360" t="s">
        <v>710</v>
      </c>
      <c r="S360" s="3">
        <v>0.3536111111111111</v>
      </c>
      <c r="T360" s="1">
        <v>18310</v>
      </c>
      <c r="U360">
        <v>90</v>
      </c>
      <c r="V360">
        <v>0.49</v>
      </c>
    </row>
    <row r="361" spans="4:22" x14ac:dyDescent="0.3">
      <c r="D361">
        <v>359</v>
      </c>
      <c r="E361">
        <v>376300</v>
      </c>
      <c r="F361" t="s">
        <v>376</v>
      </c>
      <c r="H361" s="1">
        <v>32100</v>
      </c>
      <c r="I361">
        <v>2</v>
      </c>
      <c r="J361">
        <v>150</v>
      </c>
      <c r="K361">
        <v>0.47</v>
      </c>
      <c r="L361" s="1">
        <v>4528</v>
      </c>
      <c r="M361">
        <v>146</v>
      </c>
      <c r="N361" s="1">
        <v>32188</v>
      </c>
      <c r="O361" s="1">
        <v>32500</v>
      </c>
      <c r="P361" s="1">
        <v>32500</v>
      </c>
      <c r="Q361" s="1">
        <v>32100</v>
      </c>
      <c r="R361" t="s">
        <v>710</v>
      </c>
      <c r="S361" s="3">
        <v>0.3536111111111111</v>
      </c>
      <c r="T361" s="1">
        <v>31950</v>
      </c>
      <c r="U361">
        <v>150</v>
      </c>
      <c r="V361">
        <v>0.47</v>
      </c>
    </row>
    <row r="362" spans="4:22" x14ac:dyDescent="0.3">
      <c r="D362">
        <v>360</v>
      </c>
      <c r="E362">
        <v>210</v>
      </c>
      <c r="F362" t="s">
        <v>377</v>
      </c>
      <c r="H362" s="1">
        <v>36250</v>
      </c>
      <c r="I362">
        <v>2</v>
      </c>
      <c r="J362">
        <v>50</v>
      </c>
      <c r="K362">
        <v>0.14000000000000001</v>
      </c>
      <c r="L362" s="1">
        <v>3276</v>
      </c>
      <c r="M362">
        <v>119</v>
      </c>
      <c r="N362" s="1">
        <v>36270</v>
      </c>
      <c r="O362" s="1">
        <v>36400</v>
      </c>
      <c r="P362" s="1">
        <v>36500</v>
      </c>
      <c r="Q362" s="1">
        <v>35450</v>
      </c>
      <c r="R362" t="s">
        <v>710</v>
      </c>
      <c r="S362" s="3">
        <v>0.35206018518518517</v>
      </c>
      <c r="T362" s="1">
        <v>36200</v>
      </c>
      <c r="U362">
        <v>50</v>
      </c>
      <c r="V362">
        <v>0.14000000000000001</v>
      </c>
    </row>
    <row r="363" spans="4:22" x14ac:dyDescent="0.3">
      <c r="D363">
        <v>361</v>
      </c>
      <c r="E363">
        <v>3850</v>
      </c>
      <c r="F363" t="s">
        <v>378</v>
      </c>
      <c r="H363" s="1">
        <v>8850</v>
      </c>
      <c r="I363">
        <v>2</v>
      </c>
      <c r="J363">
        <v>80</v>
      </c>
      <c r="K363">
        <v>0.91</v>
      </c>
      <c r="L363" s="1">
        <v>19217</v>
      </c>
      <c r="M363">
        <v>170</v>
      </c>
      <c r="N363" s="1">
        <v>8835</v>
      </c>
      <c r="O363" s="1">
        <v>8800</v>
      </c>
      <c r="P363" s="1">
        <v>8900</v>
      </c>
      <c r="Q363" s="1">
        <v>8740</v>
      </c>
      <c r="R363" t="s">
        <v>710</v>
      </c>
      <c r="S363" s="3">
        <v>0.35364583333333338</v>
      </c>
      <c r="T363" s="1">
        <v>8770</v>
      </c>
      <c r="U363">
        <v>80</v>
      </c>
      <c r="V363">
        <v>0.91</v>
      </c>
    </row>
    <row r="364" spans="4:22" x14ac:dyDescent="0.3">
      <c r="D364">
        <v>362</v>
      </c>
      <c r="E364">
        <v>42000</v>
      </c>
      <c r="F364" t="s">
        <v>379</v>
      </c>
      <c r="H364" s="1">
        <v>31200</v>
      </c>
      <c r="I364">
        <v>2</v>
      </c>
      <c r="J364">
        <v>300</v>
      </c>
      <c r="K364">
        <v>0.97</v>
      </c>
      <c r="L364" s="1">
        <v>1786</v>
      </c>
      <c r="M364">
        <v>56</v>
      </c>
      <c r="N364" s="1">
        <v>31099</v>
      </c>
      <c r="O364" s="1">
        <v>31000</v>
      </c>
      <c r="P364" s="1">
        <v>31250</v>
      </c>
      <c r="Q364" s="1">
        <v>30950</v>
      </c>
      <c r="R364" t="s">
        <v>710</v>
      </c>
      <c r="S364" s="3">
        <v>0.35359953703703706</v>
      </c>
      <c r="T364" s="1">
        <v>30900</v>
      </c>
      <c r="U364">
        <v>300</v>
      </c>
      <c r="V364">
        <v>0.97</v>
      </c>
    </row>
    <row r="365" spans="4:22" x14ac:dyDescent="0.3">
      <c r="D365">
        <v>363</v>
      </c>
      <c r="E365">
        <v>86450</v>
      </c>
      <c r="F365" t="s">
        <v>380</v>
      </c>
      <c r="H365" s="1">
        <v>16650</v>
      </c>
      <c r="I365">
        <v>2</v>
      </c>
      <c r="J365">
        <v>50</v>
      </c>
      <c r="K365">
        <v>0.3</v>
      </c>
      <c r="L365" s="1">
        <v>3353</v>
      </c>
      <c r="M365">
        <v>56</v>
      </c>
      <c r="N365" s="1">
        <v>16663</v>
      </c>
      <c r="O365" s="1">
        <v>16700</v>
      </c>
      <c r="P365" s="1">
        <v>16700</v>
      </c>
      <c r="Q365" s="1">
        <v>16610</v>
      </c>
      <c r="R365" t="s">
        <v>710</v>
      </c>
      <c r="S365" s="3">
        <v>0.35327546296296292</v>
      </c>
      <c r="T365" s="1">
        <v>16600</v>
      </c>
      <c r="U365">
        <v>50</v>
      </c>
      <c r="V365">
        <v>0.3</v>
      </c>
    </row>
    <row r="366" spans="4:22" x14ac:dyDescent="0.3">
      <c r="D366">
        <v>364</v>
      </c>
      <c r="E366">
        <v>69260</v>
      </c>
      <c r="F366" t="s">
        <v>381</v>
      </c>
      <c r="H366" s="1">
        <v>18320</v>
      </c>
      <c r="I366">
        <v>5</v>
      </c>
      <c r="J366">
        <v>40</v>
      </c>
      <c r="K366">
        <v>-0.22</v>
      </c>
      <c r="L366" s="1">
        <v>1525</v>
      </c>
      <c r="M366">
        <v>28</v>
      </c>
      <c r="N366" s="1">
        <v>18311</v>
      </c>
      <c r="O366" s="1">
        <v>18460</v>
      </c>
      <c r="P366" s="1">
        <v>18520</v>
      </c>
      <c r="Q366" s="1">
        <v>18270</v>
      </c>
      <c r="R366" t="s">
        <v>710</v>
      </c>
      <c r="S366" s="3">
        <v>0.35317129629629629</v>
      </c>
      <c r="T366" s="1">
        <v>18360</v>
      </c>
      <c r="U366">
        <v>-40</v>
      </c>
      <c r="V366">
        <v>-0.22</v>
      </c>
    </row>
    <row r="367" spans="4:22" x14ac:dyDescent="0.3">
      <c r="D367">
        <v>365</v>
      </c>
      <c r="E367">
        <v>67160</v>
      </c>
      <c r="F367" t="s">
        <v>382</v>
      </c>
      <c r="H367" s="1">
        <v>65000</v>
      </c>
      <c r="I367">
        <v>2</v>
      </c>
      <c r="J367">
        <v>300</v>
      </c>
      <c r="K367">
        <v>0.46</v>
      </c>
      <c r="L367" s="1">
        <v>1198</v>
      </c>
      <c r="M367">
        <v>78</v>
      </c>
      <c r="N367" s="1">
        <v>65013</v>
      </c>
      <c r="O367" s="1">
        <v>66600</v>
      </c>
      <c r="P367" s="1">
        <v>66600</v>
      </c>
      <c r="Q367" s="1">
        <v>64800</v>
      </c>
      <c r="R367" t="s">
        <v>710</v>
      </c>
      <c r="S367" s="3">
        <v>0.35340277777777779</v>
      </c>
      <c r="T367" s="1">
        <v>64700</v>
      </c>
      <c r="U367">
        <v>300</v>
      </c>
      <c r="V367">
        <v>0.46</v>
      </c>
    </row>
    <row r="368" spans="4:22" x14ac:dyDescent="0.3">
      <c r="D368">
        <v>366</v>
      </c>
      <c r="E368">
        <v>1680</v>
      </c>
      <c r="F368" t="s">
        <v>383</v>
      </c>
      <c r="H368" s="1">
        <v>21550</v>
      </c>
      <c r="I368">
        <v>3</v>
      </c>
      <c r="L368" s="1">
        <v>6990</v>
      </c>
      <c r="M368">
        <v>151</v>
      </c>
      <c r="N368" s="1">
        <v>21534</v>
      </c>
      <c r="O368" s="1">
        <v>21750</v>
      </c>
      <c r="P368" s="1">
        <v>21750</v>
      </c>
      <c r="Q368" s="1">
        <v>21450</v>
      </c>
      <c r="R368" t="s">
        <v>710</v>
      </c>
      <c r="S368" s="3">
        <v>0.35343750000000002</v>
      </c>
      <c r="T368" s="1">
        <v>21550</v>
      </c>
    </row>
    <row r="369" spans="4:22" x14ac:dyDescent="0.3">
      <c r="D369">
        <v>367</v>
      </c>
      <c r="E369">
        <v>336570</v>
      </c>
      <c r="F369" t="s">
        <v>384</v>
      </c>
      <c r="H369" s="1">
        <v>8250</v>
      </c>
      <c r="I369">
        <v>2</v>
      </c>
      <c r="J369">
        <v>80</v>
      </c>
      <c r="K369">
        <v>0.98</v>
      </c>
      <c r="L369" s="1">
        <v>20850</v>
      </c>
      <c r="M369">
        <v>172</v>
      </c>
      <c r="N369" s="1">
        <v>8258</v>
      </c>
      <c r="O369" s="1">
        <v>8190</v>
      </c>
      <c r="P369" s="1">
        <v>8270</v>
      </c>
      <c r="Q369" s="1">
        <v>8190</v>
      </c>
      <c r="R369" t="s">
        <v>710</v>
      </c>
      <c r="S369" s="3">
        <v>0.3532986111111111</v>
      </c>
      <c r="T369" s="1">
        <v>8170</v>
      </c>
      <c r="U369">
        <v>80</v>
      </c>
      <c r="V369">
        <v>0.98</v>
      </c>
    </row>
    <row r="370" spans="4:22" x14ac:dyDescent="0.3">
      <c r="D370">
        <v>368</v>
      </c>
      <c r="E370">
        <v>25980</v>
      </c>
      <c r="F370" t="s">
        <v>385</v>
      </c>
      <c r="H370" s="1">
        <v>7830</v>
      </c>
      <c r="I370">
        <v>2</v>
      </c>
      <c r="J370">
        <v>60</v>
      </c>
      <c r="K370">
        <v>0.77</v>
      </c>
      <c r="L370" s="1">
        <v>43408</v>
      </c>
      <c r="M370">
        <v>339</v>
      </c>
      <c r="N370" s="1">
        <v>7800</v>
      </c>
      <c r="O370" s="1">
        <v>7770</v>
      </c>
      <c r="P370" s="1">
        <v>7840</v>
      </c>
      <c r="Q370" s="1">
        <v>7740</v>
      </c>
      <c r="R370" t="s">
        <v>710</v>
      </c>
      <c r="S370" s="3">
        <v>0.35358796296296297</v>
      </c>
      <c r="T370" s="1">
        <v>7770</v>
      </c>
      <c r="U370">
        <v>60</v>
      </c>
      <c r="V370">
        <v>0.77</v>
      </c>
    </row>
    <row r="371" spans="4:22" x14ac:dyDescent="0.3">
      <c r="D371">
        <v>369</v>
      </c>
      <c r="E371">
        <v>125490</v>
      </c>
      <c r="F371" t="s">
        <v>386</v>
      </c>
      <c r="H371" s="1">
        <v>20300</v>
      </c>
      <c r="I371">
        <v>2</v>
      </c>
      <c r="J371">
        <v>310</v>
      </c>
      <c r="K371">
        <v>1.55</v>
      </c>
      <c r="L371" s="1">
        <v>405011</v>
      </c>
      <c r="M371" s="1">
        <v>8266</v>
      </c>
      <c r="N371" s="1">
        <v>20410</v>
      </c>
      <c r="O371" s="1">
        <v>20150</v>
      </c>
      <c r="P371" s="1">
        <v>20700</v>
      </c>
      <c r="Q371" s="1">
        <v>20150</v>
      </c>
      <c r="R371" t="s">
        <v>710</v>
      </c>
      <c r="S371" s="3">
        <v>0.35364583333333338</v>
      </c>
      <c r="T371" s="1">
        <v>19990</v>
      </c>
      <c r="U371">
        <v>310</v>
      </c>
      <c r="V371">
        <v>1.55</v>
      </c>
    </row>
    <row r="372" spans="4:22" x14ac:dyDescent="0.3">
      <c r="D372">
        <v>370</v>
      </c>
      <c r="E372">
        <v>214320</v>
      </c>
      <c r="F372" t="s">
        <v>387</v>
      </c>
      <c r="H372" s="1">
        <v>18430</v>
      </c>
      <c r="I372">
        <v>2</v>
      </c>
      <c r="J372">
        <v>40</v>
      </c>
      <c r="K372">
        <v>0.22</v>
      </c>
      <c r="L372" s="1">
        <v>2539</v>
      </c>
      <c r="M372">
        <v>47</v>
      </c>
      <c r="N372" s="1">
        <v>18442</v>
      </c>
      <c r="O372" s="1">
        <v>18430</v>
      </c>
      <c r="P372" s="1">
        <v>18450</v>
      </c>
      <c r="Q372" s="1">
        <v>18430</v>
      </c>
      <c r="R372" t="s">
        <v>710</v>
      </c>
      <c r="S372" s="3">
        <v>0.35200231481481481</v>
      </c>
      <c r="T372" s="1">
        <v>18390</v>
      </c>
      <c r="U372">
        <v>40</v>
      </c>
      <c r="V372">
        <v>0.22</v>
      </c>
    </row>
    <row r="373" spans="4:22" x14ac:dyDescent="0.3">
      <c r="D373">
        <v>371</v>
      </c>
      <c r="E373">
        <v>381970</v>
      </c>
      <c r="F373" t="s">
        <v>388</v>
      </c>
      <c r="H373" s="1">
        <v>15070</v>
      </c>
      <c r="I373">
        <v>2</v>
      </c>
      <c r="J373">
        <v>60</v>
      </c>
      <c r="K373">
        <v>0.4</v>
      </c>
      <c r="L373" s="1">
        <v>1031</v>
      </c>
      <c r="M373">
        <v>16</v>
      </c>
      <c r="N373" s="1">
        <v>15072</v>
      </c>
      <c r="O373" s="1">
        <v>15020</v>
      </c>
      <c r="P373" s="1">
        <v>15100</v>
      </c>
      <c r="Q373" s="1">
        <v>15020</v>
      </c>
      <c r="R373" t="s">
        <v>710</v>
      </c>
      <c r="S373" s="3">
        <v>0.35270833333333335</v>
      </c>
      <c r="T373" s="1">
        <v>15010</v>
      </c>
      <c r="U373">
        <v>60</v>
      </c>
      <c r="V373">
        <v>0.4</v>
      </c>
    </row>
    <row r="374" spans="4:22" x14ac:dyDescent="0.3">
      <c r="D374">
        <v>372</v>
      </c>
      <c r="E374">
        <v>248070</v>
      </c>
      <c r="F374" t="s">
        <v>389</v>
      </c>
      <c r="H374" s="1">
        <v>15340</v>
      </c>
      <c r="I374">
        <v>2</v>
      </c>
      <c r="J374">
        <v>110</v>
      </c>
      <c r="K374">
        <v>0.72</v>
      </c>
      <c r="L374" s="1">
        <v>2114</v>
      </c>
      <c r="M374">
        <v>32</v>
      </c>
      <c r="N374" s="1">
        <v>15288</v>
      </c>
      <c r="O374" s="1">
        <v>15370</v>
      </c>
      <c r="P374" s="1">
        <v>15370</v>
      </c>
      <c r="Q374" s="1">
        <v>15180</v>
      </c>
      <c r="R374" t="s">
        <v>710</v>
      </c>
      <c r="S374" s="3">
        <v>0.35341435185185183</v>
      </c>
      <c r="T374" s="1">
        <v>15230</v>
      </c>
      <c r="U374">
        <v>110</v>
      </c>
      <c r="V374">
        <v>0.72</v>
      </c>
    </row>
    <row r="375" spans="4:22" x14ac:dyDescent="0.3">
      <c r="D375">
        <v>373</v>
      </c>
      <c r="E375">
        <v>5180</v>
      </c>
      <c r="F375" t="s">
        <v>390</v>
      </c>
      <c r="H375" s="1">
        <v>75900</v>
      </c>
      <c r="I375">
        <v>5</v>
      </c>
      <c r="J375">
        <v>400</v>
      </c>
      <c r="K375">
        <v>-0.52</v>
      </c>
      <c r="L375">
        <v>753</v>
      </c>
      <c r="M375">
        <v>57</v>
      </c>
      <c r="N375" s="1">
        <v>76203</v>
      </c>
      <c r="O375" s="1">
        <v>76800</v>
      </c>
      <c r="P375" s="1">
        <v>76800</v>
      </c>
      <c r="Q375" s="1">
        <v>75900</v>
      </c>
      <c r="R375" t="s">
        <v>710</v>
      </c>
      <c r="S375" s="3">
        <v>0.35160879629629632</v>
      </c>
      <c r="T375" s="1">
        <v>76300</v>
      </c>
      <c r="U375">
        <v>-400</v>
      </c>
      <c r="V375">
        <v>-0.52</v>
      </c>
    </row>
    <row r="376" spans="4:22" x14ac:dyDescent="0.3">
      <c r="D376">
        <v>374</v>
      </c>
      <c r="E376">
        <v>36810</v>
      </c>
      <c r="F376" t="s">
        <v>391</v>
      </c>
      <c r="H376" s="1">
        <v>33000</v>
      </c>
      <c r="I376">
        <v>2</v>
      </c>
      <c r="J376" s="1">
        <v>1600</v>
      </c>
      <c r="K376">
        <v>5.0999999999999996</v>
      </c>
      <c r="L376" s="1">
        <v>52774</v>
      </c>
      <c r="M376" s="1">
        <v>1720</v>
      </c>
      <c r="N376" s="1">
        <v>32599</v>
      </c>
      <c r="O376" s="1">
        <v>31700</v>
      </c>
      <c r="P376" s="1">
        <v>33350</v>
      </c>
      <c r="Q376" s="1">
        <v>31700</v>
      </c>
      <c r="R376" t="s">
        <v>710</v>
      </c>
      <c r="S376" s="3">
        <v>0.35351851851851851</v>
      </c>
      <c r="T376" s="1">
        <v>31400</v>
      </c>
      <c r="U376" s="1">
        <v>1600</v>
      </c>
      <c r="V376">
        <v>5.0999999999999996</v>
      </c>
    </row>
    <row r="377" spans="4:22" x14ac:dyDescent="0.3">
      <c r="D377">
        <v>375</v>
      </c>
      <c r="E377">
        <v>287840</v>
      </c>
      <c r="F377" t="s">
        <v>392</v>
      </c>
      <c r="H377" s="1">
        <v>48200</v>
      </c>
      <c r="I377">
        <v>2</v>
      </c>
      <c r="J377">
        <v>450</v>
      </c>
      <c r="K377">
        <v>0.94</v>
      </c>
      <c r="L377" s="1">
        <v>12589</v>
      </c>
      <c r="M377">
        <v>609</v>
      </c>
      <c r="N377" s="1">
        <v>48357</v>
      </c>
      <c r="O377" s="1">
        <v>48000</v>
      </c>
      <c r="P377" s="1">
        <v>48950</v>
      </c>
      <c r="Q377" s="1">
        <v>48000</v>
      </c>
      <c r="R377" t="s">
        <v>710</v>
      </c>
      <c r="S377" s="3">
        <v>0.35340277777777779</v>
      </c>
      <c r="T377" s="1">
        <v>47750</v>
      </c>
      <c r="U377">
        <v>450</v>
      </c>
      <c r="V377">
        <v>0.94</v>
      </c>
    </row>
    <row r="378" spans="4:22" x14ac:dyDescent="0.3">
      <c r="D378">
        <v>376</v>
      </c>
      <c r="E378">
        <v>14820</v>
      </c>
      <c r="F378" t="s">
        <v>393</v>
      </c>
      <c r="H378" s="1">
        <v>24800</v>
      </c>
      <c r="I378">
        <v>2</v>
      </c>
      <c r="J378">
        <v>150</v>
      </c>
      <c r="K378">
        <v>0.61</v>
      </c>
      <c r="L378" s="1">
        <v>1131</v>
      </c>
      <c r="M378">
        <v>28</v>
      </c>
      <c r="N378" s="1">
        <v>24860</v>
      </c>
      <c r="O378" s="1">
        <v>24650</v>
      </c>
      <c r="P378" s="1">
        <v>25000</v>
      </c>
      <c r="Q378" s="1">
        <v>24650</v>
      </c>
      <c r="R378" t="s">
        <v>710</v>
      </c>
      <c r="S378" s="3">
        <v>0.35328703703703707</v>
      </c>
      <c r="T378" s="1">
        <v>24650</v>
      </c>
      <c r="U378">
        <v>150</v>
      </c>
      <c r="V378">
        <v>0.61</v>
      </c>
    </row>
    <row r="379" spans="4:22" x14ac:dyDescent="0.3">
      <c r="D379">
        <v>377</v>
      </c>
      <c r="E379">
        <v>79900</v>
      </c>
      <c r="F379" t="s">
        <v>394</v>
      </c>
      <c r="H379" s="1">
        <v>48850</v>
      </c>
      <c r="I379">
        <v>2</v>
      </c>
      <c r="J379" s="1">
        <v>1050</v>
      </c>
      <c r="K379">
        <v>2.2000000000000002</v>
      </c>
      <c r="L379" s="1">
        <v>15112</v>
      </c>
      <c r="M379">
        <v>737</v>
      </c>
      <c r="N379" s="1">
        <v>48777</v>
      </c>
      <c r="O379" s="1">
        <v>50200</v>
      </c>
      <c r="P379" s="1">
        <v>50200</v>
      </c>
      <c r="Q379" s="1">
        <v>48500</v>
      </c>
      <c r="R379" t="s">
        <v>710</v>
      </c>
      <c r="S379" s="3">
        <v>0.35339120370370369</v>
      </c>
      <c r="T379" s="1">
        <v>47800</v>
      </c>
      <c r="U379" s="1">
        <v>1050</v>
      </c>
      <c r="V379">
        <v>2.2000000000000002</v>
      </c>
    </row>
    <row r="380" spans="4:22" x14ac:dyDescent="0.3">
      <c r="D380">
        <v>378</v>
      </c>
      <c r="E380">
        <v>399720</v>
      </c>
      <c r="F380" t="s">
        <v>395</v>
      </c>
      <c r="H380" s="1">
        <v>61200</v>
      </c>
      <c r="I380">
        <v>2</v>
      </c>
      <c r="J380" s="1">
        <v>2200</v>
      </c>
      <c r="K380">
        <v>3.73</v>
      </c>
      <c r="L380" s="1">
        <v>29657</v>
      </c>
      <c r="M380" s="1">
        <v>1812</v>
      </c>
      <c r="N380" s="1">
        <v>61103</v>
      </c>
      <c r="O380" s="1">
        <v>61900</v>
      </c>
      <c r="P380" s="1">
        <v>62100</v>
      </c>
      <c r="Q380" s="1">
        <v>60100</v>
      </c>
      <c r="R380" t="s">
        <v>710</v>
      </c>
      <c r="S380" s="3">
        <v>0.35359953703703706</v>
      </c>
      <c r="T380" s="1">
        <v>59000</v>
      </c>
      <c r="U380" s="1">
        <v>2200</v>
      </c>
      <c r="V380">
        <v>3.73</v>
      </c>
    </row>
    <row r="381" spans="4:22" x14ac:dyDescent="0.3">
      <c r="D381">
        <v>379</v>
      </c>
      <c r="E381">
        <v>420770</v>
      </c>
      <c r="F381" t="s">
        <v>396</v>
      </c>
      <c r="H381" s="1">
        <v>55700</v>
      </c>
      <c r="I381">
        <v>2</v>
      </c>
      <c r="J381" s="1">
        <v>1600</v>
      </c>
      <c r="K381">
        <v>2.96</v>
      </c>
      <c r="L381" s="1">
        <v>15525</v>
      </c>
      <c r="M381">
        <v>862</v>
      </c>
      <c r="N381" s="1">
        <v>55552</v>
      </c>
      <c r="O381" s="1">
        <v>54400</v>
      </c>
      <c r="P381" s="1">
        <v>56700</v>
      </c>
      <c r="Q381" s="1">
        <v>54100</v>
      </c>
      <c r="R381" t="s">
        <v>710</v>
      </c>
      <c r="S381" s="3">
        <v>0.35364583333333338</v>
      </c>
      <c r="T381" s="1">
        <v>54100</v>
      </c>
      <c r="U381" s="1">
        <v>1600</v>
      </c>
      <c r="V381">
        <v>2.96</v>
      </c>
    </row>
    <row r="382" spans="4:22" x14ac:dyDescent="0.3">
      <c r="D382">
        <v>380</v>
      </c>
      <c r="E382">
        <v>39130</v>
      </c>
      <c r="F382" t="s">
        <v>397</v>
      </c>
      <c r="H382" s="1">
        <v>45000</v>
      </c>
      <c r="I382">
        <v>3</v>
      </c>
      <c r="L382" s="1">
        <v>1612</v>
      </c>
      <c r="M382">
        <v>73</v>
      </c>
      <c r="N382" s="1">
        <v>45035</v>
      </c>
      <c r="O382" s="1">
        <v>44900</v>
      </c>
      <c r="P382" s="1">
        <v>45100</v>
      </c>
      <c r="Q382" s="1">
        <v>44900</v>
      </c>
      <c r="R382" t="s">
        <v>710</v>
      </c>
      <c r="S382" s="3">
        <v>0.35241898148148149</v>
      </c>
      <c r="T382" s="1">
        <v>45000</v>
      </c>
    </row>
    <row r="383" spans="4:22" x14ac:dyDescent="0.3">
      <c r="D383">
        <v>381</v>
      </c>
      <c r="E383">
        <v>23160</v>
      </c>
      <c r="F383" t="s">
        <v>398</v>
      </c>
      <c r="H383" s="1">
        <v>26150</v>
      </c>
      <c r="I383">
        <v>3</v>
      </c>
      <c r="L383" s="1">
        <v>19364</v>
      </c>
      <c r="M383">
        <v>509</v>
      </c>
      <c r="N383" s="1">
        <v>26281</v>
      </c>
      <c r="O383" s="1">
        <v>26300</v>
      </c>
      <c r="P383" s="1">
        <v>26850</v>
      </c>
      <c r="Q383" s="1">
        <v>26050</v>
      </c>
      <c r="R383" t="s">
        <v>710</v>
      </c>
      <c r="S383" s="3">
        <v>0.35354166666666664</v>
      </c>
      <c r="T383" s="1">
        <v>26150</v>
      </c>
    </row>
    <row r="384" spans="4:22" x14ac:dyDescent="0.3">
      <c r="D384">
        <v>382</v>
      </c>
      <c r="E384">
        <v>32190</v>
      </c>
      <c r="F384" t="s">
        <v>399</v>
      </c>
      <c r="H384" s="1">
        <v>18000</v>
      </c>
      <c r="I384">
        <v>2</v>
      </c>
      <c r="J384">
        <v>140</v>
      </c>
      <c r="K384">
        <v>0.78</v>
      </c>
      <c r="L384" s="1">
        <v>2629</v>
      </c>
      <c r="M384">
        <v>47</v>
      </c>
      <c r="N384" s="1">
        <v>17982</v>
      </c>
      <c r="O384" s="1">
        <v>18100</v>
      </c>
      <c r="P384" s="1">
        <v>18100</v>
      </c>
      <c r="Q384" s="1">
        <v>17920</v>
      </c>
      <c r="R384" t="s">
        <v>710</v>
      </c>
      <c r="S384" s="3">
        <v>0.35347222222222219</v>
      </c>
      <c r="T384" s="1">
        <v>17860</v>
      </c>
      <c r="U384">
        <v>140</v>
      </c>
      <c r="V384">
        <v>0.78</v>
      </c>
    </row>
    <row r="385" spans="4:22" x14ac:dyDescent="0.3">
      <c r="D385">
        <v>383</v>
      </c>
      <c r="E385">
        <v>268280</v>
      </c>
      <c r="F385" t="s">
        <v>400</v>
      </c>
      <c r="H385" s="1">
        <v>136700</v>
      </c>
      <c r="I385">
        <v>5</v>
      </c>
      <c r="J385">
        <v>800</v>
      </c>
      <c r="K385">
        <v>-0.57999999999999996</v>
      </c>
      <c r="L385">
        <v>50</v>
      </c>
      <c r="M385">
        <v>7</v>
      </c>
      <c r="N385" s="1">
        <v>136914</v>
      </c>
      <c r="O385" s="1">
        <v>137000</v>
      </c>
      <c r="P385" s="1">
        <v>137200</v>
      </c>
      <c r="Q385" s="1">
        <v>136100</v>
      </c>
      <c r="R385" t="s">
        <v>710</v>
      </c>
      <c r="S385" s="3">
        <v>0.35340277777777779</v>
      </c>
      <c r="T385" s="1">
        <v>137500</v>
      </c>
      <c r="U385">
        <v>-800</v>
      </c>
      <c r="V385">
        <v>-0.57999999999999996</v>
      </c>
    </row>
    <row r="386" spans="4:22" x14ac:dyDescent="0.3">
      <c r="D386">
        <v>384</v>
      </c>
      <c r="E386">
        <v>5250</v>
      </c>
      <c r="F386" t="s">
        <v>401</v>
      </c>
      <c r="H386" s="1">
        <v>14460</v>
      </c>
      <c r="I386">
        <v>2</v>
      </c>
      <c r="J386">
        <v>10</v>
      </c>
      <c r="K386">
        <v>7.0000000000000007E-2</v>
      </c>
      <c r="L386" s="1">
        <v>1881</v>
      </c>
      <c r="M386">
        <v>27</v>
      </c>
      <c r="N386" s="1">
        <v>14480</v>
      </c>
      <c r="O386" s="1">
        <v>14450</v>
      </c>
      <c r="P386" s="1">
        <v>14570</v>
      </c>
      <c r="Q386" s="1">
        <v>14360</v>
      </c>
      <c r="R386" t="s">
        <v>710</v>
      </c>
      <c r="S386" s="3">
        <v>0.35270833333333335</v>
      </c>
      <c r="T386" s="1">
        <v>14450</v>
      </c>
      <c r="U386">
        <v>10</v>
      </c>
      <c r="V386">
        <v>7.0000000000000007E-2</v>
      </c>
    </row>
    <row r="387" spans="4:22" x14ac:dyDescent="0.3">
      <c r="D387">
        <v>385</v>
      </c>
      <c r="E387">
        <v>100790</v>
      </c>
      <c r="F387" t="s">
        <v>402</v>
      </c>
      <c r="H387" s="1">
        <v>12800</v>
      </c>
      <c r="I387">
        <v>2</v>
      </c>
      <c r="J387">
        <v>170</v>
      </c>
      <c r="K387">
        <v>1.35</v>
      </c>
      <c r="L387" s="1">
        <v>80082</v>
      </c>
      <c r="M387" s="1">
        <v>1021</v>
      </c>
      <c r="N387" s="1">
        <v>12753</v>
      </c>
      <c r="O387" s="1">
        <v>12700</v>
      </c>
      <c r="P387" s="1">
        <v>12840</v>
      </c>
      <c r="Q387" s="1">
        <v>12700</v>
      </c>
      <c r="R387" t="s">
        <v>710</v>
      </c>
      <c r="S387" s="3">
        <v>0.35350694444444447</v>
      </c>
      <c r="T387" s="1">
        <v>12630</v>
      </c>
      <c r="U387">
        <v>170</v>
      </c>
      <c r="V387">
        <v>1.35</v>
      </c>
    </row>
    <row r="388" spans="4:22" x14ac:dyDescent="0.3">
      <c r="D388">
        <v>386</v>
      </c>
      <c r="E388">
        <v>44490</v>
      </c>
      <c r="F388" t="s">
        <v>403</v>
      </c>
      <c r="H388" s="1">
        <v>33900</v>
      </c>
      <c r="I388">
        <v>2</v>
      </c>
      <c r="J388" s="1">
        <v>1500</v>
      </c>
      <c r="K388">
        <v>4.63</v>
      </c>
      <c r="L388" s="1">
        <v>107480</v>
      </c>
      <c r="M388" s="1">
        <v>3613</v>
      </c>
      <c r="N388" s="1">
        <v>33613</v>
      </c>
      <c r="O388" s="1">
        <v>32900</v>
      </c>
      <c r="P388" s="1">
        <v>34250</v>
      </c>
      <c r="Q388" s="1">
        <v>32900</v>
      </c>
      <c r="R388" t="s">
        <v>710</v>
      </c>
      <c r="S388" s="3">
        <v>0.35364583333333338</v>
      </c>
      <c r="T388" s="1">
        <v>32400</v>
      </c>
      <c r="U388" s="1">
        <v>1500</v>
      </c>
      <c r="V388">
        <v>4.63</v>
      </c>
    </row>
    <row r="389" spans="4:22" x14ac:dyDescent="0.3">
      <c r="D389">
        <v>387</v>
      </c>
      <c r="E389">
        <v>2840</v>
      </c>
      <c r="F389" t="s">
        <v>404</v>
      </c>
      <c r="H389" s="1">
        <v>142700</v>
      </c>
      <c r="I389">
        <v>5</v>
      </c>
      <c r="J389">
        <v>300</v>
      </c>
      <c r="K389">
        <v>-0.21</v>
      </c>
      <c r="L389">
        <v>91</v>
      </c>
      <c r="M389">
        <v>13</v>
      </c>
      <c r="N389" s="1">
        <v>143940</v>
      </c>
      <c r="O389" s="1">
        <v>147700</v>
      </c>
      <c r="P389" s="1">
        <v>147700</v>
      </c>
      <c r="Q389" s="1">
        <v>142600</v>
      </c>
      <c r="R389" t="s">
        <v>710</v>
      </c>
      <c r="S389" s="3">
        <v>0.35349537037037032</v>
      </c>
      <c r="T389" s="1">
        <v>143000</v>
      </c>
      <c r="U389">
        <v>-300</v>
      </c>
      <c r="V389">
        <v>-0.21</v>
      </c>
    </row>
    <row r="390" spans="4:22" x14ac:dyDescent="0.3">
      <c r="D390">
        <v>388</v>
      </c>
      <c r="E390">
        <v>251970</v>
      </c>
      <c r="F390" t="s">
        <v>405</v>
      </c>
      <c r="H390" s="1">
        <v>54400</v>
      </c>
      <c r="I390">
        <v>2</v>
      </c>
      <c r="J390">
        <v>500</v>
      </c>
      <c r="K390">
        <v>0.93</v>
      </c>
      <c r="L390" s="1">
        <v>1044</v>
      </c>
      <c r="M390">
        <v>57</v>
      </c>
      <c r="N390" s="1">
        <v>54781</v>
      </c>
      <c r="O390" s="1">
        <v>55200</v>
      </c>
      <c r="P390" s="1">
        <v>55200</v>
      </c>
      <c r="Q390" s="1">
        <v>53200</v>
      </c>
      <c r="R390" t="s">
        <v>710</v>
      </c>
      <c r="S390" s="3">
        <v>0.35358796296296297</v>
      </c>
      <c r="T390" s="1">
        <v>53900</v>
      </c>
      <c r="U390">
        <v>500</v>
      </c>
      <c r="V390">
        <v>0.93</v>
      </c>
    </row>
    <row r="391" spans="4:22" x14ac:dyDescent="0.3">
      <c r="D391">
        <v>389</v>
      </c>
      <c r="E391">
        <v>640</v>
      </c>
      <c r="F391" t="s">
        <v>406</v>
      </c>
      <c r="H391" s="1">
        <v>103000</v>
      </c>
      <c r="I391">
        <v>2</v>
      </c>
      <c r="J391" s="1">
        <v>1000</v>
      </c>
      <c r="K391">
        <v>0.98</v>
      </c>
      <c r="L391">
        <v>6</v>
      </c>
      <c r="M391">
        <v>1</v>
      </c>
      <c r="N391" s="1">
        <v>103150</v>
      </c>
      <c r="O391" s="1">
        <v>103500</v>
      </c>
      <c r="P391" s="1">
        <v>103500</v>
      </c>
      <c r="Q391" s="1">
        <v>103000</v>
      </c>
      <c r="R391" t="s">
        <v>710</v>
      </c>
      <c r="S391" s="3">
        <v>0.34553240740740737</v>
      </c>
      <c r="T391" s="1">
        <v>102000</v>
      </c>
      <c r="U391" s="1">
        <v>1000</v>
      </c>
      <c r="V391">
        <v>0.98</v>
      </c>
    </row>
    <row r="392" spans="4:22" x14ac:dyDescent="0.3">
      <c r="D392">
        <v>390</v>
      </c>
      <c r="E392">
        <v>10780</v>
      </c>
      <c r="F392" t="s">
        <v>407</v>
      </c>
      <c r="H392" s="1">
        <v>22300</v>
      </c>
      <c r="I392">
        <v>2</v>
      </c>
      <c r="J392">
        <v>300</v>
      </c>
      <c r="K392">
        <v>1.36</v>
      </c>
      <c r="L392">
        <v>317</v>
      </c>
      <c r="M392">
        <v>7</v>
      </c>
      <c r="N392" s="1">
        <v>22161</v>
      </c>
      <c r="O392" s="1">
        <v>22000</v>
      </c>
      <c r="P392" s="1">
        <v>22300</v>
      </c>
      <c r="Q392" s="1">
        <v>22000</v>
      </c>
      <c r="R392" t="s">
        <v>710</v>
      </c>
      <c r="S392" s="3">
        <v>0.35355324074074074</v>
      </c>
      <c r="T392" s="1">
        <v>22000</v>
      </c>
      <c r="U392">
        <v>300</v>
      </c>
      <c r="V392">
        <v>1.36</v>
      </c>
    </row>
    <row r="393" spans="4:22" x14ac:dyDescent="0.3">
      <c r="D393">
        <v>391</v>
      </c>
      <c r="E393">
        <v>460930</v>
      </c>
      <c r="F393" t="s">
        <v>408</v>
      </c>
      <c r="H393" s="1">
        <v>18850</v>
      </c>
      <c r="I393">
        <v>2</v>
      </c>
      <c r="J393">
        <v>350</v>
      </c>
      <c r="K393">
        <v>1.89</v>
      </c>
      <c r="L393" s="1">
        <v>25139</v>
      </c>
      <c r="M393">
        <v>473</v>
      </c>
      <c r="N393" s="1">
        <v>18823</v>
      </c>
      <c r="O393" s="1">
        <v>18700</v>
      </c>
      <c r="P393" s="1">
        <v>18890</v>
      </c>
      <c r="Q393" s="1">
        <v>18650</v>
      </c>
      <c r="R393" t="s">
        <v>710</v>
      </c>
      <c r="S393" s="3">
        <v>0.35359953703703706</v>
      </c>
      <c r="T393" s="1">
        <v>18500</v>
      </c>
      <c r="U393">
        <v>350</v>
      </c>
      <c r="V393">
        <v>1.89</v>
      </c>
    </row>
    <row r="394" spans="4:22" x14ac:dyDescent="0.3">
      <c r="D394">
        <v>392</v>
      </c>
      <c r="E394">
        <v>8730</v>
      </c>
      <c r="F394" t="s">
        <v>409</v>
      </c>
      <c r="H394" s="1">
        <v>26900</v>
      </c>
      <c r="I394">
        <v>2</v>
      </c>
      <c r="J394">
        <v>350</v>
      </c>
      <c r="K394">
        <v>1.32</v>
      </c>
      <c r="L394" s="1">
        <v>2900</v>
      </c>
      <c r="M394">
        <v>78</v>
      </c>
      <c r="N394" s="1">
        <v>26975</v>
      </c>
      <c r="O394" s="1">
        <v>26600</v>
      </c>
      <c r="P394" s="1">
        <v>27150</v>
      </c>
      <c r="Q394" s="1">
        <v>26600</v>
      </c>
      <c r="R394" t="s">
        <v>710</v>
      </c>
      <c r="S394" s="3">
        <v>0.35306712962962966</v>
      </c>
      <c r="T394" s="1">
        <v>26550</v>
      </c>
      <c r="U394">
        <v>350</v>
      </c>
      <c r="V394">
        <v>1.32</v>
      </c>
    </row>
    <row r="395" spans="4:22" x14ac:dyDescent="0.3">
      <c r="D395">
        <v>393</v>
      </c>
      <c r="E395">
        <v>102710</v>
      </c>
      <c r="F395" t="s">
        <v>410</v>
      </c>
      <c r="H395" s="1">
        <v>46550</v>
      </c>
      <c r="I395">
        <v>2</v>
      </c>
      <c r="J395" s="1">
        <v>1000</v>
      </c>
      <c r="K395">
        <v>2.2000000000000002</v>
      </c>
      <c r="L395" s="1">
        <v>10761</v>
      </c>
      <c r="M395">
        <v>501</v>
      </c>
      <c r="N395" s="1">
        <v>46533</v>
      </c>
      <c r="O395" s="1">
        <v>46450</v>
      </c>
      <c r="P395" s="1">
        <v>47000</v>
      </c>
      <c r="Q395" s="1">
        <v>46250</v>
      </c>
      <c r="R395" t="s">
        <v>710</v>
      </c>
      <c r="S395" s="3">
        <v>0.35364583333333338</v>
      </c>
      <c r="T395" s="1">
        <v>45550</v>
      </c>
      <c r="U395" s="1">
        <v>1000</v>
      </c>
      <c r="V395">
        <v>2.2000000000000002</v>
      </c>
    </row>
    <row r="396" spans="4:22" x14ac:dyDescent="0.3">
      <c r="D396">
        <v>394</v>
      </c>
      <c r="E396">
        <v>475150</v>
      </c>
      <c r="F396" t="s">
        <v>411</v>
      </c>
      <c r="H396" s="1">
        <v>19640</v>
      </c>
      <c r="I396">
        <v>2</v>
      </c>
      <c r="J396">
        <v>290</v>
      </c>
      <c r="K396">
        <v>1.5</v>
      </c>
      <c r="L396" s="1">
        <v>20063</v>
      </c>
      <c r="M396">
        <v>393</v>
      </c>
      <c r="N396" s="1">
        <v>19604</v>
      </c>
      <c r="O396" s="1">
        <v>19350</v>
      </c>
      <c r="P396" s="1">
        <v>19790</v>
      </c>
      <c r="Q396" s="1">
        <v>19350</v>
      </c>
      <c r="R396" t="s">
        <v>710</v>
      </c>
      <c r="S396" s="3">
        <v>0.35365740740740742</v>
      </c>
      <c r="T396" s="1">
        <v>19350</v>
      </c>
      <c r="U396">
        <v>290</v>
      </c>
      <c r="V396">
        <v>1.5</v>
      </c>
    </row>
    <row r="397" spans="4:22" x14ac:dyDescent="0.3">
      <c r="D397">
        <v>395</v>
      </c>
      <c r="E397">
        <v>372320</v>
      </c>
      <c r="F397" t="s">
        <v>412</v>
      </c>
      <c r="H397" s="1">
        <v>45850</v>
      </c>
      <c r="I397">
        <v>2</v>
      </c>
      <c r="J397">
        <v>250</v>
      </c>
      <c r="K397">
        <v>0.55000000000000004</v>
      </c>
      <c r="L397" s="1">
        <v>2344</v>
      </c>
      <c r="M397">
        <v>108</v>
      </c>
      <c r="N397" s="1">
        <v>45872</v>
      </c>
      <c r="O397" s="1">
        <v>45600</v>
      </c>
      <c r="P397" s="1">
        <v>46400</v>
      </c>
      <c r="Q397" s="1">
        <v>45600</v>
      </c>
      <c r="R397" t="s">
        <v>710</v>
      </c>
      <c r="S397" s="3">
        <v>0.35341435185185183</v>
      </c>
      <c r="T397" s="1">
        <v>45600</v>
      </c>
      <c r="U397">
        <v>250</v>
      </c>
      <c r="V397">
        <v>0.55000000000000004</v>
      </c>
    </row>
    <row r="398" spans="4:22" x14ac:dyDescent="0.3">
      <c r="D398">
        <v>396</v>
      </c>
      <c r="E398">
        <v>53800</v>
      </c>
      <c r="F398" t="s">
        <v>413</v>
      </c>
      <c r="H398" s="1">
        <v>59400</v>
      </c>
      <c r="I398">
        <v>2</v>
      </c>
      <c r="J398">
        <v>300</v>
      </c>
      <c r="K398">
        <v>0.51</v>
      </c>
      <c r="L398" s="1">
        <v>1388</v>
      </c>
      <c r="M398">
        <v>82</v>
      </c>
      <c r="N398" s="1">
        <v>59349</v>
      </c>
      <c r="O398" s="1">
        <v>59700</v>
      </c>
      <c r="P398" s="1">
        <v>59700</v>
      </c>
      <c r="Q398" s="1">
        <v>58700</v>
      </c>
      <c r="R398" t="s">
        <v>710</v>
      </c>
      <c r="S398" s="3">
        <v>0.35248842592592594</v>
      </c>
      <c r="T398" s="1">
        <v>59100</v>
      </c>
      <c r="U398">
        <v>300</v>
      </c>
      <c r="V398">
        <v>0.51</v>
      </c>
    </row>
    <row r="399" spans="4:22" x14ac:dyDescent="0.3">
      <c r="D399">
        <v>397</v>
      </c>
      <c r="E399">
        <v>127120</v>
      </c>
      <c r="F399" t="s">
        <v>414</v>
      </c>
      <c r="H399" s="1">
        <v>20300</v>
      </c>
      <c r="I399">
        <v>5</v>
      </c>
      <c r="J399">
        <v>600</v>
      </c>
      <c r="K399">
        <v>-2.87</v>
      </c>
      <c r="L399" s="1">
        <v>33214</v>
      </c>
      <c r="M399">
        <v>677</v>
      </c>
      <c r="N399" s="1">
        <v>20368</v>
      </c>
      <c r="O399" s="1">
        <v>21000</v>
      </c>
      <c r="P399" s="1">
        <v>21000</v>
      </c>
      <c r="Q399" s="1">
        <v>20000</v>
      </c>
      <c r="R399" t="s">
        <v>710</v>
      </c>
      <c r="S399" s="3">
        <v>0.35359953703703706</v>
      </c>
      <c r="T399" s="1">
        <v>20900</v>
      </c>
      <c r="U399">
        <v>-600</v>
      </c>
      <c r="V399">
        <v>-2.87</v>
      </c>
    </row>
    <row r="400" spans="4:22" x14ac:dyDescent="0.3">
      <c r="D400">
        <v>398</v>
      </c>
      <c r="E400">
        <v>33100</v>
      </c>
      <c r="F400" t="s">
        <v>415</v>
      </c>
      <c r="H400" s="1">
        <v>40750</v>
      </c>
      <c r="I400">
        <v>2</v>
      </c>
      <c r="J400">
        <v>600</v>
      </c>
      <c r="K400">
        <v>1.49</v>
      </c>
      <c r="L400" s="1">
        <v>34253</v>
      </c>
      <c r="M400" s="1">
        <v>1393</v>
      </c>
      <c r="N400" s="1">
        <v>40671</v>
      </c>
      <c r="O400" s="1">
        <v>40900</v>
      </c>
      <c r="P400" s="1">
        <v>41300</v>
      </c>
      <c r="Q400" s="1">
        <v>40450</v>
      </c>
      <c r="R400" t="s">
        <v>710</v>
      </c>
      <c r="S400" s="3">
        <v>0.35362268518518519</v>
      </c>
      <c r="T400" s="1">
        <v>40150</v>
      </c>
      <c r="U400">
        <v>600</v>
      </c>
      <c r="V400">
        <v>1.49</v>
      </c>
    </row>
    <row r="401" spans="4:22" x14ac:dyDescent="0.3">
      <c r="D401">
        <v>399</v>
      </c>
      <c r="E401">
        <v>15750</v>
      </c>
      <c r="F401" t="s">
        <v>416</v>
      </c>
      <c r="H401" s="1">
        <v>8180</v>
      </c>
      <c r="I401">
        <v>2</v>
      </c>
      <c r="J401">
        <v>500</v>
      </c>
      <c r="K401">
        <v>6.51</v>
      </c>
      <c r="L401" s="1">
        <v>1469763</v>
      </c>
      <c r="M401" s="1">
        <v>12022</v>
      </c>
      <c r="N401" s="1">
        <v>8179</v>
      </c>
      <c r="O401" s="1">
        <v>7880</v>
      </c>
      <c r="P401" s="1">
        <v>8290</v>
      </c>
      <c r="Q401" s="1">
        <v>7880</v>
      </c>
      <c r="R401" t="s">
        <v>710</v>
      </c>
      <c r="S401" s="3">
        <v>0.35365740740740742</v>
      </c>
      <c r="T401" s="1">
        <v>7680</v>
      </c>
      <c r="U401">
        <v>500</v>
      </c>
      <c r="V401">
        <v>6.51</v>
      </c>
    </row>
    <row r="402" spans="4:22" x14ac:dyDescent="0.3">
      <c r="D402">
        <v>400</v>
      </c>
      <c r="E402">
        <v>74600</v>
      </c>
      <c r="F402" t="s">
        <v>417</v>
      </c>
      <c r="H402" s="1">
        <v>24700</v>
      </c>
      <c r="I402">
        <v>2</v>
      </c>
      <c r="J402">
        <v>450</v>
      </c>
      <c r="K402">
        <v>1.86</v>
      </c>
      <c r="L402" s="1">
        <v>41689</v>
      </c>
      <c r="M402" s="1">
        <v>1030</v>
      </c>
      <c r="N402" s="1">
        <v>24709</v>
      </c>
      <c r="O402" s="1">
        <v>24500</v>
      </c>
      <c r="P402" s="1">
        <v>24950</v>
      </c>
      <c r="Q402" s="1">
        <v>24350</v>
      </c>
      <c r="R402" t="s">
        <v>710</v>
      </c>
      <c r="S402" s="3">
        <v>0.35364583333333338</v>
      </c>
      <c r="T402" s="1">
        <v>24250</v>
      </c>
      <c r="U402">
        <v>450</v>
      </c>
      <c r="V402">
        <v>1.86</v>
      </c>
    </row>
    <row r="403" spans="4:22" x14ac:dyDescent="0.3">
      <c r="D403">
        <v>401</v>
      </c>
      <c r="E403">
        <v>89970</v>
      </c>
      <c r="F403" t="s">
        <v>418</v>
      </c>
      <c r="H403" s="1">
        <v>26550</v>
      </c>
      <c r="I403">
        <v>2</v>
      </c>
      <c r="J403" s="1">
        <v>1050</v>
      </c>
      <c r="K403">
        <v>4.12</v>
      </c>
      <c r="L403" s="1">
        <v>43792</v>
      </c>
      <c r="M403" s="1">
        <v>1157</v>
      </c>
      <c r="N403" s="1">
        <v>26422</v>
      </c>
      <c r="O403" s="1">
        <v>26250</v>
      </c>
      <c r="P403" s="1">
        <v>26850</v>
      </c>
      <c r="Q403" s="1">
        <v>26000</v>
      </c>
      <c r="R403" t="s">
        <v>710</v>
      </c>
      <c r="S403" s="3">
        <v>0.35341435185185183</v>
      </c>
      <c r="T403" s="1">
        <v>25500</v>
      </c>
      <c r="U403" s="1">
        <v>1050</v>
      </c>
      <c r="V403">
        <v>4.12</v>
      </c>
    </row>
    <row r="404" spans="4:22" x14ac:dyDescent="0.3">
      <c r="D404">
        <v>402</v>
      </c>
      <c r="E404">
        <v>1060</v>
      </c>
      <c r="F404" t="s">
        <v>419</v>
      </c>
      <c r="H404" s="1">
        <v>27800</v>
      </c>
      <c r="I404">
        <v>2</v>
      </c>
      <c r="J404">
        <v>450</v>
      </c>
      <c r="K404">
        <v>1.65</v>
      </c>
      <c r="L404" s="1">
        <v>17628</v>
      </c>
      <c r="M404">
        <v>488</v>
      </c>
      <c r="N404" s="1">
        <v>27701</v>
      </c>
      <c r="O404" s="1">
        <v>27350</v>
      </c>
      <c r="P404" s="1">
        <v>27900</v>
      </c>
      <c r="Q404" s="1">
        <v>27350</v>
      </c>
      <c r="R404" t="s">
        <v>710</v>
      </c>
      <c r="S404" s="3">
        <v>0.35359953703703706</v>
      </c>
      <c r="T404" s="1">
        <v>27350</v>
      </c>
      <c r="U404">
        <v>450</v>
      </c>
      <c r="V404">
        <v>1.65</v>
      </c>
    </row>
    <row r="405" spans="4:22" x14ac:dyDescent="0.3">
      <c r="D405">
        <v>403</v>
      </c>
      <c r="E405">
        <v>19170</v>
      </c>
      <c r="F405" t="s">
        <v>420</v>
      </c>
      <c r="H405" s="1">
        <v>12210</v>
      </c>
      <c r="I405">
        <v>2</v>
      </c>
      <c r="J405">
        <v>40</v>
      </c>
      <c r="K405">
        <v>0.33</v>
      </c>
      <c r="L405" s="1">
        <v>9070</v>
      </c>
      <c r="M405">
        <v>111</v>
      </c>
      <c r="N405" s="1">
        <v>12185</v>
      </c>
      <c r="O405" s="1">
        <v>12190</v>
      </c>
      <c r="P405" s="1">
        <v>12260</v>
      </c>
      <c r="Q405" s="1">
        <v>11950</v>
      </c>
      <c r="R405" t="s">
        <v>710</v>
      </c>
      <c r="S405" s="3">
        <v>0.35357638888888893</v>
      </c>
      <c r="T405" s="1">
        <v>12170</v>
      </c>
      <c r="U405">
        <v>40</v>
      </c>
      <c r="V405">
        <v>0.33</v>
      </c>
    </row>
    <row r="406" spans="4:22" x14ac:dyDescent="0.3">
      <c r="D406">
        <v>404</v>
      </c>
      <c r="E406">
        <v>456040</v>
      </c>
      <c r="F406" t="s">
        <v>421</v>
      </c>
      <c r="H406" s="1">
        <v>72000</v>
      </c>
      <c r="I406">
        <v>2</v>
      </c>
      <c r="J406" s="1">
        <v>1500</v>
      </c>
      <c r="K406">
        <v>2.13</v>
      </c>
      <c r="L406" s="1">
        <v>6496</v>
      </c>
      <c r="M406">
        <v>466</v>
      </c>
      <c r="N406" s="1">
        <v>71802</v>
      </c>
      <c r="O406" s="1">
        <v>71300</v>
      </c>
      <c r="P406" s="1">
        <v>72100</v>
      </c>
      <c r="Q406" s="1">
        <v>71300</v>
      </c>
      <c r="R406" t="s">
        <v>710</v>
      </c>
      <c r="S406" s="3">
        <v>0.35343750000000002</v>
      </c>
      <c r="T406" s="1">
        <v>70500</v>
      </c>
      <c r="U406" s="1">
        <v>1500</v>
      </c>
      <c r="V406">
        <v>2.13</v>
      </c>
    </row>
    <row r="407" spans="4:22" x14ac:dyDescent="0.3">
      <c r="D407">
        <v>405</v>
      </c>
      <c r="E407">
        <v>57050</v>
      </c>
      <c r="F407" t="s">
        <v>422</v>
      </c>
      <c r="H407" s="1">
        <v>53400</v>
      </c>
      <c r="I407">
        <v>2</v>
      </c>
      <c r="J407">
        <v>400</v>
      </c>
      <c r="K407">
        <v>0.75</v>
      </c>
      <c r="L407">
        <v>217</v>
      </c>
      <c r="M407">
        <v>12</v>
      </c>
      <c r="N407" s="1">
        <v>53298</v>
      </c>
      <c r="O407" s="1">
        <v>53300</v>
      </c>
      <c r="P407" s="1">
        <v>53400</v>
      </c>
      <c r="Q407" s="1">
        <v>53200</v>
      </c>
      <c r="R407" t="s">
        <v>710</v>
      </c>
      <c r="S407" s="3">
        <v>0.35189814814814818</v>
      </c>
      <c r="T407" s="1">
        <v>53000</v>
      </c>
      <c r="U407">
        <v>400</v>
      </c>
      <c r="V407">
        <v>0.75</v>
      </c>
    </row>
    <row r="408" spans="4:22" x14ac:dyDescent="0.3">
      <c r="D408">
        <v>406</v>
      </c>
      <c r="E408">
        <v>117730</v>
      </c>
      <c r="F408" t="s">
        <v>423</v>
      </c>
      <c r="H408" s="1">
        <v>29350</v>
      </c>
      <c r="I408">
        <v>2</v>
      </c>
      <c r="J408">
        <v>550</v>
      </c>
      <c r="K408">
        <v>1.91</v>
      </c>
      <c r="L408" s="1">
        <v>372064</v>
      </c>
      <c r="M408" s="1">
        <v>11113</v>
      </c>
      <c r="N408" s="1">
        <v>29867</v>
      </c>
      <c r="O408" s="1">
        <v>29250</v>
      </c>
      <c r="P408" s="1">
        <v>30600</v>
      </c>
      <c r="Q408" s="1">
        <v>29250</v>
      </c>
      <c r="R408" t="s">
        <v>710</v>
      </c>
      <c r="S408" s="3">
        <v>0.35364583333333338</v>
      </c>
      <c r="T408" s="1">
        <v>28800</v>
      </c>
      <c r="U408">
        <v>550</v>
      </c>
      <c r="V408">
        <v>1.91</v>
      </c>
    </row>
    <row r="409" spans="4:22" x14ac:dyDescent="0.3">
      <c r="D409">
        <v>407</v>
      </c>
      <c r="E409">
        <v>1270</v>
      </c>
      <c r="F409" t="s">
        <v>424</v>
      </c>
      <c r="H409" s="1">
        <v>61700</v>
      </c>
      <c r="I409">
        <v>2</v>
      </c>
      <c r="J409">
        <v>200</v>
      </c>
      <c r="K409">
        <v>0.33</v>
      </c>
      <c r="L409" s="1">
        <v>2046</v>
      </c>
      <c r="M409">
        <v>126</v>
      </c>
      <c r="N409" s="1">
        <v>61507</v>
      </c>
      <c r="O409" s="1">
        <v>61400</v>
      </c>
      <c r="P409" s="1">
        <v>61800</v>
      </c>
      <c r="Q409" s="1">
        <v>61100</v>
      </c>
      <c r="R409" t="s">
        <v>710</v>
      </c>
      <c r="S409" s="3">
        <v>0.35335648148148152</v>
      </c>
      <c r="T409" s="1">
        <v>61500</v>
      </c>
      <c r="U409">
        <v>200</v>
      </c>
      <c r="V409">
        <v>0.33</v>
      </c>
    </row>
    <row r="410" spans="4:22" x14ac:dyDescent="0.3">
      <c r="D410">
        <v>408</v>
      </c>
      <c r="E410">
        <v>32500</v>
      </c>
      <c r="F410" t="s">
        <v>425</v>
      </c>
      <c r="H410" s="1">
        <v>15590</v>
      </c>
      <c r="I410">
        <v>2</v>
      </c>
      <c r="J410">
        <v>130</v>
      </c>
      <c r="K410">
        <v>0.84</v>
      </c>
      <c r="L410" s="1">
        <v>14263</v>
      </c>
      <c r="M410">
        <v>222</v>
      </c>
      <c r="N410" s="1">
        <v>15548</v>
      </c>
      <c r="O410" s="1">
        <v>15600</v>
      </c>
      <c r="P410" s="1">
        <v>15610</v>
      </c>
      <c r="Q410" s="1">
        <v>15460</v>
      </c>
      <c r="R410" t="s">
        <v>710</v>
      </c>
      <c r="S410" s="3">
        <v>0.35359953703703706</v>
      </c>
      <c r="T410" s="1">
        <v>15460</v>
      </c>
      <c r="U410">
        <v>130</v>
      </c>
      <c r="V410">
        <v>0.84</v>
      </c>
    </row>
    <row r="411" spans="4:22" x14ac:dyDescent="0.3">
      <c r="D411">
        <v>409</v>
      </c>
      <c r="E411">
        <v>214430</v>
      </c>
      <c r="F411" t="s">
        <v>426</v>
      </c>
      <c r="H411" s="1">
        <v>87200</v>
      </c>
      <c r="I411">
        <v>5</v>
      </c>
      <c r="J411">
        <v>700</v>
      </c>
      <c r="K411">
        <v>-0.8</v>
      </c>
      <c r="L411" s="1">
        <v>5241</v>
      </c>
      <c r="M411">
        <v>459</v>
      </c>
      <c r="N411" s="1">
        <v>87588</v>
      </c>
      <c r="O411" s="1">
        <v>88200</v>
      </c>
      <c r="P411" s="1">
        <v>88900</v>
      </c>
      <c r="Q411" s="1">
        <v>87100</v>
      </c>
      <c r="R411" t="s">
        <v>710</v>
      </c>
      <c r="S411" s="3">
        <v>0.35358796296296297</v>
      </c>
      <c r="T411" s="1">
        <v>87900</v>
      </c>
      <c r="U411">
        <v>-700</v>
      </c>
      <c r="V411">
        <v>-0.8</v>
      </c>
    </row>
    <row r="412" spans="4:22" x14ac:dyDescent="0.3">
      <c r="D412">
        <v>410</v>
      </c>
      <c r="E412">
        <v>455900</v>
      </c>
      <c r="F412" t="s">
        <v>427</v>
      </c>
      <c r="H412" s="1">
        <v>41750</v>
      </c>
      <c r="I412">
        <v>2</v>
      </c>
      <c r="J412" s="1">
        <v>3000</v>
      </c>
      <c r="K412">
        <v>7.74</v>
      </c>
      <c r="L412" s="1">
        <v>592016</v>
      </c>
      <c r="M412" s="1">
        <v>24708</v>
      </c>
      <c r="N412" s="1">
        <v>41735</v>
      </c>
      <c r="O412" s="1">
        <v>39700</v>
      </c>
      <c r="P412" s="1">
        <v>43400</v>
      </c>
      <c r="Q412" s="1">
        <v>39700</v>
      </c>
      <c r="R412" t="s">
        <v>710</v>
      </c>
      <c r="S412" s="3">
        <v>0.35365740740740742</v>
      </c>
      <c r="T412" s="1">
        <v>38750</v>
      </c>
      <c r="U412" s="1">
        <v>3000</v>
      </c>
      <c r="V412">
        <v>7.74</v>
      </c>
    </row>
    <row r="413" spans="4:22" x14ac:dyDescent="0.3">
      <c r="D413">
        <v>411</v>
      </c>
      <c r="E413">
        <v>121600</v>
      </c>
      <c r="F413" t="s">
        <v>428</v>
      </c>
      <c r="H413" s="1">
        <v>51500</v>
      </c>
      <c r="I413">
        <v>2</v>
      </c>
      <c r="J413" s="1">
        <v>1000</v>
      </c>
      <c r="K413">
        <v>1.98</v>
      </c>
      <c r="L413" s="1">
        <v>4540</v>
      </c>
      <c r="M413">
        <v>233</v>
      </c>
      <c r="N413" s="1">
        <v>51352</v>
      </c>
      <c r="O413" s="1">
        <v>50800</v>
      </c>
      <c r="P413" s="1">
        <v>51600</v>
      </c>
      <c r="Q413" s="1">
        <v>50600</v>
      </c>
      <c r="R413" t="s">
        <v>710</v>
      </c>
      <c r="S413" s="3">
        <v>0.35349537037037032</v>
      </c>
      <c r="T413" s="1">
        <v>50500</v>
      </c>
      <c r="U413" s="1">
        <v>1000</v>
      </c>
      <c r="V413">
        <v>1.98</v>
      </c>
    </row>
    <row r="414" spans="4:22" x14ac:dyDescent="0.3">
      <c r="D414">
        <v>412</v>
      </c>
      <c r="E414">
        <v>383800</v>
      </c>
      <c r="F414" t="s">
        <v>429</v>
      </c>
      <c r="H414" s="1">
        <v>8180</v>
      </c>
      <c r="I414">
        <v>2</v>
      </c>
      <c r="J414">
        <v>60</v>
      </c>
      <c r="K414">
        <v>0.74</v>
      </c>
      <c r="L414" s="1">
        <v>8450</v>
      </c>
      <c r="M414">
        <v>69</v>
      </c>
      <c r="N414" s="1">
        <v>8172</v>
      </c>
      <c r="O414" s="1">
        <v>8120</v>
      </c>
      <c r="P414" s="1">
        <v>8200</v>
      </c>
      <c r="Q414" s="1">
        <v>8120</v>
      </c>
      <c r="R414" t="s">
        <v>710</v>
      </c>
      <c r="S414" s="3">
        <v>0.35325231481481478</v>
      </c>
      <c r="T414" s="1">
        <v>8120</v>
      </c>
      <c r="U414">
        <v>60</v>
      </c>
      <c r="V414">
        <v>0.74</v>
      </c>
    </row>
    <row r="415" spans="4:22" x14ac:dyDescent="0.3">
      <c r="D415">
        <v>413</v>
      </c>
      <c r="E415">
        <v>52400</v>
      </c>
      <c r="F415" t="s">
        <v>430</v>
      </c>
      <c r="H415" s="1">
        <v>42750</v>
      </c>
      <c r="I415">
        <v>2</v>
      </c>
      <c r="J415">
        <v>400</v>
      </c>
      <c r="K415">
        <v>0.94</v>
      </c>
      <c r="L415" s="1">
        <v>1696</v>
      </c>
      <c r="M415">
        <v>72</v>
      </c>
      <c r="N415" s="1">
        <v>42658</v>
      </c>
      <c r="O415" s="1">
        <v>42550</v>
      </c>
      <c r="P415" s="1">
        <v>42750</v>
      </c>
      <c r="Q415" s="1">
        <v>42550</v>
      </c>
      <c r="R415" t="s">
        <v>710</v>
      </c>
      <c r="S415" s="3">
        <v>0.35319444444444442</v>
      </c>
      <c r="T415" s="1">
        <v>42350</v>
      </c>
      <c r="U415">
        <v>400</v>
      </c>
      <c r="V415">
        <v>0.94</v>
      </c>
    </row>
    <row r="416" spans="4:22" x14ac:dyDescent="0.3">
      <c r="D416">
        <v>414</v>
      </c>
      <c r="E416">
        <v>365340</v>
      </c>
      <c r="F416" t="s">
        <v>431</v>
      </c>
      <c r="H416" s="1">
        <v>50800</v>
      </c>
      <c r="I416">
        <v>2</v>
      </c>
      <c r="J416" s="1">
        <v>1700</v>
      </c>
      <c r="K416">
        <v>3.46</v>
      </c>
      <c r="L416" s="1">
        <v>13935</v>
      </c>
      <c r="M416">
        <v>709</v>
      </c>
      <c r="N416" s="1">
        <v>50861</v>
      </c>
      <c r="O416" s="1">
        <v>49700</v>
      </c>
      <c r="P416" s="1">
        <v>51500</v>
      </c>
      <c r="Q416" s="1">
        <v>49700</v>
      </c>
      <c r="R416" t="s">
        <v>710</v>
      </c>
      <c r="S416" s="3">
        <v>0.35344907407407405</v>
      </c>
      <c r="T416" s="1">
        <v>49100</v>
      </c>
      <c r="U416" s="1">
        <v>1700</v>
      </c>
      <c r="V416">
        <v>3.46</v>
      </c>
    </row>
    <row r="417" spans="4:22" x14ac:dyDescent="0.3">
      <c r="D417">
        <v>415</v>
      </c>
      <c r="E417">
        <v>322000</v>
      </c>
      <c r="F417" t="s">
        <v>432</v>
      </c>
      <c r="H417" s="1">
        <v>55300</v>
      </c>
      <c r="I417">
        <v>2</v>
      </c>
      <c r="J417" s="1">
        <v>1100</v>
      </c>
      <c r="K417">
        <v>2.0299999999999998</v>
      </c>
      <c r="L417" s="1">
        <v>9488</v>
      </c>
      <c r="M417">
        <v>524</v>
      </c>
      <c r="N417" s="1">
        <v>55279</v>
      </c>
      <c r="O417" s="1">
        <v>55200</v>
      </c>
      <c r="P417" s="1">
        <v>56000</v>
      </c>
      <c r="Q417" s="1">
        <v>54100</v>
      </c>
      <c r="R417" t="s">
        <v>710</v>
      </c>
      <c r="S417" s="3">
        <v>0.35364583333333338</v>
      </c>
      <c r="T417" s="1">
        <v>54200</v>
      </c>
      <c r="U417" s="1">
        <v>1100</v>
      </c>
      <c r="V417">
        <v>2.0299999999999998</v>
      </c>
    </row>
    <row r="418" spans="4:22" x14ac:dyDescent="0.3">
      <c r="D418">
        <v>416</v>
      </c>
      <c r="E418">
        <v>211050</v>
      </c>
      <c r="F418" t="s">
        <v>433</v>
      </c>
      <c r="H418" s="1">
        <v>12570</v>
      </c>
      <c r="I418">
        <v>2</v>
      </c>
      <c r="J418">
        <v>120</v>
      </c>
      <c r="K418">
        <v>0.96</v>
      </c>
      <c r="L418">
        <v>834</v>
      </c>
      <c r="M418">
        <v>10</v>
      </c>
      <c r="N418" s="1">
        <v>12557</v>
      </c>
      <c r="O418" s="1">
        <v>12490</v>
      </c>
      <c r="P418" s="1">
        <v>12660</v>
      </c>
      <c r="Q418" s="1">
        <v>12490</v>
      </c>
      <c r="R418" t="s">
        <v>710</v>
      </c>
      <c r="S418" s="3">
        <v>0.35246527777777775</v>
      </c>
      <c r="T418" s="1">
        <v>12450</v>
      </c>
      <c r="U418">
        <v>120</v>
      </c>
      <c r="V418">
        <v>0.96</v>
      </c>
    </row>
    <row r="419" spans="4:22" x14ac:dyDescent="0.3">
      <c r="D419">
        <v>417</v>
      </c>
      <c r="E419">
        <v>478340</v>
      </c>
      <c r="F419" t="s">
        <v>434</v>
      </c>
      <c r="H419" s="1">
        <v>53500</v>
      </c>
      <c r="I419">
        <v>2</v>
      </c>
      <c r="J419">
        <v>400</v>
      </c>
      <c r="K419">
        <v>0.75</v>
      </c>
      <c r="L419" s="1">
        <v>633421</v>
      </c>
      <c r="M419" s="1">
        <v>34013</v>
      </c>
      <c r="N419" s="1">
        <v>53697</v>
      </c>
      <c r="O419" s="1">
        <v>53100</v>
      </c>
      <c r="P419" s="1">
        <v>55400</v>
      </c>
      <c r="Q419" s="1">
        <v>51400</v>
      </c>
      <c r="R419" t="s">
        <v>710</v>
      </c>
      <c r="S419" s="3">
        <v>0.35364583333333338</v>
      </c>
      <c r="T419" s="1">
        <v>53100</v>
      </c>
      <c r="U419">
        <v>400</v>
      </c>
      <c r="V419">
        <v>0.75</v>
      </c>
    </row>
    <row r="420" spans="4:22" x14ac:dyDescent="0.3">
      <c r="D420">
        <v>418</v>
      </c>
      <c r="E420">
        <v>84110</v>
      </c>
      <c r="F420" t="s">
        <v>435</v>
      </c>
      <c r="H420" s="1">
        <v>48400</v>
      </c>
      <c r="I420">
        <v>5</v>
      </c>
      <c r="J420">
        <v>150</v>
      </c>
      <c r="K420">
        <v>-0.31</v>
      </c>
      <c r="L420" s="1">
        <v>3730</v>
      </c>
      <c r="M420">
        <v>179</v>
      </c>
      <c r="N420" s="1">
        <v>48007</v>
      </c>
      <c r="O420" s="1">
        <v>48700</v>
      </c>
      <c r="P420" s="1">
        <v>49500</v>
      </c>
      <c r="Q420" s="1">
        <v>47600</v>
      </c>
      <c r="R420" t="s">
        <v>710</v>
      </c>
      <c r="S420" s="3">
        <v>0.35322916666666665</v>
      </c>
      <c r="T420" s="1">
        <v>48550</v>
      </c>
      <c r="U420">
        <v>-150</v>
      </c>
      <c r="V420">
        <v>-0.31</v>
      </c>
    </row>
    <row r="421" spans="4:22" x14ac:dyDescent="0.3">
      <c r="D421">
        <v>419</v>
      </c>
      <c r="E421">
        <v>102940</v>
      </c>
      <c r="F421" t="s">
        <v>436</v>
      </c>
      <c r="H421" s="1">
        <v>47450</v>
      </c>
      <c r="I421">
        <v>2</v>
      </c>
      <c r="J421">
        <v>650</v>
      </c>
      <c r="K421">
        <v>1.39</v>
      </c>
      <c r="L421">
        <v>545</v>
      </c>
      <c r="M421">
        <v>26</v>
      </c>
      <c r="N421" s="1">
        <v>47591</v>
      </c>
      <c r="O421" s="1">
        <v>47050</v>
      </c>
      <c r="P421" s="1">
        <v>47850</v>
      </c>
      <c r="Q421" s="1">
        <v>47050</v>
      </c>
      <c r="R421" t="s">
        <v>710</v>
      </c>
      <c r="S421" s="3">
        <v>0.35354166666666664</v>
      </c>
      <c r="T421" s="1">
        <v>46800</v>
      </c>
      <c r="U421">
        <v>650</v>
      </c>
      <c r="V421">
        <v>1.39</v>
      </c>
    </row>
    <row r="422" spans="4:22" x14ac:dyDescent="0.3">
      <c r="D422">
        <v>420</v>
      </c>
      <c r="E422">
        <v>41190</v>
      </c>
      <c r="F422" t="s">
        <v>437</v>
      </c>
      <c r="H422" s="1">
        <v>7280</v>
      </c>
      <c r="I422">
        <v>2</v>
      </c>
      <c r="J422">
        <v>60</v>
      </c>
      <c r="K422">
        <v>0.83</v>
      </c>
      <c r="L422" s="1">
        <v>56204</v>
      </c>
      <c r="M422">
        <v>409</v>
      </c>
      <c r="N422" s="1">
        <v>7282</v>
      </c>
      <c r="O422" s="1">
        <v>7330</v>
      </c>
      <c r="P422" s="1">
        <v>7330</v>
      </c>
      <c r="Q422" s="1">
        <v>7210</v>
      </c>
      <c r="R422" t="s">
        <v>710</v>
      </c>
      <c r="S422" s="3">
        <v>0.35358796296296297</v>
      </c>
      <c r="T422" s="1">
        <v>7220</v>
      </c>
      <c r="U422">
        <v>60</v>
      </c>
      <c r="V422">
        <v>0.83</v>
      </c>
    </row>
    <row r="423" spans="4:22" x14ac:dyDescent="0.3">
      <c r="D423">
        <v>421</v>
      </c>
      <c r="E423">
        <v>2240</v>
      </c>
      <c r="F423" t="s">
        <v>438</v>
      </c>
      <c r="H423" s="1">
        <v>22350</v>
      </c>
      <c r="I423">
        <v>2</v>
      </c>
      <c r="J423">
        <v>250</v>
      </c>
      <c r="K423">
        <v>1.1299999999999999</v>
      </c>
      <c r="L423" s="1">
        <v>4703</v>
      </c>
      <c r="M423">
        <v>105</v>
      </c>
      <c r="N423" s="1">
        <v>22272</v>
      </c>
      <c r="O423" s="1">
        <v>22500</v>
      </c>
      <c r="P423" s="1">
        <v>22500</v>
      </c>
      <c r="Q423" s="1">
        <v>22200</v>
      </c>
      <c r="R423" t="s">
        <v>710</v>
      </c>
      <c r="S423" s="3">
        <v>0.35363425925925923</v>
      </c>
      <c r="T423" s="1">
        <v>22100</v>
      </c>
      <c r="U423">
        <v>250</v>
      </c>
      <c r="V423">
        <v>1.1299999999999999</v>
      </c>
    </row>
    <row r="424" spans="4:22" x14ac:dyDescent="0.3">
      <c r="D424">
        <v>422</v>
      </c>
      <c r="E424">
        <v>389650</v>
      </c>
      <c r="F424" t="s">
        <v>439</v>
      </c>
      <c r="H424" s="1">
        <v>72800</v>
      </c>
      <c r="I424">
        <v>2</v>
      </c>
      <c r="J424" s="1">
        <v>1300</v>
      </c>
      <c r="K424">
        <v>1.82</v>
      </c>
      <c r="L424" s="1">
        <v>8115</v>
      </c>
      <c r="M424">
        <v>591</v>
      </c>
      <c r="N424" s="1">
        <v>72884</v>
      </c>
      <c r="O424" s="1">
        <v>72900</v>
      </c>
      <c r="P424" s="1">
        <v>73600</v>
      </c>
      <c r="Q424" s="1">
        <v>72500</v>
      </c>
      <c r="R424" t="s">
        <v>710</v>
      </c>
      <c r="S424" s="3">
        <v>0.35334490740740737</v>
      </c>
      <c r="T424" s="1">
        <v>71500</v>
      </c>
      <c r="U424" s="1">
        <v>1300</v>
      </c>
      <c r="V424">
        <v>1.82</v>
      </c>
    </row>
    <row r="425" spans="4:22" x14ac:dyDescent="0.3">
      <c r="D425">
        <v>423</v>
      </c>
      <c r="E425">
        <v>475960</v>
      </c>
      <c r="F425" t="s">
        <v>440</v>
      </c>
      <c r="H425" s="1">
        <v>44500</v>
      </c>
      <c r="I425">
        <v>2</v>
      </c>
      <c r="J425" s="1">
        <v>1100</v>
      </c>
      <c r="K425">
        <v>2.5299999999999998</v>
      </c>
      <c r="L425" s="1">
        <v>8527</v>
      </c>
      <c r="M425">
        <v>378</v>
      </c>
      <c r="N425" s="1">
        <v>44293</v>
      </c>
      <c r="O425" s="1">
        <v>43700</v>
      </c>
      <c r="P425" s="1">
        <v>44650</v>
      </c>
      <c r="Q425" s="1">
        <v>43600</v>
      </c>
      <c r="R425" t="s">
        <v>710</v>
      </c>
      <c r="S425" s="3">
        <v>0.35362268518518519</v>
      </c>
      <c r="T425" s="1">
        <v>43400</v>
      </c>
      <c r="U425" s="1">
        <v>1100</v>
      </c>
      <c r="V425">
        <v>2.5299999999999998</v>
      </c>
    </row>
    <row r="426" spans="4:22" x14ac:dyDescent="0.3">
      <c r="D426">
        <v>424</v>
      </c>
      <c r="E426">
        <v>93320</v>
      </c>
      <c r="F426" t="s">
        <v>441</v>
      </c>
      <c r="H426" s="1">
        <v>121100</v>
      </c>
      <c r="I426">
        <v>3</v>
      </c>
      <c r="R426" t="s">
        <v>710</v>
      </c>
      <c r="S426" s="3">
        <v>0</v>
      </c>
      <c r="T426" s="1">
        <v>121100</v>
      </c>
    </row>
    <row r="427" spans="4:22" x14ac:dyDescent="0.3">
      <c r="D427">
        <v>425</v>
      </c>
      <c r="E427">
        <v>2030</v>
      </c>
      <c r="F427" t="s">
        <v>442</v>
      </c>
      <c r="H427" s="1">
        <v>284000</v>
      </c>
      <c r="I427">
        <v>5</v>
      </c>
      <c r="J427" s="1">
        <v>2500</v>
      </c>
      <c r="K427">
        <v>-0.87</v>
      </c>
      <c r="L427">
        <v>40</v>
      </c>
      <c r="M427">
        <v>11</v>
      </c>
      <c r="N427" s="1">
        <v>283487</v>
      </c>
      <c r="O427" s="1">
        <v>283000</v>
      </c>
      <c r="P427" s="1">
        <v>284500</v>
      </c>
      <c r="Q427" s="1">
        <v>282500</v>
      </c>
      <c r="R427" t="s">
        <v>710</v>
      </c>
      <c r="S427" s="3">
        <v>0.34864583333333332</v>
      </c>
      <c r="T427" s="1">
        <v>286500</v>
      </c>
      <c r="U427" s="1">
        <v>-2500</v>
      </c>
      <c r="V427">
        <v>-0.87</v>
      </c>
    </row>
    <row r="428" spans="4:22" x14ac:dyDescent="0.3">
      <c r="D428">
        <v>426</v>
      </c>
      <c r="E428">
        <v>126340</v>
      </c>
      <c r="F428" t="s">
        <v>443</v>
      </c>
      <c r="H428" s="1">
        <v>86900</v>
      </c>
      <c r="I428">
        <v>2</v>
      </c>
      <c r="J428">
        <v>800</v>
      </c>
      <c r="K428">
        <v>0.93</v>
      </c>
      <c r="L428" s="1">
        <v>4284</v>
      </c>
      <c r="M428">
        <v>373</v>
      </c>
      <c r="N428" s="1">
        <v>87174</v>
      </c>
      <c r="O428" s="1">
        <v>86100</v>
      </c>
      <c r="P428" s="1">
        <v>87700</v>
      </c>
      <c r="Q428" s="1">
        <v>86100</v>
      </c>
      <c r="R428" t="s">
        <v>710</v>
      </c>
      <c r="S428" s="3">
        <v>0.35340277777777779</v>
      </c>
      <c r="T428" s="1">
        <v>86100</v>
      </c>
      <c r="U428">
        <v>800</v>
      </c>
      <c r="V428">
        <v>0.93</v>
      </c>
    </row>
    <row r="429" spans="4:22" x14ac:dyDescent="0.3">
      <c r="D429">
        <v>427</v>
      </c>
      <c r="E429">
        <v>119850</v>
      </c>
      <c r="F429" t="s">
        <v>444</v>
      </c>
      <c r="H429" s="1">
        <v>35200</v>
      </c>
      <c r="I429">
        <v>2</v>
      </c>
      <c r="J429">
        <v>700</v>
      </c>
      <c r="K429">
        <v>2.0299999999999998</v>
      </c>
      <c r="L429" s="1">
        <v>25313</v>
      </c>
      <c r="M429">
        <v>890</v>
      </c>
      <c r="N429" s="1">
        <v>35140</v>
      </c>
      <c r="O429" s="1">
        <v>35150</v>
      </c>
      <c r="P429" s="1">
        <v>35500</v>
      </c>
      <c r="Q429" s="1">
        <v>34950</v>
      </c>
      <c r="R429" t="s">
        <v>710</v>
      </c>
      <c r="S429" s="3">
        <v>0.35364583333333338</v>
      </c>
      <c r="T429" s="1">
        <v>34500</v>
      </c>
      <c r="U429">
        <v>700</v>
      </c>
      <c r="V429">
        <v>2.0299999999999998</v>
      </c>
    </row>
    <row r="430" spans="4:22" x14ac:dyDescent="0.3">
      <c r="D430">
        <v>428</v>
      </c>
      <c r="E430" t="s">
        <v>713</v>
      </c>
      <c r="F430" t="s">
        <v>445</v>
      </c>
      <c r="H430" s="1">
        <v>77500</v>
      </c>
      <c r="I430">
        <v>2</v>
      </c>
      <c r="J430" s="1">
        <v>2100</v>
      </c>
      <c r="K430">
        <v>2.79</v>
      </c>
      <c r="L430" s="1">
        <v>21329</v>
      </c>
      <c r="M430" s="1">
        <v>1668</v>
      </c>
      <c r="N430" s="1">
        <v>78217</v>
      </c>
      <c r="O430" s="1">
        <v>89500</v>
      </c>
      <c r="P430" s="1">
        <v>89500</v>
      </c>
      <c r="Q430" s="1">
        <v>76500</v>
      </c>
      <c r="R430" t="s">
        <v>710</v>
      </c>
      <c r="S430" s="3">
        <v>0.35362268518518519</v>
      </c>
      <c r="T430" s="1">
        <v>75400</v>
      </c>
      <c r="U430" s="1">
        <v>2100</v>
      </c>
      <c r="V430">
        <v>2.79</v>
      </c>
    </row>
    <row r="431" spans="4:22" x14ac:dyDescent="0.3">
      <c r="D431">
        <v>429</v>
      </c>
      <c r="E431">
        <v>278280</v>
      </c>
      <c r="F431" t="s">
        <v>446</v>
      </c>
      <c r="H431" s="1">
        <v>49100</v>
      </c>
      <c r="I431">
        <v>2</v>
      </c>
      <c r="J431">
        <v>450</v>
      </c>
      <c r="K431">
        <v>0.92</v>
      </c>
      <c r="L431" s="1">
        <v>4170</v>
      </c>
      <c r="M431">
        <v>205</v>
      </c>
      <c r="N431" s="1">
        <v>49125</v>
      </c>
      <c r="O431" s="1">
        <v>48650</v>
      </c>
      <c r="P431" s="1">
        <v>49400</v>
      </c>
      <c r="Q431" s="1">
        <v>48650</v>
      </c>
      <c r="R431" t="s">
        <v>710</v>
      </c>
      <c r="S431" s="3">
        <v>0.35359953703703706</v>
      </c>
      <c r="T431" s="1">
        <v>48650</v>
      </c>
      <c r="U431">
        <v>450</v>
      </c>
      <c r="V431">
        <v>0.92</v>
      </c>
    </row>
    <row r="432" spans="4:22" x14ac:dyDescent="0.3">
      <c r="D432">
        <v>430</v>
      </c>
      <c r="E432">
        <v>78160</v>
      </c>
      <c r="F432" t="s">
        <v>447</v>
      </c>
      <c r="H432" s="1">
        <v>14590</v>
      </c>
      <c r="I432">
        <v>2</v>
      </c>
      <c r="J432">
        <v>100</v>
      </c>
      <c r="K432">
        <v>0.69</v>
      </c>
      <c r="L432" s="1">
        <v>6379</v>
      </c>
      <c r="M432">
        <v>93</v>
      </c>
      <c r="N432" s="1">
        <v>14590</v>
      </c>
      <c r="O432" s="1">
        <v>14600</v>
      </c>
      <c r="P432" s="1">
        <v>14600</v>
      </c>
      <c r="Q432" s="1">
        <v>14500</v>
      </c>
      <c r="R432" t="s">
        <v>710</v>
      </c>
      <c r="S432" s="3">
        <v>0.35297453703703702</v>
      </c>
      <c r="T432" s="1">
        <v>14490</v>
      </c>
      <c r="U432">
        <v>100</v>
      </c>
      <c r="V432">
        <v>0.69</v>
      </c>
    </row>
    <row r="433" spans="4:22" x14ac:dyDescent="0.3">
      <c r="D433">
        <v>431</v>
      </c>
      <c r="E433">
        <v>94170</v>
      </c>
      <c r="F433" t="s">
        <v>448</v>
      </c>
      <c r="H433" s="1">
        <v>27300</v>
      </c>
      <c r="I433">
        <v>2</v>
      </c>
      <c r="J433">
        <v>350</v>
      </c>
      <c r="K433">
        <v>1.3</v>
      </c>
      <c r="L433" s="1">
        <v>13760</v>
      </c>
      <c r="M433">
        <v>375</v>
      </c>
      <c r="N433" s="1">
        <v>27272</v>
      </c>
      <c r="O433" s="1">
        <v>27100</v>
      </c>
      <c r="P433" s="1">
        <v>27400</v>
      </c>
      <c r="Q433" s="1">
        <v>27100</v>
      </c>
      <c r="R433" t="s">
        <v>710</v>
      </c>
      <c r="S433" s="3">
        <v>0.35347222222222219</v>
      </c>
      <c r="T433" s="1">
        <v>26950</v>
      </c>
      <c r="U433">
        <v>350</v>
      </c>
      <c r="V433">
        <v>1.3</v>
      </c>
    </row>
    <row r="434" spans="4:22" x14ac:dyDescent="0.3">
      <c r="D434">
        <v>432</v>
      </c>
      <c r="E434">
        <v>60250</v>
      </c>
      <c r="F434" t="s">
        <v>449</v>
      </c>
      <c r="H434" s="1">
        <v>14210</v>
      </c>
      <c r="I434">
        <v>2</v>
      </c>
      <c r="J434">
        <v>110</v>
      </c>
      <c r="K434">
        <v>0.78</v>
      </c>
      <c r="L434" s="1">
        <v>21594</v>
      </c>
      <c r="M434">
        <v>307</v>
      </c>
      <c r="N434" s="1">
        <v>14204</v>
      </c>
      <c r="O434" s="1">
        <v>14170</v>
      </c>
      <c r="P434" s="1">
        <v>14280</v>
      </c>
      <c r="Q434" s="1">
        <v>14160</v>
      </c>
      <c r="R434" t="s">
        <v>710</v>
      </c>
      <c r="S434" s="3">
        <v>0.35350694444444447</v>
      </c>
      <c r="T434" s="1">
        <v>14100</v>
      </c>
      <c r="U434">
        <v>110</v>
      </c>
      <c r="V434">
        <v>0.78</v>
      </c>
    </row>
    <row r="435" spans="4:22" x14ac:dyDescent="0.3">
      <c r="D435">
        <v>433</v>
      </c>
      <c r="E435">
        <v>222080</v>
      </c>
      <c r="F435" t="s">
        <v>450</v>
      </c>
      <c r="H435" s="1">
        <v>7320</v>
      </c>
      <c r="I435">
        <v>2</v>
      </c>
      <c r="J435">
        <v>210</v>
      </c>
      <c r="K435">
        <v>2.95</v>
      </c>
      <c r="L435" s="1">
        <v>78619</v>
      </c>
      <c r="M435">
        <v>574</v>
      </c>
      <c r="N435" s="1">
        <v>7304</v>
      </c>
      <c r="O435" s="1">
        <v>7200</v>
      </c>
      <c r="P435" s="1">
        <v>7350</v>
      </c>
      <c r="Q435" s="1">
        <v>7180</v>
      </c>
      <c r="R435" t="s">
        <v>710</v>
      </c>
      <c r="S435" s="3">
        <v>0.35364583333333338</v>
      </c>
      <c r="T435" s="1">
        <v>7110</v>
      </c>
      <c r="U435">
        <v>210</v>
      </c>
      <c r="V435">
        <v>2.95</v>
      </c>
    </row>
    <row r="436" spans="4:22" x14ac:dyDescent="0.3">
      <c r="D436">
        <v>434</v>
      </c>
      <c r="E436">
        <v>18290</v>
      </c>
      <c r="F436" t="s">
        <v>451</v>
      </c>
      <c r="H436" s="1">
        <v>16200</v>
      </c>
      <c r="I436">
        <v>2</v>
      </c>
      <c r="J436">
        <v>60</v>
      </c>
      <c r="K436">
        <v>0.37</v>
      </c>
      <c r="L436" s="1">
        <v>6632</v>
      </c>
      <c r="M436">
        <v>108</v>
      </c>
      <c r="N436" s="1">
        <v>16235</v>
      </c>
      <c r="O436" s="1">
        <v>16200</v>
      </c>
      <c r="P436" s="1">
        <v>16300</v>
      </c>
      <c r="Q436" s="1">
        <v>16190</v>
      </c>
      <c r="R436" t="s">
        <v>710</v>
      </c>
      <c r="S436" s="3">
        <v>0.35348379629629628</v>
      </c>
      <c r="T436" s="1">
        <v>16140</v>
      </c>
      <c r="U436">
        <v>60</v>
      </c>
      <c r="V436">
        <v>0.37</v>
      </c>
    </row>
    <row r="437" spans="4:22" x14ac:dyDescent="0.3">
      <c r="D437">
        <v>435</v>
      </c>
      <c r="E437">
        <v>2020</v>
      </c>
      <c r="F437" t="s">
        <v>452</v>
      </c>
      <c r="H437" s="1">
        <v>43850</v>
      </c>
      <c r="I437">
        <v>2</v>
      </c>
      <c r="J437">
        <v>550</v>
      </c>
      <c r="K437">
        <v>1.27</v>
      </c>
      <c r="L437" s="1">
        <v>4575</v>
      </c>
      <c r="M437">
        <v>200</v>
      </c>
      <c r="N437" s="1">
        <v>43695</v>
      </c>
      <c r="O437" s="1">
        <v>43450</v>
      </c>
      <c r="P437" s="1">
        <v>43950</v>
      </c>
      <c r="Q437" s="1">
        <v>43400</v>
      </c>
      <c r="R437" t="s">
        <v>710</v>
      </c>
      <c r="S437" s="3">
        <v>0.35351851851851851</v>
      </c>
      <c r="T437" s="1">
        <v>43300</v>
      </c>
      <c r="U437">
        <v>550</v>
      </c>
      <c r="V437">
        <v>1.27</v>
      </c>
    </row>
    <row r="438" spans="4:22" x14ac:dyDescent="0.3">
      <c r="D438">
        <v>436</v>
      </c>
      <c r="E438">
        <v>105630</v>
      </c>
      <c r="F438" t="s">
        <v>453</v>
      </c>
      <c r="H438" s="1">
        <v>14140</v>
      </c>
      <c r="I438">
        <v>5</v>
      </c>
      <c r="J438">
        <v>50</v>
      </c>
      <c r="K438">
        <v>-0.35</v>
      </c>
      <c r="L438" s="1">
        <v>1088</v>
      </c>
      <c r="M438">
        <v>15</v>
      </c>
      <c r="N438" s="1">
        <v>14159</v>
      </c>
      <c r="O438" s="1">
        <v>14190</v>
      </c>
      <c r="P438" s="1">
        <v>14200</v>
      </c>
      <c r="Q438" s="1">
        <v>14080</v>
      </c>
      <c r="R438" t="s">
        <v>710</v>
      </c>
      <c r="S438" s="3">
        <v>0.35333333333333333</v>
      </c>
      <c r="T438" s="1">
        <v>14190</v>
      </c>
      <c r="U438">
        <v>-50</v>
      </c>
      <c r="V438">
        <v>-0.35</v>
      </c>
    </row>
    <row r="439" spans="4:22" x14ac:dyDescent="0.3">
      <c r="D439">
        <v>437</v>
      </c>
      <c r="E439">
        <v>2960</v>
      </c>
      <c r="F439" t="s">
        <v>454</v>
      </c>
      <c r="H439" s="1">
        <v>434500</v>
      </c>
      <c r="I439">
        <v>5</v>
      </c>
      <c r="J439">
        <v>500</v>
      </c>
      <c r="K439">
        <v>-0.11</v>
      </c>
      <c r="L439">
        <v>43</v>
      </c>
      <c r="M439">
        <v>19</v>
      </c>
      <c r="N439" s="1">
        <v>435209</v>
      </c>
      <c r="O439" s="1">
        <v>437000</v>
      </c>
      <c r="P439" s="1">
        <v>437000</v>
      </c>
      <c r="Q439" s="1">
        <v>434000</v>
      </c>
      <c r="R439" t="s">
        <v>710</v>
      </c>
      <c r="S439" s="3">
        <v>0.35275462962962961</v>
      </c>
      <c r="T439" s="1">
        <v>435000</v>
      </c>
      <c r="U439">
        <v>-500</v>
      </c>
      <c r="V439">
        <v>-0.11</v>
      </c>
    </row>
    <row r="440" spans="4:22" x14ac:dyDescent="0.3">
      <c r="D440">
        <v>438</v>
      </c>
      <c r="E440">
        <v>5420</v>
      </c>
      <c r="F440" t="s">
        <v>455</v>
      </c>
      <c r="H440" s="1">
        <v>14640</v>
      </c>
      <c r="I440">
        <v>2</v>
      </c>
      <c r="J440">
        <v>230</v>
      </c>
      <c r="K440">
        <v>1.6</v>
      </c>
      <c r="L440" s="1">
        <v>12676</v>
      </c>
      <c r="M440">
        <v>185</v>
      </c>
      <c r="N440" s="1">
        <v>14622</v>
      </c>
      <c r="O440" s="1">
        <v>14800</v>
      </c>
      <c r="P440" s="1">
        <v>14900</v>
      </c>
      <c r="Q440" s="1">
        <v>14460</v>
      </c>
      <c r="R440" t="s">
        <v>710</v>
      </c>
      <c r="S440" s="3">
        <v>0.35362268518518519</v>
      </c>
      <c r="T440" s="1">
        <v>14410</v>
      </c>
      <c r="U440">
        <v>230</v>
      </c>
      <c r="V440">
        <v>1.6</v>
      </c>
    </row>
    <row r="441" spans="4:22" x14ac:dyDescent="0.3">
      <c r="D441">
        <v>439</v>
      </c>
      <c r="E441">
        <v>17940</v>
      </c>
      <c r="F441" t="s">
        <v>456</v>
      </c>
      <c r="H441" s="1">
        <v>81600</v>
      </c>
      <c r="I441">
        <v>2</v>
      </c>
      <c r="J441">
        <v>300</v>
      </c>
      <c r="K441">
        <v>0.37</v>
      </c>
      <c r="L441">
        <v>221</v>
      </c>
      <c r="M441">
        <v>18</v>
      </c>
      <c r="N441" s="1">
        <v>81544</v>
      </c>
      <c r="O441" s="1">
        <v>82100</v>
      </c>
      <c r="P441" s="1">
        <v>82100</v>
      </c>
      <c r="Q441" s="1">
        <v>81200</v>
      </c>
      <c r="R441" t="s">
        <v>710</v>
      </c>
      <c r="S441" s="3">
        <v>0.35289351851851852</v>
      </c>
      <c r="T441" s="1">
        <v>81300</v>
      </c>
      <c r="U441">
        <v>300</v>
      </c>
      <c r="V441">
        <v>0.37</v>
      </c>
    </row>
    <row r="442" spans="4:22" x14ac:dyDescent="0.3">
      <c r="D442">
        <v>440</v>
      </c>
      <c r="E442">
        <v>95660</v>
      </c>
      <c r="F442" t="s">
        <v>457</v>
      </c>
      <c r="H442" s="1">
        <v>25500</v>
      </c>
      <c r="I442">
        <v>2</v>
      </c>
      <c r="J442">
        <v>200</v>
      </c>
      <c r="K442">
        <v>0.79</v>
      </c>
      <c r="L442">
        <v>874</v>
      </c>
      <c r="M442">
        <v>22</v>
      </c>
      <c r="N442" s="1">
        <v>25445</v>
      </c>
      <c r="O442" s="1">
        <v>25250</v>
      </c>
      <c r="P442" s="1">
        <v>25700</v>
      </c>
      <c r="Q442" s="1">
        <v>25250</v>
      </c>
      <c r="R442" t="s">
        <v>710</v>
      </c>
      <c r="S442" s="3">
        <v>0.35302083333333334</v>
      </c>
      <c r="T442" s="1">
        <v>25300</v>
      </c>
      <c r="U442">
        <v>200</v>
      </c>
      <c r="V442">
        <v>0.79</v>
      </c>
    </row>
    <row r="443" spans="4:22" x14ac:dyDescent="0.3">
      <c r="D443">
        <v>441</v>
      </c>
      <c r="E443">
        <v>5810</v>
      </c>
      <c r="F443" t="s">
        <v>458</v>
      </c>
      <c r="H443" s="1">
        <v>38500</v>
      </c>
      <c r="I443">
        <v>2</v>
      </c>
      <c r="J443">
        <v>100</v>
      </c>
      <c r="K443">
        <v>0.26</v>
      </c>
      <c r="L443">
        <v>311</v>
      </c>
      <c r="M443">
        <v>12</v>
      </c>
      <c r="N443" s="1">
        <v>38444</v>
      </c>
      <c r="O443" s="1">
        <v>39400</v>
      </c>
      <c r="P443" s="1">
        <v>39400</v>
      </c>
      <c r="Q443" s="1">
        <v>38350</v>
      </c>
      <c r="R443" t="s">
        <v>710</v>
      </c>
      <c r="S443" s="3">
        <v>0.35041666666666665</v>
      </c>
      <c r="T443" s="1">
        <v>38400</v>
      </c>
      <c r="U443">
        <v>100</v>
      </c>
      <c r="V443">
        <v>0.26</v>
      </c>
    </row>
    <row r="444" spans="4:22" x14ac:dyDescent="0.3">
      <c r="D444">
        <v>442</v>
      </c>
      <c r="E444">
        <v>97520</v>
      </c>
      <c r="F444" t="s">
        <v>459</v>
      </c>
      <c r="H444" s="1">
        <v>31800</v>
      </c>
      <c r="I444">
        <v>2</v>
      </c>
      <c r="J444">
        <v>850</v>
      </c>
      <c r="K444">
        <v>2.75</v>
      </c>
      <c r="L444" s="1">
        <v>5942</v>
      </c>
      <c r="M444">
        <v>188</v>
      </c>
      <c r="N444" s="1">
        <v>31670</v>
      </c>
      <c r="O444" s="1">
        <v>31100</v>
      </c>
      <c r="P444" s="1">
        <v>31950</v>
      </c>
      <c r="Q444" s="1">
        <v>31100</v>
      </c>
      <c r="R444" t="s">
        <v>710</v>
      </c>
      <c r="S444" s="3">
        <v>0.35364583333333338</v>
      </c>
      <c r="T444" s="1">
        <v>30950</v>
      </c>
      <c r="U444">
        <v>850</v>
      </c>
      <c r="V444">
        <v>2.75</v>
      </c>
    </row>
    <row r="445" spans="4:22" x14ac:dyDescent="0.3">
      <c r="D445">
        <v>443</v>
      </c>
      <c r="E445">
        <v>47920</v>
      </c>
      <c r="F445" t="s">
        <v>460</v>
      </c>
      <c r="H445" s="1">
        <v>16830</v>
      </c>
      <c r="I445">
        <v>2</v>
      </c>
      <c r="J445">
        <v>240</v>
      </c>
      <c r="K445">
        <v>1.45</v>
      </c>
      <c r="L445" s="1">
        <v>6379</v>
      </c>
      <c r="M445">
        <v>108</v>
      </c>
      <c r="N445" s="1">
        <v>16881</v>
      </c>
      <c r="O445" s="1">
        <v>16750</v>
      </c>
      <c r="P445" s="1">
        <v>16950</v>
      </c>
      <c r="Q445" s="1">
        <v>16750</v>
      </c>
      <c r="R445" t="s">
        <v>710</v>
      </c>
      <c r="S445" s="3">
        <v>0.35358796296296297</v>
      </c>
      <c r="T445" s="1">
        <v>16590</v>
      </c>
      <c r="U445">
        <v>240</v>
      </c>
      <c r="V445">
        <v>1.45</v>
      </c>
    </row>
    <row r="446" spans="4:22" x14ac:dyDescent="0.3">
      <c r="D446">
        <v>444</v>
      </c>
      <c r="E446">
        <v>228760</v>
      </c>
      <c r="F446" t="s">
        <v>461</v>
      </c>
      <c r="H446" s="1">
        <v>22600</v>
      </c>
      <c r="I446">
        <v>2</v>
      </c>
      <c r="J446">
        <v>250</v>
      </c>
      <c r="K446">
        <v>1.1200000000000001</v>
      </c>
      <c r="L446" s="1">
        <v>15754</v>
      </c>
      <c r="M446">
        <v>354</v>
      </c>
      <c r="N446" s="1">
        <v>22465</v>
      </c>
      <c r="O446" s="1">
        <v>22250</v>
      </c>
      <c r="P446" s="1">
        <v>22600</v>
      </c>
      <c r="Q446" s="1">
        <v>22250</v>
      </c>
      <c r="R446" t="s">
        <v>710</v>
      </c>
      <c r="S446" s="3">
        <v>0.3536111111111111</v>
      </c>
      <c r="T446" s="1">
        <v>22350</v>
      </c>
      <c r="U446">
        <v>250</v>
      </c>
      <c r="V446">
        <v>1.1200000000000001</v>
      </c>
    </row>
    <row r="447" spans="4:22" x14ac:dyDescent="0.3">
      <c r="D447">
        <v>445</v>
      </c>
      <c r="E447">
        <v>484590</v>
      </c>
      <c r="F447" t="s">
        <v>462</v>
      </c>
      <c r="H447" s="1">
        <v>13370</v>
      </c>
      <c r="I447">
        <v>3</v>
      </c>
      <c r="L447" s="1">
        <v>42957</v>
      </c>
      <c r="M447">
        <v>576</v>
      </c>
      <c r="N447" s="1">
        <v>13415</v>
      </c>
      <c r="O447" s="1">
        <v>13370</v>
      </c>
      <c r="P447" s="1">
        <v>13480</v>
      </c>
      <c r="Q447" s="1">
        <v>13340</v>
      </c>
      <c r="R447" t="s">
        <v>710</v>
      </c>
      <c r="S447" s="3">
        <v>0.3536111111111111</v>
      </c>
      <c r="T447" s="1">
        <v>13370</v>
      </c>
    </row>
    <row r="448" spans="4:22" x14ac:dyDescent="0.3">
      <c r="D448">
        <v>446</v>
      </c>
      <c r="E448">
        <v>105840</v>
      </c>
      <c r="F448" t="s">
        <v>463</v>
      </c>
      <c r="H448" s="1">
        <v>27200</v>
      </c>
      <c r="I448">
        <v>2</v>
      </c>
      <c r="J448" s="1">
        <v>1000</v>
      </c>
      <c r="K448">
        <v>3.82</v>
      </c>
      <c r="L448" s="1">
        <v>655685</v>
      </c>
      <c r="M448" s="1">
        <v>18061</v>
      </c>
      <c r="N448" s="1">
        <v>27545</v>
      </c>
      <c r="O448" s="1">
        <v>26900</v>
      </c>
      <c r="P448" s="1">
        <v>28050</v>
      </c>
      <c r="Q448" s="1">
        <v>26650</v>
      </c>
      <c r="R448" t="s">
        <v>710</v>
      </c>
      <c r="S448" s="3">
        <v>0.35359953703703706</v>
      </c>
      <c r="T448" s="1">
        <v>26200</v>
      </c>
      <c r="U448" s="1">
        <v>1000</v>
      </c>
      <c r="V448">
        <v>3.82</v>
      </c>
    </row>
    <row r="449" spans="4:22" x14ac:dyDescent="0.3">
      <c r="D449">
        <v>447</v>
      </c>
      <c r="E449">
        <v>48410</v>
      </c>
      <c r="F449" t="s">
        <v>464</v>
      </c>
      <c r="H449" s="1">
        <v>5710</v>
      </c>
      <c r="I449">
        <v>2</v>
      </c>
      <c r="J449">
        <v>70</v>
      </c>
      <c r="K449">
        <v>1.24</v>
      </c>
      <c r="L449" s="1">
        <v>68956</v>
      </c>
      <c r="M449">
        <v>395</v>
      </c>
      <c r="N449" s="1">
        <v>5727</v>
      </c>
      <c r="O449" s="1">
        <v>5650</v>
      </c>
      <c r="P449" s="1">
        <v>5760</v>
      </c>
      <c r="Q449" s="1">
        <v>5650</v>
      </c>
      <c r="R449" t="s">
        <v>710</v>
      </c>
      <c r="S449" s="3">
        <v>0.35349537037037032</v>
      </c>
      <c r="T449" s="1">
        <v>5640</v>
      </c>
      <c r="U449">
        <v>70</v>
      </c>
      <c r="V449">
        <v>1.24</v>
      </c>
    </row>
    <row r="450" spans="4:22" x14ac:dyDescent="0.3">
      <c r="D450">
        <v>448</v>
      </c>
      <c r="E450">
        <v>356860</v>
      </c>
      <c r="F450" t="s">
        <v>465</v>
      </c>
      <c r="H450" s="1">
        <v>55700</v>
      </c>
      <c r="I450">
        <v>2</v>
      </c>
      <c r="J450" s="1">
        <v>1200</v>
      </c>
      <c r="K450">
        <v>2.2000000000000002</v>
      </c>
      <c r="L450" s="1">
        <v>10451</v>
      </c>
      <c r="M450">
        <v>582</v>
      </c>
      <c r="N450" s="1">
        <v>55691</v>
      </c>
      <c r="O450" s="1">
        <v>55600</v>
      </c>
      <c r="P450" s="1">
        <v>56200</v>
      </c>
      <c r="Q450" s="1">
        <v>55400</v>
      </c>
      <c r="R450" t="s">
        <v>710</v>
      </c>
      <c r="S450" s="3">
        <v>0.35362268518518519</v>
      </c>
      <c r="T450" s="1">
        <v>54500</v>
      </c>
      <c r="U450" s="1">
        <v>1200</v>
      </c>
      <c r="V450">
        <v>2.2000000000000002</v>
      </c>
    </row>
    <row r="451" spans="4:22" x14ac:dyDescent="0.3">
      <c r="D451">
        <v>449</v>
      </c>
      <c r="E451">
        <v>30520</v>
      </c>
      <c r="F451" t="s">
        <v>466</v>
      </c>
      <c r="H451" s="1">
        <v>22600</v>
      </c>
      <c r="I451">
        <v>2</v>
      </c>
      <c r="J451">
        <v>300</v>
      </c>
      <c r="K451">
        <v>1.35</v>
      </c>
      <c r="L451" s="1">
        <v>14620</v>
      </c>
      <c r="M451">
        <v>329</v>
      </c>
      <c r="N451" s="1">
        <v>22531</v>
      </c>
      <c r="O451" s="1">
        <v>22500</v>
      </c>
      <c r="P451" s="1">
        <v>22600</v>
      </c>
      <c r="Q451" s="1">
        <v>22400</v>
      </c>
      <c r="R451" t="s">
        <v>710</v>
      </c>
      <c r="S451" s="3">
        <v>0.3532986111111111</v>
      </c>
      <c r="T451" s="1">
        <v>22300</v>
      </c>
      <c r="U451">
        <v>300</v>
      </c>
      <c r="V451">
        <v>1.35</v>
      </c>
    </row>
    <row r="452" spans="4:22" x14ac:dyDescent="0.3">
      <c r="D452">
        <v>450</v>
      </c>
      <c r="E452">
        <v>90460</v>
      </c>
      <c r="F452" t="s">
        <v>467</v>
      </c>
      <c r="H452" s="1">
        <v>16150</v>
      </c>
      <c r="I452">
        <v>2</v>
      </c>
      <c r="J452">
        <v>160</v>
      </c>
      <c r="K452">
        <v>1</v>
      </c>
      <c r="L452" s="1">
        <v>9239</v>
      </c>
      <c r="M452">
        <v>149</v>
      </c>
      <c r="N452" s="1">
        <v>16164</v>
      </c>
      <c r="O452" s="1">
        <v>16070</v>
      </c>
      <c r="P452" s="1">
        <v>16200</v>
      </c>
      <c r="Q452" s="1">
        <v>16070</v>
      </c>
      <c r="R452" t="s">
        <v>710</v>
      </c>
      <c r="S452" s="3">
        <v>0.3536111111111111</v>
      </c>
      <c r="T452" s="1">
        <v>15990</v>
      </c>
      <c r="U452">
        <v>160</v>
      </c>
      <c r="V452">
        <v>1</v>
      </c>
    </row>
    <row r="453" spans="4:22" x14ac:dyDescent="0.3">
      <c r="D453">
        <v>451</v>
      </c>
      <c r="E453">
        <v>171090</v>
      </c>
      <c r="F453" t="s">
        <v>468</v>
      </c>
      <c r="H453" s="1">
        <v>56500</v>
      </c>
      <c r="I453">
        <v>2</v>
      </c>
      <c r="J453" s="1">
        <v>1600</v>
      </c>
      <c r="K453">
        <v>2.91</v>
      </c>
      <c r="L453" s="1">
        <v>18500</v>
      </c>
      <c r="M453" s="1">
        <v>1042</v>
      </c>
      <c r="N453" s="1">
        <v>56343</v>
      </c>
      <c r="O453" s="1">
        <v>55300</v>
      </c>
      <c r="P453" s="1">
        <v>56700</v>
      </c>
      <c r="Q453" s="1">
        <v>55300</v>
      </c>
      <c r="R453" t="s">
        <v>710</v>
      </c>
      <c r="S453" s="3">
        <v>0.35365740740740742</v>
      </c>
      <c r="T453" s="1">
        <v>54900</v>
      </c>
      <c r="U453" s="1">
        <v>1600</v>
      </c>
      <c r="V453">
        <v>2.91</v>
      </c>
    </row>
    <row r="454" spans="4:22" x14ac:dyDescent="0.3">
      <c r="D454">
        <v>452</v>
      </c>
      <c r="E454">
        <v>336370</v>
      </c>
      <c r="F454" t="s">
        <v>469</v>
      </c>
      <c r="H454" s="1">
        <v>7540</v>
      </c>
      <c r="I454">
        <v>2</v>
      </c>
      <c r="J454">
        <v>90</v>
      </c>
      <c r="K454">
        <v>1.21</v>
      </c>
      <c r="L454" s="1">
        <v>9959</v>
      </c>
      <c r="M454">
        <v>75</v>
      </c>
      <c r="N454" s="1">
        <v>7542</v>
      </c>
      <c r="O454" s="1">
        <v>7460</v>
      </c>
      <c r="P454" s="1">
        <v>7600</v>
      </c>
      <c r="Q454" s="1">
        <v>7460</v>
      </c>
      <c r="R454" t="s">
        <v>710</v>
      </c>
      <c r="S454" s="3">
        <v>0.35365740740740742</v>
      </c>
      <c r="T454" s="1">
        <v>7450</v>
      </c>
      <c r="U454">
        <v>90</v>
      </c>
      <c r="V454">
        <v>1.21</v>
      </c>
    </row>
    <row r="455" spans="4:22" x14ac:dyDescent="0.3">
      <c r="D455">
        <v>453</v>
      </c>
      <c r="E455">
        <v>220100</v>
      </c>
      <c r="F455" t="s">
        <v>470</v>
      </c>
      <c r="H455" s="1">
        <v>23600</v>
      </c>
      <c r="I455">
        <v>2</v>
      </c>
      <c r="J455">
        <v>550</v>
      </c>
      <c r="K455">
        <v>2.39</v>
      </c>
      <c r="L455" s="1">
        <v>11691</v>
      </c>
      <c r="M455">
        <v>275</v>
      </c>
      <c r="N455" s="1">
        <v>23508</v>
      </c>
      <c r="O455" s="1">
        <v>23450</v>
      </c>
      <c r="P455" s="1">
        <v>23700</v>
      </c>
      <c r="Q455" s="1">
        <v>23300</v>
      </c>
      <c r="R455" t="s">
        <v>710</v>
      </c>
      <c r="S455" s="3">
        <v>0.3535300925925926</v>
      </c>
      <c r="T455" s="1">
        <v>23050</v>
      </c>
      <c r="U455">
        <v>550</v>
      </c>
      <c r="V455">
        <v>2.39</v>
      </c>
    </row>
    <row r="456" spans="4:22" x14ac:dyDescent="0.3">
      <c r="D456">
        <v>454</v>
      </c>
      <c r="E456">
        <v>1500</v>
      </c>
      <c r="F456" t="s">
        <v>471</v>
      </c>
      <c r="H456" s="1">
        <v>8510</v>
      </c>
      <c r="I456">
        <v>2</v>
      </c>
      <c r="J456">
        <v>120</v>
      </c>
      <c r="K456">
        <v>1.43</v>
      </c>
      <c r="L456" s="1">
        <v>6504</v>
      </c>
      <c r="M456">
        <v>55</v>
      </c>
      <c r="N456" s="1">
        <v>8500</v>
      </c>
      <c r="O456" s="1">
        <v>8400</v>
      </c>
      <c r="P456" s="1">
        <v>8550</v>
      </c>
      <c r="Q456" s="1">
        <v>8400</v>
      </c>
      <c r="R456" t="s">
        <v>710</v>
      </c>
      <c r="S456" s="3">
        <v>0.35348379629629628</v>
      </c>
      <c r="T456" s="1">
        <v>8390</v>
      </c>
      <c r="U456">
        <v>120</v>
      </c>
      <c r="V456">
        <v>1.43</v>
      </c>
    </row>
    <row r="457" spans="4:22" x14ac:dyDescent="0.3">
      <c r="D457">
        <v>455</v>
      </c>
      <c r="E457">
        <v>475400</v>
      </c>
      <c r="F457" t="s">
        <v>472</v>
      </c>
      <c r="H457" s="1">
        <v>44100</v>
      </c>
      <c r="I457">
        <v>2</v>
      </c>
      <c r="J457" s="1">
        <v>1400</v>
      </c>
      <c r="K457">
        <v>3.28</v>
      </c>
      <c r="L457" s="1">
        <v>159012</v>
      </c>
      <c r="M457" s="1">
        <v>7100</v>
      </c>
      <c r="N457" s="1">
        <v>44648</v>
      </c>
      <c r="O457" s="1">
        <v>43800</v>
      </c>
      <c r="P457" s="1">
        <v>45600</v>
      </c>
      <c r="Q457" s="1">
        <v>43800</v>
      </c>
      <c r="R457" t="s">
        <v>710</v>
      </c>
      <c r="S457" s="3">
        <v>0.35364583333333338</v>
      </c>
      <c r="T457" s="1">
        <v>42700</v>
      </c>
      <c r="U457" s="1">
        <v>1400</v>
      </c>
      <c r="V457">
        <v>3.28</v>
      </c>
    </row>
    <row r="458" spans="4:22" x14ac:dyDescent="0.3">
      <c r="D458">
        <v>456</v>
      </c>
      <c r="E458">
        <v>33240</v>
      </c>
      <c r="F458" t="s">
        <v>473</v>
      </c>
      <c r="H458" s="1">
        <v>23700</v>
      </c>
      <c r="I458">
        <v>2</v>
      </c>
      <c r="J458" s="1">
        <v>1000</v>
      </c>
      <c r="K458">
        <v>4.41</v>
      </c>
      <c r="L458" s="1">
        <v>36275</v>
      </c>
      <c r="M458">
        <v>856</v>
      </c>
      <c r="N458" s="1">
        <v>23585</v>
      </c>
      <c r="O458" s="1">
        <v>23300</v>
      </c>
      <c r="P458" s="1">
        <v>23750</v>
      </c>
      <c r="Q458" s="1">
        <v>23200</v>
      </c>
      <c r="R458" t="s">
        <v>710</v>
      </c>
      <c r="S458" s="3">
        <v>0.35362268518518519</v>
      </c>
      <c r="T458" s="1">
        <v>22700</v>
      </c>
      <c r="U458" s="1">
        <v>1000</v>
      </c>
      <c r="V458">
        <v>4.41</v>
      </c>
    </row>
    <row r="459" spans="4:22" x14ac:dyDescent="0.3">
      <c r="D459">
        <v>457</v>
      </c>
      <c r="E459">
        <v>16590</v>
      </c>
      <c r="F459" t="s">
        <v>474</v>
      </c>
      <c r="H459" s="1">
        <v>12760</v>
      </c>
      <c r="I459">
        <v>5</v>
      </c>
      <c r="J459">
        <v>100</v>
      </c>
      <c r="K459">
        <v>-0.78</v>
      </c>
      <c r="L459" s="1">
        <v>1113</v>
      </c>
      <c r="M459">
        <v>14</v>
      </c>
      <c r="N459" s="1">
        <v>12531</v>
      </c>
      <c r="O459" s="1">
        <v>12530</v>
      </c>
      <c r="P459" s="1">
        <v>12890</v>
      </c>
      <c r="Q459" s="1">
        <v>12530</v>
      </c>
      <c r="R459" t="s">
        <v>710</v>
      </c>
      <c r="S459" s="3">
        <v>0.35125000000000001</v>
      </c>
      <c r="T459" s="1">
        <v>12860</v>
      </c>
      <c r="U459">
        <v>-100</v>
      </c>
      <c r="V459">
        <v>-0.78</v>
      </c>
    </row>
    <row r="460" spans="4:22" x14ac:dyDescent="0.3">
      <c r="D460">
        <v>458</v>
      </c>
      <c r="E460">
        <v>89010</v>
      </c>
      <c r="F460" t="s">
        <v>475</v>
      </c>
      <c r="H460" s="1">
        <v>31350</v>
      </c>
      <c r="I460">
        <v>2</v>
      </c>
      <c r="J460">
        <v>550</v>
      </c>
      <c r="K460">
        <v>1.79</v>
      </c>
      <c r="L460" s="1">
        <v>25338</v>
      </c>
      <c r="M460">
        <v>795</v>
      </c>
      <c r="N460" s="1">
        <v>31371</v>
      </c>
      <c r="O460" s="1">
        <v>31800</v>
      </c>
      <c r="P460" s="1">
        <v>31800</v>
      </c>
      <c r="Q460" s="1">
        <v>31150</v>
      </c>
      <c r="R460" t="s">
        <v>710</v>
      </c>
      <c r="S460" s="3">
        <v>0.35358796296296297</v>
      </c>
      <c r="T460" s="1">
        <v>30800</v>
      </c>
      <c r="U460">
        <v>550</v>
      </c>
      <c r="V460">
        <v>1.79</v>
      </c>
    </row>
    <row r="461" spans="4:22" x14ac:dyDescent="0.3">
      <c r="D461">
        <v>459</v>
      </c>
      <c r="E461">
        <v>9900</v>
      </c>
      <c r="F461" t="s">
        <v>476</v>
      </c>
      <c r="H461" s="1">
        <v>9760</v>
      </c>
      <c r="I461">
        <v>2</v>
      </c>
      <c r="J461">
        <v>240</v>
      </c>
      <c r="K461">
        <v>2.52</v>
      </c>
      <c r="L461" s="1">
        <v>39987</v>
      </c>
      <c r="M461">
        <v>389</v>
      </c>
      <c r="N461" s="1">
        <v>9735</v>
      </c>
      <c r="O461" s="1">
        <v>9700</v>
      </c>
      <c r="P461" s="1">
        <v>9810</v>
      </c>
      <c r="Q461" s="1">
        <v>9620</v>
      </c>
      <c r="R461" t="s">
        <v>710</v>
      </c>
      <c r="S461" s="3">
        <v>0.35358796296296297</v>
      </c>
      <c r="T461" s="1">
        <v>9520</v>
      </c>
      <c r="U461">
        <v>240</v>
      </c>
      <c r="V461">
        <v>2.52</v>
      </c>
    </row>
    <row r="462" spans="4:22" x14ac:dyDescent="0.3">
      <c r="D462">
        <v>460</v>
      </c>
      <c r="E462">
        <v>4690</v>
      </c>
      <c r="F462" t="s">
        <v>477</v>
      </c>
      <c r="H462" s="1">
        <v>125900</v>
      </c>
      <c r="I462">
        <v>2</v>
      </c>
      <c r="J462" s="1">
        <v>1400</v>
      </c>
      <c r="K462">
        <v>1.1200000000000001</v>
      </c>
      <c r="L462" s="1">
        <v>1366</v>
      </c>
      <c r="M462">
        <v>172</v>
      </c>
      <c r="N462" s="1">
        <v>125616</v>
      </c>
      <c r="O462" s="1">
        <v>124300</v>
      </c>
      <c r="P462" s="1">
        <v>126900</v>
      </c>
      <c r="Q462" s="1">
        <v>124300</v>
      </c>
      <c r="R462" t="s">
        <v>710</v>
      </c>
      <c r="S462" s="3">
        <v>0.35317129629629629</v>
      </c>
      <c r="T462" s="1">
        <v>124500</v>
      </c>
      <c r="U462" s="1">
        <v>1400</v>
      </c>
      <c r="V462">
        <v>1.1200000000000001</v>
      </c>
    </row>
    <row r="463" spans="4:22" x14ac:dyDescent="0.3">
      <c r="D463">
        <v>461</v>
      </c>
      <c r="E463">
        <v>3030</v>
      </c>
      <c r="F463" t="s">
        <v>478</v>
      </c>
      <c r="H463" s="1">
        <v>123200</v>
      </c>
      <c r="I463">
        <v>2</v>
      </c>
      <c r="J463">
        <v>100</v>
      </c>
      <c r="K463">
        <v>0.08</v>
      </c>
      <c r="L463">
        <v>145</v>
      </c>
      <c r="M463">
        <v>18</v>
      </c>
      <c r="N463" s="1">
        <v>123448</v>
      </c>
      <c r="O463" s="1">
        <v>123800</v>
      </c>
      <c r="P463" s="1">
        <v>125200</v>
      </c>
      <c r="Q463" s="1">
        <v>123100</v>
      </c>
      <c r="R463" t="s">
        <v>710</v>
      </c>
      <c r="S463" s="3">
        <v>0.35146990740740741</v>
      </c>
      <c r="T463" s="1">
        <v>123100</v>
      </c>
      <c r="U463">
        <v>100</v>
      </c>
      <c r="V463">
        <v>0.08</v>
      </c>
    </row>
    <row r="464" spans="4:22" x14ac:dyDescent="0.3">
      <c r="D464">
        <v>462</v>
      </c>
      <c r="E464">
        <v>145720</v>
      </c>
      <c r="F464" t="s">
        <v>479</v>
      </c>
      <c r="H464" s="1">
        <v>45900</v>
      </c>
      <c r="I464">
        <v>3</v>
      </c>
      <c r="L464">
        <v>863</v>
      </c>
      <c r="M464">
        <v>40</v>
      </c>
      <c r="N464" s="1">
        <v>45997</v>
      </c>
      <c r="O464" s="1">
        <v>45900</v>
      </c>
      <c r="P464" s="1">
        <v>46100</v>
      </c>
      <c r="Q464" s="1">
        <v>45800</v>
      </c>
      <c r="R464" t="s">
        <v>710</v>
      </c>
      <c r="S464" s="3">
        <v>0.35293981481481485</v>
      </c>
      <c r="T464" s="1">
        <v>45900</v>
      </c>
    </row>
    <row r="465" spans="4:22" x14ac:dyDescent="0.3">
      <c r="D465">
        <v>463</v>
      </c>
      <c r="E465">
        <v>93050</v>
      </c>
      <c r="F465" t="s">
        <v>480</v>
      </c>
      <c r="H465" s="1">
        <v>17350</v>
      </c>
      <c r="I465">
        <v>2</v>
      </c>
      <c r="J465">
        <v>10</v>
      </c>
      <c r="K465">
        <v>0.06</v>
      </c>
      <c r="L465">
        <v>60</v>
      </c>
      <c r="M465">
        <v>1</v>
      </c>
      <c r="N465" s="1">
        <v>17350</v>
      </c>
      <c r="O465" s="1">
        <v>17350</v>
      </c>
      <c r="P465" s="1">
        <v>17350</v>
      </c>
      <c r="Q465" s="1">
        <v>17350</v>
      </c>
      <c r="R465" t="s">
        <v>710</v>
      </c>
      <c r="S465" s="3">
        <v>0.3532986111111111</v>
      </c>
      <c r="T465" s="1">
        <v>17340</v>
      </c>
      <c r="U465">
        <v>10</v>
      </c>
      <c r="V465">
        <v>0.06</v>
      </c>
    </row>
    <row r="466" spans="4:22" x14ac:dyDescent="0.3">
      <c r="D466">
        <v>464</v>
      </c>
      <c r="E466">
        <v>272290</v>
      </c>
      <c r="F466" t="s">
        <v>481</v>
      </c>
      <c r="H466" s="1">
        <v>25450</v>
      </c>
      <c r="I466">
        <v>2</v>
      </c>
      <c r="J466">
        <v>450</v>
      </c>
      <c r="K466">
        <v>1.8</v>
      </c>
      <c r="L466" s="1">
        <v>33488</v>
      </c>
      <c r="M466">
        <v>854</v>
      </c>
      <c r="N466" s="1">
        <v>25497</v>
      </c>
      <c r="O466" s="1">
        <v>25700</v>
      </c>
      <c r="P466" s="1">
        <v>25700</v>
      </c>
      <c r="Q466" s="1">
        <v>25350</v>
      </c>
      <c r="R466" t="s">
        <v>710</v>
      </c>
      <c r="S466" s="3">
        <v>0.3535300925925926</v>
      </c>
      <c r="T466" s="1">
        <v>25000</v>
      </c>
      <c r="U466">
        <v>450</v>
      </c>
      <c r="V466">
        <v>1.8</v>
      </c>
    </row>
    <row r="467" spans="4:22" x14ac:dyDescent="0.3">
      <c r="D467">
        <v>465</v>
      </c>
      <c r="E467">
        <v>284740</v>
      </c>
      <c r="F467" t="s">
        <v>482</v>
      </c>
      <c r="H467" s="1">
        <v>22600</v>
      </c>
      <c r="I467">
        <v>2</v>
      </c>
      <c r="J467">
        <v>150</v>
      </c>
      <c r="K467">
        <v>0.67</v>
      </c>
      <c r="L467">
        <v>42</v>
      </c>
      <c r="M467">
        <v>1</v>
      </c>
      <c r="N467" s="1">
        <v>22547</v>
      </c>
      <c r="O467" s="1">
        <v>22550</v>
      </c>
      <c r="P467" s="1">
        <v>22600</v>
      </c>
      <c r="Q467" s="1">
        <v>22450</v>
      </c>
      <c r="R467" t="s">
        <v>710</v>
      </c>
      <c r="S467" s="3">
        <v>0.35293981481481485</v>
      </c>
      <c r="T467" s="1">
        <v>22450</v>
      </c>
      <c r="U467">
        <v>150</v>
      </c>
      <c r="V467">
        <v>0.67</v>
      </c>
    </row>
    <row r="468" spans="4:22" x14ac:dyDescent="0.3">
      <c r="D468">
        <v>466</v>
      </c>
      <c r="E468">
        <v>199800</v>
      </c>
      <c r="F468" t="s">
        <v>483</v>
      </c>
      <c r="H468" s="1">
        <v>56400</v>
      </c>
      <c r="I468">
        <v>3</v>
      </c>
      <c r="L468" s="1">
        <v>1561</v>
      </c>
      <c r="M468">
        <v>88</v>
      </c>
      <c r="N468" s="1">
        <v>56501</v>
      </c>
      <c r="O468" s="1">
        <v>56800</v>
      </c>
      <c r="P468" s="1">
        <v>57100</v>
      </c>
      <c r="Q468" s="1">
        <v>56100</v>
      </c>
      <c r="R468" t="s">
        <v>710</v>
      </c>
      <c r="S468" s="3">
        <v>0.35357638888888893</v>
      </c>
      <c r="T468" s="1">
        <v>56400</v>
      </c>
    </row>
    <row r="469" spans="4:22" x14ac:dyDescent="0.3">
      <c r="D469">
        <v>467</v>
      </c>
      <c r="E469">
        <v>101730</v>
      </c>
      <c r="F469" t="s">
        <v>484</v>
      </c>
      <c r="H469" s="1">
        <v>6000</v>
      </c>
      <c r="I469">
        <v>2</v>
      </c>
      <c r="J469">
        <v>40</v>
      </c>
      <c r="K469">
        <v>0.67</v>
      </c>
      <c r="L469">
        <v>579</v>
      </c>
      <c r="M469">
        <v>3</v>
      </c>
      <c r="N469" s="1">
        <v>6014</v>
      </c>
      <c r="O469" s="1">
        <v>6030</v>
      </c>
      <c r="P469" s="1">
        <v>6040</v>
      </c>
      <c r="Q469" s="1">
        <v>6000</v>
      </c>
      <c r="R469" t="s">
        <v>710</v>
      </c>
      <c r="S469" s="3">
        <v>0.35348379629629628</v>
      </c>
      <c r="T469" s="1">
        <v>5960</v>
      </c>
      <c r="U469">
        <v>40</v>
      </c>
      <c r="V469">
        <v>0.67</v>
      </c>
    </row>
    <row r="470" spans="4:22" x14ac:dyDescent="0.3">
      <c r="D470">
        <v>468</v>
      </c>
      <c r="E470">
        <v>25320</v>
      </c>
      <c r="F470" t="s">
        <v>485</v>
      </c>
      <c r="H470" s="1">
        <v>5700</v>
      </c>
      <c r="I470">
        <v>2</v>
      </c>
      <c r="J470">
        <v>80</v>
      </c>
      <c r="K470">
        <v>1.42</v>
      </c>
      <c r="L470" s="1">
        <v>30883</v>
      </c>
      <c r="M470">
        <v>176</v>
      </c>
      <c r="N470" s="1">
        <v>5683</v>
      </c>
      <c r="O470" s="1">
        <v>5710</v>
      </c>
      <c r="P470" s="1">
        <v>5730</v>
      </c>
      <c r="Q470" s="1">
        <v>5670</v>
      </c>
      <c r="R470" t="s">
        <v>710</v>
      </c>
      <c r="S470" s="3">
        <v>0.3533101851851852</v>
      </c>
      <c r="T470" s="1">
        <v>5620</v>
      </c>
      <c r="U470">
        <v>80</v>
      </c>
      <c r="V470">
        <v>1.42</v>
      </c>
    </row>
    <row r="471" spans="4:22" x14ac:dyDescent="0.3">
      <c r="D471">
        <v>469</v>
      </c>
      <c r="E471">
        <v>253590</v>
      </c>
      <c r="F471" t="s">
        <v>486</v>
      </c>
      <c r="H471" s="1">
        <v>11330</v>
      </c>
      <c r="I471">
        <v>2</v>
      </c>
      <c r="J471">
        <v>260</v>
      </c>
      <c r="K471">
        <v>2.35</v>
      </c>
      <c r="L471" s="1">
        <v>75144</v>
      </c>
      <c r="M471">
        <v>851</v>
      </c>
      <c r="N471" s="1">
        <v>11327</v>
      </c>
      <c r="O471" s="1">
        <v>11300</v>
      </c>
      <c r="P471" s="1">
        <v>11450</v>
      </c>
      <c r="Q471" s="1">
        <v>11230</v>
      </c>
      <c r="R471" t="s">
        <v>710</v>
      </c>
      <c r="S471" s="3">
        <v>0.3536111111111111</v>
      </c>
      <c r="T471" s="1">
        <v>11070</v>
      </c>
      <c r="U471">
        <v>260</v>
      </c>
      <c r="V471">
        <v>2.35</v>
      </c>
    </row>
    <row r="472" spans="4:22" x14ac:dyDescent="0.3">
      <c r="D472">
        <v>470</v>
      </c>
      <c r="E472">
        <v>16800</v>
      </c>
      <c r="F472" t="s">
        <v>487</v>
      </c>
      <c r="H472" s="1">
        <v>43100</v>
      </c>
      <c r="I472">
        <v>5</v>
      </c>
      <c r="J472">
        <v>150</v>
      </c>
      <c r="K472">
        <v>-0.35</v>
      </c>
      <c r="L472">
        <v>1</v>
      </c>
      <c r="N472" s="1">
        <v>43100</v>
      </c>
      <c r="O472" s="1">
        <v>43100</v>
      </c>
      <c r="P472" s="1">
        <v>43100</v>
      </c>
      <c r="Q472" s="1">
        <v>43100</v>
      </c>
      <c r="R472" t="s">
        <v>710</v>
      </c>
      <c r="S472" s="3">
        <v>0.34314814814814815</v>
      </c>
      <c r="T472" s="1">
        <v>43250</v>
      </c>
      <c r="U472">
        <v>-150</v>
      </c>
      <c r="V472">
        <v>-0.35</v>
      </c>
    </row>
    <row r="473" spans="4:22" x14ac:dyDescent="0.3">
      <c r="D473">
        <v>471</v>
      </c>
      <c r="E473">
        <v>383310</v>
      </c>
      <c r="F473" t="s">
        <v>488</v>
      </c>
      <c r="H473" s="1">
        <v>23500</v>
      </c>
      <c r="I473">
        <v>2</v>
      </c>
      <c r="J473">
        <v>200</v>
      </c>
      <c r="K473">
        <v>0.86</v>
      </c>
      <c r="L473" s="1">
        <v>9172</v>
      </c>
      <c r="M473">
        <v>216</v>
      </c>
      <c r="N473" s="1">
        <v>23501</v>
      </c>
      <c r="O473" s="1">
        <v>23350</v>
      </c>
      <c r="P473" s="1">
        <v>23550</v>
      </c>
      <c r="Q473" s="1">
        <v>23300</v>
      </c>
      <c r="R473" t="s">
        <v>710</v>
      </c>
      <c r="S473" s="3">
        <v>0.35343750000000002</v>
      </c>
      <c r="T473" s="1">
        <v>23300</v>
      </c>
      <c r="U473">
        <v>200</v>
      </c>
      <c r="V473">
        <v>0.86</v>
      </c>
    </row>
    <row r="474" spans="4:22" x14ac:dyDescent="0.3">
      <c r="D474">
        <v>472</v>
      </c>
      <c r="E474">
        <v>83450</v>
      </c>
      <c r="F474" t="s">
        <v>489</v>
      </c>
      <c r="H474" s="1">
        <v>26700</v>
      </c>
      <c r="I474">
        <v>2</v>
      </c>
      <c r="J474">
        <v>650</v>
      </c>
      <c r="K474">
        <v>2.5</v>
      </c>
      <c r="L474" s="1">
        <v>27912</v>
      </c>
      <c r="M474">
        <v>748</v>
      </c>
      <c r="N474" s="1">
        <v>26789</v>
      </c>
      <c r="O474" s="1">
        <v>26500</v>
      </c>
      <c r="P474" s="1">
        <v>26950</v>
      </c>
      <c r="Q474" s="1">
        <v>26500</v>
      </c>
      <c r="R474" t="s">
        <v>710</v>
      </c>
      <c r="S474" s="3">
        <v>0.35362268518518519</v>
      </c>
      <c r="T474" s="1">
        <v>26050</v>
      </c>
      <c r="U474">
        <v>650</v>
      </c>
      <c r="V474">
        <v>2.5</v>
      </c>
    </row>
    <row r="475" spans="4:22" x14ac:dyDescent="0.3">
      <c r="D475">
        <v>473</v>
      </c>
      <c r="E475">
        <v>36620</v>
      </c>
      <c r="F475" t="s">
        <v>490</v>
      </c>
      <c r="H475" s="1">
        <v>5430</v>
      </c>
      <c r="I475">
        <v>2</v>
      </c>
      <c r="J475">
        <v>140</v>
      </c>
      <c r="K475">
        <v>2.65</v>
      </c>
      <c r="L475" s="1">
        <v>14833</v>
      </c>
      <c r="M475">
        <v>80</v>
      </c>
      <c r="N475" s="1">
        <v>5423</v>
      </c>
      <c r="O475" s="1">
        <v>5370</v>
      </c>
      <c r="P475" s="1">
        <v>5450</v>
      </c>
      <c r="Q475" s="1">
        <v>5370</v>
      </c>
      <c r="R475" t="s">
        <v>710</v>
      </c>
      <c r="S475" s="3">
        <v>0.35363425925925923</v>
      </c>
      <c r="T475" s="1">
        <v>5290</v>
      </c>
      <c r="U475">
        <v>140</v>
      </c>
      <c r="V475">
        <v>2.65</v>
      </c>
    </row>
    <row r="476" spans="4:22" x14ac:dyDescent="0.3">
      <c r="D476">
        <v>474</v>
      </c>
      <c r="E476">
        <v>17810</v>
      </c>
      <c r="F476" t="s">
        <v>491</v>
      </c>
      <c r="H476" s="1">
        <v>12890</v>
      </c>
      <c r="I476">
        <v>2</v>
      </c>
      <c r="J476">
        <v>60</v>
      </c>
      <c r="K476">
        <v>0.47</v>
      </c>
      <c r="L476" s="1">
        <v>3153</v>
      </c>
      <c r="M476">
        <v>41</v>
      </c>
      <c r="N476" s="1">
        <v>12929</v>
      </c>
      <c r="O476" s="1">
        <v>13240</v>
      </c>
      <c r="P476" s="1">
        <v>13240</v>
      </c>
      <c r="Q476" s="1">
        <v>12850</v>
      </c>
      <c r="R476" t="s">
        <v>710</v>
      </c>
      <c r="S476" s="3">
        <v>0.35333333333333333</v>
      </c>
      <c r="T476" s="1">
        <v>12830</v>
      </c>
      <c r="U476">
        <v>60</v>
      </c>
      <c r="V476">
        <v>0.47</v>
      </c>
    </row>
    <row r="477" spans="4:22" x14ac:dyDescent="0.3">
      <c r="D477">
        <v>475</v>
      </c>
      <c r="E477">
        <v>453340</v>
      </c>
      <c r="F477" t="s">
        <v>492</v>
      </c>
      <c r="H477" s="1">
        <v>14960</v>
      </c>
      <c r="I477">
        <v>2</v>
      </c>
      <c r="J477">
        <v>130</v>
      </c>
      <c r="K477">
        <v>0.88</v>
      </c>
      <c r="L477">
        <v>401</v>
      </c>
      <c r="M477">
        <v>6</v>
      </c>
      <c r="N477" s="1">
        <v>14948</v>
      </c>
      <c r="O477" s="1">
        <v>14950</v>
      </c>
      <c r="P477" s="1">
        <v>14990</v>
      </c>
      <c r="Q477" s="1">
        <v>14910</v>
      </c>
      <c r="R477" t="s">
        <v>710</v>
      </c>
      <c r="S477" s="3">
        <v>0.3507291666666667</v>
      </c>
      <c r="T477" s="1">
        <v>14830</v>
      </c>
      <c r="U477">
        <v>130</v>
      </c>
      <c r="V477">
        <v>0.88</v>
      </c>
    </row>
    <row r="478" spans="4:22" x14ac:dyDescent="0.3">
      <c r="D478">
        <v>476</v>
      </c>
      <c r="E478">
        <v>271940</v>
      </c>
      <c r="F478" t="s">
        <v>493</v>
      </c>
      <c r="H478" s="1">
        <v>13520</v>
      </c>
      <c r="I478">
        <v>2</v>
      </c>
      <c r="J478">
        <v>90</v>
      </c>
      <c r="K478">
        <v>0.67</v>
      </c>
      <c r="L478" s="1">
        <v>1154</v>
      </c>
      <c r="M478">
        <v>16</v>
      </c>
      <c r="N478" s="1">
        <v>13537</v>
      </c>
      <c r="O478" s="1">
        <v>13430</v>
      </c>
      <c r="P478" s="1">
        <v>13730</v>
      </c>
      <c r="Q478" s="1">
        <v>13430</v>
      </c>
      <c r="R478" t="s">
        <v>710</v>
      </c>
      <c r="S478" s="3">
        <v>0.35342592592592598</v>
      </c>
      <c r="T478" s="1">
        <v>13430</v>
      </c>
      <c r="U478">
        <v>90</v>
      </c>
      <c r="V478">
        <v>0.67</v>
      </c>
    </row>
    <row r="479" spans="4:22" x14ac:dyDescent="0.3">
      <c r="D479">
        <v>477</v>
      </c>
      <c r="E479">
        <v>230360</v>
      </c>
      <c r="F479" t="s">
        <v>494</v>
      </c>
      <c r="H479" s="1">
        <v>15800</v>
      </c>
      <c r="I479">
        <v>2</v>
      </c>
      <c r="J479">
        <v>10</v>
      </c>
      <c r="K479">
        <v>0.06</v>
      </c>
      <c r="L479" s="1">
        <v>2146</v>
      </c>
      <c r="M479">
        <v>34</v>
      </c>
      <c r="N479" s="1">
        <v>15790</v>
      </c>
      <c r="O479" s="1">
        <v>15790</v>
      </c>
      <c r="P479" s="1">
        <v>15800</v>
      </c>
      <c r="Q479" s="1">
        <v>15790</v>
      </c>
      <c r="R479" t="s">
        <v>710</v>
      </c>
      <c r="S479" s="3">
        <v>0.35280092592592593</v>
      </c>
      <c r="T479" s="1">
        <v>15790</v>
      </c>
      <c r="U479">
        <v>10</v>
      </c>
      <c r="V479">
        <v>0.06</v>
      </c>
    </row>
    <row r="480" spans="4:22" x14ac:dyDescent="0.3">
      <c r="D480">
        <v>478</v>
      </c>
      <c r="E480">
        <v>16610</v>
      </c>
      <c r="F480" t="s">
        <v>495</v>
      </c>
      <c r="H480" s="1">
        <v>11500</v>
      </c>
      <c r="I480">
        <v>2</v>
      </c>
      <c r="J480">
        <v>140</v>
      </c>
      <c r="K480">
        <v>1.23</v>
      </c>
      <c r="L480" s="1">
        <v>1884</v>
      </c>
      <c r="M480">
        <v>22</v>
      </c>
      <c r="N480" s="1">
        <v>11493</v>
      </c>
      <c r="O480" s="1">
        <v>11500</v>
      </c>
      <c r="P480" s="1">
        <v>11520</v>
      </c>
      <c r="Q480" s="1">
        <v>11400</v>
      </c>
      <c r="R480" t="s">
        <v>710</v>
      </c>
      <c r="S480" s="3">
        <v>0.35258101851851853</v>
      </c>
      <c r="T480" s="1">
        <v>11360</v>
      </c>
      <c r="U480">
        <v>140</v>
      </c>
      <c r="V480">
        <v>1.23</v>
      </c>
    </row>
    <row r="481" spans="4:22" x14ac:dyDescent="0.3">
      <c r="D481">
        <v>479</v>
      </c>
      <c r="E481">
        <v>14830</v>
      </c>
      <c r="F481" t="s">
        <v>496</v>
      </c>
      <c r="H481" s="1">
        <v>72100</v>
      </c>
      <c r="I481">
        <v>2</v>
      </c>
      <c r="J481">
        <v>300</v>
      </c>
      <c r="K481">
        <v>0.42</v>
      </c>
      <c r="L481">
        <v>751</v>
      </c>
      <c r="M481">
        <v>54</v>
      </c>
      <c r="N481" s="1">
        <v>72335</v>
      </c>
      <c r="O481" s="1">
        <v>71700</v>
      </c>
      <c r="P481" s="1">
        <v>72900</v>
      </c>
      <c r="Q481" s="1">
        <v>71500</v>
      </c>
      <c r="R481" t="s">
        <v>710</v>
      </c>
      <c r="S481" s="3">
        <v>0.35310185185185183</v>
      </c>
      <c r="T481" s="1">
        <v>71800</v>
      </c>
      <c r="U481">
        <v>300</v>
      </c>
      <c r="V481">
        <v>0.42</v>
      </c>
    </row>
    <row r="482" spans="4:22" x14ac:dyDescent="0.3">
      <c r="D482">
        <v>480</v>
      </c>
      <c r="E482">
        <v>199430</v>
      </c>
      <c r="F482" t="s">
        <v>497</v>
      </c>
      <c r="H482" s="1">
        <v>44100</v>
      </c>
      <c r="I482">
        <v>2</v>
      </c>
      <c r="J482" s="1">
        <v>3650</v>
      </c>
      <c r="K482">
        <v>9.02</v>
      </c>
      <c r="L482" s="1">
        <v>560568</v>
      </c>
      <c r="M482" s="1">
        <v>25036</v>
      </c>
      <c r="N482" s="1">
        <v>44662</v>
      </c>
      <c r="O482" s="1">
        <v>40900</v>
      </c>
      <c r="P482" s="1">
        <v>47200</v>
      </c>
      <c r="Q482" s="1">
        <v>40900</v>
      </c>
      <c r="R482" t="s">
        <v>710</v>
      </c>
      <c r="S482" s="3">
        <v>0.35364583333333338</v>
      </c>
      <c r="T482" s="1">
        <v>40450</v>
      </c>
      <c r="U482" s="1">
        <v>3650</v>
      </c>
      <c r="V482">
        <v>9.02</v>
      </c>
    </row>
    <row r="483" spans="4:22" x14ac:dyDescent="0.3">
      <c r="D483">
        <v>481</v>
      </c>
      <c r="E483">
        <v>448900</v>
      </c>
      <c r="F483" t="s">
        <v>498</v>
      </c>
      <c r="H483" s="1">
        <v>80200</v>
      </c>
      <c r="I483">
        <v>2</v>
      </c>
      <c r="J483" s="1">
        <v>1400</v>
      </c>
      <c r="K483">
        <v>1.78</v>
      </c>
      <c r="L483" s="1">
        <v>31628</v>
      </c>
      <c r="M483" s="1">
        <v>2553</v>
      </c>
      <c r="N483" s="1">
        <v>80720</v>
      </c>
      <c r="O483" s="1">
        <v>78600</v>
      </c>
      <c r="P483" s="1">
        <v>81300</v>
      </c>
      <c r="Q483" s="1">
        <v>78600</v>
      </c>
      <c r="R483" t="s">
        <v>710</v>
      </c>
      <c r="S483" s="3">
        <v>0.35364583333333338</v>
      </c>
      <c r="T483" s="1">
        <v>78800</v>
      </c>
      <c r="U483" s="1">
        <v>1400</v>
      </c>
      <c r="V483">
        <v>1.78</v>
      </c>
    </row>
    <row r="484" spans="4:22" x14ac:dyDescent="0.3">
      <c r="D484">
        <v>482</v>
      </c>
      <c r="E484">
        <v>79370</v>
      </c>
      <c r="F484" t="s">
        <v>499</v>
      </c>
      <c r="H484" s="1">
        <v>15510</v>
      </c>
      <c r="I484">
        <v>2</v>
      </c>
      <c r="J484">
        <v>380</v>
      </c>
      <c r="K484">
        <v>2.5099999999999998</v>
      </c>
      <c r="L484" s="1">
        <v>39231</v>
      </c>
      <c r="M484">
        <v>611</v>
      </c>
      <c r="N484" s="1">
        <v>15576</v>
      </c>
      <c r="O484" s="1">
        <v>15500</v>
      </c>
      <c r="P484" s="1">
        <v>15680</v>
      </c>
      <c r="Q484" s="1">
        <v>15490</v>
      </c>
      <c r="R484" t="s">
        <v>710</v>
      </c>
      <c r="S484" s="3">
        <v>0.35357638888888893</v>
      </c>
      <c r="T484" s="1">
        <v>15130</v>
      </c>
      <c r="U484">
        <v>380</v>
      </c>
      <c r="V484">
        <v>2.5099999999999998</v>
      </c>
    </row>
    <row r="485" spans="4:22" x14ac:dyDescent="0.3">
      <c r="D485">
        <v>483</v>
      </c>
      <c r="E485">
        <v>34310</v>
      </c>
      <c r="F485" t="s">
        <v>500</v>
      </c>
      <c r="H485" s="1">
        <v>13010</v>
      </c>
      <c r="I485">
        <v>2</v>
      </c>
      <c r="J485">
        <v>60</v>
      </c>
      <c r="K485">
        <v>0.46</v>
      </c>
      <c r="L485">
        <v>514</v>
      </c>
      <c r="M485">
        <v>7</v>
      </c>
      <c r="N485" s="1">
        <v>12955</v>
      </c>
      <c r="O485" s="1">
        <v>13080</v>
      </c>
      <c r="P485" s="1">
        <v>13080</v>
      </c>
      <c r="Q485" s="1">
        <v>12900</v>
      </c>
      <c r="R485" t="s">
        <v>710</v>
      </c>
      <c r="S485" s="3">
        <v>0.35199074074074077</v>
      </c>
      <c r="T485" s="1">
        <v>12950</v>
      </c>
      <c r="U485">
        <v>60</v>
      </c>
      <c r="V485">
        <v>0.46</v>
      </c>
    </row>
    <row r="486" spans="4:22" x14ac:dyDescent="0.3">
      <c r="D486">
        <v>484</v>
      </c>
      <c r="E486">
        <v>3300</v>
      </c>
      <c r="F486" t="s">
        <v>501</v>
      </c>
      <c r="H486" s="1">
        <v>15500</v>
      </c>
      <c r="I486">
        <v>2</v>
      </c>
      <c r="J486">
        <v>130</v>
      </c>
      <c r="K486">
        <v>0.85</v>
      </c>
      <c r="L486">
        <v>1</v>
      </c>
      <c r="N486" s="1">
        <v>15500</v>
      </c>
      <c r="O486" s="1">
        <v>15500</v>
      </c>
      <c r="P486" s="1">
        <v>15500</v>
      </c>
      <c r="Q486" s="1">
        <v>15500</v>
      </c>
      <c r="R486" t="s">
        <v>710</v>
      </c>
      <c r="S486" s="3">
        <v>0.34620370370370374</v>
      </c>
      <c r="T486" s="1">
        <v>15370</v>
      </c>
      <c r="U486">
        <v>130</v>
      </c>
      <c r="V486">
        <v>0.85</v>
      </c>
    </row>
    <row r="487" spans="4:22" x14ac:dyDescent="0.3">
      <c r="D487">
        <v>485</v>
      </c>
      <c r="E487">
        <v>459510</v>
      </c>
      <c r="F487" t="s">
        <v>502</v>
      </c>
      <c r="H487" s="1">
        <v>36750</v>
      </c>
      <c r="I487">
        <v>2</v>
      </c>
      <c r="J487" s="1">
        <v>1650</v>
      </c>
      <c r="K487">
        <v>4.7</v>
      </c>
      <c r="L487" s="1">
        <v>698829</v>
      </c>
      <c r="M487" s="1">
        <v>26113</v>
      </c>
      <c r="N487" s="1">
        <v>37366</v>
      </c>
      <c r="O487" s="1">
        <v>34600</v>
      </c>
      <c r="P487" s="1">
        <v>38200</v>
      </c>
      <c r="Q487" s="1">
        <v>34600</v>
      </c>
      <c r="R487" t="s">
        <v>710</v>
      </c>
      <c r="S487" s="3">
        <v>0.35365740740740742</v>
      </c>
      <c r="T487" s="1">
        <v>35100</v>
      </c>
      <c r="U487" s="1">
        <v>1650</v>
      </c>
      <c r="V487">
        <v>4.7</v>
      </c>
    </row>
    <row r="488" spans="4:22" x14ac:dyDescent="0.3">
      <c r="D488">
        <v>486</v>
      </c>
      <c r="E488">
        <v>200710</v>
      </c>
      <c r="F488" t="s">
        <v>503</v>
      </c>
      <c r="H488" s="1">
        <v>35350</v>
      </c>
      <c r="I488">
        <v>2</v>
      </c>
      <c r="J488" s="1">
        <v>1100</v>
      </c>
      <c r="K488">
        <v>3.21</v>
      </c>
      <c r="L488" s="1">
        <v>89615</v>
      </c>
      <c r="M488" s="1">
        <v>3180</v>
      </c>
      <c r="N488" s="1">
        <v>35482</v>
      </c>
      <c r="O488" s="1">
        <v>34500</v>
      </c>
      <c r="P488" s="1">
        <v>35750</v>
      </c>
      <c r="Q488" s="1">
        <v>34500</v>
      </c>
      <c r="R488" t="s">
        <v>710</v>
      </c>
      <c r="S488" s="3">
        <v>0.35365740740740742</v>
      </c>
      <c r="T488" s="1">
        <v>34250</v>
      </c>
      <c r="U488" s="1">
        <v>1100</v>
      </c>
      <c r="V488">
        <v>3.21</v>
      </c>
    </row>
    <row r="489" spans="4:22" x14ac:dyDescent="0.3">
      <c r="D489">
        <v>487</v>
      </c>
      <c r="E489">
        <v>145990</v>
      </c>
      <c r="F489" t="s">
        <v>504</v>
      </c>
      <c r="H489" s="1">
        <v>45700</v>
      </c>
      <c r="I489">
        <v>2</v>
      </c>
      <c r="J489">
        <v>600</v>
      </c>
      <c r="K489">
        <v>1.33</v>
      </c>
      <c r="L489">
        <v>127</v>
      </c>
      <c r="M489">
        <v>6</v>
      </c>
      <c r="N489" s="1">
        <v>45229</v>
      </c>
      <c r="O489" s="1">
        <v>45100</v>
      </c>
      <c r="P489" s="1">
        <v>45700</v>
      </c>
      <c r="Q489" s="1">
        <v>45100</v>
      </c>
      <c r="R489" t="s">
        <v>710</v>
      </c>
      <c r="S489" s="3">
        <v>0.34137731481481487</v>
      </c>
      <c r="T489" s="1">
        <v>45100</v>
      </c>
      <c r="U489">
        <v>600</v>
      </c>
      <c r="V489">
        <v>1.33</v>
      </c>
    </row>
    <row r="490" spans="4:22" x14ac:dyDescent="0.3">
      <c r="D490">
        <v>488</v>
      </c>
      <c r="E490">
        <v>50890</v>
      </c>
      <c r="F490" t="s">
        <v>505</v>
      </c>
      <c r="H490" s="1">
        <v>7720</v>
      </c>
      <c r="I490">
        <v>2</v>
      </c>
      <c r="J490">
        <v>170</v>
      </c>
      <c r="K490">
        <v>2.25</v>
      </c>
      <c r="L490" s="1">
        <v>137680</v>
      </c>
      <c r="M490" s="1">
        <v>1061</v>
      </c>
      <c r="N490" s="1">
        <v>7703</v>
      </c>
      <c r="O490" s="1">
        <v>7650</v>
      </c>
      <c r="P490" s="1">
        <v>7780</v>
      </c>
      <c r="Q490" s="1">
        <v>7610</v>
      </c>
      <c r="R490" t="s">
        <v>710</v>
      </c>
      <c r="S490" s="3">
        <v>0.35356481481481478</v>
      </c>
      <c r="T490" s="1">
        <v>7550</v>
      </c>
      <c r="U490">
        <v>170</v>
      </c>
      <c r="V490">
        <v>2.25</v>
      </c>
    </row>
    <row r="491" spans="4:22" x14ac:dyDescent="0.3">
      <c r="D491">
        <v>489</v>
      </c>
      <c r="E491">
        <v>39440</v>
      </c>
      <c r="F491" t="s">
        <v>506</v>
      </c>
      <c r="H491" s="1">
        <v>30200</v>
      </c>
      <c r="I491">
        <v>2</v>
      </c>
      <c r="J491" s="1">
        <v>1350</v>
      </c>
      <c r="K491">
        <v>4.68</v>
      </c>
      <c r="L491" s="1">
        <v>71946</v>
      </c>
      <c r="M491" s="1">
        <v>2158</v>
      </c>
      <c r="N491" s="1">
        <v>29993</v>
      </c>
      <c r="O491" s="1">
        <v>29400</v>
      </c>
      <c r="P491" s="1">
        <v>30200</v>
      </c>
      <c r="Q491" s="1">
        <v>29250</v>
      </c>
      <c r="R491" t="s">
        <v>710</v>
      </c>
      <c r="S491" s="3">
        <v>0.35364583333333338</v>
      </c>
      <c r="T491" s="1">
        <v>28850</v>
      </c>
      <c r="U491" s="1">
        <v>1350</v>
      </c>
      <c r="V491">
        <v>4.68</v>
      </c>
    </row>
    <row r="492" spans="4:22" x14ac:dyDescent="0.3">
      <c r="D492">
        <v>490</v>
      </c>
      <c r="E492">
        <v>394800</v>
      </c>
      <c r="F492" t="s">
        <v>507</v>
      </c>
      <c r="H492" s="1">
        <v>14720</v>
      </c>
      <c r="I492">
        <v>2</v>
      </c>
      <c r="J492">
        <v>460</v>
      </c>
      <c r="K492">
        <v>3.23</v>
      </c>
      <c r="L492" s="1">
        <v>107481</v>
      </c>
      <c r="M492" s="1">
        <v>1585</v>
      </c>
      <c r="N492" s="1">
        <v>14747</v>
      </c>
      <c r="O492" s="1">
        <v>14500</v>
      </c>
      <c r="P492" s="1">
        <v>14950</v>
      </c>
      <c r="Q492" s="1">
        <v>14330</v>
      </c>
      <c r="R492" t="s">
        <v>710</v>
      </c>
      <c r="S492" s="3">
        <v>0.35365740740740742</v>
      </c>
      <c r="T492" s="1">
        <v>14260</v>
      </c>
      <c r="U492">
        <v>460</v>
      </c>
      <c r="V492">
        <v>3.23</v>
      </c>
    </row>
    <row r="493" spans="4:22" x14ac:dyDescent="0.3">
      <c r="D493">
        <v>491</v>
      </c>
      <c r="E493">
        <v>170900</v>
      </c>
      <c r="F493" t="s">
        <v>508</v>
      </c>
      <c r="H493" s="1">
        <v>49950</v>
      </c>
      <c r="I493">
        <v>2</v>
      </c>
      <c r="J493">
        <v>500</v>
      </c>
      <c r="K493">
        <v>1.01</v>
      </c>
      <c r="L493">
        <v>135</v>
      </c>
      <c r="M493">
        <v>7</v>
      </c>
      <c r="N493" s="1">
        <v>49762</v>
      </c>
      <c r="O493" s="1">
        <v>49350</v>
      </c>
      <c r="P493" s="1">
        <v>50000</v>
      </c>
      <c r="Q493" s="1">
        <v>49350</v>
      </c>
      <c r="R493" t="s">
        <v>710</v>
      </c>
      <c r="S493" s="3">
        <v>0.35099537037037037</v>
      </c>
      <c r="T493" s="1">
        <v>49450</v>
      </c>
      <c r="U493">
        <v>500</v>
      </c>
      <c r="V493">
        <v>1.01</v>
      </c>
    </row>
    <row r="494" spans="4:22" x14ac:dyDescent="0.3">
      <c r="D494">
        <v>492</v>
      </c>
      <c r="E494">
        <v>4700</v>
      </c>
      <c r="F494" t="s">
        <v>509</v>
      </c>
      <c r="H494" s="1">
        <v>70200</v>
      </c>
      <c r="I494">
        <v>5</v>
      </c>
      <c r="J494">
        <v>100</v>
      </c>
      <c r="K494">
        <v>-0.14000000000000001</v>
      </c>
      <c r="L494">
        <v>264</v>
      </c>
      <c r="M494">
        <v>19</v>
      </c>
      <c r="N494" s="1">
        <v>70869</v>
      </c>
      <c r="O494" s="1">
        <v>71000</v>
      </c>
      <c r="P494" s="1">
        <v>71200</v>
      </c>
      <c r="Q494" s="1">
        <v>70100</v>
      </c>
      <c r="R494" t="s">
        <v>710</v>
      </c>
      <c r="S494" s="3">
        <v>0.35299768518518521</v>
      </c>
      <c r="T494" s="1">
        <v>70300</v>
      </c>
      <c r="U494">
        <v>-100</v>
      </c>
      <c r="V494">
        <v>-0.14000000000000001</v>
      </c>
    </row>
    <row r="495" spans="4:22" x14ac:dyDescent="0.3">
      <c r="D495">
        <v>493</v>
      </c>
      <c r="E495">
        <v>450950</v>
      </c>
      <c r="F495" t="s">
        <v>510</v>
      </c>
      <c r="H495" s="1">
        <v>12400</v>
      </c>
      <c r="I495">
        <v>2</v>
      </c>
      <c r="J495">
        <v>120</v>
      </c>
      <c r="K495">
        <v>0.98</v>
      </c>
      <c r="L495" s="1">
        <v>2328</v>
      </c>
      <c r="M495">
        <v>29</v>
      </c>
      <c r="N495" s="1">
        <v>12364</v>
      </c>
      <c r="O495" s="1">
        <v>12280</v>
      </c>
      <c r="P495" s="1">
        <v>12430</v>
      </c>
      <c r="Q495" s="1">
        <v>12280</v>
      </c>
      <c r="R495" t="s">
        <v>710</v>
      </c>
      <c r="S495" s="3">
        <v>0.35364583333333338</v>
      </c>
      <c r="T495" s="1">
        <v>12280</v>
      </c>
      <c r="U495">
        <v>120</v>
      </c>
      <c r="V495">
        <v>0.98</v>
      </c>
    </row>
    <row r="496" spans="4:22" x14ac:dyDescent="0.3">
      <c r="D496">
        <v>494</v>
      </c>
      <c r="E496">
        <v>29530</v>
      </c>
      <c r="F496" t="s">
        <v>511</v>
      </c>
      <c r="H496" s="1">
        <v>46000</v>
      </c>
      <c r="I496">
        <v>3</v>
      </c>
      <c r="L496">
        <v>30</v>
      </c>
      <c r="M496">
        <v>1</v>
      </c>
      <c r="N496" s="1">
        <v>46085</v>
      </c>
      <c r="O496" s="1">
        <v>46100</v>
      </c>
      <c r="P496" s="1">
        <v>46100</v>
      </c>
      <c r="Q496" s="1">
        <v>46000</v>
      </c>
      <c r="R496" t="s">
        <v>710</v>
      </c>
      <c r="S496" s="3">
        <v>0.34837962962962959</v>
      </c>
      <c r="T496" s="1">
        <v>46000</v>
      </c>
    </row>
    <row r="497" spans="4:22" x14ac:dyDescent="0.3">
      <c r="D497">
        <v>495</v>
      </c>
      <c r="E497">
        <v>45100</v>
      </c>
      <c r="F497" t="s">
        <v>512</v>
      </c>
      <c r="H497" s="1">
        <v>25400</v>
      </c>
      <c r="I497">
        <v>2</v>
      </c>
      <c r="J497">
        <v>300</v>
      </c>
      <c r="K497">
        <v>1.2</v>
      </c>
      <c r="L497" s="1">
        <v>12565</v>
      </c>
      <c r="M497">
        <v>320</v>
      </c>
      <c r="N497" s="1">
        <v>25467</v>
      </c>
      <c r="O497" s="1">
        <v>25500</v>
      </c>
      <c r="P497" s="1">
        <v>25950</v>
      </c>
      <c r="Q497" s="1">
        <v>25200</v>
      </c>
      <c r="R497" t="s">
        <v>710</v>
      </c>
      <c r="S497" s="3">
        <v>0.35348379629629628</v>
      </c>
      <c r="T497" s="1">
        <v>25100</v>
      </c>
      <c r="U497">
        <v>300</v>
      </c>
      <c r="V497">
        <v>1.2</v>
      </c>
    </row>
    <row r="498" spans="4:22" x14ac:dyDescent="0.3">
      <c r="D498">
        <v>496</v>
      </c>
      <c r="E498">
        <v>178920</v>
      </c>
      <c r="F498" t="s">
        <v>513</v>
      </c>
      <c r="H498" s="1">
        <v>15500</v>
      </c>
      <c r="I498">
        <v>2</v>
      </c>
      <c r="J498">
        <v>90</v>
      </c>
      <c r="K498">
        <v>0.57999999999999996</v>
      </c>
      <c r="L498" s="1">
        <v>2480</v>
      </c>
      <c r="M498">
        <v>38</v>
      </c>
      <c r="N498" s="1">
        <v>15515</v>
      </c>
      <c r="O498" s="1">
        <v>15540</v>
      </c>
      <c r="P498" s="1">
        <v>15540</v>
      </c>
      <c r="Q498" s="1">
        <v>15500</v>
      </c>
      <c r="R498" t="s">
        <v>710</v>
      </c>
      <c r="S498" s="3">
        <v>0.35356481481481478</v>
      </c>
      <c r="T498" s="1">
        <v>15410</v>
      </c>
      <c r="U498">
        <v>90</v>
      </c>
      <c r="V498">
        <v>0.57999999999999996</v>
      </c>
    </row>
    <row r="499" spans="4:22" x14ac:dyDescent="0.3">
      <c r="D499">
        <v>497</v>
      </c>
      <c r="E499">
        <v>70</v>
      </c>
      <c r="F499" t="s">
        <v>514</v>
      </c>
      <c r="H499" s="1">
        <v>58600</v>
      </c>
      <c r="I499">
        <v>2</v>
      </c>
      <c r="J499">
        <v>500</v>
      </c>
      <c r="K499">
        <v>0.86</v>
      </c>
      <c r="L499">
        <v>32</v>
      </c>
      <c r="M499">
        <v>2</v>
      </c>
      <c r="N499" s="1">
        <v>58759</v>
      </c>
      <c r="O499" s="1">
        <v>59300</v>
      </c>
      <c r="P499" s="1">
        <v>59300</v>
      </c>
      <c r="Q499" s="1">
        <v>58500</v>
      </c>
      <c r="R499" t="s">
        <v>710</v>
      </c>
      <c r="S499" s="3">
        <v>0.35340277777777779</v>
      </c>
      <c r="T499" s="1">
        <v>58100</v>
      </c>
      <c r="U499">
        <v>500</v>
      </c>
      <c r="V499">
        <v>0.86</v>
      </c>
    </row>
    <row r="500" spans="4:22" x14ac:dyDescent="0.3">
      <c r="D500">
        <v>498</v>
      </c>
      <c r="E500">
        <v>200880</v>
      </c>
      <c r="F500" t="s">
        <v>515</v>
      </c>
      <c r="H500" s="1">
        <v>16640</v>
      </c>
      <c r="I500">
        <v>2</v>
      </c>
      <c r="J500">
        <v>430</v>
      </c>
      <c r="K500">
        <v>2.65</v>
      </c>
      <c r="L500" s="1">
        <v>320847</v>
      </c>
      <c r="M500" s="1">
        <v>5308</v>
      </c>
      <c r="N500" s="1">
        <v>16542</v>
      </c>
      <c r="O500" s="1">
        <v>16240</v>
      </c>
      <c r="P500" s="1">
        <v>16750</v>
      </c>
      <c r="Q500" s="1">
        <v>16240</v>
      </c>
      <c r="R500" t="s">
        <v>710</v>
      </c>
      <c r="S500" s="3">
        <v>0.35365740740740742</v>
      </c>
      <c r="T500" s="1">
        <v>16210</v>
      </c>
      <c r="U500">
        <v>430</v>
      </c>
      <c r="V500">
        <v>2.65</v>
      </c>
    </row>
    <row r="501" spans="4:22" x14ac:dyDescent="0.3">
      <c r="D501">
        <v>499</v>
      </c>
      <c r="E501">
        <v>104830</v>
      </c>
      <c r="F501" t="s">
        <v>516</v>
      </c>
      <c r="H501" s="1">
        <v>35650</v>
      </c>
      <c r="I501">
        <v>2</v>
      </c>
      <c r="J501" s="1">
        <v>1150</v>
      </c>
      <c r="K501">
        <v>3.33</v>
      </c>
      <c r="L501" s="1">
        <v>11933</v>
      </c>
      <c r="M501">
        <v>427</v>
      </c>
      <c r="N501" s="1">
        <v>35813</v>
      </c>
      <c r="O501" s="1">
        <v>35100</v>
      </c>
      <c r="P501" s="1">
        <v>36450</v>
      </c>
      <c r="Q501" s="1">
        <v>35100</v>
      </c>
      <c r="R501" t="s">
        <v>710</v>
      </c>
      <c r="S501" s="3">
        <v>0.35358796296296297</v>
      </c>
      <c r="T501" s="1">
        <v>34500</v>
      </c>
      <c r="U501" s="1">
        <v>1150</v>
      </c>
      <c r="V501">
        <v>3.33</v>
      </c>
    </row>
    <row r="502" spans="4:22" x14ac:dyDescent="0.3">
      <c r="D502">
        <v>500</v>
      </c>
      <c r="E502">
        <v>60980</v>
      </c>
      <c r="F502" t="s">
        <v>517</v>
      </c>
      <c r="H502" s="1">
        <v>48400</v>
      </c>
      <c r="I502">
        <v>2</v>
      </c>
      <c r="J502" s="1">
        <v>1500</v>
      </c>
      <c r="K502">
        <v>3.2</v>
      </c>
      <c r="L502" s="1">
        <v>6872</v>
      </c>
      <c r="M502">
        <v>330</v>
      </c>
      <c r="N502" s="1">
        <v>48073</v>
      </c>
      <c r="O502" s="1">
        <v>47100</v>
      </c>
      <c r="P502" s="1">
        <v>48450</v>
      </c>
      <c r="Q502" s="1">
        <v>47050</v>
      </c>
      <c r="R502" t="s">
        <v>710</v>
      </c>
      <c r="S502" s="3">
        <v>0.35320601851851857</v>
      </c>
      <c r="T502" s="1">
        <v>46900</v>
      </c>
      <c r="U502" s="1">
        <v>1500</v>
      </c>
      <c r="V502">
        <v>3.2</v>
      </c>
    </row>
    <row r="503" spans="4:22" x14ac:dyDescent="0.3">
      <c r="D503">
        <v>501</v>
      </c>
      <c r="E503">
        <v>53030</v>
      </c>
      <c r="F503" t="s">
        <v>518</v>
      </c>
      <c r="H503" s="1">
        <v>13580</v>
      </c>
      <c r="I503">
        <v>2</v>
      </c>
      <c r="J503">
        <v>170</v>
      </c>
      <c r="K503">
        <v>1.27</v>
      </c>
      <c r="L503" s="1">
        <v>10757</v>
      </c>
      <c r="M503">
        <v>146</v>
      </c>
      <c r="N503" s="1">
        <v>13546</v>
      </c>
      <c r="O503" s="1">
        <v>13580</v>
      </c>
      <c r="P503" s="1">
        <v>13590</v>
      </c>
      <c r="Q503" s="1">
        <v>13430</v>
      </c>
      <c r="R503" t="s">
        <v>710</v>
      </c>
      <c r="S503" s="3">
        <v>0.35355324074074074</v>
      </c>
      <c r="T503" s="1">
        <v>13410</v>
      </c>
      <c r="U503">
        <v>170</v>
      </c>
      <c r="V503">
        <v>1.27</v>
      </c>
    </row>
    <row r="504" spans="4:22" x14ac:dyDescent="0.3">
      <c r="D504">
        <v>502</v>
      </c>
      <c r="E504">
        <v>200670</v>
      </c>
      <c r="F504" t="s">
        <v>519</v>
      </c>
      <c r="H504" s="1">
        <v>39500</v>
      </c>
      <c r="I504">
        <v>3</v>
      </c>
      <c r="L504" s="1">
        <v>3793</v>
      </c>
      <c r="M504">
        <v>149</v>
      </c>
      <c r="N504" s="1">
        <v>39309</v>
      </c>
      <c r="O504" s="1">
        <v>39850</v>
      </c>
      <c r="P504" s="1">
        <v>39850</v>
      </c>
      <c r="Q504" s="1">
        <v>38800</v>
      </c>
      <c r="R504" t="s">
        <v>710</v>
      </c>
      <c r="S504" s="3">
        <v>0.35164351851851849</v>
      </c>
      <c r="T504" s="1">
        <v>39500</v>
      </c>
    </row>
    <row r="505" spans="4:22" x14ac:dyDescent="0.3">
      <c r="D505">
        <v>503</v>
      </c>
      <c r="E505">
        <v>34950</v>
      </c>
      <c r="F505" t="s">
        <v>520</v>
      </c>
      <c r="H505" s="1">
        <v>97300</v>
      </c>
      <c r="I505">
        <v>5</v>
      </c>
      <c r="J505">
        <v>300</v>
      </c>
      <c r="K505">
        <v>-0.31</v>
      </c>
      <c r="L505">
        <v>56</v>
      </c>
      <c r="M505">
        <v>5</v>
      </c>
      <c r="N505" s="1">
        <v>97389</v>
      </c>
      <c r="O505" s="1">
        <v>97400</v>
      </c>
      <c r="P505" s="1">
        <v>97400</v>
      </c>
      <c r="Q505" s="1">
        <v>97300</v>
      </c>
      <c r="R505" t="s">
        <v>710</v>
      </c>
      <c r="S505" s="3">
        <v>0.34957175925925926</v>
      </c>
      <c r="T505" s="1">
        <v>97600</v>
      </c>
      <c r="U505">
        <v>-300</v>
      </c>
      <c r="V505">
        <v>-0.31</v>
      </c>
    </row>
    <row r="506" spans="4:22" x14ac:dyDescent="0.3">
      <c r="D506">
        <v>504</v>
      </c>
      <c r="E506">
        <v>58970</v>
      </c>
      <c r="F506" t="s">
        <v>521</v>
      </c>
      <c r="H506" s="1">
        <v>35650</v>
      </c>
      <c r="I506">
        <v>2</v>
      </c>
      <c r="J506">
        <v>800</v>
      </c>
      <c r="K506">
        <v>2.2999999999999998</v>
      </c>
      <c r="L506" s="1">
        <v>5637</v>
      </c>
      <c r="M506">
        <v>201</v>
      </c>
      <c r="N506" s="1">
        <v>35673</v>
      </c>
      <c r="O506" s="1">
        <v>35100</v>
      </c>
      <c r="P506" s="1">
        <v>35850</v>
      </c>
      <c r="Q506" s="1">
        <v>34900</v>
      </c>
      <c r="R506" t="s">
        <v>710</v>
      </c>
      <c r="S506" s="3">
        <v>0.35297453703703702</v>
      </c>
      <c r="T506" s="1">
        <v>34850</v>
      </c>
      <c r="U506">
        <v>800</v>
      </c>
      <c r="V506">
        <v>2.2999999999999998</v>
      </c>
    </row>
    <row r="507" spans="4:22" x14ac:dyDescent="0.3">
      <c r="D507">
        <v>505</v>
      </c>
      <c r="E507">
        <v>98070</v>
      </c>
      <c r="F507" t="s">
        <v>522</v>
      </c>
      <c r="H507" s="1">
        <v>39550</v>
      </c>
      <c r="I507">
        <v>2</v>
      </c>
      <c r="J507" s="1">
        <v>2000</v>
      </c>
      <c r="K507">
        <v>5.33</v>
      </c>
      <c r="L507" s="1">
        <v>137161</v>
      </c>
      <c r="M507" s="1">
        <v>5476</v>
      </c>
      <c r="N507" s="1">
        <v>39923</v>
      </c>
      <c r="O507" s="1">
        <v>38650</v>
      </c>
      <c r="P507" s="1">
        <v>40650</v>
      </c>
      <c r="Q507" s="1">
        <v>38650</v>
      </c>
      <c r="R507" t="s">
        <v>710</v>
      </c>
      <c r="S507" s="3">
        <v>0.3536111111111111</v>
      </c>
      <c r="T507" s="1">
        <v>37550</v>
      </c>
      <c r="U507" s="1">
        <v>2000</v>
      </c>
      <c r="V507">
        <v>5.33</v>
      </c>
    </row>
    <row r="508" spans="4:22" x14ac:dyDescent="0.3">
      <c r="D508">
        <v>506</v>
      </c>
      <c r="E508">
        <v>5610</v>
      </c>
      <c r="F508" t="s">
        <v>523</v>
      </c>
      <c r="H508" s="1">
        <v>50300</v>
      </c>
      <c r="I508">
        <v>2</v>
      </c>
      <c r="J508">
        <v>300</v>
      </c>
      <c r="K508">
        <v>0.6</v>
      </c>
      <c r="L508">
        <v>23</v>
      </c>
      <c r="M508">
        <v>1</v>
      </c>
      <c r="N508" s="1">
        <v>50391</v>
      </c>
      <c r="O508" s="1">
        <v>50500</v>
      </c>
      <c r="P508" s="1">
        <v>50500</v>
      </c>
      <c r="Q508" s="1">
        <v>50300</v>
      </c>
      <c r="R508" t="s">
        <v>710</v>
      </c>
      <c r="S508" s="3">
        <v>0.35106481481481483</v>
      </c>
      <c r="T508" s="1">
        <v>50000</v>
      </c>
      <c r="U508">
        <v>300</v>
      </c>
      <c r="V508">
        <v>0.6</v>
      </c>
    </row>
    <row r="509" spans="4:22" x14ac:dyDescent="0.3">
      <c r="D509">
        <v>507</v>
      </c>
      <c r="E509">
        <v>6220</v>
      </c>
      <c r="F509" t="s">
        <v>524</v>
      </c>
      <c r="H509" s="1">
        <v>11450</v>
      </c>
      <c r="I509">
        <v>2</v>
      </c>
      <c r="J509">
        <v>100</v>
      </c>
      <c r="K509">
        <v>0.88</v>
      </c>
      <c r="L509" s="1">
        <v>4264</v>
      </c>
      <c r="M509">
        <v>49</v>
      </c>
      <c r="N509" s="1">
        <v>11472</v>
      </c>
      <c r="O509" s="1">
        <v>11600</v>
      </c>
      <c r="P509" s="1">
        <v>11600</v>
      </c>
      <c r="Q509" s="1">
        <v>11410</v>
      </c>
      <c r="R509" t="s">
        <v>710</v>
      </c>
      <c r="S509" s="3">
        <v>0.35357638888888893</v>
      </c>
      <c r="T509" s="1">
        <v>11350</v>
      </c>
      <c r="U509">
        <v>100</v>
      </c>
      <c r="V509">
        <v>0.88</v>
      </c>
    </row>
    <row r="510" spans="4:22" x14ac:dyDescent="0.3">
      <c r="D510">
        <v>508</v>
      </c>
      <c r="E510">
        <v>183190</v>
      </c>
      <c r="F510" t="s">
        <v>525</v>
      </c>
      <c r="H510" s="1">
        <v>11650</v>
      </c>
      <c r="I510">
        <v>2</v>
      </c>
      <c r="J510">
        <v>50</v>
      </c>
      <c r="K510">
        <v>0.43</v>
      </c>
      <c r="L510">
        <v>140</v>
      </c>
      <c r="M510">
        <v>2</v>
      </c>
      <c r="N510" s="1">
        <v>11625</v>
      </c>
      <c r="O510" s="1">
        <v>11600</v>
      </c>
      <c r="P510" s="1">
        <v>11650</v>
      </c>
      <c r="Q510" s="1">
        <v>11600</v>
      </c>
      <c r="R510" t="s">
        <v>710</v>
      </c>
      <c r="S510" s="3">
        <v>0.34899305555555554</v>
      </c>
      <c r="T510" s="1">
        <v>11600</v>
      </c>
      <c r="U510">
        <v>50</v>
      </c>
      <c r="V510">
        <v>0.43</v>
      </c>
    </row>
    <row r="511" spans="4:22" x14ac:dyDescent="0.3">
      <c r="D511">
        <v>509</v>
      </c>
      <c r="E511">
        <v>309710</v>
      </c>
      <c r="F511" t="s">
        <v>526</v>
      </c>
      <c r="H511" s="1">
        <v>33650</v>
      </c>
      <c r="I511">
        <v>2</v>
      </c>
      <c r="J511" s="1">
        <v>2350</v>
      </c>
      <c r="K511">
        <v>7.51</v>
      </c>
      <c r="L511" s="1">
        <v>39891</v>
      </c>
      <c r="M511" s="1">
        <v>1305</v>
      </c>
      <c r="N511" s="1">
        <v>32711</v>
      </c>
      <c r="O511" s="1">
        <v>32000</v>
      </c>
      <c r="P511" s="1">
        <v>33900</v>
      </c>
      <c r="Q511" s="1">
        <v>31700</v>
      </c>
      <c r="R511" t="s">
        <v>710</v>
      </c>
      <c r="S511" s="3">
        <v>0.35365740740740742</v>
      </c>
      <c r="T511" s="1">
        <v>31300</v>
      </c>
      <c r="U511" s="1">
        <v>2350</v>
      </c>
      <c r="V511">
        <v>7.51</v>
      </c>
    </row>
    <row r="512" spans="4:22" x14ac:dyDescent="0.3">
      <c r="D512">
        <v>510</v>
      </c>
      <c r="E512">
        <v>59090</v>
      </c>
      <c r="F512" t="s">
        <v>527</v>
      </c>
      <c r="H512" s="1">
        <v>12820</v>
      </c>
      <c r="I512">
        <v>2</v>
      </c>
      <c r="J512">
        <v>260</v>
      </c>
      <c r="K512">
        <v>2.0699999999999998</v>
      </c>
      <c r="L512" s="1">
        <v>19529</v>
      </c>
      <c r="M512">
        <v>250</v>
      </c>
      <c r="N512" s="1">
        <v>12778</v>
      </c>
      <c r="O512" s="1">
        <v>12870</v>
      </c>
      <c r="P512" s="1">
        <v>12870</v>
      </c>
      <c r="Q512" s="1">
        <v>12680</v>
      </c>
      <c r="R512" t="s">
        <v>710</v>
      </c>
      <c r="S512" s="3">
        <v>0.35339120370370369</v>
      </c>
      <c r="T512" s="1">
        <v>12560</v>
      </c>
      <c r="U512">
        <v>260</v>
      </c>
      <c r="V512">
        <v>2.0699999999999998</v>
      </c>
    </row>
    <row r="513" spans="4:22" x14ac:dyDescent="0.3">
      <c r="D513">
        <v>511</v>
      </c>
      <c r="E513">
        <v>344820</v>
      </c>
      <c r="F513" t="s">
        <v>528</v>
      </c>
      <c r="H513" s="1">
        <v>26800</v>
      </c>
      <c r="I513">
        <v>2</v>
      </c>
      <c r="J513">
        <v>200</v>
      </c>
      <c r="K513">
        <v>0.75</v>
      </c>
      <c r="L513">
        <v>153</v>
      </c>
      <c r="M513">
        <v>4</v>
      </c>
      <c r="N513" s="1">
        <v>26955</v>
      </c>
      <c r="O513" s="1">
        <v>26850</v>
      </c>
      <c r="P513" s="1">
        <v>27000</v>
      </c>
      <c r="Q513" s="1">
        <v>26800</v>
      </c>
      <c r="R513" t="s">
        <v>710</v>
      </c>
      <c r="S513" s="3">
        <v>0.35221064814814818</v>
      </c>
      <c r="T513" s="1">
        <v>26600</v>
      </c>
      <c r="U513">
        <v>200</v>
      </c>
      <c r="V513">
        <v>0.75</v>
      </c>
    </row>
    <row r="514" spans="4:22" x14ac:dyDescent="0.3">
      <c r="D514">
        <v>512</v>
      </c>
      <c r="E514">
        <v>79940</v>
      </c>
      <c r="F514" t="s">
        <v>529</v>
      </c>
      <c r="H514" s="1">
        <v>31750</v>
      </c>
      <c r="I514">
        <v>2</v>
      </c>
      <c r="J514">
        <v>850</v>
      </c>
      <c r="K514">
        <v>2.75</v>
      </c>
      <c r="L514">
        <v>50</v>
      </c>
      <c r="M514">
        <v>2</v>
      </c>
      <c r="N514" s="1">
        <v>31827</v>
      </c>
      <c r="O514" s="1">
        <v>32000</v>
      </c>
      <c r="P514" s="1">
        <v>32000</v>
      </c>
      <c r="Q514" s="1">
        <v>31750</v>
      </c>
      <c r="R514" t="s">
        <v>710</v>
      </c>
      <c r="S514" s="3">
        <v>0.35223379629629631</v>
      </c>
      <c r="T514" s="1">
        <v>30900</v>
      </c>
      <c r="U514">
        <v>850</v>
      </c>
      <c r="V514">
        <v>2.75</v>
      </c>
    </row>
    <row r="515" spans="4:22" x14ac:dyDescent="0.3">
      <c r="D515">
        <v>513</v>
      </c>
      <c r="E515">
        <v>130660</v>
      </c>
      <c r="F515" t="s">
        <v>530</v>
      </c>
      <c r="H515" s="1">
        <v>13070</v>
      </c>
      <c r="I515">
        <v>2</v>
      </c>
      <c r="J515">
        <v>300</v>
      </c>
      <c r="K515">
        <v>2.35</v>
      </c>
      <c r="L515" s="1">
        <v>118391</v>
      </c>
      <c r="M515" s="1">
        <v>1558</v>
      </c>
      <c r="N515" s="1">
        <v>13162</v>
      </c>
      <c r="O515" s="1">
        <v>12820</v>
      </c>
      <c r="P515" s="1">
        <v>13380</v>
      </c>
      <c r="Q515" s="1">
        <v>12820</v>
      </c>
      <c r="R515" t="s">
        <v>710</v>
      </c>
      <c r="S515" s="3">
        <v>0.35364583333333338</v>
      </c>
      <c r="T515" s="1">
        <v>12770</v>
      </c>
      <c r="U515">
        <v>300</v>
      </c>
      <c r="V515">
        <v>2.35</v>
      </c>
    </row>
    <row r="516" spans="4:22" x14ac:dyDescent="0.3">
      <c r="D516">
        <v>514</v>
      </c>
      <c r="E516">
        <v>49070</v>
      </c>
      <c r="F516" t="s">
        <v>531</v>
      </c>
      <c r="H516" s="1">
        <v>24750</v>
      </c>
      <c r="I516">
        <v>2</v>
      </c>
      <c r="J516" s="1">
        <v>1000</v>
      </c>
      <c r="K516">
        <v>4.21</v>
      </c>
      <c r="L516" s="1">
        <v>180785</v>
      </c>
      <c r="M516" s="1">
        <v>4460</v>
      </c>
      <c r="N516" s="1">
        <v>24668</v>
      </c>
      <c r="O516" s="1">
        <v>24400</v>
      </c>
      <c r="P516" s="1">
        <v>25300</v>
      </c>
      <c r="Q516" s="1">
        <v>24200</v>
      </c>
      <c r="R516" t="s">
        <v>710</v>
      </c>
      <c r="S516" s="3">
        <v>0.35365740740740742</v>
      </c>
      <c r="T516" s="1">
        <v>23750</v>
      </c>
      <c r="U516" s="1">
        <v>1000</v>
      </c>
      <c r="V516">
        <v>4.21</v>
      </c>
    </row>
    <row r="517" spans="4:22" x14ac:dyDescent="0.3">
      <c r="D517">
        <v>515</v>
      </c>
      <c r="E517">
        <v>89890</v>
      </c>
      <c r="F517" t="s">
        <v>532</v>
      </c>
      <c r="H517" s="1">
        <v>25600</v>
      </c>
      <c r="I517">
        <v>2</v>
      </c>
      <c r="J517">
        <v>600</v>
      </c>
      <c r="K517">
        <v>2.4</v>
      </c>
      <c r="L517" s="1">
        <v>7830</v>
      </c>
      <c r="M517">
        <v>201</v>
      </c>
      <c r="N517" s="1">
        <v>25639</v>
      </c>
      <c r="O517" s="1">
        <v>25450</v>
      </c>
      <c r="P517" s="1">
        <v>25850</v>
      </c>
      <c r="Q517" s="1">
        <v>25450</v>
      </c>
      <c r="R517" t="s">
        <v>710</v>
      </c>
      <c r="S517" s="3">
        <v>0.35343750000000002</v>
      </c>
      <c r="T517" s="1">
        <v>25000</v>
      </c>
      <c r="U517">
        <v>600</v>
      </c>
      <c r="V517">
        <v>2.4</v>
      </c>
    </row>
    <row r="518" spans="4:22" x14ac:dyDescent="0.3">
      <c r="D518">
        <v>516</v>
      </c>
      <c r="E518">
        <v>161000</v>
      </c>
      <c r="F518" t="s">
        <v>533</v>
      </c>
      <c r="H518" s="1">
        <v>8710</v>
      </c>
      <c r="I518">
        <v>2</v>
      </c>
      <c r="J518">
        <v>90</v>
      </c>
      <c r="K518">
        <v>1.04</v>
      </c>
      <c r="L518" s="1">
        <v>7974</v>
      </c>
      <c r="M518">
        <v>70</v>
      </c>
      <c r="N518" s="1">
        <v>8718</v>
      </c>
      <c r="O518" s="1">
        <v>8710</v>
      </c>
      <c r="P518" s="1">
        <v>8750</v>
      </c>
      <c r="Q518" s="1">
        <v>8700</v>
      </c>
      <c r="R518" t="s">
        <v>710</v>
      </c>
      <c r="S518" s="3">
        <v>0.35358796296296297</v>
      </c>
      <c r="T518" s="1">
        <v>8620</v>
      </c>
      <c r="U518">
        <v>90</v>
      </c>
      <c r="V518">
        <v>1.04</v>
      </c>
    </row>
    <row r="519" spans="4:22" x14ac:dyDescent="0.3">
      <c r="D519">
        <v>517</v>
      </c>
      <c r="E519">
        <v>101930</v>
      </c>
      <c r="F519" t="s">
        <v>534</v>
      </c>
      <c r="H519" s="1">
        <v>45800</v>
      </c>
      <c r="I519">
        <v>2</v>
      </c>
      <c r="J519" s="1">
        <v>1400</v>
      </c>
      <c r="K519">
        <v>3.15</v>
      </c>
      <c r="L519">
        <v>61</v>
      </c>
      <c r="M519">
        <v>3</v>
      </c>
      <c r="N519" s="1">
        <v>45884</v>
      </c>
      <c r="O519" s="1">
        <v>45950</v>
      </c>
      <c r="P519" s="1">
        <v>45950</v>
      </c>
      <c r="Q519" s="1">
        <v>45800</v>
      </c>
      <c r="R519" t="s">
        <v>710</v>
      </c>
      <c r="S519" s="3">
        <v>0.34616898148148145</v>
      </c>
      <c r="T519" s="1">
        <v>44400</v>
      </c>
      <c r="U519" s="1">
        <v>1400</v>
      </c>
      <c r="V519">
        <v>3.15</v>
      </c>
    </row>
    <row r="520" spans="4:22" x14ac:dyDescent="0.3">
      <c r="D520">
        <v>518</v>
      </c>
      <c r="E520">
        <v>69080</v>
      </c>
      <c r="F520" t="s">
        <v>535</v>
      </c>
      <c r="H520" s="1">
        <v>12170</v>
      </c>
      <c r="I520">
        <v>5</v>
      </c>
      <c r="J520">
        <v>50</v>
      </c>
      <c r="K520">
        <v>-0.41</v>
      </c>
      <c r="L520" s="1">
        <v>3963</v>
      </c>
      <c r="M520">
        <v>48</v>
      </c>
      <c r="N520" s="1">
        <v>12105</v>
      </c>
      <c r="O520" s="1">
        <v>12200</v>
      </c>
      <c r="P520" s="1">
        <v>12210</v>
      </c>
      <c r="Q520" s="1">
        <v>12060</v>
      </c>
      <c r="R520" t="s">
        <v>710</v>
      </c>
      <c r="S520" s="3">
        <v>0.35351851851851851</v>
      </c>
      <c r="T520" s="1">
        <v>12220</v>
      </c>
      <c r="U520">
        <v>-50</v>
      </c>
      <c r="V520">
        <v>-0.41</v>
      </c>
    </row>
    <row r="521" spans="4:22" x14ac:dyDescent="0.3">
      <c r="D521">
        <v>519</v>
      </c>
      <c r="E521">
        <v>107640</v>
      </c>
      <c r="F521" t="s">
        <v>536</v>
      </c>
      <c r="H521" s="1">
        <v>46400</v>
      </c>
      <c r="I521">
        <v>2</v>
      </c>
      <c r="J521" s="1">
        <v>1200</v>
      </c>
      <c r="K521">
        <v>2.65</v>
      </c>
      <c r="L521" s="1">
        <v>19222</v>
      </c>
      <c r="M521">
        <v>889</v>
      </c>
      <c r="N521" s="1">
        <v>46231</v>
      </c>
      <c r="O521" s="1">
        <v>45250</v>
      </c>
      <c r="P521" s="1">
        <v>46650</v>
      </c>
      <c r="Q521" s="1">
        <v>45150</v>
      </c>
      <c r="R521" t="s">
        <v>710</v>
      </c>
      <c r="S521" s="3">
        <v>0.35346064814814815</v>
      </c>
      <c r="T521" s="1">
        <v>45200</v>
      </c>
      <c r="U521" s="1">
        <v>1200</v>
      </c>
      <c r="V521">
        <v>2.65</v>
      </c>
    </row>
    <row r="522" spans="4:22" x14ac:dyDescent="0.3">
      <c r="D522">
        <v>520</v>
      </c>
      <c r="E522">
        <v>179900</v>
      </c>
      <c r="F522" t="s">
        <v>537</v>
      </c>
      <c r="H522" s="1">
        <v>21200</v>
      </c>
      <c r="I522">
        <v>2</v>
      </c>
      <c r="J522">
        <v>350</v>
      </c>
      <c r="K522">
        <v>1.68</v>
      </c>
      <c r="L522">
        <v>619</v>
      </c>
      <c r="M522">
        <v>13</v>
      </c>
      <c r="N522" s="1">
        <v>21046</v>
      </c>
      <c r="O522" s="1">
        <v>21450</v>
      </c>
      <c r="P522" s="1">
        <v>21450</v>
      </c>
      <c r="Q522" s="1">
        <v>21000</v>
      </c>
      <c r="R522" t="s">
        <v>710</v>
      </c>
      <c r="S522" s="3">
        <v>0.34922453703703704</v>
      </c>
      <c r="T522" s="1">
        <v>20850</v>
      </c>
      <c r="U522">
        <v>350</v>
      </c>
      <c r="V522">
        <v>1.68</v>
      </c>
    </row>
    <row r="523" spans="4:22" x14ac:dyDescent="0.3">
      <c r="D523">
        <v>521</v>
      </c>
      <c r="E523">
        <v>494120</v>
      </c>
      <c r="F523" t="s">
        <v>538</v>
      </c>
      <c r="H523" s="1">
        <v>54300</v>
      </c>
      <c r="I523">
        <v>2</v>
      </c>
      <c r="J523" s="1">
        <v>2600</v>
      </c>
      <c r="K523">
        <v>5.03</v>
      </c>
      <c r="L523" s="1">
        <v>50135</v>
      </c>
      <c r="M523" s="1">
        <v>2678</v>
      </c>
      <c r="N523" s="1">
        <v>53405</v>
      </c>
      <c r="O523" s="1">
        <v>51600</v>
      </c>
      <c r="P523" s="1">
        <v>54500</v>
      </c>
      <c r="Q523" s="1">
        <v>51200</v>
      </c>
      <c r="R523" t="s">
        <v>710</v>
      </c>
      <c r="S523" s="3">
        <v>0.35364583333333338</v>
      </c>
      <c r="T523" s="1">
        <v>51700</v>
      </c>
      <c r="U523" s="1">
        <v>2600</v>
      </c>
      <c r="V523">
        <v>5.03</v>
      </c>
    </row>
    <row r="524" spans="4:22" x14ac:dyDescent="0.3">
      <c r="D524">
        <v>522</v>
      </c>
      <c r="E524">
        <v>25900</v>
      </c>
      <c r="F524" t="s">
        <v>539</v>
      </c>
      <c r="H524" s="1">
        <v>8130</v>
      </c>
      <c r="I524">
        <v>2</v>
      </c>
      <c r="J524">
        <v>130</v>
      </c>
      <c r="K524">
        <v>1.62</v>
      </c>
      <c r="L524" s="1">
        <v>5448</v>
      </c>
      <c r="M524">
        <v>44</v>
      </c>
      <c r="N524" s="1">
        <v>8128</v>
      </c>
      <c r="O524" s="1">
        <v>8200</v>
      </c>
      <c r="P524" s="1">
        <v>8200</v>
      </c>
      <c r="Q524" s="1">
        <v>8070</v>
      </c>
      <c r="R524" t="s">
        <v>710</v>
      </c>
      <c r="S524" s="3">
        <v>0.35343750000000002</v>
      </c>
      <c r="T524" s="1">
        <v>8000</v>
      </c>
      <c r="U524">
        <v>130</v>
      </c>
      <c r="V524">
        <v>1.63</v>
      </c>
    </row>
    <row r="525" spans="4:22" x14ac:dyDescent="0.3">
      <c r="D525">
        <v>523</v>
      </c>
      <c r="E525">
        <v>352480</v>
      </c>
      <c r="F525" t="s">
        <v>540</v>
      </c>
      <c r="H525" s="1">
        <v>30150</v>
      </c>
      <c r="I525">
        <v>2</v>
      </c>
      <c r="J525">
        <v>150</v>
      </c>
      <c r="K525">
        <v>0.5</v>
      </c>
      <c r="L525">
        <v>599</v>
      </c>
      <c r="M525">
        <v>18</v>
      </c>
      <c r="N525" s="1">
        <v>30105</v>
      </c>
      <c r="O525" s="1">
        <v>30050</v>
      </c>
      <c r="P525" s="1">
        <v>30250</v>
      </c>
      <c r="Q525" s="1">
        <v>30050</v>
      </c>
      <c r="R525" t="s">
        <v>710</v>
      </c>
      <c r="S525" s="3">
        <v>0.35347222222222219</v>
      </c>
      <c r="T525" s="1">
        <v>30000</v>
      </c>
      <c r="U525">
        <v>150</v>
      </c>
      <c r="V525">
        <v>0.5</v>
      </c>
    </row>
    <row r="526" spans="4:22" x14ac:dyDescent="0.3">
      <c r="D526">
        <v>524</v>
      </c>
      <c r="E526">
        <v>99190</v>
      </c>
      <c r="F526" t="s">
        <v>541</v>
      </c>
      <c r="H526" s="1">
        <v>14870</v>
      </c>
      <c r="I526">
        <v>2</v>
      </c>
      <c r="J526">
        <v>120</v>
      </c>
      <c r="K526">
        <v>0.81</v>
      </c>
      <c r="L526" s="1">
        <v>1655</v>
      </c>
      <c r="M526">
        <v>24</v>
      </c>
      <c r="N526" s="1">
        <v>14790</v>
      </c>
      <c r="O526" s="1">
        <v>14750</v>
      </c>
      <c r="P526" s="1">
        <v>14980</v>
      </c>
      <c r="Q526" s="1">
        <v>14750</v>
      </c>
      <c r="R526" t="s">
        <v>710</v>
      </c>
      <c r="S526" s="3">
        <v>0.3530787037037037</v>
      </c>
      <c r="T526" s="1">
        <v>14750</v>
      </c>
      <c r="U526">
        <v>120</v>
      </c>
      <c r="V526">
        <v>0.81</v>
      </c>
    </row>
    <row r="527" spans="4:22" x14ac:dyDescent="0.3">
      <c r="D527">
        <v>525</v>
      </c>
      <c r="E527">
        <v>26890</v>
      </c>
      <c r="F527" t="s">
        <v>542</v>
      </c>
      <c r="H527" s="1">
        <v>9810</v>
      </c>
      <c r="I527">
        <v>2</v>
      </c>
      <c r="J527">
        <v>30</v>
      </c>
      <c r="K527">
        <v>0.31</v>
      </c>
      <c r="L527" s="1">
        <v>2229</v>
      </c>
      <c r="M527">
        <v>22</v>
      </c>
      <c r="N527" s="1">
        <v>9757</v>
      </c>
      <c r="O527" s="1">
        <v>9850</v>
      </c>
      <c r="P527" s="1">
        <v>9870</v>
      </c>
      <c r="Q527" s="1">
        <v>9650</v>
      </c>
      <c r="R527" t="s">
        <v>710</v>
      </c>
      <c r="S527" s="3">
        <v>0.35354166666666664</v>
      </c>
      <c r="T527" s="1">
        <v>9780</v>
      </c>
      <c r="U527">
        <v>30</v>
      </c>
      <c r="V527">
        <v>0.31</v>
      </c>
    </row>
    <row r="528" spans="4:22" x14ac:dyDescent="0.3">
      <c r="D528">
        <v>526</v>
      </c>
      <c r="E528">
        <v>206650</v>
      </c>
      <c r="F528" t="s">
        <v>543</v>
      </c>
      <c r="H528" s="1">
        <v>11140</v>
      </c>
      <c r="I528">
        <v>2</v>
      </c>
      <c r="J528">
        <v>80</v>
      </c>
      <c r="K528">
        <v>0.72</v>
      </c>
      <c r="L528" s="1">
        <v>5086</v>
      </c>
      <c r="M528">
        <v>57</v>
      </c>
      <c r="N528" s="1">
        <v>11144</v>
      </c>
      <c r="O528" s="1">
        <v>11150</v>
      </c>
      <c r="P528" s="1">
        <v>11170</v>
      </c>
      <c r="Q528" s="1">
        <v>11110</v>
      </c>
      <c r="R528" t="s">
        <v>710</v>
      </c>
      <c r="S528" s="3">
        <v>0.35355324074074074</v>
      </c>
      <c r="T528" s="1">
        <v>11060</v>
      </c>
      <c r="U528">
        <v>80</v>
      </c>
      <c r="V528">
        <v>0.72</v>
      </c>
    </row>
    <row r="529" spans="4:22" x14ac:dyDescent="0.3">
      <c r="D529">
        <v>527</v>
      </c>
      <c r="E529">
        <v>425420</v>
      </c>
      <c r="F529" t="s">
        <v>544</v>
      </c>
      <c r="H529" s="1">
        <v>34150</v>
      </c>
      <c r="I529">
        <v>2</v>
      </c>
      <c r="J529" s="1">
        <v>1200</v>
      </c>
      <c r="K529">
        <v>3.64</v>
      </c>
      <c r="L529" s="1">
        <v>5329</v>
      </c>
      <c r="M529">
        <v>181</v>
      </c>
      <c r="N529" s="1">
        <v>33904</v>
      </c>
      <c r="O529" s="1">
        <v>33500</v>
      </c>
      <c r="P529" s="1">
        <v>34200</v>
      </c>
      <c r="Q529" s="1">
        <v>33500</v>
      </c>
      <c r="R529" t="s">
        <v>710</v>
      </c>
      <c r="S529" s="3">
        <v>0.35343750000000002</v>
      </c>
      <c r="T529" s="1">
        <v>32950</v>
      </c>
      <c r="U529" s="1">
        <v>1200</v>
      </c>
      <c r="V529">
        <v>3.64</v>
      </c>
    </row>
    <row r="530" spans="4:22" x14ac:dyDescent="0.3">
      <c r="D530">
        <v>528</v>
      </c>
      <c r="E530">
        <v>460860</v>
      </c>
      <c r="F530" t="s">
        <v>545</v>
      </c>
      <c r="H530" s="1">
        <v>8230</v>
      </c>
      <c r="I530">
        <v>2</v>
      </c>
      <c r="J530">
        <v>60</v>
      </c>
      <c r="K530">
        <v>0.73</v>
      </c>
      <c r="L530" s="1">
        <v>3770</v>
      </c>
      <c r="M530">
        <v>31</v>
      </c>
      <c r="N530" s="1">
        <v>8214</v>
      </c>
      <c r="O530" s="1">
        <v>8210</v>
      </c>
      <c r="P530" s="1">
        <v>8250</v>
      </c>
      <c r="Q530" s="1">
        <v>8180</v>
      </c>
      <c r="R530" t="s">
        <v>710</v>
      </c>
      <c r="S530" s="3">
        <v>0.35355324074074074</v>
      </c>
      <c r="T530" s="1">
        <v>8170</v>
      </c>
      <c r="U530">
        <v>60</v>
      </c>
      <c r="V530">
        <v>0.73</v>
      </c>
    </row>
    <row r="531" spans="4:22" x14ac:dyDescent="0.3">
      <c r="D531">
        <v>529</v>
      </c>
      <c r="E531">
        <v>194480</v>
      </c>
      <c r="F531" t="s">
        <v>546</v>
      </c>
      <c r="H531" s="1">
        <v>33650</v>
      </c>
      <c r="I531">
        <v>2</v>
      </c>
      <c r="J531">
        <v>650</v>
      </c>
      <c r="K531">
        <v>1.97</v>
      </c>
      <c r="L531" s="1">
        <v>4087</v>
      </c>
      <c r="M531">
        <v>137</v>
      </c>
      <c r="N531" s="1">
        <v>33431</v>
      </c>
      <c r="O531" s="1">
        <v>33050</v>
      </c>
      <c r="P531" s="1">
        <v>33650</v>
      </c>
      <c r="Q531" s="1">
        <v>33000</v>
      </c>
      <c r="R531" t="s">
        <v>710</v>
      </c>
      <c r="S531" s="3">
        <v>0.35362268518518519</v>
      </c>
      <c r="T531" s="1">
        <v>33000</v>
      </c>
      <c r="U531">
        <v>650</v>
      </c>
      <c r="V531">
        <v>1.97</v>
      </c>
    </row>
    <row r="532" spans="4:22" x14ac:dyDescent="0.3">
      <c r="D532">
        <v>530</v>
      </c>
      <c r="E532">
        <v>215200</v>
      </c>
      <c r="F532" t="s">
        <v>547</v>
      </c>
      <c r="H532" s="1">
        <v>39000</v>
      </c>
      <c r="I532">
        <v>2</v>
      </c>
      <c r="J532">
        <v>150</v>
      </c>
      <c r="K532">
        <v>0.39</v>
      </c>
      <c r="L532">
        <v>10</v>
      </c>
      <c r="N532" s="1">
        <v>39235</v>
      </c>
      <c r="O532" s="1">
        <v>39550</v>
      </c>
      <c r="P532" s="1">
        <v>39550</v>
      </c>
      <c r="Q532" s="1">
        <v>39000</v>
      </c>
      <c r="R532" t="s">
        <v>710</v>
      </c>
      <c r="S532" s="3">
        <v>0.34552083333333333</v>
      </c>
      <c r="T532" s="1">
        <v>38850</v>
      </c>
      <c r="U532">
        <v>150</v>
      </c>
      <c r="V532">
        <v>0.39</v>
      </c>
    </row>
    <row r="533" spans="4:22" x14ac:dyDescent="0.3">
      <c r="D533">
        <v>531</v>
      </c>
      <c r="E533">
        <v>72710</v>
      </c>
      <c r="F533" t="s">
        <v>548</v>
      </c>
      <c r="H533" s="1">
        <v>86800</v>
      </c>
      <c r="I533">
        <v>2</v>
      </c>
      <c r="J533">
        <v>700</v>
      </c>
      <c r="K533">
        <v>0.81</v>
      </c>
      <c r="L533">
        <v>220</v>
      </c>
      <c r="M533">
        <v>19</v>
      </c>
      <c r="N533" s="1">
        <v>86851</v>
      </c>
      <c r="O533" s="1">
        <v>86700</v>
      </c>
      <c r="P533" s="1">
        <v>87500</v>
      </c>
      <c r="Q533" s="1">
        <v>86200</v>
      </c>
      <c r="R533" t="s">
        <v>710</v>
      </c>
      <c r="S533" s="3">
        <v>0.35326388888888888</v>
      </c>
      <c r="T533" s="1">
        <v>86100</v>
      </c>
      <c r="U533">
        <v>700</v>
      </c>
      <c r="V533">
        <v>0.81</v>
      </c>
    </row>
    <row r="534" spans="4:22" x14ac:dyDescent="0.3">
      <c r="D534">
        <v>532</v>
      </c>
      <c r="E534">
        <v>403550</v>
      </c>
      <c r="F534" t="s">
        <v>549</v>
      </c>
      <c r="H534" s="1">
        <v>12180</v>
      </c>
      <c r="I534">
        <v>2</v>
      </c>
      <c r="J534">
        <v>150</v>
      </c>
      <c r="K534">
        <v>1.25</v>
      </c>
      <c r="L534">
        <v>16</v>
      </c>
      <c r="N534" s="1">
        <v>12180</v>
      </c>
      <c r="O534" s="1">
        <v>12180</v>
      </c>
      <c r="P534" s="1">
        <v>12180</v>
      </c>
      <c r="Q534" s="1">
        <v>12180</v>
      </c>
      <c r="R534" t="s">
        <v>710</v>
      </c>
      <c r="S534" s="3">
        <v>0.34065972222222224</v>
      </c>
      <c r="T534" s="1">
        <v>12030</v>
      </c>
      <c r="U534">
        <v>150</v>
      </c>
      <c r="V534">
        <v>1.25</v>
      </c>
    </row>
    <row r="535" spans="4:22" x14ac:dyDescent="0.3">
      <c r="D535">
        <v>533</v>
      </c>
      <c r="E535">
        <v>53610</v>
      </c>
      <c r="F535" t="s">
        <v>550</v>
      </c>
      <c r="H535" s="1">
        <v>36300</v>
      </c>
      <c r="I535">
        <v>2</v>
      </c>
      <c r="J535">
        <v>600</v>
      </c>
      <c r="K535">
        <v>1.68</v>
      </c>
      <c r="L535" s="1">
        <v>1575</v>
      </c>
      <c r="M535">
        <v>57</v>
      </c>
      <c r="N535" s="1">
        <v>36337</v>
      </c>
      <c r="O535" s="1">
        <v>36500</v>
      </c>
      <c r="P535" s="1">
        <v>36500</v>
      </c>
      <c r="Q535" s="1">
        <v>36100</v>
      </c>
      <c r="R535" t="s">
        <v>710</v>
      </c>
      <c r="S535" s="3">
        <v>0.35087962962962965</v>
      </c>
      <c r="T535" s="1">
        <v>35700</v>
      </c>
      <c r="U535">
        <v>600</v>
      </c>
      <c r="V535">
        <v>1.68</v>
      </c>
    </row>
    <row r="536" spans="4:22" x14ac:dyDescent="0.3">
      <c r="D536">
        <v>534</v>
      </c>
      <c r="E536">
        <v>270660</v>
      </c>
      <c r="F536" t="s">
        <v>551</v>
      </c>
      <c r="H536" s="1">
        <v>31450</v>
      </c>
      <c r="I536">
        <v>2</v>
      </c>
      <c r="J536" s="1">
        <v>5550</v>
      </c>
      <c r="K536">
        <v>21.43</v>
      </c>
      <c r="L536" s="1">
        <v>2297725</v>
      </c>
      <c r="M536" s="1">
        <v>70687</v>
      </c>
      <c r="N536" s="1">
        <v>30763</v>
      </c>
      <c r="O536" s="1">
        <v>28100</v>
      </c>
      <c r="P536" s="1">
        <v>32150</v>
      </c>
      <c r="Q536" s="1">
        <v>27500</v>
      </c>
      <c r="R536" t="s">
        <v>710</v>
      </c>
      <c r="S536" s="3">
        <v>0.35364583333333338</v>
      </c>
      <c r="T536" s="1">
        <v>25900</v>
      </c>
      <c r="U536" s="1">
        <v>5550</v>
      </c>
      <c r="V536">
        <v>21.43</v>
      </c>
    </row>
    <row r="537" spans="4:22" x14ac:dyDescent="0.3">
      <c r="D537">
        <v>535</v>
      </c>
      <c r="E537">
        <v>78340</v>
      </c>
      <c r="F537" t="s">
        <v>552</v>
      </c>
      <c r="H537" s="1">
        <v>31300</v>
      </c>
      <c r="I537">
        <v>2</v>
      </c>
      <c r="J537">
        <v>300</v>
      </c>
      <c r="K537">
        <v>0.97</v>
      </c>
      <c r="L537" s="1">
        <v>5602</v>
      </c>
      <c r="M537">
        <v>176</v>
      </c>
      <c r="N537" s="1">
        <v>31444</v>
      </c>
      <c r="O537" s="1">
        <v>31200</v>
      </c>
      <c r="P537" s="1">
        <v>31550</v>
      </c>
      <c r="Q537" s="1">
        <v>31200</v>
      </c>
      <c r="R537" t="s">
        <v>710</v>
      </c>
      <c r="S537" s="3">
        <v>0.35347222222222219</v>
      </c>
      <c r="T537" s="1">
        <v>31000</v>
      </c>
      <c r="U537">
        <v>300</v>
      </c>
      <c r="V537">
        <v>0.97</v>
      </c>
    </row>
    <row r="538" spans="4:22" x14ac:dyDescent="0.3">
      <c r="D538">
        <v>536</v>
      </c>
      <c r="E538">
        <v>122640</v>
      </c>
      <c r="F538" t="s">
        <v>553</v>
      </c>
      <c r="H538" s="1">
        <v>18600</v>
      </c>
      <c r="I538">
        <v>2</v>
      </c>
      <c r="J538">
        <v>360</v>
      </c>
      <c r="K538">
        <v>1.97</v>
      </c>
      <c r="L538" s="1">
        <v>15766</v>
      </c>
      <c r="M538">
        <v>292</v>
      </c>
      <c r="N538" s="1">
        <v>18515</v>
      </c>
      <c r="O538" s="1">
        <v>18550</v>
      </c>
      <c r="P538" s="1">
        <v>18610</v>
      </c>
      <c r="Q538" s="1">
        <v>18290</v>
      </c>
      <c r="R538" t="s">
        <v>710</v>
      </c>
      <c r="S538" s="3">
        <v>0.35364583333333338</v>
      </c>
      <c r="T538" s="1">
        <v>18240</v>
      </c>
      <c r="U538">
        <v>360</v>
      </c>
      <c r="V538">
        <v>1.97</v>
      </c>
    </row>
    <row r="539" spans="4:22" x14ac:dyDescent="0.3">
      <c r="D539">
        <v>537</v>
      </c>
      <c r="E539">
        <v>217590</v>
      </c>
      <c r="F539" t="s">
        <v>554</v>
      </c>
      <c r="H539" s="1">
        <v>16400</v>
      </c>
      <c r="I539">
        <v>2</v>
      </c>
      <c r="J539">
        <v>470</v>
      </c>
      <c r="K539">
        <v>2.95</v>
      </c>
      <c r="L539" s="1">
        <v>179274</v>
      </c>
      <c r="M539" s="1">
        <v>2955</v>
      </c>
      <c r="N539" s="1">
        <v>16485</v>
      </c>
      <c r="O539" s="1">
        <v>16300</v>
      </c>
      <c r="P539" s="1">
        <v>16650</v>
      </c>
      <c r="Q539" s="1">
        <v>16300</v>
      </c>
      <c r="R539" t="s">
        <v>710</v>
      </c>
      <c r="S539" s="3">
        <v>0.35356481481481478</v>
      </c>
      <c r="T539" s="1">
        <v>15930</v>
      </c>
      <c r="U539">
        <v>470</v>
      </c>
      <c r="V539">
        <v>2.95</v>
      </c>
    </row>
    <row r="540" spans="4:22" x14ac:dyDescent="0.3">
      <c r="D540">
        <v>538</v>
      </c>
      <c r="E540">
        <v>41830</v>
      </c>
      <c r="F540" t="s">
        <v>555</v>
      </c>
      <c r="H540" s="1">
        <v>29250</v>
      </c>
      <c r="I540">
        <v>5</v>
      </c>
      <c r="J540">
        <v>250</v>
      </c>
      <c r="K540">
        <v>-0.85</v>
      </c>
      <c r="L540">
        <v>758</v>
      </c>
      <c r="M540">
        <v>22</v>
      </c>
      <c r="N540" s="1">
        <v>29321</v>
      </c>
      <c r="O540" s="1">
        <v>29500</v>
      </c>
      <c r="P540" s="1">
        <v>29500</v>
      </c>
      <c r="Q540" s="1">
        <v>29200</v>
      </c>
      <c r="R540" t="s">
        <v>710</v>
      </c>
      <c r="S540" s="3">
        <v>0.35347222222222219</v>
      </c>
      <c r="T540" s="1">
        <v>29500</v>
      </c>
      <c r="U540">
        <v>-250</v>
      </c>
      <c r="V540">
        <v>-0.85</v>
      </c>
    </row>
    <row r="541" spans="4:22" x14ac:dyDescent="0.3">
      <c r="D541">
        <v>539</v>
      </c>
      <c r="E541">
        <v>126720</v>
      </c>
      <c r="F541" t="s">
        <v>556</v>
      </c>
      <c r="H541" s="1">
        <v>27450</v>
      </c>
      <c r="I541">
        <v>2</v>
      </c>
      <c r="J541">
        <v>550</v>
      </c>
      <c r="K541">
        <v>2.04</v>
      </c>
      <c r="L541" s="1">
        <v>7276</v>
      </c>
      <c r="M541">
        <v>199</v>
      </c>
      <c r="N541" s="1">
        <v>27396</v>
      </c>
      <c r="O541" s="1">
        <v>27050</v>
      </c>
      <c r="P541" s="1">
        <v>27850</v>
      </c>
      <c r="Q541" s="1">
        <v>27050</v>
      </c>
      <c r="R541" t="s">
        <v>710</v>
      </c>
      <c r="S541" s="3">
        <v>0.35332175925925924</v>
      </c>
      <c r="T541" s="1">
        <v>26900</v>
      </c>
      <c r="U541">
        <v>550</v>
      </c>
      <c r="V541">
        <v>2.04</v>
      </c>
    </row>
    <row r="542" spans="4:22" x14ac:dyDescent="0.3">
      <c r="D542">
        <v>540</v>
      </c>
      <c r="E542">
        <v>138610</v>
      </c>
      <c r="F542" t="s">
        <v>557</v>
      </c>
      <c r="H542" s="1">
        <v>34400</v>
      </c>
      <c r="I542">
        <v>2</v>
      </c>
      <c r="J542">
        <v>200</v>
      </c>
      <c r="K542">
        <v>0.57999999999999996</v>
      </c>
      <c r="L542" s="1">
        <v>11271</v>
      </c>
      <c r="M542">
        <v>388</v>
      </c>
      <c r="N542" s="1">
        <v>34450</v>
      </c>
      <c r="O542" s="1">
        <v>34700</v>
      </c>
      <c r="P542" s="1">
        <v>34750</v>
      </c>
      <c r="Q542" s="1">
        <v>34200</v>
      </c>
      <c r="R542" t="s">
        <v>710</v>
      </c>
      <c r="S542" s="3">
        <v>0.35362268518518519</v>
      </c>
      <c r="T542" s="1">
        <v>34200</v>
      </c>
      <c r="U542">
        <v>200</v>
      </c>
      <c r="V542">
        <v>0.57999999999999996</v>
      </c>
    </row>
    <row r="543" spans="4:22" x14ac:dyDescent="0.3">
      <c r="D543">
        <v>541</v>
      </c>
      <c r="E543">
        <v>1530</v>
      </c>
      <c r="F543" t="s">
        <v>558</v>
      </c>
      <c r="H543" s="1">
        <v>19800</v>
      </c>
      <c r="I543">
        <v>2</v>
      </c>
      <c r="J543">
        <v>360</v>
      </c>
      <c r="K543">
        <v>1.85</v>
      </c>
      <c r="L543">
        <v>657</v>
      </c>
      <c r="M543">
        <v>13</v>
      </c>
      <c r="N543" s="1">
        <v>19807</v>
      </c>
      <c r="O543" s="1">
        <v>19950</v>
      </c>
      <c r="P543" s="1">
        <v>19950</v>
      </c>
      <c r="Q543" s="1">
        <v>19510</v>
      </c>
      <c r="R543" t="s">
        <v>710</v>
      </c>
      <c r="S543" s="3">
        <v>0.35251157407407407</v>
      </c>
      <c r="T543" s="1">
        <v>19440</v>
      </c>
      <c r="U543">
        <v>360</v>
      </c>
      <c r="V543">
        <v>1.85</v>
      </c>
    </row>
    <row r="544" spans="4:22" x14ac:dyDescent="0.3">
      <c r="D544">
        <v>542</v>
      </c>
      <c r="E544">
        <v>31430</v>
      </c>
      <c r="F544" t="s">
        <v>559</v>
      </c>
      <c r="H544" s="1">
        <v>10850</v>
      </c>
      <c r="I544">
        <v>2</v>
      </c>
      <c r="J544">
        <v>120</v>
      </c>
      <c r="K544">
        <v>1.1200000000000001</v>
      </c>
      <c r="L544" s="1">
        <v>11662</v>
      </c>
      <c r="M544">
        <v>127</v>
      </c>
      <c r="N544" s="1">
        <v>10850</v>
      </c>
      <c r="O544" s="1">
        <v>10850</v>
      </c>
      <c r="P544" s="1">
        <v>10890</v>
      </c>
      <c r="Q544" s="1">
        <v>10760</v>
      </c>
      <c r="R544" t="s">
        <v>710</v>
      </c>
      <c r="S544" s="3">
        <v>0.35283564814814811</v>
      </c>
      <c r="T544" s="1">
        <v>10730</v>
      </c>
      <c r="U544">
        <v>120</v>
      </c>
      <c r="V544">
        <v>1.1200000000000001</v>
      </c>
    </row>
    <row r="545" spans="4:22" x14ac:dyDescent="0.3">
      <c r="D545">
        <v>543</v>
      </c>
      <c r="E545">
        <v>64820</v>
      </c>
      <c r="F545" t="s">
        <v>560</v>
      </c>
      <c r="H545" s="1">
        <v>12400</v>
      </c>
      <c r="I545">
        <v>2</v>
      </c>
      <c r="J545">
        <v>570</v>
      </c>
      <c r="K545">
        <v>4.82</v>
      </c>
      <c r="L545" s="1">
        <v>45787</v>
      </c>
      <c r="M545">
        <v>565</v>
      </c>
      <c r="N545" s="1">
        <v>12346</v>
      </c>
      <c r="O545" s="1">
        <v>12190</v>
      </c>
      <c r="P545" s="1">
        <v>12510</v>
      </c>
      <c r="Q545" s="1">
        <v>12190</v>
      </c>
      <c r="R545" t="s">
        <v>710</v>
      </c>
      <c r="S545" s="3">
        <v>0.3536111111111111</v>
      </c>
      <c r="T545" s="1">
        <v>11830</v>
      </c>
      <c r="U545">
        <v>570</v>
      </c>
      <c r="V545">
        <v>4.82</v>
      </c>
    </row>
    <row r="546" spans="4:22" x14ac:dyDescent="0.3">
      <c r="D546">
        <v>544</v>
      </c>
      <c r="E546">
        <v>15360</v>
      </c>
      <c r="F546" t="s">
        <v>561</v>
      </c>
      <c r="H546" s="1">
        <v>66500</v>
      </c>
      <c r="I546">
        <v>2</v>
      </c>
      <c r="J546" s="1">
        <v>1200</v>
      </c>
      <c r="K546">
        <v>1.84</v>
      </c>
      <c r="L546">
        <v>3</v>
      </c>
      <c r="N546" s="1">
        <v>66200</v>
      </c>
      <c r="O546" s="1">
        <v>65600</v>
      </c>
      <c r="P546" s="1">
        <v>66500</v>
      </c>
      <c r="Q546" s="1">
        <v>65600</v>
      </c>
      <c r="R546" t="s">
        <v>710</v>
      </c>
      <c r="S546" s="3">
        <v>0.3505671296296296</v>
      </c>
      <c r="T546" s="1">
        <v>65300</v>
      </c>
      <c r="U546" s="1">
        <v>1200</v>
      </c>
      <c r="V546">
        <v>1.84</v>
      </c>
    </row>
    <row r="547" spans="4:22" x14ac:dyDescent="0.3">
      <c r="D547">
        <v>545</v>
      </c>
      <c r="E547">
        <v>14940</v>
      </c>
      <c r="F547" t="s">
        <v>562</v>
      </c>
      <c r="H547" s="1">
        <v>8310</v>
      </c>
      <c r="I547">
        <v>2</v>
      </c>
      <c r="J547">
        <v>150</v>
      </c>
      <c r="K547">
        <v>1.84</v>
      </c>
      <c r="L547" s="1">
        <v>33517</v>
      </c>
      <c r="M547">
        <v>278</v>
      </c>
      <c r="N547" s="1">
        <v>8305</v>
      </c>
      <c r="O547" s="1">
        <v>8370</v>
      </c>
      <c r="P547" s="1">
        <v>8430</v>
      </c>
      <c r="Q547" s="1">
        <v>8240</v>
      </c>
      <c r="R547" t="s">
        <v>710</v>
      </c>
      <c r="S547" s="3">
        <v>0.35365740740740742</v>
      </c>
      <c r="T547" s="1">
        <v>8160</v>
      </c>
      <c r="U547">
        <v>150</v>
      </c>
      <c r="V547">
        <v>1.84</v>
      </c>
    </row>
    <row r="548" spans="4:22" x14ac:dyDescent="0.3">
      <c r="D548">
        <v>546</v>
      </c>
      <c r="E548">
        <v>1940</v>
      </c>
      <c r="F548" t="s">
        <v>563</v>
      </c>
      <c r="H548" s="1">
        <v>26600</v>
      </c>
      <c r="I548">
        <v>3</v>
      </c>
      <c r="R548" t="s">
        <v>710</v>
      </c>
      <c r="S548" s="3">
        <v>0</v>
      </c>
      <c r="T548" s="1">
        <v>26600</v>
      </c>
    </row>
    <row r="549" spans="4:22" x14ac:dyDescent="0.3">
      <c r="D549">
        <v>547</v>
      </c>
      <c r="E549">
        <v>376270</v>
      </c>
      <c r="F549" t="s">
        <v>564</v>
      </c>
      <c r="H549" s="1">
        <v>52600</v>
      </c>
      <c r="I549">
        <v>2</v>
      </c>
      <c r="J549">
        <v>700</v>
      </c>
      <c r="K549">
        <v>1.35</v>
      </c>
      <c r="L549" s="1">
        <v>1012</v>
      </c>
      <c r="M549">
        <v>53</v>
      </c>
      <c r="N549" s="1">
        <v>52367</v>
      </c>
      <c r="O549" s="1">
        <v>51900</v>
      </c>
      <c r="P549" s="1">
        <v>52600</v>
      </c>
      <c r="Q549" s="1">
        <v>51900</v>
      </c>
      <c r="R549" t="s">
        <v>710</v>
      </c>
      <c r="S549" s="3">
        <v>0.35304398148148147</v>
      </c>
      <c r="T549" s="1">
        <v>51900</v>
      </c>
      <c r="U549">
        <v>700</v>
      </c>
      <c r="V549">
        <v>1.35</v>
      </c>
    </row>
    <row r="550" spans="4:22" x14ac:dyDescent="0.3">
      <c r="D550">
        <v>548</v>
      </c>
      <c r="E550">
        <v>65660</v>
      </c>
      <c r="F550" t="s">
        <v>565</v>
      </c>
      <c r="H550" s="1">
        <v>37600</v>
      </c>
      <c r="I550">
        <v>2</v>
      </c>
      <c r="J550">
        <v>300</v>
      </c>
      <c r="K550">
        <v>0.8</v>
      </c>
      <c r="L550">
        <v>178</v>
      </c>
      <c r="M550">
        <v>7</v>
      </c>
      <c r="N550" s="1">
        <v>37628</v>
      </c>
      <c r="O550" s="1">
        <v>38000</v>
      </c>
      <c r="P550" s="1">
        <v>38000</v>
      </c>
      <c r="Q550" s="1">
        <v>37600</v>
      </c>
      <c r="R550" t="s">
        <v>710</v>
      </c>
      <c r="S550" s="3">
        <v>0.35283564814814811</v>
      </c>
      <c r="T550" s="1">
        <v>37300</v>
      </c>
      <c r="U550">
        <v>300</v>
      </c>
      <c r="V550">
        <v>0.8</v>
      </c>
    </row>
    <row r="551" spans="4:22" x14ac:dyDescent="0.3">
      <c r="D551">
        <v>549</v>
      </c>
      <c r="E551">
        <v>29460</v>
      </c>
      <c r="F551" t="s">
        <v>566</v>
      </c>
      <c r="H551" s="1">
        <v>28300</v>
      </c>
      <c r="I551">
        <v>2</v>
      </c>
      <c r="J551">
        <v>150</v>
      </c>
      <c r="K551">
        <v>0.53</v>
      </c>
      <c r="L551" s="1">
        <v>7666</v>
      </c>
      <c r="M551">
        <v>220</v>
      </c>
      <c r="N551" s="1">
        <v>28682</v>
      </c>
      <c r="O551" s="1">
        <v>28800</v>
      </c>
      <c r="P551" s="1">
        <v>28800</v>
      </c>
      <c r="Q551" s="1">
        <v>28200</v>
      </c>
      <c r="R551" t="s">
        <v>710</v>
      </c>
      <c r="S551" s="3">
        <v>0.35339120370370369</v>
      </c>
      <c r="T551" s="1">
        <v>28150</v>
      </c>
      <c r="U551">
        <v>150</v>
      </c>
      <c r="V551">
        <v>0.53</v>
      </c>
    </row>
    <row r="552" spans="4:22" x14ac:dyDescent="0.3">
      <c r="D552">
        <v>550</v>
      </c>
      <c r="E552">
        <v>13030</v>
      </c>
      <c r="F552" t="s">
        <v>567</v>
      </c>
      <c r="H552" s="1">
        <v>31750</v>
      </c>
      <c r="I552">
        <v>2</v>
      </c>
      <c r="J552">
        <v>500</v>
      </c>
      <c r="K552">
        <v>1.6</v>
      </c>
      <c r="L552" s="1">
        <v>1631</v>
      </c>
      <c r="M552">
        <v>52</v>
      </c>
      <c r="N552" s="1">
        <v>31749</v>
      </c>
      <c r="O552" s="1">
        <v>31500</v>
      </c>
      <c r="P552" s="1">
        <v>31800</v>
      </c>
      <c r="Q552" s="1">
        <v>31500</v>
      </c>
      <c r="R552" t="s">
        <v>710</v>
      </c>
      <c r="S552" s="3">
        <v>0.35267361111111112</v>
      </c>
      <c r="T552" s="1">
        <v>31250</v>
      </c>
      <c r="U552">
        <v>500</v>
      </c>
      <c r="V552">
        <v>1.6</v>
      </c>
    </row>
    <row r="553" spans="4:22" x14ac:dyDescent="0.3">
      <c r="D553">
        <v>551</v>
      </c>
      <c r="E553">
        <v>94360</v>
      </c>
      <c r="F553" t="s">
        <v>568</v>
      </c>
      <c r="H553" s="1">
        <v>17540</v>
      </c>
      <c r="I553">
        <v>2</v>
      </c>
      <c r="J553">
        <v>310</v>
      </c>
      <c r="K553">
        <v>1.8</v>
      </c>
      <c r="L553" s="1">
        <v>30743</v>
      </c>
      <c r="M553">
        <v>538</v>
      </c>
      <c r="N553" s="1">
        <v>17501</v>
      </c>
      <c r="O553" s="1">
        <v>17360</v>
      </c>
      <c r="P553" s="1">
        <v>17580</v>
      </c>
      <c r="Q553" s="1">
        <v>17360</v>
      </c>
      <c r="R553" t="s">
        <v>710</v>
      </c>
      <c r="S553" s="3">
        <v>0.35359953703703706</v>
      </c>
      <c r="T553" s="1">
        <v>17230</v>
      </c>
      <c r="U553">
        <v>310</v>
      </c>
      <c r="V553">
        <v>1.8</v>
      </c>
    </row>
    <row r="554" spans="4:22" x14ac:dyDescent="0.3">
      <c r="D554">
        <v>552</v>
      </c>
      <c r="E554">
        <v>304360</v>
      </c>
      <c r="F554" t="s">
        <v>569</v>
      </c>
      <c r="H554" s="1">
        <v>30500</v>
      </c>
      <c r="I554">
        <v>2</v>
      </c>
      <c r="J554">
        <v>400</v>
      </c>
      <c r="K554">
        <v>1.33</v>
      </c>
      <c r="L554" s="1">
        <v>11148</v>
      </c>
      <c r="M554">
        <v>338</v>
      </c>
      <c r="N554" s="1">
        <v>30321</v>
      </c>
      <c r="O554" s="1">
        <v>30050</v>
      </c>
      <c r="P554" s="1">
        <v>30900</v>
      </c>
      <c r="Q554" s="1">
        <v>30050</v>
      </c>
      <c r="R554" t="s">
        <v>710</v>
      </c>
      <c r="S554" s="3">
        <v>0.35342592592592598</v>
      </c>
      <c r="T554" s="1">
        <v>30100</v>
      </c>
      <c r="U554">
        <v>400</v>
      </c>
      <c r="V554">
        <v>1.33</v>
      </c>
    </row>
    <row r="555" spans="4:22" x14ac:dyDescent="0.3">
      <c r="D555">
        <v>553</v>
      </c>
      <c r="E555">
        <v>101160</v>
      </c>
      <c r="F555" t="s">
        <v>570</v>
      </c>
      <c r="H555" s="1">
        <v>22400</v>
      </c>
      <c r="I555">
        <v>2</v>
      </c>
      <c r="J555">
        <v>350</v>
      </c>
      <c r="K555">
        <v>1.59</v>
      </c>
      <c r="L555" s="1">
        <v>4811</v>
      </c>
      <c r="M555">
        <v>108</v>
      </c>
      <c r="N555" s="1">
        <v>22395</v>
      </c>
      <c r="O555" s="1">
        <v>22500</v>
      </c>
      <c r="P555" s="1">
        <v>22500</v>
      </c>
      <c r="Q555" s="1">
        <v>22200</v>
      </c>
      <c r="R555" t="s">
        <v>710</v>
      </c>
      <c r="S555" s="3">
        <v>0.35295138888888888</v>
      </c>
      <c r="T555" s="1">
        <v>22050</v>
      </c>
      <c r="U555">
        <v>350</v>
      </c>
      <c r="V555">
        <v>1.59</v>
      </c>
    </row>
    <row r="556" spans="4:22" x14ac:dyDescent="0.3">
      <c r="D556">
        <v>554</v>
      </c>
      <c r="E556">
        <v>484810</v>
      </c>
      <c r="F556" t="s">
        <v>571</v>
      </c>
      <c r="H556" s="1">
        <v>23800</v>
      </c>
      <c r="I556">
        <v>2</v>
      </c>
      <c r="J556" s="1">
        <v>3400</v>
      </c>
      <c r="K556">
        <v>16.670000000000002</v>
      </c>
      <c r="L556" s="1">
        <v>1394527</v>
      </c>
      <c r="M556" s="1">
        <v>32613</v>
      </c>
      <c r="N556" s="1">
        <v>23386</v>
      </c>
      <c r="O556" s="1">
        <v>20900</v>
      </c>
      <c r="P556" s="1">
        <v>24450</v>
      </c>
      <c r="Q556" s="1">
        <v>20900</v>
      </c>
      <c r="R556" t="s">
        <v>710</v>
      </c>
      <c r="S556" s="3">
        <v>0.35365740740740742</v>
      </c>
      <c r="T556" s="1">
        <v>20400</v>
      </c>
      <c r="U556" s="1">
        <v>3400</v>
      </c>
      <c r="V556">
        <v>16.670000000000002</v>
      </c>
    </row>
    <row r="557" spans="4:22" x14ac:dyDescent="0.3">
      <c r="D557">
        <v>555</v>
      </c>
      <c r="E557">
        <v>10690</v>
      </c>
      <c r="F557" t="s">
        <v>572</v>
      </c>
      <c r="H557" s="1">
        <v>10520</v>
      </c>
      <c r="I557">
        <v>2</v>
      </c>
      <c r="J557">
        <v>740</v>
      </c>
      <c r="K557">
        <v>7.57</v>
      </c>
      <c r="L557" s="1">
        <v>656332</v>
      </c>
      <c r="M557" s="1">
        <v>6728</v>
      </c>
      <c r="N557" s="1">
        <v>10250</v>
      </c>
      <c r="O557" s="1">
        <v>10090</v>
      </c>
      <c r="P557" s="1">
        <v>10580</v>
      </c>
      <c r="Q557" s="1">
        <v>10000</v>
      </c>
      <c r="R557" t="s">
        <v>710</v>
      </c>
      <c r="S557" s="3">
        <v>0.35365740740740742</v>
      </c>
      <c r="T557" s="1">
        <v>9780</v>
      </c>
      <c r="U557">
        <v>740</v>
      </c>
      <c r="V557">
        <v>7.57</v>
      </c>
    </row>
    <row r="558" spans="4:22" x14ac:dyDescent="0.3">
      <c r="D558">
        <v>556</v>
      </c>
      <c r="E558">
        <v>33640</v>
      </c>
      <c r="F558" t="s">
        <v>573</v>
      </c>
      <c r="H558" s="1">
        <v>15910</v>
      </c>
      <c r="I558">
        <v>2</v>
      </c>
      <c r="J558">
        <v>310</v>
      </c>
      <c r="K558">
        <v>1.99</v>
      </c>
      <c r="L558" s="1">
        <v>7458</v>
      </c>
      <c r="M558">
        <v>119</v>
      </c>
      <c r="N558" s="1">
        <v>15916</v>
      </c>
      <c r="O558" s="1">
        <v>15940</v>
      </c>
      <c r="P558" s="1">
        <v>15990</v>
      </c>
      <c r="Q558" s="1">
        <v>15810</v>
      </c>
      <c r="R558" t="s">
        <v>710</v>
      </c>
      <c r="S558" s="3">
        <v>0.3536111111111111</v>
      </c>
      <c r="T558" s="1">
        <v>15600</v>
      </c>
      <c r="U558">
        <v>310</v>
      </c>
      <c r="V558">
        <v>1.99</v>
      </c>
    </row>
    <row r="559" spans="4:22" x14ac:dyDescent="0.3">
      <c r="D559">
        <v>557</v>
      </c>
      <c r="E559">
        <v>200130</v>
      </c>
      <c r="F559" t="s">
        <v>574</v>
      </c>
      <c r="H559" s="1">
        <v>12450</v>
      </c>
      <c r="I559">
        <v>2</v>
      </c>
      <c r="J559">
        <v>140</v>
      </c>
      <c r="K559">
        <v>1.1399999999999999</v>
      </c>
      <c r="L559">
        <v>770</v>
      </c>
      <c r="M559">
        <v>10</v>
      </c>
      <c r="N559" s="1">
        <v>12528</v>
      </c>
      <c r="O559" s="1">
        <v>12350</v>
      </c>
      <c r="P559" s="1">
        <v>12630</v>
      </c>
      <c r="Q559" s="1">
        <v>12350</v>
      </c>
      <c r="R559" t="s">
        <v>710</v>
      </c>
      <c r="S559" s="3">
        <v>0.35318287037037038</v>
      </c>
      <c r="T559" s="1">
        <v>12310</v>
      </c>
      <c r="U559">
        <v>140</v>
      </c>
      <c r="V559">
        <v>1.1399999999999999</v>
      </c>
    </row>
    <row r="560" spans="4:22" x14ac:dyDescent="0.3">
      <c r="D560">
        <v>558</v>
      </c>
      <c r="E560">
        <v>114190</v>
      </c>
      <c r="F560" t="s">
        <v>575</v>
      </c>
      <c r="H560" s="1">
        <v>13940</v>
      </c>
      <c r="I560">
        <v>2</v>
      </c>
      <c r="J560">
        <v>180</v>
      </c>
      <c r="K560">
        <v>1.31</v>
      </c>
      <c r="L560" s="1">
        <v>36895</v>
      </c>
      <c r="M560">
        <v>515</v>
      </c>
      <c r="N560" s="1">
        <v>13969</v>
      </c>
      <c r="O560" s="1">
        <v>14000</v>
      </c>
      <c r="P560" s="1">
        <v>14120</v>
      </c>
      <c r="Q560" s="1">
        <v>13830</v>
      </c>
      <c r="R560" t="s">
        <v>710</v>
      </c>
      <c r="S560" s="3">
        <v>0.35356481481481478</v>
      </c>
      <c r="T560" s="1">
        <v>13760</v>
      </c>
      <c r="U560">
        <v>180</v>
      </c>
      <c r="V560">
        <v>1.31</v>
      </c>
    </row>
    <row r="561" spans="4:22" x14ac:dyDescent="0.3">
      <c r="D561">
        <v>559</v>
      </c>
      <c r="E561">
        <v>94480</v>
      </c>
      <c r="F561" t="s">
        <v>576</v>
      </c>
      <c r="H561" s="1">
        <v>9270</v>
      </c>
      <c r="I561">
        <v>3</v>
      </c>
      <c r="L561" s="1">
        <v>11778</v>
      </c>
      <c r="M561">
        <v>110</v>
      </c>
      <c r="N561" s="1">
        <v>9297</v>
      </c>
      <c r="O561" s="1">
        <v>9340</v>
      </c>
      <c r="P561" s="1">
        <v>9410</v>
      </c>
      <c r="Q561" s="1">
        <v>9270</v>
      </c>
      <c r="R561" t="s">
        <v>710</v>
      </c>
      <c r="S561" s="3">
        <v>0.35332175925925924</v>
      </c>
      <c r="T561" s="1">
        <v>9270</v>
      </c>
    </row>
    <row r="562" spans="4:22" x14ac:dyDescent="0.3">
      <c r="D562">
        <v>560</v>
      </c>
      <c r="E562">
        <v>104700</v>
      </c>
      <c r="F562" t="s">
        <v>577</v>
      </c>
      <c r="H562" s="1">
        <v>9970</v>
      </c>
      <c r="I562">
        <v>3</v>
      </c>
      <c r="L562">
        <v>100</v>
      </c>
      <c r="M562">
        <v>1</v>
      </c>
      <c r="N562" s="1">
        <v>9970</v>
      </c>
      <c r="O562" s="1">
        <v>9970</v>
      </c>
      <c r="P562" s="1">
        <v>9970</v>
      </c>
      <c r="Q562" s="1">
        <v>9970</v>
      </c>
      <c r="R562" t="s">
        <v>710</v>
      </c>
      <c r="S562" s="3">
        <v>0.3382060185185185</v>
      </c>
      <c r="T562" s="1">
        <v>9970</v>
      </c>
    </row>
    <row r="563" spans="4:22" x14ac:dyDescent="0.3">
      <c r="D563">
        <v>561</v>
      </c>
      <c r="E563">
        <v>78350</v>
      </c>
      <c r="F563" t="s">
        <v>578</v>
      </c>
      <c r="H563" s="1">
        <v>23700</v>
      </c>
      <c r="I563">
        <v>2</v>
      </c>
      <c r="J563">
        <v>700</v>
      </c>
      <c r="K563">
        <v>3.04</v>
      </c>
      <c r="L563" s="1">
        <v>28724</v>
      </c>
      <c r="M563">
        <v>680</v>
      </c>
      <c r="N563" s="1">
        <v>23667</v>
      </c>
      <c r="O563" s="1">
        <v>23700</v>
      </c>
      <c r="P563" s="1">
        <v>23850</v>
      </c>
      <c r="Q563" s="1">
        <v>23450</v>
      </c>
      <c r="R563" t="s">
        <v>710</v>
      </c>
      <c r="S563" s="3">
        <v>0.35362268518518519</v>
      </c>
      <c r="T563" s="1">
        <v>23000</v>
      </c>
      <c r="U563">
        <v>700</v>
      </c>
      <c r="V563">
        <v>3.04</v>
      </c>
    </row>
    <row r="564" spans="4:22" x14ac:dyDescent="0.3">
      <c r="D564">
        <v>562</v>
      </c>
      <c r="E564">
        <v>2710</v>
      </c>
      <c r="F564" t="s">
        <v>579</v>
      </c>
      <c r="H564" s="1">
        <v>13710</v>
      </c>
      <c r="I564">
        <v>2</v>
      </c>
      <c r="J564">
        <v>150</v>
      </c>
      <c r="K564">
        <v>1.1100000000000001</v>
      </c>
      <c r="L564" s="1">
        <v>10349</v>
      </c>
      <c r="M564">
        <v>142</v>
      </c>
      <c r="N564" s="1">
        <v>13678</v>
      </c>
      <c r="O564" s="1">
        <v>13700</v>
      </c>
      <c r="P564" s="1">
        <v>13720</v>
      </c>
      <c r="Q564" s="1">
        <v>13560</v>
      </c>
      <c r="R564" t="s">
        <v>710</v>
      </c>
      <c r="S564" s="3">
        <v>0.3536111111111111</v>
      </c>
      <c r="T564" s="1">
        <v>13560</v>
      </c>
      <c r="U564">
        <v>150</v>
      </c>
      <c r="V564">
        <v>1.1100000000000001</v>
      </c>
    </row>
    <row r="565" spans="4:22" x14ac:dyDescent="0.3">
      <c r="D565">
        <v>563</v>
      </c>
      <c r="E565">
        <v>6110</v>
      </c>
      <c r="F565" t="s">
        <v>580</v>
      </c>
      <c r="H565" s="1">
        <v>24400</v>
      </c>
      <c r="I565">
        <v>2</v>
      </c>
      <c r="J565">
        <v>450</v>
      </c>
      <c r="K565">
        <v>1.88</v>
      </c>
      <c r="L565" s="1">
        <v>5280</v>
      </c>
      <c r="M565">
        <v>128</v>
      </c>
      <c r="N565" s="1">
        <v>24310</v>
      </c>
      <c r="O565" s="1">
        <v>24150</v>
      </c>
      <c r="P565" s="1">
        <v>24500</v>
      </c>
      <c r="Q565" s="1">
        <v>24100</v>
      </c>
      <c r="R565" t="s">
        <v>710</v>
      </c>
      <c r="S565" s="3">
        <v>0.35349537037037032</v>
      </c>
      <c r="T565" s="1">
        <v>23950</v>
      </c>
      <c r="U565">
        <v>450</v>
      </c>
      <c r="V565">
        <v>1.88</v>
      </c>
    </row>
    <row r="566" spans="4:22" x14ac:dyDescent="0.3">
      <c r="D566">
        <v>564</v>
      </c>
      <c r="E566">
        <v>441270</v>
      </c>
      <c r="F566" t="s">
        <v>581</v>
      </c>
      <c r="H566" s="1">
        <v>9040</v>
      </c>
      <c r="I566">
        <v>2</v>
      </c>
      <c r="J566">
        <v>230</v>
      </c>
      <c r="K566">
        <v>2.61</v>
      </c>
      <c r="L566" s="1">
        <v>37915</v>
      </c>
      <c r="M566">
        <v>341</v>
      </c>
      <c r="N566" s="1">
        <v>8997</v>
      </c>
      <c r="O566" s="1">
        <v>8880</v>
      </c>
      <c r="P566" s="1">
        <v>9040</v>
      </c>
      <c r="Q566" s="1">
        <v>8880</v>
      </c>
      <c r="R566" t="s">
        <v>710</v>
      </c>
      <c r="S566" s="3">
        <v>0.35364583333333338</v>
      </c>
      <c r="T566" s="1">
        <v>8810</v>
      </c>
      <c r="U566">
        <v>230</v>
      </c>
      <c r="V566">
        <v>2.61</v>
      </c>
    </row>
    <row r="567" spans="4:22" x14ac:dyDescent="0.3">
      <c r="D567">
        <v>565</v>
      </c>
      <c r="E567">
        <v>60720</v>
      </c>
      <c r="F567" t="s">
        <v>582</v>
      </c>
      <c r="H567" s="1">
        <v>15000</v>
      </c>
      <c r="I567">
        <v>2</v>
      </c>
      <c r="J567">
        <v>790</v>
      </c>
      <c r="K567">
        <v>5.56</v>
      </c>
      <c r="L567" s="1">
        <v>203222</v>
      </c>
      <c r="M567" s="1">
        <v>2984</v>
      </c>
      <c r="N567" s="1">
        <v>14683</v>
      </c>
      <c r="O567" s="1">
        <v>14330</v>
      </c>
      <c r="P567" s="1">
        <v>15020</v>
      </c>
      <c r="Q567" s="1">
        <v>14330</v>
      </c>
      <c r="R567" t="s">
        <v>710</v>
      </c>
      <c r="S567" s="3">
        <v>0.35364583333333338</v>
      </c>
      <c r="T567" s="1">
        <v>14210</v>
      </c>
      <c r="U567">
        <v>790</v>
      </c>
      <c r="V567">
        <v>5.56</v>
      </c>
    </row>
    <row r="568" spans="4:22" x14ac:dyDescent="0.3">
      <c r="D568">
        <v>566</v>
      </c>
      <c r="E568">
        <v>475560</v>
      </c>
      <c r="F568" t="s">
        <v>583</v>
      </c>
      <c r="H568" s="1">
        <v>24000</v>
      </c>
      <c r="I568">
        <v>2</v>
      </c>
      <c r="J568">
        <v>100</v>
      </c>
      <c r="K568">
        <v>0.42</v>
      </c>
      <c r="L568">
        <v>493</v>
      </c>
      <c r="M568">
        <v>12</v>
      </c>
      <c r="N568" s="1">
        <v>24017</v>
      </c>
      <c r="O568" s="1">
        <v>23900</v>
      </c>
      <c r="P568" s="1">
        <v>24100</v>
      </c>
      <c r="Q568" s="1">
        <v>23850</v>
      </c>
      <c r="R568" t="s">
        <v>710</v>
      </c>
      <c r="S568" s="3">
        <v>0.35313657407407412</v>
      </c>
      <c r="T568" s="1">
        <v>23900</v>
      </c>
      <c r="U568">
        <v>100</v>
      </c>
      <c r="V568">
        <v>0.42</v>
      </c>
    </row>
    <row r="569" spans="4:22" x14ac:dyDescent="0.3">
      <c r="D569">
        <v>567</v>
      </c>
      <c r="E569">
        <v>340570</v>
      </c>
      <c r="F569" t="s">
        <v>584</v>
      </c>
      <c r="H569" s="1">
        <v>43550</v>
      </c>
      <c r="I569">
        <v>3</v>
      </c>
      <c r="L569">
        <v>233</v>
      </c>
      <c r="M569">
        <v>10</v>
      </c>
      <c r="N569" s="1">
        <v>43689</v>
      </c>
      <c r="O569" s="1">
        <v>43900</v>
      </c>
      <c r="P569" s="1">
        <v>43900</v>
      </c>
      <c r="Q569" s="1">
        <v>43550</v>
      </c>
      <c r="R569" t="s">
        <v>710</v>
      </c>
      <c r="S569" s="3">
        <v>0.35298611111111117</v>
      </c>
      <c r="T569" s="1">
        <v>43550</v>
      </c>
    </row>
    <row r="570" spans="4:22" x14ac:dyDescent="0.3">
      <c r="D570">
        <v>568</v>
      </c>
      <c r="E570">
        <v>314930</v>
      </c>
      <c r="F570" t="s">
        <v>585</v>
      </c>
      <c r="H570" s="1">
        <v>11830</v>
      </c>
      <c r="I570">
        <v>2</v>
      </c>
      <c r="J570">
        <v>100</v>
      </c>
      <c r="K570">
        <v>0.85</v>
      </c>
      <c r="L570" s="1">
        <v>2389</v>
      </c>
      <c r="M570">
        <v>28</v>
      </c>
      <c r="N570" s="1">
        <v>11846</v>
      </c>
      <c r="O570" s="1">
        <v>11900</v>
      </c>
      <c r="P570" s="1">
        <v>11900</v>
      </c>
      <c r="Q570" s="1">
        <v>11720</v>
      </c>
      <c r="R570" t="s">
        <v>710</v>
      </c>
      <c r="S570" s="3">
        <v>0.3520949074074074</v>
      </c>
      <c r="T570" s="1">
        <v>11730</v>
      </c>
      <c r="U570">
        <v>100</v>
      </c>
      <c r="V570">
        <v>0.85</v>
      </c>
    </row>
    <row r="571" spans="4:22" x14ac:dyDescent="0.3">
      <c r="D571">
        <v>569</v>
      </c>
      <c r="E571">
        <v>317330</v>
      </c>
      <c r="F571" t="s">
        <v>586</v>
      </c>
      <c r="H571" s="1">
        <v>17120</v>
      </c>
      <c r="I571">
        <v>2</v>
      </c>
      <c r="J571">
        <v>230</v>
      </c>
      <c r="K571">
        <v>1.36</v>
      </c>
      <c r="L571" s="1">
        <v>16068</v>
      </c>
      <c r="M571">
        <v>275</v>
      </c>
      <c r="N571" s="1">
        <v>17128</v>
      </c>
      <c r="O571" s="1">
        <v>17000</v>
      </c>
      <c r="P571" s="1">
        <v>17200</v>
      </c>
      <c r="Q571" s="1">
        <v>16990</v>
      </c>
      <c r="R571" t="s">
        <v>710</v>
      </c>
      <c r="S571" s="3">
        <v>0.3535300925925926</v>
      </c>
      <c r="T571" s="1">
        <v>16890</v>
      </c>
      <c r="U571">
        <v>230</v>
      </c>
      <c r="V571">
        <v>1.36</v>
      </c>
    </row>
    <row r="572" spans="4:22" x14ac:dyDescent="0.3">
      <c r="D572">
        <v>570</v>
      </c>
      <c r="E572">
        <v>144510</v>
      </c>
      <c r="F572" t="s">
        <v>587</v>
      </c>
      <c r="H572" s="1">
        <v>22150</v>
      </c>
      <c r="I572">
        <v>2</v>
      </c>
      <c r="J572">
        <v>100</v>
      </c>
      <c r="K572">
        <v>0.45</v>
      </c>
      <c r="L572" s="1">
        <v>3119</v>
      </c>
      <c r="M572">
        <v>69</v>
      </c>
      <c r="N572" s="1">
        <v>22140</v>
      </c>
      <c r="O572" s="1">
        <v>22450</v>
      </c>
      <c r="P572" s="1">
        <v>22500</v>
      </c>
      <c r="Q572" s="1">
        <v>22000</v>
      </c>
      <c r="R572" t="s">
        <v>710</v>
      </c>
      <c r="S572" s="3">
        <v>0.35351851851851851</v>
      </c>
      <c r="T572" s="1">
        <v>22050</v>
      </c>
      <c r="U572">
        <v>100</v>
      </c>
      <c r="V572">
        <v>0.45</v>
      </c>
    </row>
    <row r="573" spans="4:22" x14ac:dyDescent="0.3">
      <c r="D573">
        <v>571</v>
      </c>
      <c r="E573">
        <v>46890</v>
      </c>
      <c r="F573" t="s">
        <v>588</v>
      </c>
      <c r="H573" s="1">
        <v>5930</v>
      </c>
      <c r="I573">
        <v>2</v>
      </c>
      <c r="J573">
        <v>60</v>
      </c>
      <c r="K573">
        <v>1.02</v>
      </c>
      <c r="L573" s="1">
        <v>6142</v>
      </c>
      <c r="M573">
        <v>36</v>
      </c>
      <c r="N573" s="1">
        <v>5921</v>
      </c>
      <c r="O573" s="1">
        <v>5900</v>
      </c>
      <c r="P573" s="1">
        <v>5960</v>
      </c>
      <c r="Q573" s="1">
        <v>5900</v>
      </c>
      <c r="R573" t="s">
        <v>710</v>
      </c>
      <c r="S573" s="3">
        <v>0.35332175925925924</v>
      </c>
      <c r="T573" s="1">
        <v>5870</v>
      </c>
      <c r="U573">
        <v>60</v>
      </c>
      <c r="V573">
        <v>1.02</v>
      </c>
    </row>
    <row r="574" spans="4:22" x14ac:dyDescent="0.3">
      <c r="D574">
        <v>572</v>
      </c>
      <c r="E574">
        <v>419530</v>
      </c>
      <c r="F574" t="s">
        <v>589</v>
      </c>
      <c r="H574" s="1">
        <v>35150</v>
      </c>
      <c r="I574">
        <v>2</v>
      </c>
      <c r="J574">
        <v>50</v>
      </c>
      <c r="K574">
        <v>0.14000000000000001</v>
      </c>
      <c r="L574" s="1">
        <v>3078</v>
      </c>
      <c r="M574">
        <v>109</v>
      </c>
      <c r="N574" s="1">
        <v>35327</v>
      </c>
      <c r="O574" s="1">
        <v>35950</v>
      </c>
      <c r="P574" s="1">
        <v>35950</v>
      </c>
      <c r="Q574" s="1">
        <v>35000</v>
      </c>
      <c r="R574" t="s">
        <v>710</v>
      </c>
      <c r="S574" s="3">
        <v>0.35351851851851851</v>
      </c>
      <c r="T574" s="1">
        <v>35100</v>
      </c>
      <c r="U574">
        <v>50</v>
      </c>
      <c r="V574">
        <v>0.14000000000000001</v>
      </c>
    </row>
    <row r="575" spans="4:22" x14ac:dyDescent="0.3">
      <c r="D575">
        <v>573</v>
      </c>
      <c r="E575">
        <v>403850</v>
      </c>
      <c r="F575" t="s">
        <v>590</v>
      </c>
      <c r="H575" s="1">
        <v>23900</v>
      </c>
      <c r="I575">
        <v>2</v>
      </c>
      <c r="J575">
        <v>100</v>
      </c>
      <c r="K575">
        <v>0.42</v>
      </c>
      <c r="L575" s="1">
        <v>9106</v>
      </c>
      <c r="M575">
        <v>218</v>
      </c>
      <c r="N575" s="1">
        <v>23955</v>
      </c>
      <c r="O575" s="1">
        <v>24100</v>
      </c>
      <c r="P575" s="1">
        <v>24100</v>
      </c>
      <c r="Q575" s="1">
        <v>23750</v>
      </c>
      <c r="R575" t="s">
        <v>710</v>
      </c>
      <c r="S575" s="3">
        <v>0.35263888888888889</v>
      </c>
      <c r="T575" s="1">
        <v>23800</v>
      </c>
      <c r="U575">
        <v>100</v>
      </c>
      <c r="V575">
        <v>0.42</v>
      </c>
    </row>
    <row r="576" spans="4:22" x14ac:dyDescent="0.3">
      <c r="D576">
        <v>574</v>
      </c>
      <c r="E576">
        <v>190510</v>
      </c>
      <c r="F576" t="s">
        <v>591</v>
      </c>
      <c r="H576" s="1">
        <v>24400</v>
      </c>
      <c r="I576">
        <v>2</v>
      </c>
      <c r="J576">
        <v>200</v>
      </c>
      <c r="K576">
        <v>0.83</v>
      </c>
      <c r="L576" s="1">
        <v>57786</v>
      </c>
      <c r="M576" s="1">
        <v>1419</v>
      </c>
      <c r="N576" s="1">
        <v>24556</v>
      </c>
      <c r="O576" s="1">
        <v>24750</v>
      </c>
      <c r="P576" s="1">
        <v>24800</v>
      </c>
      <c r="Q576" s="1">
        <v>24350</v>
      </c>
      <c r="R576" t="s">
        <v>710</v>
      </c>
      <c r="S576" s="3">
        <v>0.35356481481481478</v>
      </c>
      <c r="T576" s="1">
        <v>24200</v>
      </c>
      <c r="U576">
        <v>200</v>
      </c>
      <c r="V576">
        <v>0.83</v>
      </c>
    </row>
    <row r="577" spans="4:22" x14ac:dyDescent="0.3">
      <c r="D577">
        <v>575</v>
      </c>
      <c r="E577">
        <v>338840</v>
      </c>
      <c r="F577" t="s">
        <v>592</v>
      </c>
      <c r="H577" s="1">
        <v>22500</v>
      </c>
      <c r="I577">
        <v>2</v>
      </c>
      <c r="J577">
        <v>400</v>
      </c>
      <c r="K577">
        <v>1.81</v>
      </c>
      <c r="L577" s="1">
        <v>22335</v>
      </c>
      <c r="M577">
        <v>506</v>
      </c>
      <c r="N577" s="1">
        <v>22670</v>
      </c>
      <c r="O577" s="1">
        <v>22350</v>
      </c>
      <c r="P577" s="1">
        <v>23150</v>
      </c>
      <c r="Q577" s="1">
        <v>22300</v>
      </c>
      <c r="R577" t="s">
        <v>710</v>
      </c>
      <c r="S577" s="3">
        <v>0.35355324074074074</v>
      </c>
      <c r="T577" s="1">
        <v>22100</v>
      </c>
      <c r="U577">
        <v>400</v>
      </c>
      <c r="V577">
        <v>1.81</v>
      </c>
    </row>
    <row r="578" spans="4:22" x14ac:dyDescent="0.3">
      <c r="D578">
        <v>576</v>
      </c>
      <c r="E578">
        <v>34120</v>
      </c>
      <c r="F578" t="s">
        <v>593</v>
      </c>
      <c r="H578" s="1">
        <v>18320</v>
      </c>
      <c r="I578">
        <v>2</v>
      </c>
      <c r="J578">
        <v>60</v>
      </c>
      <c r="K578">
        <v>0.33</v>
      </c>
      <c r="L578" s="1">
        <v>1107</v>
      </c>
      <c r="M578">
        <v>20</v>
      </c>
      <c r="N578" s="1">
        <v>18313</v>
      </c>
      <c r="O578" s="1">
        <v>18410</v>
      </c>
      <c r="P578" s="1">
        <v>18420</v>
      </c>
      <c r="Q578" s="1">
        <v>18270</v>
      </c>
      <c r="R578" t="s">
        <v>710</v>
      </c>
      <c r="S578" s="3">
        <v>0.3530787037037037</v>
      </c>
      <c r="T578" s="1">
        <v>18260</v>
      </c>
      <c r="U578">
        <v>60</v>
      </c>
      <c r="V578">
        <v>0.33</v>
      </c>
    </row>
    <row r="579" spans="4:22" x14ac:dyDescent="0.3">
      <c r="D579">
        <v>577</v>
      </c>
      <c r="E579">
        <v>168360</v>
      </c>
      <c r="F579" t="s">
        <v>594</v>
      </c>
      <c r="H579" s="1">
        <v>15950</v>
      </c>
      <c r="I579">
        <v>2</v>
      </c>
      <c r="J579">
        <v>280</v>
      </c>
      <c r="K579">
        <v>1.79</v>
      </c>
      <c r="L579" s="1">
        <v>6724</v>
      </c>
      <c r="M579">
        <v>108</v>
      </c>
      <c r="N579" s="1">
        <v>16013</v>
      </c>
      <c r="O579" s="1">
        <v>15700</v>
      </c>
      <c r="P579" s="1">
        <v>16100</v>
      </c>
      <c r="Q579" s="1">
        <v>15700</v>
      </c>
      <c r="R579" t="s">
        <v>710</v>
      </c>
      <c r="S579" s="3">
        <v>0.35256944444444444</v>
      </c>
      <c r="T579" s="1">
        <v>15670</v>
      </c>
      <c r="U579">
        <v>280</v>
      </c>
      <c r="V579">
        <v>1.79</v>
      </c>
    </row>
    <row r="580" spans="4:22" x14ac:dyDescent="0.3">
      <c r="D580">
        <v>578</v>
      </c>
      <c r="E580">
        <v>110990</v>
      </c>
      <c r="F580" t="s">
        <v>595</v>
      </c>
      <c r="H580" s="1">
        <v>17900</v>
      </c>
      <c r="I580">
        <v>2</v>
      </c>
      <c r="J580">
        <v>530</v>
      </c>
      <c r="K580">
        <v>3.05</v>
      </c>
      <c r="L580" s="1">
        <v>11879</v>
      </c>
      <c r="M580">
        <v>211</v>
      </c>
      <c r="N580" s="1">
        <v>17801</v>
      </c>
      <c r="O580" s="1">
        <v>17700</v>
      </c>
      <c r="P580" s="1">
        <v>17920</v>
      </c>
      <c r="Q580" s="1">
        <v>17530</v>
      </c>
      <c r="R580" t="s">
        <v>710</v>
      </c>
      <c r="S580" s="3">
        <v>0.35364583333333338</v>
      </c>
      <c r="T580" s="1">
        <v>17370</v>
      </c>
      <c r="U580">
        <v>530</v>
      </c>
      <c r="V580">
        <v>3.05</v>
      </c>
    </row>
    <row r="581" spans="4:22" x14ac:dyDescent="0.3">
      <c r="D581">
        <v>579</v>
      </c>
      <c r="E581">
        <v>20000</v>
      </c>
      <c r="F581" t="s">
        <v>596</v>
      </c>
      <c r="H581" s="1">
        <v>15070</v>
      </c>
      <c r="I581">
        <v>2</v>
      </c>
      <c r="J581">
        <v>30</v>
      </c>
      <c r="K581">
        <v>0.2</v>
      </c>
      <c r="L581">
        <v>2</v>
      </c>
      <c r="N581" s="1">
        <v>15070</v>
      </c>
      <c r="O581" s="1">
        <v>15070</v>
      </c>
      <c r="P581" s="1">
        <v>15070</v>
      </c>
      <c r="Q581" s="1">
        <v>15070</v>
      </c>
      <c r="R581" t="s">
        <v>710</v>
      </c>
      <c r="S581" s="3">
        <v>0.34417824074074077</v>
      </c>
      <c r="T581" s="1">
        <v>15040</v>
      </c>
      <c r="U581">
        <v>30</v>
      </c>
      <c r="V581">
        <v>0.2</v>
      </c>
    </row>
    <row r="582" spans="4:22" x14ac:dyDescent="0.3">
      <c r="D582">
        <v>580</v>
      </c>
      <c r="E582">
        <v>8060</v>
      </c>
      <c r="F582" t="s">
        <v>597</v>
      </c>
      <c r="H582" s="1">
        <v>9960</v>
      </c>
      <c r="I582">
        <v>2</v>
      </c>
      <c r="J582">
        <v>70</v>
      </c>
      <c r="K582">
        <v>0.71</v>
      </c>
      <c r="L582" s="1">
        <v>1742</v>
      </c>
      <c r="M582">
        <v>17</v>
      </c>
      <c r="N582" s="1">
        <v>9973</v>
      </c>
      <c r="O582" s="1">
        <v>9970</v>
      </c>
      <c r="P582" s="1">
        <v>10040</v>
      </c>
      <c r="Q582" s="1">
        <v>9950</v>
      </c>
      <c r="R582" t="s">
        <v>710</v>
      </c>
      <c r="S582" s="3">
        <v>0.35019675925925925</v>
      </c>
      <c r="T582" s="1">
        <v>9890</v>
      </c>
      <c r="U582">
        <v>70</v>
      </c>
      <c r="V582">
        <v>0.71</v>
      </c>
    </row>
    <row r="583" spans="4:22" x14ac:dyDescent="0.3">
      <c r="D583">
        <v>581</v>
      </c>
      <c r="E583">
        <v>7690</v>
      </c>
      <c r="F583" t="s">
        <v>598</v>
      </c>
      <c r="H583" s="1">
        <v>36400</v>
      </c>
      <c r="I583">
        <v>2</v>
      </c>
      <c r="J583">
        <v>150</v>
      </c>
      <c r="K583">
        <v>0.41</v>
      </c>
      <c r="L583">
        <v>150</v>
      </c>
      <c r="M583">
        <v>5</v>
      </c>
      <c r="N583" s="1">
        <v>36617</v>
      </c>
      <c r="O583" s="1">
        <v>36850</v>
      </c>
      <c r="P583" s="1">
        <v>36900</v>
      </c>
      <c r="Q583" s="1">
        <v>36350</v>
      </c>
      <c r="R583" t="s">
        <v>710</v>
      </c>
      <c r="S583" s="3">
        <v>0.35317129629629629</v>
      </c>
      <c r="T583" s="1">
        <v>36250</v>
      </c>
      <c r="U583">
        <v>150</v>
      </c>
      <c r="V583">
        <v>0.41</v>
      </c>
    </row>
    <row r="584" spans="4:22" x14ac:dyDescent="0.3">
      <c r="D584">
        <v>582</v>
      </c>
      <c r="E584">
        <v>84690</v>
      </c>
      <c r="F584" t="s">
        <v>599</v>
      </c>
      <c r="H584" s="1">
        <v>9300</v>
      </c>
      <c r="I584">
        <v>2</v>
      </c>
      <c r="J584">
        <v>50</v>
      </c>
      <c r="K584">
        <v>0.54</v>
      </c>
      <c r="L584" s="1">
        <v>3240</v>
      </c>
      <c r="M584">
        <v>30</v>
      </c>
      <c r="N584" s="1">
        <v>9295</v>
      </c>
      <c r="O584" s="1">
        <v>9500</v>
      </c>
      <c r="P584" s="1">
        <v>9500</v>
      </c>
      <c r="Q584" s="1">
        <v>9250</v>
      </c>
      <c r="R584" t="s">
        <v>710</v>
      </c>
      <c r="S584" s="3">
        <v>0.35354166666666664</v>
      </c>
      <c r="T584" s="1">
        <v>9250</v>
      </c>
      <c r="U584">
        <v>50</v>
      </c>
      <c r="V584">
        <v>0.54</v>
      </c>
    </row>
    <row r="585" spans="4:22" x14ac:dyDescent="0.3">
      <c r="D585">
        <v>583</v>
      </c>
      <c r="E585">
        <v>481070</v>
      </c>
      <c r="F585" t="s">
        <v>600</v>
      </c>
      <c r="H585" s="1">
        <v>23750</v>
      </c>
      <c r="I585">
        <v>2</v>
      </c>
      <c r="J585">
        <v>600</v>
      </c>
      <c r="K585">
        <v>2.59</v>
      </c>
      <c r="L585" s="1">
        <v>3558</v>
      </c>
      <c r="M585">
        <v>84</v>
      </c>
      <c r="N585" s="1">
        <v>23624</v>
      </c>
      <c r="O585" s="1">
        <v>23200</v>
      </c>
      <c r="P585" s="1">
        <v>23800</v>
      </c>
      <c r="Q585" s="1">
        <v>23200</v>
      </c>
      <c r="R585" t="s">
        <v>710</v>
      </c>
      <c r="S585" s="3">
        <v>0.35363425925925923</v>
      </c>
      <c r="T585" s="1">
        <v>23150</v>
      </c>
      <c r="U585">
        <v>600</v>
      </c>
      <c r="V585">
        <v>2.59</v>
      </c>
    </row>
    <row r="586" spans="4:22" x14ac:dyDescent="0.3">
      <c r="D586">
        <v>584</v>
      </c>
      <c r="E586">
        <v>306200</v>
      </c>
      <c r="F586" t="s">
        <v>601</v>
      </c>
      <c r="H586" s="1">
        <v>117800</v>
      </c>
      <c r="I586">
        <v>2</v>
      </c>
      <c r="J586">
        <v>900</v>
      </c>
      <c r="K586">
        <v>0.77</v>
      </c>
      <c r="L586" s="1">
        <v>1685</v>
      </c>
      <c r="M586">
        <v>199</v>
      </c>
      <c r="N586" s="1">
        <v>118061</v>
      </c>
      <c r="O586" s="1">
        <v>119000</v>
      </c>
      <c r="P586" s="1">
        <v>119000</v>
      </c>
      <c r="Q586" s="1">
        <v>117400</v>
      </c>
      <c r="R586" t="s">
        <v>710</v>
      </c>
      <c r="S586" s="3">
        <v>0.3532986111111111</v>
      </c>
      <c r="T586" s="1">
        <v>116900</v>
      </c>
      <c r="U586">
        <v>900</v>
      </c>
      <c r="V586">
        <v>0.77</v>
      </c>
    </row>
    <row r="587" spans="4:22" x14ac:dyDescent="0.3">
      <c r="D587">
        <v>585</v>
      </c>
      <c r="E587">
        <v>18250</v>
      </c>
      <c r="F587" t="s">
        <v>602</v>
      </c>
      <c r="H587" s="1">
        <v>12650</v>
      </c>
      <c r="I587">
        <v>2</v>
      </c>
      <c r="J587">
        <v>50</v>
      </c>
      <c r="K587">
        <v>0.4</v>
      </c>
      <c r="L587">
        <v>510</v>
      </c>
      <c r="M587">
        <v>6</v>
      </c>
      <c r="N587" s="1">
        <v>12572</v>
      </c>
      <c r="O587" s="1">
        <v>12990</v>
      </c>
      <c r="P587" s="1">
        <v>12990</v>
      </c>
      <c r="Q587" s="1">
        <v>12550</v>
      </c>
      <c r="R587" t="s">
        <v>710</v>
      </c>
      <c r="S587" s="3">
        <v>0.35293981481481485</v>
      </c>
      <c r="T587" s="1">
        <v>12600</v>
      </c>
      <c r="U587">
        <v>50</v>
      </c>
      <c r="V587">
        <v>0.4</v>
      </c>
    </row>
    <row r="588" spans="4:22" x14ac:dyDescent="0.3">
      <c r="D588">
        <v>586</v>
      </c>
      <c r="E588">
        <v>304100</v>
      </c>
      <c r="F588" t="s">
        <v>603</v>
      </c>
      <c r="H588" s="1">
        <v>26450</v>
      </c>
      <c r="I588">
        <v>2</v>
      </c>
      <c r="J588">
        <v>450</v>
      </c>
      <c r="K588">
        <v>1.73</v>
      </c>
      <c r="L588" s="1">
        <v>7277</v>
      </c>
      <c r="M588">
        <v>192</v>
      </c>
      <c r="N588" s="1">
        <v>26392</v>
      </c>
      <c r="O588" s="1">
        <v>26300</v>
      </c>
      <c r="P588" s="1">
        <v>26500</v>
      </c>
      <c r="Q588" s="1">
        <v>26000</v>
      </c>
      <c r="R588" t="s">
        <v>710</v>
      </c>
      <c r="S588" s="3">
        <v>0.35347222222222219</v>
      </c>
      <c r="T588" s="1">
        <v>26000</v>
      </c>
      <c r="U588">
        <v>450</v>
      </c>
      <c r="V588">
        <v>1.73</v>
      </c>
    </row>
    <row r="589" spans="4:22" x14ac:dyDescent="0.3">
      <c r="D589">
        <v>587</v>
      </c>
      <c r="E589">
        <v>215000</v>
      </c>
      <c r="F589" t="s">
        <v>604</v>
      </c>
      <c r="H589" s="1">
        <v>52800</v>
      </c>
      <c r="I589">
        <v>2</v>
      </c>
      <c r="J589">
        <v>100</v>
      </c>
      <c r="K589">
        <v>0.19</v>
      </c>
      <c r="L589">
        <v>518</v>
      </c>
      <c r="M589">
        <v>27</v>
      </c>
      <c r="N589" s="1">
        <v>52908</v>
      </c>
      <c r="O589" s="1">
        <v>52900</v>
      </c>
      <c r="P589" s="1">
        <v>53100</v>
      </c>
      <c r="Q589" s="1">
        <v>52800</v>
      </c>
      <c r="R589" t="s">
        <v>710</v>
      </c>
      <c r="S589" s="3">
        <v>0.35290509259259256</v>
      </c>
      <c r="T589" s="1">
        <v>52700</v>
      </c>
      <c r="U589">
        <v>100</v>
      </c>
      <c r="V589">
        <v>0.19</v>
      </c>
    </row>
    <row r="590" spans="4:22" x14ac:dyDescent="0.3">
      <c r="D590">
        <v>588</v>
      </c>
      <c r="E590">
        <v>286940</v>
      </c>
      <c r="F590" t="s">
        <v>605</v>
      </c>
      <c r="H590" s="1">
        <v>21900</v>
      </c>
      <c r="I590">
        <v>2</v>
      </c>
      <c r="J590">
        <v>400</v>
      </c>
      <c r="K590">
        <v>1.86</v>
      </c>
      <c r="L590" s="1">
        <v>1185</v>
      </c>
      <c r="M590">
        <v>26</v>
      </c>
      <c r="N590" s="1">
        <v>21851</v>
      </c>
      <c r="O590" s="1">
        <v>21550</v>
      </c>
      <c r="P590" s="1">
        <v>21950</v>
      </c>
      <c r="Q590" s="1">
        <v>21550</v>
      </c>
      <c r="R590" t="s">
        <v>710</v>
      </c>
      <c r="S590" s="3">
        <v>0.35149305555555554</v>
      </c>
      <c r="T590" s="1">
        <v>21500</v>
      </c>
      <c r="U590">
        <v>400</v>
      </c>
      <c r="V590">
        <v>1.86</v>
      </c>
    </row>
    <row r="591" spans="4:22" x14ac:dyDescent="0.3">
      <c r="D591">
        <v>589</v>
      </c>
      <c r="E591">
        <v>17860</v>
      </c>
      <c r="F591" t="s">
        <v>606</v>
      </c>
      <c r="H591" s="1">
        <v>18750</v>
      </c>
      <c r="I591">
        <v>2</v>
      </c>
      <c r="J591">
        <v>280</v>
      </c>
      <c r="K591">
        <v>1.52</v>
      </c>
      <c r="L591" s="1">
        <v>6677</v>
      </c>
      <c r="M591">
        <v>125</v>
      </c>
      <c r="N591" s="1">
        <v>18769</v>
      </c>
      <c r="O591" s="1">
        <v>18550</v>
      </c>
      <c r="P591" s="1">
        <v>18850</v>
      </c>
      <c r="Q591" s="1">
        <v>18550</v>
      </c>
      <c r="R591" t="s">
        <v>710</v>
      </c>
      <c r="S591" s="3">
        <v>0.3535300925925926</v>
      </c>
      <c r="T591" s="1">
        <v>18470</v>
      </c>
      <c r="U591">
        <v>280</v>
      </c>
      <c r="V591">
        <v>1.52</v>
      </c>
    </row>
    <row r="592" spans="4:22" x14ac:dyDescent="0.3">
      <c r="D592">
        <v>590</v>
      </c>
      <c r="E592">
        <v>1820</v>
      </c>
      <c r="F592" t="s">
        <v>607</v>
      </c>
      <c r="H592" s="1">
        <v>31500</v>
      </c>
      <c r="I592">
        <v>2</v>
      </c>
      <c r="J592" s="1">
        <v>1100</v>
      </c>
      <c r="K592">
        <v>3.62</v>
      </c>
      <c r="L592" s="1">
        <v>48555</v>
      </c>
      <c r="M592" s="1">
        <v>1550</v>
      </c>
      <c r="N592" s="1">
        <v>31923</v>
      </c>
      <c r="O592" s="1">
        <v>30600</v>
      </c>
      <c r="P592" s="1">
        <v>32750</v>
      </c>
      <c r="Q592" s="1">
        <v>30600</v>
      </c>
      <c r="R592" t="s">
        <v>710</v>
      </c>
      <c r="S592" s="3">
        <v>0.35350694444444447</v>
      </c>
      <c r="T592" s="1">
        <v>30400</v>
      </c>
      <c r="U592" s="1">
        <v>1100</v>
      </c>
      <c r="V592">
        <v>3.62</v>
      </c>
    </row>
    <row r="593" spans="4:22" x14ac:dyDescent="0.3">
      <c r="D593">
        <v>591</v>
      </c>
      <c r="E593">
        <v>95500</v>
      </c>
      <c r="F593" t="s">
        <v>608</v>
      </c>
      <c r="H593" s="1">
        <v>10500</v>
      </c>
      <c r="I593">
        <v>2</v>
      </c>
      <c r="J593">
        <v>120</v>
      </c>
      <c r="K593">
        <v>1.1599999999999999</v>
      </c>
      <c r="L593" s="1">
        <v>26877</v>
      </c>
      <c r="M593">
        <v>281</v>
      </c>
      <c r="N593" s="1">
        <v>10473</v>
      </c>
      <c r="O593" s="1">
        <v>10530</v>
      </c>
      <c r="P593" s="1">
        <v>10530</v>
      </c>
      <c r="Q593" s="1">
        <v>10430</v>
      </c>
      <c r="R593" t="s">
        <v>710</v>
      </c>
      <c r="S593" s="3">
        <v>0.3536111111111111</v>
      </c>
      <c r="T593" s="1">
        <v>10380</v>
      </c>
      <c r="U593">
        <v>120</v>
      </c>
      <c r="V593">
        <v>1.1599999999999999</v>
      </c>
    </row>
    <row r="594" spans="4:22" x14ac:dyDescent="0.3">
      <c r="D594">
        <v>592</v>
      </c>
      <c r="E594">
        <v>101360</v>
      </c>
      <c r="F594" t="s">
        <v>609</v>
      </c>
      <c r="H594" s="1">
        <v>18250</v>
      </c>
      <c r="I594">
        <v>2</v>
      </c>
      <c r="J594">
        <v>400</v>
      </c>
      <c r="K594">
        <v>2.2400000000000002</v>
      </c>
      <c r="L594" s="1">
        <v>18693</v>
      </c>
      <c r="M594">
        <v>341</v>
      </c>
      <c r="N594" s="1">
        <v>18246</v>
      </c>
      <c r="O594" s="1">
        <v>17000</v>
      </c>
      <c r="P594" s="1">
        <v>18350</v>
      </c>
      <c r="Q594" s="1">
        <v>17000</v>
      </c>
      <c r="R594" t="s">
        <v>710</v>
      </c>
      <c r="S594" s="3">
        <v>0.35359953703703706</v>
      </c>
      <c r="T594" s="1">
        <v>17850</v>
      </c>
      <c r="U594">
        <v>400</v>
      </c>
      <c r="V594">
        <v>2.2400000000000002</v>
      </c>
    </row>
    <row r="595" spans="4:22" x14ac:dyDescent="0.3">
      <c r="D595">
        <v>593</v>
      </c>
      <c r="E595">
        <v>3960</v>
      </c>
      <c r="F595" t="s">
        <v>610</v>
      </c>
      <c r="H595" s="1">
        <v>35400</v>
      </c>
      <c r="I595">
        <v>2</v>
      </c>
      <c r="J595">
        <v>50</v>
      </c>
      <c r="K595">
        <v>0.14000000000000001</v>
      </c>
      <c r="L595">
        <v>224</v>
      </c>
      <c r="M595">
        <v>8</v>
      </c>
      <c r="N595" s="1">
        <v>35304</v>
      </c>
      <c r="O595" s="1">
        <v>35300</v>
      </c>
      <c r="P595" s="1">
        <v>35400</v>
      </c>
      <c r="Q595" s="1">
        <v>35250</v>
      </c>
      <c r="R595" t="s">
        <v>710</v>
      </c>
      <c r="S595" s="3">
        <v>0.35313657407407412</v>
      </c>
      <c r="T595" s="1">
        <v>35350</v>
      </c>
      <c r="U595">
        <v>50</v>
      </c>
      <c r="V595">
        <v>0.14000000000000001</v>
      </c>
    </row>
    <row r="596" spans="4:22" x14ac:dyDescent="0.3">
      <c r="D596">
        <v>594</v>
      </c>
      <c r="E596">
        <v>194370</v>
      </c>
      <c r="F596" t="s">
        <v>611</v>
      </c>
      <c r="H596" s="1">
        <v>11040</v>
      </c>
      <c r="I596">
        <v>2</v>
      </c>
      <c r="J596">
        <v>40</v>
      </c>
      <c r="K596">
        <v>0.36</v>
      </c>
      <c r="L596" s="1">
        <v>1236</v>
      </c>
      <c r="M596">
        <v>14</v>
      </c>
      <c r="N596" s="1">
        <v>10985</v>
      </c>
      <c r="O596" s="1">
        <v>11000</v>
      </c>
      <c r="P596" s="1">
        <v>11040</v>
      </c>
      <c r="Q596" s="1">
        <v>10900</v>
      </c>
      <c r="R596" t="s">
        <v>710</v>
      </c>
      <c r="S596" s="3">
        <v>0.35349537037037032</v>
      </c>
      <c r="T596" s="1">
        <v>11000</v>
      </c>
      <c r="U596">
        <v>40</v>
      </c>
      <c r="V596">
        <v>0.36</v>
      </c>
    </row>
    <row r="597" spans="4:22" x14ac:dyDescent="0.3">
      <c r="D597">
        <v>595</v>
      </c>
      <c r="E597">
        <v>108860</v>
      </c>
      <c r="F597" t="s">
        <v>612</v>
      </c>
      <c r="H597" s="1">
        <v>11900</v>
      </c>
      <c r="I597">
        <v>2</v>
      </c>
      <c r="J597">
        <v>160</v>
      </c>
      <c r="K597">
        <v>1.36</v>
      </c>
      <c r="L597" s="1">
        <v>20227</v>
      </c>
      <c r="M597">
        <v>240</v>
      </c>
      <c r="N597" s="1">
        <v>11863</v>
      </c>
      <c r="O597" s="1">
        <v>11790</v>
      </c>
      <c r="P597" s="1">
        <v>11900</v>
      </c>
      <c r="Q597" s="1">
        <v>11790</v>
      </c>
      <c r="R597" t="s">
        <v>710</v>
      </c>
      <c r="S597" s="3">
        <v>0.35362268518518519</v>
      </c>
      <c r="T597" s="1">
        <v>11740</v>
      </c>
      <c r="U597">
        <v>160</v>
      </c>
      <c r="V597">
        <v>1.36</v>
      </c>
    </row>
    <row r="598" spans="4:22" x14ac:dyDescent="0.3">
      <c r="D598">
        <v>596</v>
      </c>
      <c r="E598">
        <v>17390</v>
      </c>
      <c r="F598" t="s">
        <v>613</v>
      </c>
      <c r="H598" s="1">
        <v>64000</v>
      </c>
      <c r="I598">
        <v>2</v>
      </c>
      <c r="J598" s="1">
        <v>1600</v>
      </c>
      <c r="K598">
        <v>2.56</v>
      </c>
      <c r="L598" s="1">
        <v>5502</v>
      </c>
      <c r="M598">
        <v>351</v>
      </c>
      <c r="N598" s="1">
        <v>63778</v>
      </c>
      <c r="O598" s="1">
        <v>63400</v>
      </c>
      <c r="P598" s="1">
        <v>66400</v>
      </c>
      <c r="Q598" s="1">
        <v>63200</v>
      </c>
      <c r="R598" t="s">
        <v>710</v>
      </c>
      <c r="S598" s="3">
        <v>0.35362268518518519</v>
      </c>
      <c r="T598" s="1">
        <v>62400</v>
      </c>
      <c r="U598" s="1">
        <v>1600</v>
      </c>
      <c r="V598">
        <v>2.56</v>
      </c>
    </row>
    <row r="599" spans="4:22" x14ac:dyDescent="0.3">
      <c r="D599">
        <v>597</v>
      </c>
      <c r="E599">
        <v>24720</v>
      </c>
      <c r="F599" t="s">
        <v>614</v>
      </c>
      <c r="H599" s="1">
        <v>9320</v>
      </c>
      <c r="I599">
        <v>2</v>
      </c>
      <c r="J599">
        <v>120</v>
      </c>
      <c r="K599">
        <v>1.3</v>
      </c>
      <c r="L599">
        <v>601</v>
      </c>
      <c r="M599">
        <v>6</v>
      </c>
      <c r="N599" s="1">
        <v>9266</v>
      </c>
      <c r="O599" s="1">
        <v>9500</v>
      </c>
      <c r="P599" s="1">
        <v>9500</v>
      </c>
      <c r="Q599" s="1">
        <v>9240</v>
      </c>
      <c r="R599" t="s">
        <v>710</v>
      </c>
      <c r="S599" s="3">
        <v>0.35210648148148144</v>
      </c>
      <c r="T599" s="1">
        <v>9200</v>
      </c>
      <c r="U599">
        <v>120</v>
      </c>
      <c r="V599">
        <v>1.3</v>
      </c>
    </row>
    <row r="600" spans="4:22" x14ac:dyDescent="0.3">
      <c r="D600">
        <v>598</v>
      </c>
      <c r="E600">
        <v>114810</v>
      </c>
      <c r="F600" t="s">
        <v>615</v>
      </c>
      <c r="H600" s="1">
        <v>11170</v>
      </c>
      <c r="I600">
        <v>2</v>
      </c>
      <c r="J600">
        <v>190</v>
      </c>
      <c r="K600">
        <v>1.73</v>
      </c>
      <c r="L600" s="1">
        <v>17794</v>
      </c>
      <c r="M600">
        <v>199</v>
      </c>
      <c r="N600" s="1">
        <v>11161</v>
      </c>
      <c r="O600" s="1">
        <v>11040</v>
      </c>
      <c r="P600" s="1">
        <v>11400</v>
      </c>
      <c r="Q600" s="1">
        <v>11040</v>
      </c>
      <c r="R600" t="s">
        <v>710</v>
      </c>
      <c r="S600" s="3">
        <v>0.35350694444444447</v>
      </c>
      <c r="T600" s="1">
        <v>10980</v>
      </c>
      <c r="U600">
        <v>190</v>
      </c>
      <c r="V600">
        <v>1.73</v>
      </c>
    </row>
    <row r="601" spans="4:22" x14ac:dyDescent="0.3">
      <c r="D601">
        <v>599</v>
      </c>
      <c r="E601">
        <v>42520</v>
      </c>
      <c r="F601" t="s">
        <v>616</v>
      </c>
      <c r="H601" s="1">
        <v>22400</v>
      </c>
      <c r="I601">
        <v>2</v>
      </c>
      <c r="J601">
        <v>100</v>
      </c>
      <c r="K601">
        <v>0.45</v>
      </c>
      <c r="L601" s="1">
        <v>12252</v>
      </c>
      <c r="M601">
        <v>272</v>
      </c>
      <c r="N601" s="1">
        <v>22184</v>
      </c>
      <c r="O601" s="1">
        <v>22300</v>
      </c>
      <c r="P601" s="1">
        <v>22800</v>
      </c>
      <c r="Q601" s="1">
        <v>21800</v>
      </c>
      <c r="R601" t="s">
        <v>710</v>
      </c>
      <c r="S601" s="3">
        <v>0.35348379629629628</v>
      </c>
      <c r="T601" s="1">
        <v>22300</v>
      </c>
      <c r="U601">
        <v>100</v>
      </c>
      <c r="V601">
        <v>0.45</v>
      </c>
    </row>
    <row r="602" spans="4:22" x14ac:dyDescent="0.3">
      <c r="D602">
        <v>600</v>
      </c>
      <c r="E602">
        <v>51500</v>
      </c>
      <c r="F602" t="s">
        <v>617</v>
      </c>
      <c r="H602" s="1">
        <v>26850</v>
      </c>
      <c r="I602">
        <v>2</v>
      </c>
      <c r="J602">
        <v>250</v>
      </c>
      <c r="K602">
        <v>0.94</v>
      </c>
      <c r="L602">
        <v>367</v>
      </c>
      <c r="M602">
        <v>10</v>
      </c>
      <c r="N602" s="1">
        <v>26722</v>
      </c>
      <c r="O602" s="1">
        <v>27050</v>
      </c>
      <c r="P602" s="1">
        <v>27200</v>
      </c>
      <c r="Q602" s="1">
        <v>26000</v>
      </c>
      <c r="R602" t="s">
        <v>710</v>
      </c>
      <c r="S602" s="3">
        <v>0.34945601851851849</v>
      </c>
      <c r="T602" s="1">
        <v>26600</v>
      </c>
      <c r="U602">
        <v>250</v>
      </c>
      <c r="V602">
        <v>0.94</v>
      </c>
    </row>
    <row r="603" spans="4:22" x14ac:dyDescent="0.3">
      <c r="D603">
        <v>601</v>
      </c>
      <c r="E603">
        <v>445090</v>
      </c>
      <c r="F603" t="s">
        <v>618</v>
      </c>
      <c r="H603" s="1">
        <v>29100</v>
      </c>
      <c r="I603">
        <v>2</v>
      </c>
      <c r="J603">
        <v>750</v>
      </c>
      <c r="K603">
        <v>2.65</v>
      </c>
      <c r="L603" s="1">
        <v>14993</v>
      </c>
      <c r="M603">
        <v>435</v>
      </c>
      <c r="N603" s="1">
        <v>29032</v>
      </c>
      <c r="O603" s="1">
        <v>28700</v>
      </c>
      <c r="P603" s="1">
        <v>29300</v>
      </c>
      <c r="Q603" s="1">
        <v>28700</v>
      </c>
      <c r="R603" t="s">
        <v>710</v>
      </c>
      <c r="S603" s="3">
        <v>0.3536111111111111</v>
      </c>
      <c r="T603" s="1">
        <v>28350</v>
      </c>
      <c r="U603">
        <v>750</v>
      </c>
      <c r="V603">
        <v>2.65</v>
      </c>
    </row>
    <row r="604" spans="4:22" x14ac:dyDescent="0.3">
      <c r="D604">
        <v>602</v>
      </c>
      <c r="E604">
        <v>92790</v>
      </c>
      <c r="F604" t="s">
        <v>619</v>
      </c>
      <c r="H604" s="1">
        <v>12210</v>
      </c>
      <c r="I604">
        <v>5</v>
      </c>
      <c r="J604">
        <v>80</v>
      </c>
      <c r="K604">
        <v>-0.65</v>
      </c>
      <c r="L604" s="1">
        <v>643017</v>
      </c>
      <c r="M604" s="1">
        <v>7861</v>
      </c>
      <c r="N604" s="1">
        <v>12224</v>
      </c>
      <c r="O604" s="1">
        <v>12380</v>
      </c>
      <c r="P604" s="1">
        <v>12600</v>
      </c>
      <c r="Q604" s="1">
        <v>11880</v>
      </c>
      <c r="R604" t="s">
        <v>710</v>
      </c>
      <c r="S604" s="3">
        <v>0.35364583333333338</v>
      </c>
      <c r="T604" s="1">
        <v>12290</v>
      </c>
      <c r="U604">
        <v>-80</v>
      </c>
      <c r="V604">
        <v>-0.65</v>
      </c>
    </row>
    <row r="605" spans="4:22" x14ac:dyDescent="0.3">
      <c r="D605">
        <v>603</v>
      </c>
      <c r="E605">
        <v>138490</v>
      </c>
      <c r="F605" t="s">
        <v>620</v>
      </c>
      <c r="H605" s="1">
        <v>8330</v>
      </c>
      <c r="I605">
        <v>2</v>
      </c>
      <c r="J605">
        <v>60</v>
      </c>
      <c r="K605">
        <v>0.73</v>
      </c>
      <c r="L605" s="1">
        <v>2151</v>
      </c>
      <c r="M605">
        <v>18</v>
      </c>
      <c r="N605" s="1">
        <v>8353</v>
      </c>
      <c r="O605" s="1">
        <v>8530</v>
      </c>
      <c r="P605" s="1">
        <v>8530</v>
      </c>
      <c r="Q605" s="1">
        <v>8290</v>
      </c>
      <c r="R605" t="s">
        <v>710</v>
      </c>
      <c r="S605" s="3">
        <v>0.35334490740740737</v>
      </c>
      <c r="T605" s="1">
        <v>8270</v>
      </c>
      <c r="U605">
        <v>60</v>
      </c>
      <c r="V605">
        <v>0.73</v>
      </c>
    </row>
    <row r="606" spans="4:22" x14ac:dyDescent="0.3">
      <c r="D606">
        <v>604</v>
      </c>
      <c r="E606">
        <v>357550</v>
      </c>
      <c r="F606" t="s">
        <v>621</v>
      </c>
      <c r="H606" s="1">
        <v>57900</v>
      </c>
      <c r="I606">
        <v>2</v>
      </c>
      <c r="J606" s="1">
        <v>1000</v>
      </c>
      <c r="K606">
        <v>1.76</v>
      </c>
      <c r="L606">
        <v>314</v>
      </c>
      <c r="M606">
        <v>19</v>
      </c>
      <c r="N606" s="1">
        <v>58926</v>
      </c>
      <c r="O606" s="1">
        <v>59100</v>
      </c>
      <c r="P606" s="1">
        <v>59100</v>
      </c>
      <c r="Q606" s="1">
        <v>57600</v>
      </c>
      <c r="R606" t="s">
        <v>710</v>
      </c>
      <c r="S606" s="3">
        <v>0.35313657407407412</v>
      </c>
      <c r="T606" s="1">
        <v>56900</v>
      </c>
      <c r="U606" s="1">
        <v>1000</v>
      </c>
      <c r="V606">
        <v>1.76</v>
      </c>
    </row>
    <row r="607" spans="4:22" x14ac:dyDescent="0.3">
      <c r="D607">
        <v>605</v>
      </c>
      <c r="E607" t="s">
        <v>714</v>
      </c>
      <c r="F607" t="s">
        <v>622</v>
      </c>
      <c r="H607" s="1">
        <v>32900</v>
      </c>
      <c r="I607">
        <v>2</v>
      </c>
      <c r="J607">
        <v>550</v>
      </c>
      <c r="K607">
        <v>1.7</v>
      </c>
      <c r="L607" s="1">
        <v>4462</v>
      </c>
      <c r="M607">
        <v>147</v>
      </c>
      <c r="N607" s="1">
        <v>32927</v>
      </c>
      <c r="O607" s="1">
        <v>32750</v>
      </c>
      <c r="P607" s="1">
        <v>33000</v>
      </c>
      <c r="Q607" s="1">
        <v>32750</v>
      </c>
      <c r="R607" t="s">
        <v>710</v>
      </c>
      <c r="S607" s="3">
        <v>0.3532986111111111</v>
      </c>
      <c r="T607" s="1">
        <v>32350</v>
      </c>
      <c r="U607">
        <v>550</v>
      </c>
      <c r="V607">
        <v>1.7</v>
      </c>
    </row>
    <row r="608" spans="4:22" x14ac:dyDescent="0.3">
      <c r="D608">
        <v>606</v>
      </c>
      <c r="E608">
        <v>243070</v>
      </c>
      <c r="F608" t="s">
        <v>623</v>
      </c>
      <c r="H608" s="1">
        <v>25700</v>
      </c>
      <c r="I608">
        <v>2</v>
      </c>
      <c r="J608">
        <v>200</v>
      </c>
      <c r="K608">
        <v>0.78</v>
      </c>
      <c r="L608">
        <v>261</v>
      </c>
      <c r="M608">
        <v>7</v>
      </c>
      <c r="N608" s="1">
        <v>25634</v>
      </c>
      <c r="O608" s="1">
        <v>25550</v>
      </c>
      <c r="P608" s="1">
        <v>25800</v>
      </c>
      <c r="Q608" s="1">
        <v>25500</v>
      </c>
      <c r="R608" t="s">
        <v>710</v>
      </c>
      <c r="S608" s="3">
        <v>0.35276620370370365</v>
      </c>
      <c r="T608" s="1">
        <v>25500</v>
      </c>
      <c r="U608">
        <v>200</v>
      </c>
      <c r="V608">
        <v>0.78</v>
      </c>
    </row>
    <row r="609" spans="4:22" x14ac:dyDescent="0.3">
      <c r="D609">
        <v>607</v>
      </c>
      <c r="E609">
        <v>389260</v>
      </c>
      <c r="F609" t="s">
        <v>624</v>
      </c>
      <c r="H609" s="1">
        <v>17050</v>
      </c>
      <c r="I609">
        <v>2</v>
      </c>
      <c r="J609">
        <v>50</v>
      </c>
      <c r="K609">
        <v>0.28999999999999998</v>
      </c>
      <c r="L609" s="1">
        <v>3610</v>
      </c>
      <c r="M609">
        <v>62</v>
      </c>
      <c r="N609" s="1">
        <v>17050</v>
      </c>
      <c r="O609" s="1">
        <v>17030</v>
      </c>
      <c r="P609" s="1">
        <v>17150</v>
      </c>
      <c r="Q609" s="1">
        <v>17010</v>
      </c>
      <c r="R609" t="s">
        <v>710</v>
      </c>
      <c r="S609" s="3">
        <v>0.35333333333333333</v>
      </c>
      <c r="T609" s="1">
        <v>17000</v>
      </c>
      <c r="U609">
        <v>50</v>
      </c>
      <c r="V609">
        <v>0.28999999999999998</v>
      </c>
    </row>
    <row r="610" spans="4:22" x14ac:dyDescent="0.3">
      <c r="D610">
        <v>608</v>
      </c>
      <c r="E610">
        <v>64550</v>
      </c>
      <c r="F610" t="s">
        <v>625</v>
      </c>
      <c r="H610" s="1">
        <v>11820</v>
      </c>
      <c r="I610">
        <v>2</v>
      </c>
      <c r="J610">
        <v>110</v>
      </c>
      <c r="K610">
        <v>0.94</v>
      </c>
      <c r="L610" s="1">
        <v>6436</v>
      </c>
      <c r="M610">
        <v>76</v>
      </c>
      <c r="N610" s="1">
        <v>11840</v>
      </c>
      <c r="O610" s="1">
        <v>11840</v>
      </c>
      <c r="P610" s="1">
        <v>11910</v>
      </c>
      <c r="Q610" s="1">
        <v>11690</v>
      </c>
      <c r="R610" t="s">
        <v>710</v>
      </c>
      <c r="S610" s="3">
        <v>0.3523958333333333</v>
      </c>
      <c r="T610" s="1">
        <v>11710</v>
      </c>
      <c r="U610">
        <v>110</v>
      </c>
      <c r="V610">
        <v>0.94</v>
      </c>
    </row>
    <row r="611" spans="4:22" x14ac:dyDescent="0.3">
      <c r="D611">
        <v>609</v>
      </c>
      <c r="E611">
        <v>54950</v>
      </c>
      <c r="F611" t="s">
        <v>626</v>
      </c>
      <c r="H611" s="1">
        <v>25150</v>
      </c>
      <c r="I611">
        <v>3</v>
      </c>
      <c r="L611">
        <v>580</v>
      </c>
      <c r="M611">
        <v>15</v>
      </c>
      <c r="N611" s="1">
        <v>25186</v>
      </c>
      <c r="O611" s="1">
        <v>25150</v>
      </c>
      <c r="P611" s="1">
        <v>25250</v>
      </c>
      <c r="Q611" s="1">
        <v>25100</v>
      </c>
      <c r="R611" t="s">
        <v>710</v>
      </c>
      <c r="S611" s="3">
        <v>0.35180555555555554</v>
      </c>
      <c r="T611" s="1">
        <v>25150</v>
      </c>
    </row>
    <row r="612" spans="4:22" x14ac:dyDescent="0.3">
      <c r="D612">
        <v>610</v>
      </c>
      <c r="E612">
        <v>92230</v>
      </c>
      <c r="F612" t="s">
        <v>627</v>
      </c>
      <c r="H612" s="1">
        <v>71900</v>
      </c>
      <c r="I612">
        <v>2</v>
      </c>
      <c r="J612">
        <v>400</v>
      </c>
      <c r="K612">
        <v>0.56000000000000005</v>
      </c>
      <c r="L612">
        <v>13</v>
      </c>
      <c r="M612">
        <v>1</v>
      </c>
      <c r="N612" s="1">
        <v>71953</v>
      </c>
      <c r="O612" s="1">
        <v>71900</v>
      </c>
      <c r="P612" s="1">
        <v>72000</v>
      </c>
      <c r="Q612" s="1">
        <v>71800</v>
      </c>
      <c r="R612" t="s">
        <v>710</v>
      </c>
      <c r="S612" s="3">
        <v>0.3434490740740741</v>
      </c>
      <c r="T612" s="1">
        <v>71500</v>
      </c>
      <c r="U612">
        <v>400</v>
      </c>
      <c r="V612">
        <v>0.56000000000000005</v>
      </c>
    </row>
    <row r="613" spans="4:22" x14ac:dyDescent="0.3">
      <c r="D613">
        <v>611</v>
      </c>
      <c r="E613">
        <v>2810</v>
      </c>
      <c r="F613" t="s">
        <v>628</v>
      </c>
      <c r="H613" s="1">
        <v>16410</v>
      </c>
      <c r="I613">
        <v>5</v>
      </c>
      <c r="J613">
        <v>320</v>
      </c>
      <c r="K613">
        <v>-1.91</v>
      </c>
      <c r="L613" s="1">
        <v>24378</v>
      </c>
      <c r="M613">
        <v>400</v>
      </c>
      <c r="N613" s="1">
        <v>16408</v>
      </c>
      <c r="O613" s="1">
        <v>16630</v>
      </c>
      <c r="P613" s="1">
        <v>16630</v>
      </c>
      <c r="Q613" s="1">
        <v>16270</v>
      </c>
      <c r="R613" t="s">
        <v>710</v>
      </c>
      <c r="S613" s="3">
        <v>0.35364583333333338</v>
      </c>
      <c r="T613" s="1">
        <v>16730</v>
      </c>
      <c r="U613">
        <v>-320</v>
      </c>
      <c r="V613">
        <v>-1.91</v>
      </c>
    </row>
    <row r="614" spans="4:22" x14ac:dyDescent="0.3">
      <c r="D614">
        <v>612</v>
      </c>
      <c r="E614">
        <v>3920</v>
      </c>
      <c r="F614" t="s">
        <v>629</v>
      </c>
      <c r="H614" s="1">
        <v>50500</v>
      </c>
      <c r="I614">
        <v>3</v>
      </c>
      <c r="L614">
        <v>209</v>
      </c>
      <c r="M614">
        <v>11</v>
      </c>
      <c r="N614" s="1">
        <v>50416</v>
      </c>
      <c r="O614" s="1">
        <v>50500</v>
      </c>
      <c r="P614" s="1">
        <v>50500</v>
      </c>
      <c r="Q614" s="1">
        <v>50400</v>
      </c>
      <c r="R614" t="s">
        <v>710</v>
      </c>
      <c r="S614" s="3">
        <v>0.35083333333333333</v>
      </c>
      <c r="T614" s="1">
        <v>50500</v>
      </c>
    </row>
    <row r="615" spans="4:22" x14ac:dyDescent="0.3">
      <c r="D615">
        <v>613</v>
      </c>
      <c r="E615">
        <v>3200</v>
      </c>
      <c r="F615" t="s">
        <v>630</v>
      </c>
      <c r="H615" s="1">
        <v>13180</v>
      </c>
      <c r="I615">
        <v>2</v>
      </c>
      <c r="J615">
        <v>200</v>
      </c>
      <c r="K615">
        <v>1.54</v>
      </c>
      <c r="L615" s="1">
        <v>3489</v>
      </c>
      <c r="M615">
        <v>46</v>
      </c>
      <c r="N615" s="1">
        <v>13122</v>
      </c>
      <c r="O615" s="1">
        <v>13090</v>
      </c>
      <c r="P615" s="1">
        <v>13180</v>
      </c>
      <c r="Q615" s="1">
        <v>13060</v>
      </c>
      <c r="R615" t="s">
        <v>710</v>
      </c>
      <c r="S615" s="3">
        <v>0.35364583333333338</v>
      </c>
      <c r="T615" s="1">
        <v>12980</v>
      </c>
      <c r="U615">
        <v>200</v>
      </c>
      <c r="V615">
        <v>1.54</v>
      </c>
    </row>
    <row r="616" spans="4:22" x14ac:dyDescent="0.3">
      <c r="D616">
        <v>614</v>
      </c>
      <c r="E616">
        <v>2320</v>
      </c>
      <c r="F616" t="s">
        <v>631</v>
      </c>
      <c r="H616" s="1">
        <v>19820</v>
      </c>
      <c r="I616">
        <v>2</v>
      </c>
      <c r="J616">
        <v>350</v>
      </c>
      <c r="K616">
        <v>1.8</v>
      </c>
      <c r="L616">
        <v>88</v>
      </c>
      <c r="M616">
        <v>2</v>
      </c>
      <c r="N616" s="1">
        <v>19741</v>
      </c>
      <c r="O616" s="1">
        <v>19400</v>
      </c>
      <c r="P616" s="1">
        <v>19880</v>
      </c>
      <c r="Q616" s="1">
        <v>19400</v>
      </c>
      <c r="R616" t="s">
        <v>710</v>
      </c>
      <c r="S616" s="3">
        <v>0.35232638888888884</v>
      </c>
      <c r="T616" s="1">
        <v>19470</v>
      </c>
      <c r="U616">
        <v>350</v>
      </c>
      <c r="V616">
        <v>1.8</v>
      </c>
    </row>
    <row r="617" spans="4:22" x14ac:dyDescent="0.3">
      <c r="D617">
        <v>615</v>
      </c>
      <c r="E617">
        <v>67080</v>
      </c>
      <c r="F617" t="s">
        <v>632</v>
      </c>
      <c r="H617" s="1">
        <v>16160</v>
      </c>
      <c r="I617">
        <v>2</v>
      </c>
      <c r="J617">
        <v>130</v>
      </c>
      <c r="K617">
        <v>0.81</v>
      </c>
      <c r="L617" s="1">
        <v>4602</v>
      </c>
      <c r="M617">
        <v>74</v>
      </c>
      <c r="N617" s="1">
        <v>16188</v>
      </c>
      <c r="O617" s="1">
        <v>16130</v>
      </c>
      <c r="P617" s="1">
        <v>16260</v>
      </c>
      <c r="Q617" s="1">
        <v>16060</v>
      </c>
      <c r="R617" t="s">
        <v>710</v>
      </c>
      <c r="S617" s="3">
        <v>0.35317129629629629</v>
      </c>
      <c r="T617" s="1">
        <v>16030</v>
      </c>
      <c r="U617">
        <v>130</v>
      </c>
      <c r="V617">
        <v>0.81</v>
      </c>
    </row>
    <row r="618" spans="4:22" x14ac:dyDescent="0.3">
      <c r="D618">
        <v>616</v>
      </c>
      <c r="E618">
        <v>36890</v>
      </c>
      <c r="F618" t="s">
        <v>633</v>
      </c>
      <c r="H618" s="1">
        <v>13630</v>
      </c>
      <c r="I618">
        <v>2</v>
      </c>
      <c r="J618">
        <v>220</v>
      </c>
      <c r="K618">
        <v>1.64</v>
      </c>
      <c r="L618" s="1">
        <v>4736</v>
      </c>
      <c r="M618">
        <v>65</v>
      </c>
      <c r="N618" s="1">
        <v>13620</v>
      </c>
      <c r="O618" s="1">
        <v>13530</v>
      </c>
      <c r="P618" s="1">
        <v>13680</v>
      </c>
      <c r="Q618" s="1">
        <v>13530</v>
      </c>
      <c r="R618" t="s">
        <v>710</v>
      </c>
      <c r="S618" s="3">
        <v>0.35240740740740745</v>
      </c>
      <c r="T618" s="1">
        <v>13410</v>
      </c>
      <c r="U618">
        <v>220</v>
      </c>
      <c r="V618">
        <v>1.64</v>
      </c>
    </row>
    <row r="619" spans="4:22" x14ac:dyDescent="0.3">
      <c r="D619">
        <v>617</v>
      </c>
      <c r="E619">
        <v>308430</v>
      </c>
      <c r="F619" t="s">
        <v>634</v>
      </c>
      <c r="H619" s="1">
        <v>23400</v>
      </c>
      <c r="I619">
        <v>2</v>
      </c>
      <c r="J619">
        <v>400</v>
      </c>
      <c r="K619">
        <v>1.74</v>
      </c>
      <c r="L619" s="1">
        <v>6646</v>
      </c>
      <c r="M619">
        <v>156</v>
      </c>
      <c r="N619" s="1">
        <v>23403</v>
      </c>
      <c r="O619" s="1">
        <v>24050</v>
      </c>
      <c r="P619" s="1">
        <v>24050</v>
      </c>
      <c r="Q619" s="1">
        <v>23100</v>
      </c>
      <c r="R619" t="s">
        <v>710</v>
      </c>
      <c r="S619" s="3">
        <v>0.35359953703703706</v>
      </c>
      <c r="T619" s="1">
        <v>23000</v>
      </c>
      <c r="U619">
        <v>400</v>
      </c>
      <c r="V619">
        <v>1.74</v>
      </c>
    </row>
    <row r="620" spans="4:22" x14ac:dyDescent="0.3">
      <c r="D620">
        <v>618</v>
      </c>
      <c r="E620">
        <v>5090</v>
      </c>
      <c r="F620" t="s">
        <v>635</v>
      </c>
      <c r="H620" s="1">
        <v>20800</v>
      </c>
      <c r="I620">
        <v>2</v>
      </c>
      <c r="J620">
        <v>200</v>
      </c>
      <c r="K620">
        <v>0.97</v>
      </c>
      <c r="L620">
        <v>458</v>
      </c>
      <c r="M620">
        <v>9</v>
      </c>
      <c r="N620" s="1">
        <v>20710</v>
      </c>
      <c r="O620" s="1">
        <v>20650</v>
      </c>
      <c r="P620" s="1">
        <v>20800</v>
      </c>
      <c r="Q620" s="1">
        <v>20650</v>
      </c>
      <c r="R620" t="s">
        <v>710</v>
      </c>
      <c r="S620" s="3">
        <v>0.35199074074074077</v>
      </c>
      <c r="T620" s="1">
        <v>20600</v>
      </c>
      <c r="U620">
        <v>200</v>
      </c>
      <c r="V620">
        <v>0.97</v>
      </c>
    </row>
    <row r="621" spans="4:22" x14ac:dyDescent="0.3">
      <c r="D621">
        <v>619</v>
      </c>
      <c r="E621">
        <v>394280</v>
      </c>
      <c r="F621" t="s">
        <v>636</v>
      </c>
      <c r="H621" s="1">
        <v>13490</v>
      </c>
      <c r="I621">
        <v>2</v>
      </c>
      <c r="J621">
        <v>360</v>
      </c>
      <c r="K621">
        <v>2.74</v>
      </c>
      <c r="L621" s="1">
        <v>33807</v>
      </c>
      <c r="M621">
        <v>455</v>
      </c>
      <c r="N621" s="1">
        <v>13463</v>
      </c>
      <c r="O621" s="1">
        <v>13220</v>
      </c>
      <c r="P621" s="1">
        <v>13530</v>
      </c>
      <c r="Q621" s="1">
        <v>13220</v>
      </c>
      <c r="R621" t="s">
        <v>710</v>
      </c>
      <c r="S621" s="3">
        <v>0.35365740740740742</v>
      </c>
      <c r="T621" s="1">
        <v>13130</v>
      </c>
      <c r="U621">
        <v>360</v>
      </c>
      <c r="V621">
        <v>2.74</v>
      </c>
    </row>
    <row r="622" spans="4:22" x14ac:dyDescent="0.3">
      <c r="D622">
        <v>620</v>
      </c>
      <c r="E622">
        <v>33270</v>
      </c>
      <c r="F622" t="s">
        <v>637</v>
      </c>
      <c r="H622" s="1">
        <v>18180</v>
      </c>
      <c r="I622">
        <v>2</v>
      </c>
      <c r="J622">
        <v>30</v>
      </c>
      <c r="K622">
        <v>0.17</v>
      </c>
      <c r="L622">
        <v>967</v>
      </c>
      <c r="M622">
        <v>18</v>
      </c>
      <c r="N622" s="1">
        <v>18171</v>
      </c>
      <c r="O622" s="1">
        <v>18160</v>
      </c>
      <c r="P622" s="1">
        <v>18270</v>
      </c>
      <c r="Q622" s="1">
        <v>18160</v>
      </c>
      <c r="R622" t="s">
        <v>710</v>
      </c>
      <c r="S622" s="3">
        <v>0.35271990740740744</v>
      </c>
      <c r="T622" s="1">
        <v>18150</v>
      </c>
      <c r="U622">
        <v>30</v>
      </c>
      <c r="V622">
        <v>0.17</v>
      </c>
    </row>
    <row r="623" spans="4:22" x14ac:dyDescent="0.3">
      <c r="D623">
        <v>621</v>
      </c>
      <c r="E623">
        <v>36200</v>
      </c>
      <c r="F623" t="s">
        <v>638</v>
      </c>
      <c r="H623" s="1">
        <v>9630</v>
      </c>
      <c r="I623">
        <v>2</v>
      </c>
      <c r="J623">
        <v>260</v>
      </c>
      <c r="K623">
        <v>2.77</v>
      </c>
      <c r="L623" s="1">
        <v>23453</v>
      </c>
      <c r="M623">
        <v>225</v>
      </c>
      <c r="N623" s="1">
        <v>9605</v>
      </c>
      <c r="O623" s="1">
        <v>9510</v>
      </c>
      <c r="P623" s="1">
        <v>9660</v>
      </c>
      <c r="Q623" s="1">
        <v>9510</v>
      </c>
      <c r="R623" t="s">
        <v>710</v>
      </c>
      <c r="S623" s="3">
        <v>0.35364583333333338</v>
      </c>
      <c r="T623" s="1">
        <v>9370</v>
      </c>
      <c r="U623">
        <v>260</v>
      </c>
      <c r="V623">
        <v>2.77</v>
      </c>
    </row>
    <row r="624" spans="4:22" x14ac:dyDescent="0.3">
      <c r="D624">
        <v>622</v>
      </c>
      <c r="E624">
        <v>93520</v>
      </c>
      <c r="F624" t="s">
        <v>639</v>
      </c>
      <c r="H624" s="1">
        <v>20750</v>
      </c>
      <c r="I624">
        <v>2</v>
      </c>
      <c r="J624">
        <v>150</v>
      </c>
      <c r="K624">
        <v>0.73</v>
      </c>
      <c r="L624" s="1">
        <v>1377</v>
      </c>
      <c r="M624">
        <v>29</v>
      </c>
      <c r="N624" s="1">
        <v>20779</v>
      </c>
      <c r="O624" s="1">
        <v>20600</v>
      </c>
      <c r="P624" s="1">
        <v>20900</v>
      </c>
      <c r="Q624" s="1">
        <v>20600</v>
      </c>
      <c r="R624" t="s">
        <v>710</v>
      </c>
      <c r="S624" s="3">
        <v>0.35326388888888888</v>
      </c>
      <c r="T624" s="1">
        <v>20600</v>
      </c>
      <c r="U624">
        <v>150</v>
      </c>
      <c r="V624">
        <v>0.73</v>
      </c>
    </row>
    <row r="625" spans="4:22" x14ac:dyDescent="0.3">
      <c r="D625">
        <v>623</v>
      </c>
      <c r="E625">
        <v>490</v>
      </c>
      <c r="F625" t="s">
        <v>640</v>
      </c>
      <c r="H625" s="1">
        <v>10190</v>
      </c>
      <c r="I625">
        <v>2</v>
      </c>
      <c r="J625">
        <v>130</v>
      </c>
      <c r="K625">
        <v>1.29</v>
      </c>
      <c r="L625" s="1">
        <v>28881</v>
      </c>
      <c r="M625">
        <v>294</v>
      </c>
      <c r="N625" s="1">
        <v>10166</v>
      </c>
      <c r="O625" s="1">
        <v>10180</v>
      </c>
      <c r="P625" s="1">
        <v>10210</v>
      </c>
      <c r="Q625" s="1">
        <v>10130</v>
      </c>
      <c r="R625" t="s">
        <v>710</v>
      </c>
      <c r="S625" s="3">
        <v>0.3536111111111111</v>
      </c>
      <c r="T625" s="1">
        <v>10060</v>
      </c>
      <c r="U625">
        <v>130</v>
      </c>
      <c r="V625">
        <v>1.29</v>
      </c>
    </row>
    <row r="626" spans="4:22" x14ac:dyDescent="0.3">
      <c r="D626">
        <v>624</v>
      </c>
      <c r="E626">
        <v>206640</v>
      </c>
      <c r="F626" t="s">
        <v>641</v>
      </c>
      <c r="H626" s="1">
        <v>12500</v>
      </c>
      <c r="I626">
        <v>2</v>
      </c>
      <c r="J626">
        <v>20</v>
      </c>
      <c r="K626">
        <v>0.16</v>
      </c>
      <c r="L626">
        <v>385</v>
      </c>
      <c r="M626">
        <v>5</v>
      </c>
      <c r="N626" s="1">
        <v>12505</v>
      </c>
      <c r="O626" s="1">
        <v>12500</v>
      </c>
      <c r="P626" s="1">
        <v>12690</v>
      </c>
      <c r="Q626" s="1">
        <v>12480</v>
      </c>
      <c r="R626" t="s">
        <v>710</v>
      </c>
      <c r="S626" s="3">
        <v>0.35060185185185189</v>
      </c>
      <c r="T626" s="1">
        <v>12480</v>
      </c>
      <c r="U626">
        <v>20</v>
      </c>
      <c r="V626">
        <v>0.16</v>
      </c>
    </row>
    <row r="627" spans="4:22" x14ac:dyDescent="0.3">
      <c r="D627">
        <v>625</v>
      </c>
      <c r="E627">
        <v>3120</v>
      </c>
      <c r="F627" t="s">
        <v>642</v>
      </c>
      <c r="H627" s="1">
        <v>21700</v>
      </c>
      <c r="I627">
        <v>2</v>
      </c>
      <c r="J627">
        <v>800</v>
      </c>
      <c r="K627">
        <v>3.83</v>
      </c>
      <c r="L627">
        <v>396</v>
      </c>
      <c r="M627">
        <v>9</v>
      </c>
      <c r="N627" s="1">
        <v>21523</v>
      </c>
      <c r="O627" s="1">
        <v>21950</v>
      </c>
      <c r="P627" s="1">
        <v>21950</v>
      </c>
      <c r="Q627" s="1">
        <v>21200</v>
      </c>
      <c r="R627" t="s">
        <v>710</v>
      </c>
      <c r="S627" s="3">
        <v>0.3463310185185185</v>
      </c>
      <c r="T627" s="1">
        <v>20900</v>
      </c>
      <c r="U627">
        <v>800</v>
      </c>
      <c r="V627">
        <v>3.83</v>
      </c>
    </row>
    <row r="628" spans="4:22" x14ac:dyDescent="0.3">
      <c r="D628">
        <v>626</v>
      </c>
      <c r="E628">
        <v>11500</v>
      </c>
      <c r="F628" t="s">
        <v>643</v>
      </c>
      <c r="H628" s="1">
        <v>18450</v>
      </c>
      <c r="I628">
        <v>2</v>
      </c>
      <c r="J628">
        <v>850</v>
      </c>
      <c r="K628">
        <v>4.83</v>
      </c>
      <c r="L628" s="1">
        <v>407967</v>
      </c>
      <c r="M628" s="1">
        <v>7462</v>
      </c>
      <c r="N628" s="1">
        <v>18291</v>
      </c>
      <c r="O628" s="1">
        <v>17880</v>
      </c>
      <c r="P628" s="1">
        <v>18680</v>
      </c>
      <c r="Q628" s="1">
        <v>17600</v>
      </c>
      <c r="R628" t="s">
        <v>710</v>
      </c>
      <c r="S628" s="3">
        <v>0.35365740740740742</v>
      </c>
      <c r="T628" s="1">
        <v>17600</v>
      </c>
      <c r="U628">
        <v>850</v>
      </c>
      <c r="V628">
        <v>4.83</v>
      </c>
    </row>
    <row r="629" spans="4:22" x14ac:dyDescent="0.3">
      <c r="D629">
        <v>627</v>
      </c>
      <c r="E629">
        <v>9680</v>
      </c>
      <c r="F629" t="s">
        <v>644</v>
      </c>
      <c r="H629" s="1">
        <v>10270</v>
      </c>
      <c r="I629">
        <v>2</v>
      </c>
      <c r="J629">
        <v>40</v>
      </c>
      <c r="K629">
        <v>0.39</v>
      </c>
      <c r="L629">
        <v>17</v>
      </c>
      <c r="N629" s="1">
        <v>10270</v>
      </c>
      <c r="O629" s="1">
        <v>10270</v>
      </c>
      <c r="P629" s="1">
        <v>10270</v>
      </c>
      <c r="Q629" s="1">
        <v>10270</v>
      </c>
      <c r="R629" t="s">
        <v>710</v>
      </c>
      <c r="S629" s="3">
        <v>0.35065972222222225</v>
      </c>
      <c r="T629" s="1">
        <v>10230</v>
      </c>
      <c r="U629">
        <v>40</v>
      </c>
      <c r="V629">
        <v>0.39</v>
      </c>
    </row>
    <row r="630" spans="4:22" x14ac:dyDescent="0.3">
      <c r="D630">
        <v>628</v>
      </c>
      <c r="E630">
        <v>25770</v>
      </c>
      <c r="F630" t="s">
        <v>645</v>
      </c>
      <c r="H630" s="1">
        <v>7690</v>
      </c>
      <c r="I630">
        <v>3</v>
      </c>
      <c r="L630">
        <v>653</v>
      </c>
      <c r="M630">
        <v>5</v>
      </c>
      <c r="N630" s="1">
        <v>7678</v>
      </c>
      <c r="O630" s="1">
        <v>7680</v>
      </c>
      <c r="P630" s="1">
        <v>7710</v>
      </c>
      <c r="Q630" s="1">
        <v>7650</v>
      </c>
      <c r="R630" t="s">
        <v>710</v>
      </c>
      <c r="S630" s="3">
        <v>0.35266203703703702</v>
      </c>
      <c r="T630" s="1">
        <v>7690</v>
      </c>
    </row>
    <row r="631" spans="4:22" x14ac:dyDescent="0.3">
      <c r="D631">
        <v>629</v>
      </c>
      <c r="E631">
        <v>416180</v>
      </c>
      <c r="F631" t="s">
        <v>646</v>
      </c>
      <c r="H631" s="1">
        <v>31850</v>
      </c>
      <c r="I631">
        <v>2</v>
      </c>
      <c r="J631">
        <v>600</v>
      </c>
      <c r="K631">
        <v>1.92</v>
      </c>
      <c r="L631" s="1">
        <v>3094</v>
      </c>
      <c r="M631">
        <v>98</v>
      </c>
      <c r="N631" s="1">
        <v>31800</v>
      </c>
      <c r="O631" s="1">
        <v>31300</v>
      </c>
      <c r="P631" s="1">
        <v>32050</v>
      </c>
      <c r="Q631" s="1">
        <v>31300</v>
      </c>
      <c r="R631" t="s">
        <v>710</v>
      </c>
      <c r="S631" s="3">
        <v>0.35300925925925924</v>
      </c>
      <c r="T631" s="1">
        <v>31250</v>
      </c>
      <c r="U631">
        <v>600</v>
      </c>
      <c r="V631">
        <v>1.92</v>
      </c>
    </row>
    <row r="632" spans="4:22" x14ac:dyDescent="0.3">
      <c r="D632">
        <v>630</v>
      </c>
      <c r="E632">
        <v>65680</v>
      </c>
      <c r="F632" t="s">
        <v>647</v>
      </c>
      <c r="H632" s="1">
        <v>31000</v>
      </c>
      <c r="I632">
        <v>2</v>
      </c>
      <c r="J632">
        <v>900</v>
      </c>
      <c r="K632">
        <v>2.99</v>
      </c>
      <c r="L632">
        <v>279</v>
      </c>
      <c r="M632">
        <v>9</v>
      </c>
      <c r="N632" s="1">
        <v>30597</v>
      </c>
      <c r="O632" s="1">
        <v>30100</v>
      </c>
      <c r="P632" s="1">
        <v>31000</v>
      </c>
      <c r="Q632" s="1">
        <v>30100</v>
      </c>
      <c r="R632" t="s">
        <v>710</v>
      </c>
      <c r="S632" s="3">
        <v>0.35159722222222217</v>
      </c>
      <c r="T632" s="1">
        <v>30100</v>
      </c>
      <c r="U632">
        <v>900</v>
      </c>
      <c r="V632">
        <v>2.99</v>
      </c>
    </row>
    <row r="633" spans="4:22" x14ac:dyDescent="0.3">
      <c r="D633">
        <v>631</v>
      </c>
      <c r="E633">
        <v>11760</v>
      </c>
      <c r="F633" t="s">
        <v>648</v>
      </c>
      <c r="H633" s="1">
        <v>21650</v>
      </c>
      <c r="I633">
        <v>2</v>
      </c>
      <c r="J633">
        <v>200</v>
      </c>
      <c r="K633">
        <v>0.93</v>
      </c>
      <c r="L633" s="1">
        <v>2427</v>
      </c>
      <c r="M633">
        <v>53</v>
      </c>
      <c r="N633" s="1">
        <v>21646</v>
      </c>
      <c r="O633" s="1">
        <v>21650</v>
      </c>
      <c r="P633" s="1">
        <v>21750</v>
      </c>
      <c r="Q633" s="1">
        <v>21550</v>
      </c>
      <c r="R633" t="s">
        <v>710</v>
      </c>
      <c r="S633" s="3">
        <v>0.3505671296296296</v>
      </c>
      <c r="T633" s="1">
        <v>21450</v>
      </c>
      <c r="U633">
        <v>200</v>
      </c>
      <c r="V633">
        <v>0.93</v>
      </c>
    </row>
    <row r="634" spans="4:22" x14ac:dyDescent="0.3">
      <c r="D634">
        <v>632</v>
      </c>
      <c r="E634">
        <v>472850</v>
      </c>
      <c r="F634" t="s">
        <v>649</v>
      </c>
      <c r="H634" s="1">
        <v>4945</v>
      </c>
      <c r="I634">
        <v>2</v>
      </c>
      <c r="J634">
        <v>10</v>
      </c>
      <c r="K634">
        <v>0.2</v>
      </c>
      <c r="L634">
        <v>737</v>
      </c>
      <c r="M634">
        <v>4</v>
      </c>
      <c r="N634" s="1">
        <v>4940</v>
      </c>
      <c r="O634" s="1">
        <v>4935</v>
      </c>
      <c r="P634" s="1">
        <v>5090</v>
      </c>
      <c r="Q634" s="1">
        <v>4925</v>
      </c>
      <c r="R634" t="s">
        <v>710</v>
      </c>
      <c r="S634" s="3">
        <v>0.35196759259259264</v>
      </c>
      <c r="T634" s="1">
        <v>4935</v>
      </c>
      <c r="U634">
        <v>10</v>
      </c>
      <c r="V634">
        <v>0.2</v>
      </c>
    </row>
    <row r="635" spans="4:22" x14ac:dyDescent="0.3">
      <c r="D635">
        <v>633</v>
      </c>
      <c r="E635">
        <v>448280</v>
      </c>
      <c r="F635" t="s">
        <v>650</v>
      </c>
      <c r="H635" s="1">
        <v>9600</v>
      </c>
      <c r="I635">
        <v>5</v>
      </c>
      <c r="J635">
        <v>10</v>
      </c>
      <c r="K635">
        <v>-0.1</v>
      </c>
      <c r="L635" s="1">
        <v>1541</v>
      </c>
      <c r="M635">
        <v>15</v>
      </c>
      <c r="N635" s="1">
        <v>9603</v>
      </c>
      <c r="O635" s="1">
        <v>9610</v>
      </c>
      <c r="P635" s="1">
        <v>9700</v>
      </c>
      <c r="Q635" s="1">
        <v>9540</v>
      </c>
      <c r="R635" t="s">
        <v>710</v>
      </c>
      <c r="S635" s="3">
        <v>0.35268518518518516</v>
      </c>
      <c r="T635" s="1">
        <v>9610</v>
      </c>
      <c r="U635">
        <v>-10</v>
      </c>
      <c r="V635">
        <v>-0.1</v>
      </c>
    </row>
    <row r="636" spans="4:22" x14ac:dyDescent="0.3">
      <c r="D636">
        <v>634</v>
      </c>
      <c r="E636">
        <v>265520</v>
      </c>
      <c r="F636" t="s">
        <v>651</v>
      </c>
      <c r="H636" s="1">
        <v>18850</v>
      </c>
      <c r="I636">
        <v>2</v>
      </c>
      <c r="J636">
        <v>300</v>
      </c>
      <c r="K636">
        <v>1.62</v>
      </c>
      <c r="L636" s="1">
        <v>5090</v>
      </c>
      <c r="M636">
        <v>96</v>
      </c>
      <c r="N636" s="1">
        <v>18849</v>
      </c>
      <c r="O636" s="1">
        <v>18750</v>
      </c>
      <c r="P636" s="1">
        <v>18920</v>
      </c>
      <c r="Q636" s="1">
        <v>18750</v>
      </c>
      <c r="R636" t="s">
        <v>710</v>
      </c>
      <c r="S636" s="3">
        <v>0.3535300925925926</v>
      </c>
      <c r="T636" s="1">
        <v>18550</v>
      </c>
      <c r="U636">
        <v>300</v>
      </c>
      <c r="V636">
        <v>1.62</v>
      </c>
    </row>
    <row r="637" spans="4:22" x14ac:dyDescent="0.3">
      <c r="D637">
        <v>635</v>
      </c>
      <c r="E637">
        <v>92460</v>
      </c>
      <c r="F637" t="s">
        <v>652</v>
      </c>
      <c r="H637" s="1">
        <v>16560</v>
      </c>
      <c r="I637">
        <v>2</v>
      </c>
      <c r="J637">
        <v>210</v>
      </c>
      <c r="K637">
        <v>1.28</v>
      </c>
      <c r="L637" s="1">
        <v>7217</v>
      </c>
      <c r="M637">
        <v>120</v>
      </c>
      <c r="N637" s="1">
        <v>16563</v>
      </c>
      <c r="O637" s="1">
        <v>16350</v>
      </c>
      <c r="P637" s="1">
        <v>16890</v>
      </c>
      <c r="Q637" s="1">
        <v>16350</v>
      </c>
      <c r="R637" t="s">
        <v>710</v>
      </c>
      <c r="S637" s="3">
        <v>0.3532986111111111</v>
      </c>
      <c r="T637" s="1">
        <v>16350</v>
      </c>
      <c r="U637">
        <v>210</v>
      </c>
      <c r="V637">
        <v>1.28</v>
      </c>
    </row>
    <row r="638" spans="4:22" x14ac:dyDescent="0.3">
      <c r="D638">
        <v>636</v>
      </c>
      <c r="E638">
        <v>402030</v>
      </c>
      <c r="F638" t="s">
        <v>653</v>
      </c>
      <c r="H638" s="1">
        <v>22600</v>
      </c>
      <c r="I638">
        <v>2</v>
      </c>
      <c r="J638">
        <v>450</v>
      </c>
      <c r="K638">
        <v>2.0299999999999998</v>
      </c>
      <c r="L638" s="1">
        <v>16905</v>
      </c>
      <c r="M638">
        <v>386</v>
      </c>
      <c r="N638" s="1">
        <v>22852</v>
      </c>
      <c r="O638" s="1">
        <v>22650</v>
      </c>
      <c r="P638" s="1">
        <v>23150</v>
      </c>
      <c r="Q638" s="1">
        <v>22550</v>
      </c>
      <c r="R638" t="s">
        <v>710</v>
      </c>
      <c r="S638" s="3">
        <v>0.35351851851851851</v>
      </c>
      <c r="T638" s="1">
        <v>22150</v>
      </c>
      <c r="U638">
        <v>450</v>
      </c>
      <c r="V638">
        <v>2.0299999999999998</v>
      </c>
    </row>
    <row r="639" spans="4:22" x14ac:dyDescent="0.3">
      <c r="D639">
        <v>637</v>
      </c>
      <c r="E639">
        <v>43150</v>
      </c>
      <c r="F639" t="s">
        <v>654</v>
      </c>
      <c r="H639" s="1">
        <v>19010</v>
      </c>
      <c r="I639">
        <v>2</v>
      </c>
      <c r="J639">
        <v>120</v>
      </c>
      <c r="K639">
        <v>0.64</v>
      </c>
      <c r="L639">
        <v>71</v>
      </c>
      <c r="M639">
        <v>1</v>
      </c>
      <c r="N639" s="1">
        <v>19011</v>
      </c>
      <c r="O639" s="1">
        <v>18820</v>
      </c>
      <c r="P639" s="1">
        <v>19290</v>
      </c>
      <c r="Q639" s="1">
        <v>18820</v>
      </c>
      <c r="R639" t="s">
        <v>710</v>
      </c>
      <c r="S639" s="3">
        <v>0.35356481481481478</v>
      </c>
      <c r="T639" s="1">
        <v>18890</v>
      </c>
      <c r="U639">
        <v>120</v>
      </c>
      <c r="V639">
        <v>0.64</v>
      </c>
    </row>
    <row r="640" spans="4:22" x14ac:dyDescent="0.3">
      <c r="D640">
        <v>638</v>
      </c>
      <c r="E640">
        <v>338220</v>
      </c>
      <c r="F640" t="s">
        <v>655</v>
      </c>
      <c r="H640" s="1">
        <v>20150</v>
      </c>
      <c r="I640">
        <v>2</v>
      </c>
      <c r="J640">
        <v>360</v>
      </c>
      <c r="K640">
        <v>1.82</v>
      </c>
      <c r="L640" s="1">
        <v>6886</v>
      </c>
      <c r="M640">
        <v>138</v>
      </c>
      <c r="N640" s="1">
        <v>20099</v>
      </c>
      <c r="O640" s="1">
        <v>19990</v>
      </c>
      <c r="P640" s="1">
        <v>20200</v>
      </c>
      <c r="Q640" s="1">
        <v>19990</v>
      </c>
      <c r="R640" t="s">
        <v>710</v>
      </c>
      <c r="S640" s="3">
        <v>0.35357638888888893</v>
      </c>
      <c r="T640" s="1">
        <v>19790</v>
      </c>
      <c r="U640">
        <v>360</v>
      </c>
      <c r="V640">
        <v>1.82</v>
      </c>
    </row>
    <row r="641" spans="4:22" x14ac:dyDescent="0.3">
      <c r="D641">
        <v>639</v>
      </c>
      <c r="E641">
        <v>18310</v>
      </c>
      <c r="F641" t="s">
        <v>656</v>
      </c>
      <c r="H641" s="1">
        <v>19170</v>
      </c>
      <c r="I641">
        <v>3</v>
      </c>
      <c r="L641">
        <v>16</v>
      </c>
      <c r="N641" s="1">
        <v>19170</v>
      </c>
      <c r="O641" s="1">
        <v>19170</v>
      </c>
      <c r="P641" s="1">
        <v>19170</v>
      </c>
      <c r="Q641" s="1">
        <v>19170</v>
      </c>
      <c r="R641" t="s">
        <v>710</v>
      </c>
      <c r="S641" s="3">
        <v>0.34684027777777776</v>
      </c>
      <c r="T641" s="1">
        <v>19170</v>
      </c>
    </row>
    <row r="642" spans="4:22" x14ac:dyDescent="0.3">
      <c r="D642">
        <v>640</v>
      </c>
      <c r="E642">
        <v>92730</v>
      </c>
      <c r="F642" t="s">
        <v>657</v>
      </c>
      <c r="H642" s="1">
        <v>17570</v>
      </c>
      <c r="I642">
        <v>2</v>
      </c>
      <c r="J642">
        <v>130</v>
      </c>
      <c r="K642">
        <v>0.75</v>
      </c>
      <c r="L642">
        <v>558</v>
      </c>
      <c r="M642">
        <v>10</v>
      </c>
      <c r="N642" s="1">
        <v>17586</v>
      </c>
      <c r="O642" s="1">
        <v>17490</v>
      </c>
      <c r="P642" s="1">
        <v>17690</v>
      </c>
      <c r="Q642" s="1">
        <v>17440</v>
      </c>
      <c r="R642" t="s">
        <v>710</v>
      </c>
      <c r="S642" s="3">
        <v>0.3512615740740741</v>
      </c>
      <c r="T642" s="1">
        <v>17440</v>
      </c>
      <c r="U642">
        <v>130</v>
      </c>
      <c r="V642">
        <v>0.75</v>
      </c>
    </row>
    <row r="643" spans="4:22" x14ac:dyDescent="0.3">
      <c r="D643">
        <v>641</v>
      </c>
      <c r="E643">
        <v>473980</v>
      </c>
      <c r="F643" t="s">
        <v>658</v>
      </c>
      <c r="H643" s="1">
        <v>25450</v>
      </c>
      <c r="I643">
        <v>2</v>
      </c>
      <c r="J643">
        <v>450</v>
      </c>
      <c r="K643">
        <v>1.8</v>
      </c>
      <c r="L643" s="1">
        <v>10589</v>
      </c>
      <c r="M643">
        <v>269</v>
      </c>
      <c r="N643" s="1">
        <v>25421</v>
      </c>
      <c r="O643" s="1">
        <v>25250</v>
      </c>
      <c r="P643" s="1">
        <v>25600</v>
      </c>
      <c r="Q643" s="1">
        <v>25200</v>
      </c>
      <c r="R643" t="s">
        <v>710</v>
      </c>
      <c r="S643" s="3">
        <v>0.35339120370370369</v>
      </c>
      <c r="T643" s="1">
        <v>25000</v>
      </c>
      <c r="U643">
        <v>450</v>
      </c>
      <c r="V643">
        <v>1.8</v>
      </c>
    </row>
    <row r="644" spans="4:22" x14ac:dyDescent="0.3">
      <c r="D644">
        <v>642</v>
      </c>
      <c r="E644">
        <v>294570</v>
      </c>
      <c r="F644" t="s">
        <v>659</v>
      </c>
      <c r="H644" s="1">
        <v>27550</v>
      </c>
      <c r="I644">
        <v>2</v>
      </c>
      <c r="J644">
        <v>450</v>
      </c>
      <c r="K644">
        <v>1.66</v>
      </c>
      <c r="L644" s="1">
        <v>1002</v>
      </c>
      <c r="M644">
        <v>28</v>
      </c>
      <c r="N644" s="1">
        <v>27556</v>
      </c>
      <c r="O644" s="1">
        <v>27800</v>
      </c>
      <c r="P644" s="1">
        <v>27800</v>
      </c>
      <c r="Q644" s="1">
        <v>27400</v>
      </c>
      <c r="R644" t="s">
        <v>710</v>
      </c>
      <c r="S644" s="3">
        <v>0.35342592592592598</v>
      </c>
      <c r="T644" s="1">
        <v>27100</v>
      </c>
      <c r="U644">
        <v>450</v>
      </c>
      <c r="V644">
        <v>1.66</v>
      </c>
    </row>
    <row r="645" spans="4:22" x14ac:dyDescent="0.3">
      <c r="D645">
        <v>643</v>
      </c>
      <c r="E645">
        <v>378340</v>
      </c>
      <c r="F645" t="s">
        <v>660</v>
      </c>
      <c r="H645" s="1">
        <v>12900</v>
      </c>
      <c r="I645">
        <v>2</v>
      </c>
      <c r="J645">
        <v>330</v>
      </c>
      <c r="K645">
        <v>2.63</v>
      </c>
      <c r="L645" s="1">
        <v>8129</v>
      </c>
      <c r="M645">
        <v>104</v>
      </c>
      <c r="N645" s="1">
        <v>12851</v>
      </c>
      <c r="O645" s="1">
        <v>12700</v>
      </c>
      <c r="P645" s="1">
        <v>12950</v>
      </c>
      <c r="Q645" s="1">
        <v>12700</v>
      </c>
      <c r="R645" t="s">
        <v>710</v>
      </c>
      <c r="S645" s="3">
        <v>0.35347222222222219</v>
      </c>
      <c r="T645" s="1">
        <v>12570</v>
      </c>
      <c r="U645">
        <v>330</v>
      </c>
      <c r="V645">
        <v>2.63</v>
      </c>
    </row>
    <row r="646" spans="4:22" x14ac:dyDescent="0.3">
      <c r="D646">
        <v>644</v>
      </c>
      <c r="E646">
        <v>7160</v>
      </c>
      <c r="F646" t="s">
        <v>661</v>
      </c>
      <c r="H646" s="1">
        <v>55300</v>
      </c>
      <c r="I646">
        <v>3</v>
      </c>
      <c r="L646">
        <v>525</v>
      </c>
      <c r="M646">
        <v>29</v>
      </c>
      <c r="N646" s="1">
        <v>54965</v>
      </c>
      <c r="O646" s="1">
        <v>55800</v>
      </c>
      <c r="P646" s="1">
        <v>55800</v>
      </c>
      <c r="Q646" s="1">
        <v>54500</v>
      </c>
      <c r="R646" t="s">
        <v>710</v>
      </c>
      <c r="S646" s="3">
        <v>0.35276620370370365</v>
      </c>
      <c r="T646" s="1">
        <v>55300</v>
      </c>
    </row>
    <row r="647" spans="4:22" x14ac:dyDescent="0.3">
      <c r="D647">
        <v>645</v>
      </c>
      <c r="E647">
        <v>43370</v>
      </c>
      <c r="F647" t="s">
        <v>662</v>
      </c>
      <c r="H647" s="1">
        <v>12900</v>
      </c>
      <c r="I647">
        <v>2</v>
      </c>
      <c r="J647">
        <v>200</v>
      </c>
      <c r="K647">
        <v>1.57</v>
      </c>
      <c r="L647" s="1">
        <v>60381</v>
      </c>
      <c r="M647">
        <v>780</v>
      </c>
      <c r="N647" s="1">
        <v>12914</v>
      </c>
      <c r="O647" s="1">
        <v>12400</v>
      </c>
      <c r="P647" s="1">
        <v>13040</v>
      </c>
      <c r="Q647" s="1">
        <v>12400</v>
      </c>
      <c r="R647" t="s">
        <v>710</v>
      </c>
      <c r="S647" s="3">
        <v>0.35356481481481478</v>
      </c>
      <c r="T647" s="1">
        <v>12700</v>
      </c>
      <c r="U647">
        <v>200</v>
      </c>
      <c r="V647">
        <v>1.57</v>
      </c>
    </row>
    <row r="648" spans="4:22" x14ac:dyDescent="0.3">
      <c r="D648">
        <v>646</v>
      </c>
      <c r="E648">
        <v>382900</v>
      </c>
      <c r="F648" t="s">
        <v>663</v>
      </c>
      <c r="H648" s="1">
        <v>30900</v>
      </c>
      <c r="I648">
        <v>2</v>
      </c>
      <c r="J648">
        <v>50</v>
      </c>
      <c r="K648">
        <v>0.16</v>
      </c>
      <c r="L648" s="1">
        <v>10012</v>
      </c>
      <c r="M648">
        <v>310</v>
      </c>
      <c r="N648" s="1">
        <v>30982</v>
      </c>
      <c r="O648" s="1">
        <v>31100</v>
      </c>
      <c r="P648" s="1">
        <v>31250</v>
      </c>
      <c r="Q648" s="1">
        <v>30650</v>
      </c>
      <c r="R648" t="s">
        <v>710</v>
      </c>
      <c r="S648" s="3">
        <v>0.35355324074074074</v>
      </c>
      <c r="T648" s="1">
        <v>30850</v>
      </c>
      <c r="U648">
        <v>50</v>
      </c>
      <c r="V648">
        <v>0.16</v>
      </c>
    </row>
    <row r="649" spans="4:22" x14ac:dyDescent="0.3">
      <c r="D649">
        <v>647</v>
      </c>
      <c r="E649">
        <v>35600</v>
      </c>
      <c r="F649" t="s">
        <v>664</v>
      </c>
      <c r="H649" s="1">
        <v>9790</v>
      </c>
      <c r="I649">
        <v>2</v>
      </c>
      <c r="J649">
        <v>90</v>
      </c>
      <c r="K649">
        <v>0.93</v>
      </c>
      <c r="L649" s="1">
        <v>5668</v>
      </c>
      <c r="M649">
        <v>55</v>
      </c>
      <c r="N649" s="1">
        <v>9753</v>
      </c>
      <c r="O649" s="1">
        <v>9800</v>
      </c>
      <c r="P649" s="1">
        <v>9800</v>
      </c>
      <c r="Q649" s="1">
        <v>9700</v>
      </c>
      <c r="R649" t="s">
        <v>710</v>
      </c>
      <c r="S649" s="3">
        <v>0.35336805555555556</v>
      </c>
      <c r="T649" s="1">
        <v>9700</v>
      </c>
      <c r="U649">
        <v>90</v>
      </c>
      <c r="V649">
        <v>0.93</v>
      </c>
    </row>
    <row r="650" spans="4:22" x14ac:dyDescent="0.3">
      <c r="D650">
        <v>648</v>
      </c>
      <c r="E650">
        <v>13890</v>
      </c>
      <c r="F650" t="s">
        <v>665</v>
      </c>
      <c r="H650" s="1">
        <v>12050</v>
      </c>
      <c r="I650">
        <v>3</v>
      </c>
      <c r="R650" t="s">
        <v>710</v>
      </c>
      <c r="S650" s="3">
        <v>0</v>
      </c>
      <c r="T650" s="1">
        <v>12050</v>
      </c>
    </row>
    <row r="651" spans="4:22" x14ac:dyDescent="0.3">
      <c r="D651">
        <v>649</v>
      </c>
      <c r="E651">
        <v>320</v>
      </c>
      <c r="F651" t="s">
        <v>666</v>
      </c>
      <c r="H651" s="1">
        <v>20000</v>
      </c>
      <c r="I651">
        <v>5</v>
      </c>
      <c r="J651">
        <v>50</v>
      </c>
      <c r="K651">
        <v>-0.25</v>
      </c>
      <c r="L651" s="1">
        <v>1391</v>
      </c>
      <c r="M651">
        <v>28</v>
      </c>
      <c r="N651" s="1">
        <v>20162</v>
      </c>
      <c r="O651" s="1">
        <v>20450</v>
      </c>
      <c r="P651" s="1">
        <v>20450</v>
      </c>
      <c r="Q651" s="1">
        <v>20000</v>
      </c>
      <c r="R651" t="s">
        <v>710</v>
      </c>
      <c r="S651" s="3">
        <v>0.35354166666666664</v>
      </c>
      <c r="T651" s="1">
        <v>20050</v>
      </c>
      <c r="U651">
        <v>-50</v>
      </c>
      <c r="V651">
        <v>-0.25</v>
      </c>
    </row>
    <row r="652" spans="4:22" x14ac:dyDescent="0.3">
      <c r="D652">
        <v>650</v>
      </c>
      <c r="E652">
        <v>267980</v>
      </c>
      <c r="F652" t="s">
        <v>667</v>
      </c>
      <c r="H652" s="1">
        <v>34550</v>
      </c>
      <c r="I652">
        <v>2</v>
      </c>
      <c r="J652">
        <v>50</v>
      </c>
      <c r="K652">
        <v>0.14000000000000001</v>
      </c>
      <c r="L652">
        <v>64</v>
      </c>
      <c r="M652">
        <v>2</v>
      </c>
      <c r="N652" s="1">
        <v>34442</v>
      </c>
      <c r="O652" s="1">
        <v>34500</v>
      </c>
      <c r="P652" s="1">
        <v>34550</v>
      </c>
      <c r="Q652" s="1">
        <v>34250</v>
      </c>
      <c r="R652" t="s">
        <v>710</v>
      </c>
      <c r="S652" s="3">
        <v>0.35335648148148152</v>
      </c>
      <c r="T652" s="1">
        <v>34500</v>
      </c>
      <c r="U652">
        <v>50</v>
      </c>
      <c r="V652">
        <v>0.14000000000000001</v>
      </c>
    </row>
    <row r="653" spans="4:22" x14ac:dyDescent="0.3">
      <c r="D653">
        <v>651</v>
      </c>
      <c r="E653">
        <v>5710</v>
      </c>
      <c r="F653" t="s">
        <v>668</v>
      </c>
      <c r="H653" s="1">
        <v>13190</v>
      </c>
      <c r="I653">
        <v>2</v>
      </c>
      <c r="J653">
        <v>80</v>
      </c>
      <c r="K653">
        <v>0.61</v>
      </c>
      <c r="L653" s="1">
        <v>1107</v>
      </c>
      <c r="M653">
        <v>15</v>
      </c>
      <c r="N653" s="1">
        <v>13230</v>
      </c>
      <c r="O653" s="1">
        <v>13010</v>
      </c>
      <c r="P653" s="1">
        <v>13260</v>
      </c>
      <c r="Q653" s="1">
        <v>13010</v>
      </c>
      <c r="R653" t="s">
        <v>710</v>
      </c>
      <c r="S653" s="3">
        <v>0.35363425925925923</v>
      </c>
      <c r="T653" s="1">
        <v>13110</v>
      </c>
      <c r="U653">
        <v>80</v>
      </c>
      <c r="V653">
        <v>0.61</v>
      </c>
    </row>
    <row r="654" spans="4:22" x14ac:dyDescent="0.3">
      <c r="D654">
        <v>652</v>
      </c>
      <c r="E654">
        <v>1460</v>
      </c>
      <c r="F654" t="s">
        <v>669</v>
      </c>
      <c r="H654" s="1">
        <v>42200</v>
      </c>
      <c r="I654">
        <v>5</v>
      </c>
      <c r="J654">
        <v>50</v>
      </c>
      <c r="K654">
        <v>-0.12</v>
      </c>
      <c r="L654">
        <v>134</v>
      </c>
      <c r="M654">
        <v>6</v>
      </c>
      <c r="N654" s="1">
        <v>42212</v>
      </c>
      <c r="O654" s="1">
        <v>42250</v>
      </c>
      <c r="P654" s="1">
        <v>42250</v>
      </c>
      <c r="Q654" s="1">
        <v>42200</v>
      </c>
      <c r="R654" t="s">
        <v>710</v>
      </c>
      <c r="S654" s="3">
        <v>0.34179398148148149</v>
      </c>
      <c r="T654" s="1">
        <v>42250</v>
      </c>
      <c r="U654">
        <v>-50</v>
      </c>
      <c r="V654">
        <v>-0.12</v>
      </c>
    </row>
    <row r="655" spans="4:22" x14ac:dyDescent="0.3">
      <c r="D655">
        <v>653</v>
      </c>
      <c r="E655">
        <v>452430</v>
      </c>
      <c r="F655" t="s">
        <v>670</v>
      </c>
      <c r="H655" s="1">
        <v>32000</v>
      </c>
      <c r="I655">
        <v>2</v>
      </c>
      <c r="J655">
        <v>950</v>
      </c>
      <c r="K655">
        <v>3.06</v>
      </c>
      <c r="L655" s="1">
        <v>11972</v>
      </c>
      <c r="M655">
        <v>383</v>
      </c>
      <c r="N655" s="1">
        <v>32000</v>
      </c>
      <c r="O655" s="1">
        <v>32300</v>
      </c>
      <c r="P655" s="1">
        <v>33000</v>
      </c>
      <c r="Q655" s="1">
        <v>31550</v>
      </c>
      <c r="R655" t="s">
        <v>710</v>
      </c>
      <c r="S655" s="3">
        <v>0.35358796296296297</v>
      </c>
      <c r="T655" s="1">
        <v>31050</v>
      </c>
      <c r="U655">
        <v>950</v>
      </c>
      <c r="V655">
        <v>3.06</v>
      </c>
    </row>
    <row r="656" spans="4:22" x14ac:dyDescent="0.3">
      <c r="D656">
        <v>654</v>
      </c>
      <c r="E656">
        <v>4360</v>
      </c>
      <c r="F656" t="s">
        <v>671</v>
      </c>
      <c r="H656" s="1">
        <v>13670</v>
      </c>
      <c r="I656">
        <v>3</v>
      </c>
      <c r="L656" s="1">
        <v>2503</v>
      </c>
      <c r="M656">
        <v>34</v>
      </c>
      <c r="N656" s="1">
        <v>13672</v>
      </c>
      <c r="O656" s="1">
        <v>13660</v>
      </c>
      <c r="P656" s="1">
        <v>13730</v>
      </c>
      <c r="Q656" s="1">
        <v>13660</v>
      </c>
      <c r="R656" t="s">
        <v>710</v>
      </c>
      <c r="S656" s="3">
        <v>0.35254629629629625</v>
      </c>
      <c r="T656" s="1">
        <v>13670</v>
      </c>
    </row>
    <row r="657" spans="4:22" x14ac:dyDescent="0.3">
      <c r="D657">
        <v>655</v>
      </c>
      <c r="E657">
        <v>380550</v>
      </c>
      <c r="F657" t="s">
        <v>672</v>
      </c>
      <c r="H657" s="1">
        <v>22300</v>
      </c>
      <c r="I657">
        <v>2</v>
      </c>
      <c r="J657">
        <v>200</v>
      </c>
      <c r="K657">
        <v>0.9</v>
      </c>
      <c r="L657" s="1">
        <v>22376</v>
      </c>
      <c r="M657">
        <v>500</v>
      </c>
      <c r="N657" s="1">
        <v>22364</v>
      </c>
      <c r="O657" s="1">
        <v>22300</v>
      </c>
      <c r="P657" s="1">
        <v>22450</v>
      </c>
      <c r="Q657" s="1">
        <v>22100</v>
      </c>
      <c r="R657" t="s">
        <v>710</v>
      </c>
      <c r="S657" s="3">
        <v>0.35362268518518519</v>
      </c>
      <c r="T657" s="1">
        <v>22100</v>
      </c>
      <c r="U657">
        <v>200</v>
      </c>
      <c r="V657">
        <v>0.9</v>
      </c>
    </row>
    <row r="658" spans="4:22" x14ac:dyDescent="0.3">
      <c r="D658">
        <v>656</v>
      </c>
      <c r="E658">
        <v>114840</v>
      </c>
      <c r="F658" t="s">
        <v>673</v>
      </c>
      <c r="H658" s="1">
        <v>14960</v>
      </c>
      <c r="I658">
        <v>2</v>
      </c>
      <c r="J658">
        <v>170</v>
      </c>
      <c r="K658">
        <v>1.1499999999999999</v>
      </c>
      <c r="L658">
        <v>804</v>
      </c>
      <c r="M658">
        <v>12</v>
      </c>
      <c r="N658" s="1">
        <v>14980</v>
      </c>
      <c r="O658" s="1">
        <v>14790</v>
      </c>
      <c r="P658" s="1">
        <v>15000</v>
      </c>
      <c r="Q658" s="1">
        <v>14790</v>
      </c>
      <c r="R658" t="s">
        <v>710</v>
      </c>
      <c r="S658" s="3">
        <v>0.35296296296296298</v>
      </c>
      <c r="T658" s="1">
        <v>14790</v>
      </c>
      <c r="U658">
        <v>170</v>
      </c>
      <c r="V658">
        <v>1.1499999999999999</v>
      </c>
    </row>
    <row r="659" spans="4:22" x14ac:dyDescent="0.3">
      <c r="D659">
        <v>657</v>
      </c>
      <c r="E659">
        <v>300080</v>
      </c>
      <c r="F659" t="s">
        <v>674</v>
      </c>
      <c r="H659" s="1">
        <v>15640</v>
      </c>
      <c r="I659">
        <v>2</v>
      </c>
      <c r="J659">
        <v>260</v>
      </c>
      <c r="K659">
        <v>1.69</v>
      </c>
      <c r="L659" s="1">
        <v>17342</v>
      </c>
      <c r="M659">
        <v>271</v>
      </c>
      <c r="N659" s="1">
        <v>15641</v>
      </c>
      <c r="O659" s="1">
        <v>15470</v>
      </c>
      <c r="P659" s="1">
        <v>15730</v>
      </c>
      <c r="Q659" s="1">
        <v>15410</v>
      </c>
      <c r="R659" t="s">
        <v>710</v>
      </c>
      <c r="S659" s="3">
        <v>0.35359953703703706</v>
      </c>
      <c r="T659" s="1">
        <v>15380</v>
      </c>
      <c r="U659">
        <v>260</v>
      </c>
      <c r="V659">
        <v>1.69</v>
      </c>
    </row>
    <row r="660" spans="4:22" x14ac:dyDescent="0.3">
      <c r="D660">
        <v>658</v>
      </c>
      <c r="E660">
        <v>35150</v>
      </c>
      <c r="F660" t="s">
        <v>675</v>
      </c>
      <c r="H660" s="1">
        <v>12480</v>
      </c>
      <c r="I660">
        <v>2</v>
      </c>
      <c r="J660">
        <v>230</v>
      </c>
      <c r="K660">
        <v>1.88</v>
      </c>
      <c r="L660">
        <v>10</v>
      </c>
      <c r="N660" s="1">
        <v>12273</v>
      </c>
      <c r="O660" s="1">
        <v>12250</v>
      </c>
      <c r="P660" s="1">
        <v>12480</v>
      </c>
      <c r="Q660" s="1">
        <v>12250</v>
      </c>
      <c r="R660" t="s">
        <v>710</v>
      </c>
      <c r="S660" s="3">
        <v>0.35053240740740743</v>
      </c>
      <c r="T660" s="1">
        <v>12250</v>
      </c>
      <c r="U660">
        <v>230</v>
      </c>
      <c r="V660">
        <v>1.88</v>
      </c>
    </row>
    <row r="661" spans="4:22" x14ac:dyDescent="0.3">
      <c r="D661">
        <v>659</v>
      </c>
      <c r="E661">
        <v>236200</v>
      </c>
      <c r="F661" t="s">
        <v>676</v>
      </c>
      <c r="H661" s="1">
        <v>35200</v>
      </c>
      <c r="I661">
        <v>2</v>
      </c>
      <c r="J661">
        <v>300</v>
      </c>
      <c r="K661">
        <v>0.86</v>
      </c>
      <c r="L661">
        <v>757</v>
      </c>
      <c r="M661">
        <v>27</v>
      </c>
      <c r="N661" s="1">
        <v>35339</v>
      </c>
      <c r="O661" s="1">
        <v>35400</v>
      </c>
      <c r="P661" s="1">
        <v>35500</v>
      </c>
      <c r="Q661" s="1">
        <v>35200</v>
      </c>
      <c r="R661" t="s">
        <v>710</v>
      </c>
      <c r="S661" s="3">
        <v>0.35326388888888888</v>
      </c>
      <c r="T661" s="1">
        <v>34900</v>
      </c>
      <c r="U661">
        <v>300</v>
      </c>
      <c r="V661">
        <v>0.86</v>
      </c>
    </row>
    <row r="662" spans="4:22" x14ac:dyDescent="0.3">
      <c r="D662">
        <v>660</v>
      </c>
      <c r="E662">
        <v>108670</v>
      </c>
      <c r="F662" t="s">
        <v>677</v>
      </c>
      <c r="H662" s="1">
        <v>28450</v>
      </c>
      <c r="I662">
        <v>2</v>
      </c>
      <c r="J662">
        <v>100</v>
      </c>
      <c r="K662">
        <v>0.35</v>
      </c>
      <c r="L662">
        <v>539</v>
      </c>
      <c r="M662">
        <v>15</v>
      </c>
      <c r="N662" s="1">
        <v>28425</v>
      </c>
      <c r="O662" s="1">
        <v>28400</v>
      </c>
      <c r="P662" s="1">
        <v>28700</v>
      </c>
      <c r="Q662" s="1">
        <v>28350</v>
      </c>
      <c r="R662" t="s">
        <v>710</v>
      </c>
      <c r="S662" s="3">
        <v>0.35106481481481483</v>
      </c>
      <c r="T662" s="1">
        <v>28350</v>
      </c>
      <c r="U662">
        <v>100</v>
      </c>
      <c r="V662">
        <v>0.35</v>
      </c>
    </row>
    <row r="663" spans="4:22" x14ac:dyDescent="0.3">
      <c r="D663">
        <v>661</v>
      </c>
      <c r="E663">
        <v>5500</v>
      </c>
      <c r="F663" t="s">
        <v>678</v>
      </c>
      <c r="H663" s="1">
        <v>19090</v>
      </c>
      <c r="I663">
        <v>2</v>
      </c>
      <c r="J663">
        <v>20</v>
      </c>
      <c r="K663">
        <v>0.1</v>
      </c>
      <c r="L663">
        <v>195</v>
      </c>
      <c r="M663">
        <v>4</v>
      </c>
      <c r="N663" s="1">
        <v>19089</v>
      </c>
      <c r="O663" s="1">
        <v>19030</v>
      </c>
      <c r="P663" s="1">
        <v>19100</v>
      </c>
      <c r="Q663" s="1">
        <v>19030</v>
      </c>
      <c r="R663" t="s">
        <v>710</v>
      </c>
      <c r="S663" s="3">
        <v>0.35252314814814811</v>
      </c>
      <c r="T663" s="1">
        <v>19070</v>
      </c>
      <c r="U663">
        <v>20</v>
      </c>
      <c r="V663">
        <v>0.1</v>
      </c>
    </row>
    <row r="664" spans="4:22" x14ac:dyDescent="0.3">
      <c r="D664">
        <v>662</v>
      </c>
      <c r="E664">
        <v>3220</v>
      </c>
      <c r="F664" t="s">
        <v>679</v>
      </c>
      <c r="H664" s="1">
        <v>11330</v>
      </c>
      <c r="I664">
        <v>2</v>
      </c>
      <c r="J664">
        <v>40</v>
      </c>
      <c r="K664">
        <v>0.35</v>
      </c>
      <c r="L664" s="1">
        <v>1996</v>
      </c>
      <c r="M664">
        <v>23</v>
      </c>
      <c r="N664" s="1">
        <v>11319</v>
      </c>
      <c r="O664" s="1">
        <v>11300</v>
      </c>
      <c r="P664" s="1">
        <v>11340</v>
      </c>
      <c r="Q664" s="1">
        <v>11290</v>
      </c>
      <c r="R664" t="s">
        <v>710</v>
      </c>
      <c r="S664" s="3">
        <v>0.3536111111111111</v>
      </c>
      <c r="T664" s="1">
        <v>11290</v>
      </c>
      <c r="U664">
        <v>40</v>
      </c>
      <c r="V664">
        <v>0.35</v>
      </c>
    </row>
    <row r="665" spans="4:22" x14ac:dyDescent="0.3">
      <c r="D665">
        <v>663</v>
      </c>
      <c r="E665">
        <v>194700</v>
      </c>
      <c r="F665" t="s">
        <v>680</v>
      </c>
      <c r="H665" s="1">
        <v>13500</v>
      </c>
      <c r="I665">
        <v>2</v>
      </c>
      <c r="J665">
        <v>50</v>
      </c>
      <c r="K665">
        <v>0.37</v>
      </c>
      <c r="L665" s="1">
        <v>2038</v>
      </c>
      <c r="M665">
        <v>27</v>
      </c>
      <c r="N665" s="1">
        <v>13457</v>
      </c>
      <c r="O665" s="1">
        <v>13480</v>
      </c>
      <c r="P665" s="1">
        <v>13500</v>
      </c>
      <c r="Q665" s="1">
        <v>13430</v>
      </c>
      <c r="R665" t="s">
        <v>710</v>
      </c>
      <c r="S665" s="3">
        <v>0.35087962962962965</v>
      </c>
      <c r="T665" s="1">
        <v>13450</v>
      </c>
      <c r="U665">
        <v>50</v>
      </c>
      <c r="V665">
        <v>0.37</v>
      </c>
    </row>
    <row r="666" spans="4:22" x14ac:dyDescent="0.3">
      <c r="D666">
        <v>664</v>
      </c>
      <c r="E666">
        <v>108380</v>
      </c>
      <c r="F666" t="s">
        <v>681</v>
      </c>
      <c r="H666" s="1">
        <v>26000</v>
      </c>
      <c r="I666">
        <v>2</v>
      </c>
      <c r="J666">
        <v>450</v>
      </c>
      <c r="K666">
        <v>1.76</v>
      </c>
      <c r="L666" s="1">
        <v>1410</v>
      </c>
      <c r="M666">
        <v>37</v>
      </c>
      <c r="N666" s="1">
        <v>26042</v>
      </c>
      <c r="O666" s="1">
        <v>26000</v>
      </c>
      <c r="P666" s="1">
        <v>26100</v>
      </c>
      <c r="Q666" s="1">
        <v>25900</v>
      </c>
      <c r="R666" t="s">
        <v>710</v>
      </c>
      <c r="S666" s="3">
        <v>0.35079861111111116</v>
      </c>
      <c r="T666" s="1">
        <v>25550</v>
      </c>
      <c r="U666">
        <v>450</v>
      </c>
      <c r="V666">
        <v>1.76</v>
      </c>
    </row>
    <row r="667" spans="4:22" x14ac:dyDescent="0.3">
      <c r="D667">
        <v>665</v>
      </c>
      <c r="E667">
        <v>78520</v>
      </c>
      <c r="F667" t="s">
        <v>682</v>
      </c>
      <c r="H667" s="1">
        <v>9550</v>
      </c>
      <c r="I667">
        <v>2</v>
      </c>
      <c r="J667">
        <v>110</v>
      </c>
      <c r="K667">
        <v>1.17</v>
      </c>
      <c r="L667" s="1">
        <v>2266</v>
      </c>
      <c r="M667">
        <v>22</v>
      </c>
      <c r="N667" s="1">
        <v>9538</v>
      </c>
      <c r="O667" s="1">
        <v>9440</v>
      </c>
      <c r="P667" s="1">
        <v>9650</v>
      </c>
      <c r="Q667" s="1">
        <v>9430</v>
      </c>
      <c r="R667" t="s">
        <v>710</v>
      </c>
      <c r="S667" s="3">
        <v>0.35348379629629628</v>
      </c>
      <c r="T667" s="1">
        <v>9440</v>
      </c>
      <c r="U667">
        <v>110</v>
      </c>
      <c r="V667">
        <v>1.17</v>
      </c>
    </row>
    <row r="668" spans="4:22" x14ac:dyDescent="0.3">
      <c r="D668">
        <v>666</v>
      </c>
      <c r="E668">
        <v>484120</v>
      </c>
      <c r="F668" t="s">
        <v>683</v>
      </c>
      <c r="H668" s="1">
        <v>22800</v>
      </c>
      <c r="I668">
        <v>2</v>
      </c>
      <c r="J668">
        <v>100</v>
      </c>
      <c r="K668">
        <v>0.44</v>
      </c>
      <c r="L668" s="1">
        <v>2422</v>
      </c>
      <c r="M668">
        <v>55</v>
      </c>
      <c r="N668" s="1">
        <v>22690</v>
      </c>
      <c r="O668" s="1">
        <v>22950</v>
      </c>
      <c r="P668" s="1">
        <v>22950</v>
      </c>
      <c r="Q668" s="1">
        <v>22650</v>
      </c>
      <c r="R668" t="s">
        <v>710</v>
      </c>
      <c r="S668" s="3">
        <v>0.35312499999999997</v>
      </c>
      <c r="T668" s="1">
        <v>22700</v>
      </c>
      <c r="U668">
        <v>100</v>
      </c>
      <c r="V668">
        <v>0.44</v>
      </c>
    </row>
    <row r="669" spans="4:22" x14ac:dyDescent="0.3">
      <c r="D669">
        <v>667</v>
      </c>
      <c r="E669">
        <v>51360</v>
      </c>
      <c r="F669" t="s">
        <v>684</v>
      </c>
      <c r="H669" s="1">
        <v>15580</v>
      </c>
      <c r="I669">
        <v>2</v>
      </c>
      <c r="J669">
        <v>150</v>
      </c>
      <c r="K669">
        <v>0.97</v>
      </c>
      <c r="L669">
        <v>37</v>
      </c>
      <c r="M669">
        <v>1</v>
      </c>
      <c r="N669" s="1">
        <v>15585</v>
      </c>
      <c r="O669" s="1">
        <v>15590</v>
      </c>
      <c r="P669" s="1">
        <v>15590</v>
      </c>
      <c r="Q669" s="1">
        <v>15580</v>
      </c>
      <c r="R669" t="s">
        <v>710</v>
      </c>
      <c r="S669" s="3">
        <v>0.34572916666666664</v>
      </c>
      <c r="T669" s="1">
        <v>15430</v>
      </c>
      <c r="U669">
        <v>150</v>
      </c>
      <c r="V669">
        <v>0.97</v>
      </c>
    </row>
    <row r="670" spans="4:22" x14ac:dyDescent="0.3">
      <c r="D670">
        <v>668</v>
      </c>
      <c r="E670">
        <v>37710</v>
      </c>
      <c r="F670" t="s">
        <v>685</v>
      </c>
      <c r="H670" s="1">
        <v>30800</v>
      </c>
      <c r="I670">
        <v>3</v>
      </c>
      <c r="R670" t="s">
        <v>710</v>
      </c>
      <c r="S670" s="3">
        <v>0</v>
      </c>
      <c r="T670" s="1">
        <v>30800</v>
      </c>
    </row>
    <row r="671" spans="4:22" x14ac:dyDescent="0.3">
      <c r="D671">
        <v>669</v>
      </c>
      <c r="E671">
        <v>86390</v>
      </c>
      <c r="F671" t="s">
        <v>686</v>
      </c>
      <c r="H671" s="1">
        <v>11560</v>
      </c>
      <c r="I671">
        <v>2</v>
      </c>
      <c r="J671">
        <v>160</v>
      </c>
      <c r="K671">
        <v>1.4</v>
      </c>
      <c r="L671" s="1">
        <v>3253</v>
      </c>
      <c r="M671">
        <v>38</v>
      </c>
      <c r="N671" s="1">
        <v>11540</v>
      </c>
      <c r="O671" s="1">
        <v>11490</v>
      </c>
      <c r="P671" s="1">
        <v>11590</v>
      </c>
      <c r="Q671" s="1">
        <v>11430</v>
      </c>
      <c r="R671" t="s">
        <v>710</v>
      </c>
      <c r="S671" s="3">
        <v>0.35349537037037032</v>
      </c>
      <c r="T671" s="1">
        <v>11400</v>
      </c>
      <c r="U671">
        <v>160</v>
      </c>
      <c r="V671">
        <v>1.4</v>
      </c>
    </row>
    <row r="672" spans="4:22" x14ac:dyDescent="0.3">
      <c r="D672">
        <v>670</v>
      </c>
      <c r="E672">
        <v>176750</v>
      </c>
      <c r="F672" t="s">
        <v>687</v>
      </c>
      <c r="H672" s="1">
        <v>8530</v>
      </c>
      <c r="I672">
        <v>5</v>
      </c>
      <c r="J672">
        <v>30</v>
      </c>
      <c r="K672">
        <v>-0.35</v>
      </c>
      <c r="L672" s="1">
        <v>5388</v>
      </c>
      <c r="M672">
        <v>46</v>
      </c>
      <c r="N672" s="1">
        <v>8554</v>
      </c>
      <c r="O672" s="1">
        <v>8560</v>
      </c>
      <c r="P672" s="1">
        <v>8650</v>
      </c>
      <c r="Q672" s="1">
        <v>8510</v>
      </c>
      <c r="R672" t="s">
        <v>710</v>
      </c>
      <c r="S672" s="3">
        <v>0.35346064814814815</v>
      </c>
      <c r="T672" s="1">
        <v>8560</v>
      </c>
      <c r="U672">
        <v>-30</v>
      </c>
      <c r="V672">
        <v>-0.35</v>
      </c>
    </row>
    <row r="673" spans="4:22" x14ac:dyDescent="0.3">
      <c r="D673">
        <v>671</v>
      </c>
      <c r="E673">
        <v>226320</v>
      </c>
      <c r="F673" t="s">
        <v>688</v>
      </c>
      <c r="H673" s="1">
        <v>11020</v>
      </c>
      <c r="I673">
        <v>2</v>
      </c>
      <c r="J673">
        <v>70</v>
      </c>
      <c r="K673">
        <v>0.64</v>
      </c>
      <c r="L673">
        <v>24</v>
      </c>
      <c r="N673" s="1">
        <v>10975</v>
      </c>
      <c r="O673" s="1">
        <v>10970</v>
      </c>
      <c r="P673" s="1">
        <v>11030</v>
      </c>
      <c r="Q673" s="1">
        <v>10970</v>
      </c>
      <c r="R673" t="s">
        <v>710</v>
      </c>
      <c r="S673" s="3">
        <v>0.34896990740740735</v>
      </c>
      <c r="T673" s="1">
        <v>10950</v>
      </c>
      <c r="U673">
        <v>70</v>
      </c>
      <c r="V673">
        <v>0.64</v>
      </c>
    </row>
    <row r="674" spans="4:22" x14ac:dyDescent="0.3">
      <c r="D674">
        <v>672</v>
      </c>
      <c r="E674">
        <v>372170</v>
      </c>
      <c r="F674" t="s">
        <v>689</v>
      </c>
      <c r="H674" s="1">
        <v>30200</v>
      </c>
      <c r="I674">
        <v>2</v>
      </c>
      <c r="J674">
        <v>300</v>
      </c>
      <c r="K674">
        <v>1</v>
      </c>
      <c r="L674">
        <v>845</v>
      </c>
      <c r="M674">
        <v>25</v>
      </c>
      <c r="N674" s="1">
        <v>30129</v>
      </c>
      <c r="O674" s="1">
        <v>30450</v>
      </c>
      <c r="P674" s="1">
        <v>30450</v>
      </c>
      <c r="Q674" s="1">
        <v>30000</v>
      </c>
      <c r="R674" t="s">
        <v>710</v>
      </c>
      <c r="S674" s="3">
        <v>0.35299768518518521</v>
      </c>
      <c r="T674" s="1">
        <v>29900</v>
      </c>
      <c r="U674">
        <v>300</v>
      </c>
      <c r="V674">
        <v>1</v>
      </c>
    </row>
    <row r="675" spans="4:22" x14ac:dyDescent="0.3">
      <c r="D675">
        <v>673</v>
      </c>
      <c r="E675">
        <v>89980</v>
      </c>
      <c r="F675" t="s">
        <v>690</v>
      </c>
      <c r="H675" s="1">
        <v>14960</v>
      </c>
      <c r="I675">
        <v>2</v>
      </c>
      <c r="J675">
        <v>140</v>
      </c>
      <c r="K675">
        <v>0.94</v>
      </c>
      <c r="L675" s="1">
        <v>17527</v>
      </c>
      <c r="M675">
        <v>260</v>
      </c>
      <c r="N675" s="1">
        <v>14852</v>
      </c>
      <c r="O675" s="1">
        <v>15290</v>
      </c>
      <c r="P675" s="1">
        <v>15340</v>
      </c>
      <c r="Q675" s="1">
        <v>14740</v>
      </c>
      <c r="R675" t="s">
        <v>710</v>
      </c>
      <c r="S675" s="3">
        <v>0.35364583333333338</v>
      </c>
      <c r="T675" s="1">
        <v>14820</v>
      </c>
      <c r="U675">
        <v>140</v>
      </c>
      <c r="V675">
        <v>0.94</v>
      </c>
    </row>
    <row r="676" spans="4:22" x14ac:dyDescent="0.3">
      <c r="D676">
        <v>674</v>
      </c>
      <c r="E676">
        <v>61090</v>
      </c>
      <c r="F676" t="s">
        <v>691</v>
      </c>
      <c r="H676" s="1">
        <v>42500</v>
      </c>
      <c r="I676">
        <v>2</v>
      </c>
      <c r="J676">
        <v>350</v>
      </c>
      <c r="K676">
        <v>0.83</v>
      </c>
      <c r="L676" s="1">
        <v>4675</v>
      </c>
      <c r="M676">
        <v>199</v>
      </c>
      <c r="N676" s="1">
        <v>42620</v>
      </c>
      <c r="O676" s="1">
        <v>42400</v>
      </c>
      <c r="P676" s="1">
        <v>43850</v>
      </c>
      <c r="Q676" s="1">
        <v>42350</v>
      </c>
      <c r="R676" t="s">
        <v>710</v>
      </c>
      <c r="S676" s="3">
        <v>0.35341435185185183</v>
      </c>
      <c r="T676" s="1">
        <v>42150</v>
      </c>
      <c r="U676">
        <v>350</v>
      </c>
      <c r="V676">
        <v>0.83</v>
      </c>
    </row>
    <row r="677" spans="4:22" x14ac:dyDescent="0.3">
      <c r="D677">
        <v>675</v>
      </c>
      <c r="E677">
        <v>1130</v>
      </c>
      <c r="F677" t="s">
        <v>692</v>
      </c>
      <c r="H677" s="1">
        <v>140400</v>
      </c>
      <c r="I677">
        <v>3</v>
      </c>
      <c r="R677" t="s">
        <v>710</v>
      </c>
      <c r="S677" s="3">
        <v>0</v>
      </c>
      <c r="T677" s="1">
        <v>140400</v>
      </c>
    </row>
    <row r="678" spans="4:22" x14ac:dyDescent="0.3">
      <c r="D678">
        <v>676</v>
      </c>
      <c r="E678">
        <v>1630</v>
      </c>
      <c r="F678" t="s">
        <v>693</v>
      </c>
      <c r="H678" s="1">
        <v>47300</v>
      </c>
      <c r="I678">
        <v>2</v>
      </c>
      <c r="J678">
        <v>300</v>
      </c>
      <c r="K678">
        <v>0.64</v>
      </c>
      <c r="L678">
        <v>150</v>
      </c>
      <c r="M678">
        <v>7</v>
      </c>
      <c r="N678" s="1">
        <v>47174</v>
      </c>
      <c r="O678" s="1">
        <v>47150</v>
      </c>
      <c r="P678" s="1">
        <v>47400</v>
      </c>
      <c r="Q678" s="1">
        <v>47050</v>
      </c>
      <c r="R678" t="s">
        <v>710</v>
      </c>
      <c r="S678" s="3">
        <v>0.35162037037037036</v>
      </c>
      <c r="T678" s="1">
        <v>47000</v>
      </c>
      <c r="U678">
        <v>300</v>
      </c>
      <c r="V678">
        <v>0.64</v>
      </c>
    </row>
    <row r="679" spans="4:22" x14ac:dyDescent="0.3">
      <c r="D679">
        <v>677</v>
      </c>
      <c r="E679">
        <v>1750</v>
      </c>
      <c r="F679" t="s">
        <v>694</v>
      </c>
      <c r="H679" s="1">
        <v>18550</v>
      </c>
      <c r="I679">
        <v>2</v>
      </c>
      <c r="J679">
        <v>100</v>
      </c>
      <c r="K679">
        <v>0.54</v>
      </c>
      <c r="L679" s="1">
        <v>1731</v>
      </c>
      <c r="M679">
        <v>32</v>
      </c>
      <c r="N679" s="1">
        <v>18492</v>
      </c>
      <c r="O679" s="1">
        <v>18540</v>
      </c>
      <c r="P679" s="1">
        <v>18560</v>
      </c>
      <c r="Q679" s="1">
        <v>18460</v>
      </c>
      <c r="R679" t="s">
        <v>710</v>
      </c>
      <c r="S679" s="3">
        <v>0.34752314814814816</v>
      </c>
      <c r="T679" s="1">
        <v>18450</v>
      </c>
      <c r="U679">
        <v>100</v>
      </c>
      <c r="V679">
        <v>0.54</v>
      </c>
    </row>
    <row r="680" spans="4:22" x14ac:dyDescent="0.3">
      <c r="D680">
        <v>678</v>
      </c>
      <c r="E680">
        <v>241770</v>
      </c>
      <c r="F680" t="s">
        <v>695</v>
      </c>
      <c r="H680" s="1">
        <v>23100</v>
      </c>
      <c r="I680">
        <v>2</v>
      </c>
      <c r="J680">
        <v>500</v>
      </c>
      <c r="K680">
        <v>2.21</v>
      </c>
      <c r="L680">
        <v>506</v>
      </c>
      <c r="M680">
        <v>12</v>
      </c>
      <c r="N680" s="1">
        <v>23129</v>
      </c>
      <c r="O680" s="1">
        <v>23600</v>
      </c>
      <c r="P680" s="1">
        <v>23700</v>
      </c>
      <c r="Q680" s="1">
        <v>23000</v>
      </c>
      <c r="R680" t="s">
        <v>710</v>
      </c>
      <c r="S680" s="3">
        <v>0.35028935185185189</v>
      </c>
      <c r="T680" s="1">
        <v>22600</v>
      </c>
      <c r="U680">
        <v>500</v>
      </c>
      <c r="V680">
        <v>2.21</v>
      </c>
    </row>
    <row r="681" spans="4:22" x14ac:dyDescent="0.3">
      <c r="D681">
        <v>679</v>
      </c>
      <c r="E681">
        <v>84010</v>
      </c>
      <c r="F681" t="s">
        <v>696</v>
      </c>
      <c r="H681" s="1">
        <v>10250</v>
      </c>
      <c r="I681">
        <v>5</v>
      </c>
      <c r="J681">
        <v>270</v>
      </c>
      <c r="K681">
        <v>-2.57</v>
      </c>
      <c r="L681" s="1">
        <v>17786</v>
      </c>
      <c r="M681">
        <v>183</v>
      </c>
      <c r="N681" s="1">
        <v>10280</v>
      </c>
      <c r="O681" s="1">
        <v>10300</v>
      </c>
      <c r="P681" s="1">
        <v>10470</v>
      </c>
      <c r="Q681" s="1">
        <v>10230</v>
      </c>
      <c r="R681" t="s">
        <v>710</v>
      </c>
      <c r="S681" s="3">
        <v>0.35317129629629629</v>
      </c>
      <c r="T681" s="1">
        <v>10520</v>
      </c>
      <c r="U681">
        <v>-270</v>
      </c>
      <c r="V681">
        <v>-2.57</v>
      </c>
    </row>
    <row r="682" spans="4:22" x14ac:dyDescent="0.3">
      <c r="D682">
        <v>680</v>
      </c>
      <c r="E682" t="s">
        <v>715</v>
      </c>
      <c r="F682" t="s">
        <v>697</v>
      </c>
      <c r="H682" s="1">
        <v>29150</v>
      </c>
      <c r="I682">
        <v>2</v>
      </c>
      <c r="J682">
        <v>750</v>
      </c>
      <c r="K682">
        <v>2.64</v>
      </c>
      <c r="L682" s="1">
        <v>69034</v>
      </c>
      <c r="M682" s="1">
        <v>2025</v>
      </c>
      <c r="N682" s="1">
        <v>29338</v>
      </c>
      <c r="O682" s="1">
        <v>28850</v>
      </c>
      <c r="P682" s="1">
        <v>29800</v>
      </c>
      <c r="Q682" s="1">
        <v>28750</v>
      </c>
      <c r="R682" t="s">
        <v>710</v>
      </c>
      <c r="S682" s="3">
        <v>0.35364583333333338</v>
      </c>
      <c r="T682" s="1">
        <v>28400</v>
      </c>
      <c r="U682">
        <v>750</v>
      </c>
      <c r="V682">
        <v>2.64</v>
      </c>
    </row>
    <row r="683" spans="4:22" x14ac:dyDescent="0.3">
      <c r="D683">
        <v>681</v>
      </c>
      <c r="E683">
        <v>8490</v>
      </c>
      <c r="F683" t="s">
        <v>698</v>
      </c>
      <c r="H683" s="1">
        <v>20050</v>
      </c>
      <c r="I683">
        <v>2</v>
      </c>
      <c r="J683">
        <v>50</v>
      </c>
      <c r="K683">
        <v>0.25</v>
      </c>
      <c r="L683">
        <v>260</v>
      </c>
      <c r="M683">
        <v>5</v>
      </c>
      <c r="N683" s="1">
        <v>19995</v>
      </c>
      <c r="O683" s="1">
        <v>19960</v>
      </c>
      <c r="P683" s="1">
        <v>20100</v>
      </c>
      <c r="Q683" s="1">
        <v>19960</v>
      </c>
      <c r="R683" t="s">
        <v>710</v>
      </c>
      <c r="S683" s="3">
        <v>0.35362268518518519</v>
      </c>
      <c r="T683" s="1">
        <v>20000</v>
      </c>
      <c r="U683">
        <v>50</v>
      </c>
      <c r="V683">
        <v>0.25</v>
      </c>
    </row>
    <row r="684" spans="4:22" x14ac:dyDescent="0.3">
      <c r="D684">
        <v>682</v>
      </c>
      <c r="E684">
        <v>488280</v>
      </c>
      <c r="F684" t="s">
        <v>699</v>
      </c>
      <c r="H684" s="1">
        <v>21700</v>
      </c>
      <c r="I684">
        <v>2</v>
      </c>
      <c r="J684">
        <v>450</v>
      </c>
      <c r="K684">
        <v>2.12</v>
      </c>
      <c r="L684" s="1">
        <v>20694</v>
      </c>
      <c r="M684">
        <v>450</v>
      </c>
      <c r="N684" s="1">
        <v>21735</v>
      </c>
      <c r="O684" s="1">
        <v>21650</v>
      </c>
      <c r="P684" s="1">
        <v>21850</v>
      </c>
      <c r="Q684" s="1">
        <v>21600</v>
      </c>
      <c r="R684" t="s">
        <v>710</v>
      </c>
      <c r="S684" s="3">
        <v>0.3535300925925926</v>
      </c>
      <c r="T684" s="1">
        <v>21250</v>
      </c>
      <c r="U684">
        <v>450</v>
      </c>
      <c r="V684">
        <v>2.12</v>
      </c>
    </row>
    <row r="685" spans="4:22" x14ac:dyDescent="0.3">
      <c r="D685">
        <v>683</v>
      </c>
      <c r="E685">
        <v>36800</v>
      </c>
      <c r="F685" t="s">
        <v>700</v>
      </c>
      <c r="H685" s="1">
        <v>22900</v>
      </c>
      <c r="I685">
        <v>3</v>
      </c>
      <c r="L685">
        <v>106</v>
      </c>
      <c r="M685">
        <v>2</v>
      </c>
      <c r="N685" s="1">
        <v>22897</v>
      </c>
      <c r="O685" s="1">
        <v>22900</v>
      </c>
      <c r="P685" s="1">
        <v>22900</v>
      </c>
      <c r="Q685" s="1">
        <v>22850</v>
      </c>
      <c r="R685" t="s">
        <v>710</v>
      </c>
      <c r="S685" s="3">
        <v>0.3495138888888889</v>
      </c>
      <c r="T685" s="1">
        <v>22900</v>
      </c>
    </row>
    <row r="686" spans="4:22" x14ac:dyDescent="0.3">
      <c r="D686">
        <v>684</v>
      </c>
      <c r="E686">
        <v>4980</v>
      </c>
      <c r="F686" t="s">
        <v>701</v>
      </c>
      <c r="H686" s="1">
        <v>9330</v>
      </c>
      <c r="I686">
        <v>2</v>
      </c>
      <c r="J686">
        <v>70</v>
      </c>
      <c r="K686">
        <v>0.76</v>
      </c>
      <c r="L686" s="1">
        <v>2994</v>
      </c>
      <c r="M686">
        <v>28</v>
      </c>
      <c r="N686" s="1">
        <v>9404</v>
      </c>
      <c r="O686" s="1">
        <v>9530</v>
      </c>
      <c r="P686" s="1">
        <v>9530</v>
      </c>
      <c r="Q686" s="1">
        <v>9310</v>
      </c>
      <c r="R686" t="s">
        <v>710</v>
      </c>
      <c r="S686" s="3">
        <v>0.3532986111111111</v>
      </c>
      <c r="T686" s="1">
        <v>9260</v>
      </c>
      <c r="U686">
        <v>70</v>
      </c>
      <c r="V686">
        <v>0.76</v>
      </c>
    </row>
    <row r="687" spans="4:22" x14ac:dyDescent="0.3">
      <c r="D687">
        <v>685</v>
      </c>
      <c r="E687">
        <v>237880</v>
      </c>
      <c r="F687" t="s">
        <v>702</v>
      </c>
      <c r="H687" s="1">
        <v>12620</v>
      </c>
      <c r="I687">
        <v>2</v>
      </c>
      <c r="J687">
        <v>90</v>
      </c>
      <c r="K687">
        <v>0.72</v>
      </c>
      <c r="L687">
        <v>548</v>
      </c>
      <c r="M687">
        <v>7</v>
      </c>
      <c r="N687" s="1">
        <v>12632</v>
      </c>
      <c r="O687" s="1">
        <v>12640</v>
      </c>
      <c r="P687" s="1">
        <v>12850</v>
      </c>
      <c r="Q687" s="1">
        <v>12600</v>
      </c>
      <c r="R687" t="s">
        <v>710</v>
      </c>
      <c r="S687" s="3">
        <v>0.35275462962962961</v>
      </c>
      <c r="T687" s="1">
        <v>12530</v>
      </c>
      <c r="U687">
        <v>90</v>
      </c>
      <c r="V687">
        <v>0.72</v>
      </c>
    </row>
    <row r="688" spans="4:22" x14ac:dyDescent="0.3">
      <c r="D688">
        <v>686</v>
      </c>
      <c r="E688">
        <v>299030</v>
      </c>
      <c r="F688" t="s">
        <v>703</v>
      </c>
      <c r="H688" s="1">
        <v>28500</v>
      </c>
      <c r="I688">
        <v>2</v>
      </c>
      <c r="J688">
        <v>350</v>
      </c>
      <c r="K688">
        <v>1.24</v>
      </c>
      <c r="L688" s="1">
        <v>2446</v>
      </c>
      <c r="M688">
        <v>69</v>
      </c>
      <c r="N688" s="1">
        <v>28294</v>
      </c>
      <c r="O688" s="1">
        <v>28300</v>
      </c>
      <c r="P688" s="1">
        <v>28500</v>
      </c>
      <c r="Q688" s="1">
        <v>28100</v>
      </c>
      <c r="R688" t="s">
        <v>710</v>
      </c>
      <c r="S688" s="3">
        <v>0.35333333333333333</v>
      </c>
      <c r="T688" s="1">
        <v>28150</v>
      </c>
      <c r="U688">
        <v>350</v>
      </c>
      <c r="V688">
        <v>1.24</v>
      </c>
    </row>
    <row r="689" spans="4:22" x14ac:dyDescent="0.3">
      <c r="D689">
        <v>687</v>
      </c>
      <c r="E689">
        <v>439090</v>
      </c>
      <c r="F689" t="s">
        <v>704</v>
      </c>
      <c r="H689" s="1">
        <v>13810</v>
      </c>
      <c r="I689">
        <v>2</v>
      </c>
      <c r="J689">
        <v>70</v>
      </c>
      <c r="K689">
        <v>0.51</v>
      </c>
      <c r="L689" s="1">
        <v>2971</v>
      </c>
      <c r="M689">
        <v>41</v>
      </c>
      <c r="N689" s="1">
        <v>13808</v>
      </c>
      <c r="O689" s="1">
        <v>13790</v>
      </c>
      <c r="P689" s="1">
        <v>13850</v>
      </c>
      <c r="Q689" s="1">
        <v>13790</v>
      </c>
      <c r="R689" t="s">
        <v>710</v>
      </c>
      <c r="S689" s="3">
        <v>0.3527777777777778</v>
      </c>
      <c r="T689" s="1">
        <v>13740</v>
      </c>
      <c r="U689">
        <v>70</v>
      </c>
      <c r="V689">
        <v>0.51</v>
      </c>
    </row>
    <row r="690" spans="4:22" x14ac:dyDescent="0.3">
      <c r="D690">
        <v>688</v>
      </c>
      <c r="E690">
        <v>39840</v>
      </c>
      <c r="F690" t="s">
        <v>705</v>
      </c>
      <c r="H690" s="1">
        <v>15670</v>
      </c>
      <c r="I690">
        <v>5</v>
      </c>
      <c r="J690">
        <v>160</v>
      </c>
      <c r="K690">
        <v>-1.01</v>
      </c>
      <c r="L690">
        <v>333</v>
      </c>
      <c r="M690">
        <v>5</v>
      </c>
      <c r="N690" s="1">
        <v>15790</v>
      </c>
      <c r="O690" s="1">
        <v>15830</v>
      </c>
      <c r="P690" s="1">
        <v>15900</v>
      </c>
      <c r="Q690" s="1">
        <v>15670</v>
      </c>
      <c r="R690" t="s">
        <v>710</v>
      </c>
      <c r="S690" s="3">
        <v>0.35322916666666665</v>
      </c>
      <c r="T690" s="1">
        <v>15830</v>
      </c>
      <c r="U690">
        <v>-160</v>
      </c>
      <c r="V690">
        <v>-1.01</v>
      </c>
    </row>
    <row r="691" spans="4:22" x14ac:dyDescent="0.3">
      <c r="D691">
        <v>689</v>
      </c>
      <c r="E691">
        <v>356680</v>
      </c>
      <c r="F691" t="s">
        <v>706</v>
      </c>
      <c r="H691" s="1">
        <v>7300</v>
      </c>
      <c r="I691">
        <v>2</v>
      </c>
      <c r="J691">
        <v>30</v>
      </c>
      <c r="K691">
        <v>0.41</v>
      </c>
      <c r="L691" s="1">
        <v>9719</v>
      </c>
      <c r="M691">
        <v>71</v>
      </c>
      <c r="N691" s="1">
        <v>7292</v>
      </c>
      <c r="O691" s="1">
        <v>7290</v>
      </c>
      <c r="P691" s="1">
        <v>7350</v>
      </c>
      <c r="Q691" s="1">
        <v>7270</v>
      </c>
      <c r="R691" t="s">
        <v>710</v>
      </c>
      <c r="S691" s="3">
        <v>0.35355324074074074</v>
      </c>
      <c r="T691" s="1">
        <v>7270</v>
      </c>
      <c r="U691">
        <v>30</v>
      </c>
      <c r="V691">
        <v>0.41</v>
      </c>
    </row>
    <row r="692" spans="4:22" x14ac:dyDescent="0.3">
      <c r="D692">
        <v>690</v>
      </c>
      <c r="E692">
        <v>84850</v>
      </c>
      <c r="F692" t="s">
        <v>707</v>
      </c>
      <c r="H692" s="1">
        <v>9110</v>
      </c>
      <c r="I692">
        <v>2</v>
      </c>
      <c r="J692">
        <v>110</v>
      </c>
      <c r="K692">
        <v>1.22</v>
      </c>
      <c r="L692" s="1">
        <v>1061</v>
      </c>
      <c r="M692">
        <v>10</v>
      </c>
      <c r="N692" s="1">
        <v>9126</v>
      </c>
      <c r="O692" s="1">
        <v>9700</v>
      </c>
      <c r="P692" s="1">
        <v>9700</v>
      </c>
      <c r="Q692" s="1">
        <v>9000</v>
      </c>
      <c r="R692" t="s">
        <v>710</v>
      </c>
      <c r="S692" s="3">
        <v>0.35059027777777779</v>
      </c>
      <c r="T692" s="1">
        <v>9000</v>
      </c>
      <c r="U692">
        <v>110</v>
      </c>
      <c r="V692">
        <v>1.22</v>
      </c>
    </row>
    <row r="693" spans="4:22" x14ac:dyDescent="0.3">
      <c r="D693">
        <v>691</v>
      </c>
      <c r="E693">
        <v>469610</v>
      </c>
      <c r="F693" t="s">
        <v>708</v>
      </c>
      <c r="H693" s="1">
        <v>23250</v>
      </c>
      <c r="I693">
        <v>2</v>
      </c>
      <c r="J693">
        <v>200</v>
      </c>
      <c r="K693">
        <v>0.87</v>
      </c>
      <c r="L693" s="1">
        <v>8681</v>
      </c>
      <c r="M693">
        <v>202</v>
      </c>
      <c r="N693" s="1">
        <v>23324</v>
      </c>
      <c r="O693" s="1">
        <v>23500</v>
      </c>
      <c r="P693" s="1">
        <v>23500</v>
      </c>
      <c r="Q693" s="1">
        <v>23150</v>
      </c>
      <c r="R693" t="s">
        <v>710</v>
      </c>
      <c r="S693" s="3">
        <v>0.35339120370370369</v>
      </c>
      <c r="T693" s="1">
        <v>23050</v>
      </c>
      <c r="U693">
        <v>200</v>
      </c>
      <c r="V693">
        <v>0.87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4411-1FCC-4F6A-9F83-81FD9F3C193C}">
  <sheetPr codeName="Sheet4"/>
  <dimension ref="C3:W378"/>
  <sheetViews>
    <sheetView topLeftCell="A289" workbookViewId="0">
      <selection activeCell="C3" sqref="C3:E378"/>
    </sheetView>
  </sheetViews>
  <sheetFormatPr defaultRowHeight="16.5" x14ac:dyDescent="0.3"/>
  <sheetData>
    <row r="3" spans="3:23" x14ac:dyDescent="0.3">
      <c r="C3" t="s">
        <v>0</v>
      </c>
      <c r="D3" t="s">
        <v>1</v>
      </c>
      <c r="E3" t="s">
        <v>2</v>
      </c>
      <c r="F3" t="s">
        <v>3</v>
      </c>
      <c r="I3" t="s">
        <v>4</v>
      </c>
      <c r="J3" t="s">
        <v>5</v>
      </c>
      <c r="K3" t="s">
        <v>6</v>
      </c>
      <c r="L3" t="s">
        <v>7</v>
      </c>
      <c r="M3" t="s">
        <v>8</v>
      </c>
      <c r="N3" t="s">
        <v>9</v>
      </c>
      <c r="O3" t="s">
        <v>10</v>
      </c>
      <c r="P3" t="s">
        <v>11</v>
      </c>
      <c r="Q3" t="s">
        <v>12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</row>
    <row r="4" spans="3:23" x14ac:dyDescent="0.3">
      <c r="C4">
        <v>1</v>
      </c>
      <c r="D4">
        <v>5930</v>
      </c>
      <c r="E4" t="s">
        <v>18</v>
      </c>
      <c r="G4" s="1">
        <v>153800</v>
      </c>
      <c r="H4">
        <v>2</v>
      </c>
      <c r="I4" s="1">
        <v>4300</v>
      </c>
      <c r="J4">
        <v>2.88</v>
      </c>
      <c r="K4" s="1">
        <v>8381577</v>
      </c>
      <c r="L4" s="1">
        <v>1296987</v>
      </c>
      <c r="M4" s="1">
        <v>154742</v>
      </c>
      <c r="N4" s="1">
        <v>152100</v>
      </c>
      <c r="O4" s="1">
        <v>160000</v>
      </c>
      <c r="P4" s="1">
        <v>152100</v>
      </c>
      <c r="Q4" t="s">
        <v>724</v>
      </c>
      <c r="R4" s="3">
        <v>0.42248842592592589</v>
      </c>
      <c r="S4" s="1">
        <v>153900</v>
      </c>
      <c r="T4">
        <v>-100</v>
      </c>
      <c r="U4">
        <v>-0.06</v>
      </c>
      <c r="V4" s="1">
        <v>11619591</v>
      </c>
      <c r="W4">
        <v>72.13</v>
      </c>
    </row>
    <row r="5" spans="3:23" x14ac:dyDescent="0.3">
      <c r="C5">
        <v>2</v>
      </c>
      <c r="D5">
        <v>660</v>
      </c>
      <c r="E5" t="s">
        <v>19</v>
      </c>
      <c r="G5" s="1">
        <v>757000</v>
      </c>
      <c r="H5">
        <v>2</v>
      </c>
      <c r="I5" s="1">
        <v>17000</v>
      </c>
      <c r="J5">
        <v>2.2999999999999998</v>
      </c>
      <c r="K5" s="1">
        <v>1190606</v>
      </c>
      <c r="L5" s="1">
        <v>912632</v>
      </c>
      <c r="M5" s="1">
        <v>766527</v>
      </c>
      <c r="N5" s="1">
        <v>755000</v>
      </c>
      <c r="O5" s="1">
        <v>781000</v>
      </c>
      <c r="P5" s="1">
        <v>743000</v>
      </c>
      <c r="Q5" t="s">
        <v>724</v>
      </c>
      <c r="R5" s="3">
        <v>0.42230324074074077</v>
      </c>
      <c r="S5" s="1">
        <v>757000</v>
      </c>
      <c r="V5" s="1">
        <v>1351535</v>
      </c>
      <c r="W5">
        <v>88.09</v>
      </c>
    </row>
    <row r="6" spans="3:23" x14ac:dyDescent="0.3">
      <c r="C6">
        <v>3</v>
      </c>
      <c r="D6">
        <v>5380</v>
      </c>
      <c r="E6" t="s">
        <v>20</v>
      </c>
      <c r="G6" s="1">
        <v>552000</v>
      </c>
      <c r="H6">
        <v>2</v>
      </c>
      <c r="I6" s="1">
        <v>3000</v>
      </c>
      <c r="J6">
        <v>0.55000000000000004</v>
      </c>
      <c r="K6" s="1">
        <v>3145931</v>
      </c>
      <c r="L6" s="1">
        <v>1817255</v>
      </c>
      <c r="M6" s="1">
        <v>577652</v>
      </c>
      <c r="N6" s="1">
        <v>568000</v>
      </c>
      <c r="O6" s="1">
        <v>595000</v>
      </c>
      <c r="P6" s="1">
        <v>552000</v>
      </c>
      <c r="Q6" t="s">
        <v>724</v>
      </c>
      <c r="R6" s="3">
        <v>0.42251157407407408</v>
      </c>
      <c r="S6" s="1">
        <v>552000</v>
      </c>
      <c r="V6" s="1">
        <v>2736548</v>
      </c>
      <c r="W6">
        <v>114.95</v>
      </c>
    </row>
    <row r="7" spans="3:23" x14ac:dyDescent="0.3">
      <c r="C7">
        <v>4</v>
      </c>
      <c r="D7">
        <v>373220</v>
      </c>
      <c r="E7" t="s">
        <v>21</v>
      </c>
      <c r="G7" s="1">
        <v>415500</v>
      </c>
      <c r="H7">
        <v>2</v>
      </c>
      <c r="I7" s="1">
        <v>21000</v>
      </c>
      <c r="J7">
        <v>5.32</v>
      </c>
      <c r="K7" s="1">
        <v>157478</v>
      </c>
      <c r="L7" s="1">
        <v>64368</v>
      </c>
      <c r="M7" s="1">
        <v>408747</v>
      </c>
      <c r="N7" s="1">
        <v>398000</v>
      </c>
      <c r="O7" s="1">
        <v>418000</v>
      </c>
      <c r="P7" s="1">
        <v>396500</v>
      </c>
      <c r="Q7" t="s">
        <v>724</v>
      </c>
      <c r="R7" s="3">
        <v>0.42250000000000004</v>
      </c>
      <c r="S7" s="1">
        <v>415500</v>
      </c>
      <c r="V7" s="1">
        <v>285398</v>
      </c>
      <c r="W7">
        <v>55.17</v>
      </c>
    </row>
    <row r="8" spans="3:23" x14ac:dyDescent="0.3">
      <c r="C8">
        <v>5</v>
      </c>
      <c r="D8">
        <v>207940</v>
      </c>
      <c r="E8" t="s">
        <v>22</v>
      </c>
      <c r="G8" s="1">
        <v>1804000</v>
      </c>
      <c r="H8">
        <v>5</v>
      </c>
      <c r="I8" s="1">
        <v>69000</v>
      </c>
      <c r="J8">
        <v>-3.68</v>
      </c>
      <c r="K8" s="1">
        <v>13586</v>
      </c>
      <c r="L8" s="1">
        <v>24936</v>
      </c>
      <c r="M8" s="1">
        <v>1835425</v>
      </c>
      <c r="N8" s="1">
        <v>1876000</v>
      </c>
      <c r="O8" s="1">
        <v>1915000</v>
      </c>
      <c r="P8" s="1">
        <v>1794000</v>
      </c>
      <c r="Q8" t="s">
        <v>724</v>
      </c>
      <c r="R8" s="3">
        <v>0.42247685185185185</v>
      </c>
      <c r="S8" s="1">
        <v>1803000</v>
      </c>
      <c r="T8" s="1">
        <v>1000</v>
      </c>
      <c r="U8">
        <v>0.06</v>
      </c>
      <c r="V8" s="1">
        <v>47492</v>
      </c>
      <c r="W8">
        <v>28.6</v>
      </c>
    </row>
    <row r="9" spans="3:23" x14ac:dyDescent="0.3">
      <c r="C9">
        <v>6</v>
      </c>
      <c r="D9">
        <v>12450</v>
      </c>
      <c r="E9" t="s">
        <v>24</v>
      </c>
      <c r="G9" s="1">
        <v>1305000</v>
      </c>
      <c r="H9">
        <v>5</v>
      </c>
      <c r="I9" s="1">
        <v>10000</v>
      </c>
      <c r="J9">
        <v>-0.76</v>
      </c>
      <c r="K9" s="1">
        <v>51524</v>
      </c>
      <c r="L9" s="1">
        <v>66863</v>
      </c>
      <c r="M9" s="1">
        <v>1297710</v>
      </c>
      <c r="N9" s="1">
        <v>1313000</v>
      </c>
      <c r="O9" s="1">
        <v>1330000</v>
      </c>
      <c r="P9" s="1">
        <v>1271000</v>
      </c>
      <c r="Q9" t="s">
        <v>724</v>
      </c>
      <c r="R9" s="3">
        <v>0.42241898148148144</v>
      </c>
      <c r="S9" s="1">
        <v>1305000</v>
      </c>
      <c r="V9" s="1">
        <v>77408</v>
      </c>
      <c r="W9">
        <v>66.56</v>
      </c>
    </row>
    <row r="10" spans="3:23" x14ac:dyDescent="0.3">
      <c r="C10">
        <v>7</v>
      </c>
      <c r="D10">
        <v>270</v>
      </c>
      <c r="E10" t="s">
        <v>23</v>
      </c>
      <c r="G10" s="1">
        <v>168600</v>
      </c>
      <c r="H10">
        <v>5</v>
      </c>
      <c r="I10" s="1">
        <v>3500</v>
      </c>
      <c r="J10">
        <v>-2.0299999999999998</v>
      </c>
      <c r="K10" s="1">
        <v>1006148</v>
      </c>
      <c r="L10" s="1">
        <v>175872</v>
      </c>
      <c r="M10" s="1">
        <v>174797</v>
      </c>
      <c r="N10" s="1">
        <v>174200</v>
      </c>
      <c r="O10" s="1">
        <v>178600</v>
      </c>
      <c r="P10" s="1">
        <v>168300</v>
      </c>
      <c r="Q10" t="s">
        <v>724</v>
      </c>
      <c r="R10" s="3">
        <v>0.42245370370370372</v>
      </c>
      <c r="S10" s="1">
        <v>168600</v>
      </c>
      <c r="V10" s="1">
        <v>1401956</v>
      </c>
      <c r="W10">
        <v>71.760000000000005</v>
      </c>
    </row>
    <row r="11" spans="3:23" x14ac:dyDescent="0.3">
      <c r="C11">
        <v>8</v>
      </c>
      <c r="D11">
        <v>329180</v>
      </c>
      <c r="E11" t="s">
        <v>25</v>
      </c>
      <c r="G11" s="1">
        <v>616000</v>
      </c>
      <c r="H11">
        <v>5</v>
      </c>
      <c r="I11" s="1">
        <v>15000</v>
      </c>
      <c r="J11">
        <v>-2.38</v>
      </c>
      <c r="K11" s="1">
        <v>42014</v>
      </c>
      <c r="L11" s="1">
        <v>26375</v>
      </c>
      <c r="M11" s="1">
        <v>627778</v>
      </c>
      <c r="N11" s="1">
        <v>634000</v>
      </c>
      <c r="O11" s="1">
        <v>642000</v>
      </c>
      <c r="P11" s="1">
        <v>616000</v>
      </c>
      <c r="Q11" t="s">
        <v>724</v>
      </c>
      <c r="R11" s="3">
        <v>0.42251157407407408</v>
      </c>
      <c r="S11" s="1">
        <v>616000</v>
      </c>
      <c r="V11" s="1">
        <v>66601</v>
      </c>
      <c r="W11">
        <v>63.08</v>
      </c>
    </row>
    <row r="12" spans="3:23" x14ac:dyDescent="0.3">
      <c r="C12">
        <v>9</v>
      </c>
      <c r="D12">
        <v>34020</v>
      </c>
      <c r="E12" t="s">
        <v>26</v>
      </c>
      <c r="G12" s="1">
        <v>92400</v>
      </c>
      <c r="H12">
        <v>2</v>
      </c>
      <c r="I12" s="1">
        <v>1100</v>
      </c>
      <c r="J12">
        <v>1.2</v>
      </c>
      <c r="K12" s="1">
        <v>3670769</v>
      </c>
      <c r="L12" s="1">
        <v>345060</v>
      </c>
      <c r="M12" s="1">
        <v>94002</v>
      </c>
      <c r="N12" s="1">
        <v>93100</v>
      </c>
      <c r="O12" s="1">
        <v>95600</v>
      </c>
      <c r="P12" s="1">
        <v>92300</v>
      </c>
      <c r="Q12" t="s">
        <v>724</v>
      </c>
      <c r="R12" s="3">
        <v>0.42247685185185185</v>
      </c>
      <c r="S12" s="1">
        <v>92300</v>
      </c>
      <c r="T12">
        <v>100</v>
      </c>
      <c r="U12">
        <v>0.11</v>
      </c>
      <c r="V12" s="1">
        <v>3422749</v>
      </c>
      <c r="W12">
        <v>107.24</v>
      </c>
    </row>
    <row r="13" spans="3:23" x14ac:dyDescent="0.3">
      <c r="C13">
        <v>10</v>
      </c>
      <c r="D13">
        <v>402340</v>
      </c>
      <c r="E13" t="s">
        <v>27</v>
      </c>
      <c r="G13" s="1">
        <v>447000</v>
      </c>
      <c r="H13">
        <v>2</v>
      </c>
      <c r="I13" s="1">
        <v>17000</v>
      </c>
      <c r="J13">
        <v>3.95</v>
      </c>
      <c r="K13" s="1">
        <v>68245</v>
      </c>
      <c r="L13" s="1">
        <v>30223</v>
      </c>
      <c r="M13" s="1">
        <v>442863</v>
      </c>
      <c r="N13" s="1">
        <v>445000</v>
      </c>
      <c r="O13" s="1">
        <v>450000</v>
      </c>
      <c r="P13" s="1">
        <v>435500</v>
      </c>
      <c r="Q13" t="s">
        <v>724</v>
      </c>
      <c r="R13" s="3">
        <v>0.42251157407407408</v>
      </c>
      <c r="S13" s="1">
        <v>446500</v>
      </c>
      <c r="T13">
        <v>500</v>
      </c>
      <c r="U13">
        <v>0.11</v>
      </c>
      <c r="V13" s="1">
        <v>180179</v>
      </c>
      <c r="W13">
        <v>37.869999999999997</v>
      </c>
    </row>
    <row r="14" spans="3:23" x14ac:dyDescent="0.3">
      <c r="C14">
        <v>11</v>
      </c>
      <c r="D14">
        <v>105560</v>
      </c>
      <c r="E14" t="s">
        <v>28</v>
      </c>
      <c r="G14" s="1">
        <v>135600</v>
      </c>
      <c r="H14">
        <v>5</v>
      </c>
      <c r="I14" s="1">
        <v>1200</v>
      </c>
      <c r="J14">
        <v>-0.88</v>
      </c>
      <c r="K14" s="1">
        <v>94561</v>
      </c>
      <c r="L14" s="1">
        <v>12871</v>
      </c>
      <c r="M14" s="1">
        <v>136119</v>
      </c>
      <c r="N14" s="1">
        <v>136800</v>
      </c>
      <c r="O14" s="1">
        <v>138600</v>
      </c>
      <c r="P14" s="1">
        <v>135100</v>
      </c>
      <c r="Q14" t="s">
        <v>724</v>
      </c>
      <c r="R14" s="3">
        <v>0.42248842592592589</v>
      </c>
      <c r="S14" s="1">
        <v>135600</v>
      </c>
      <c r="V14" s="1">
        <v>400150</v>
      </c>
      <c r="W14">
        <v>23.63</v>
      </c>
    </row>
    <row r="15" spans="3:23" x14ac:dyDescent="0.3">
      <c r="C15">
        <v>12</v>
      </c>
      <c r="D15">
        <v>28260</v>
      </c>
      <c r="E15" t="s">
        <v>29</v>
      </c>
      <c r="G15" s="1">
        <v>302500</v>
      </c>
      <c r="H15">
        <v>2</v>
      </c>
      <c r="I15" s="1">
        <v>3500</v>
      </c>
      <c r="J15">
        <v>1.17</v>
      </c>
      <c r="K15" s="1">
        <v>56179</v>
      </c>
      <c r="L15" s="1">
        <v>17097</v>
      </c>
      <c r="M15" s="1">
        <v>304335</v>
      </c>
      <c r="N15" s="1">
        <v>299500</v>
      </c>
      <c r="O15" s="1">
        <v>309500</v>
      </c>
      <c r="P15" s="1">
        <v>299500</v>
      </c>
      <c r="Q15" t="s">
        <v>724</v>
      </c>
      <c r="R15" s="3">
        <v>0.42246527777777776</v>
      </c>
      <c r="S15" s="1">
        <v>302000</v>
      </c>
      <c r="T15">
        <v>500</v>
      </c>
      <c r="U15">
        <v>0.17</v>
      </c>
      <c r="V15" s="1">
        <v>162655</v>
      </c>
      <c r="W15">
        <v>34.53</v>
      </c>
    </row>
    <row r="16" spans="3:23" x14ac:dyDescent="0.3">
      <c r="C16">
        <v>13</v>
      </c>
      <c r="D16">
        <v>68270</v>
      </c>
      <c r="E16" t="s">
        <v>30</v>
      </c>
      <c r="G16" s="1">
        <v>205250</v>
      </c>
      <c r="H16">
        <v>2</v>
      </c>
      <c r="I16" s="1">
        <v>1250</v>
      </c>
      <c r="J16">
        <v>0.61</v>
      </c>
      <c r="K16" s="1">
        <v>167076</v>
      </c>
      <c r="L16" s="1">
        <v>34388</v>
      </c>
      <c r="M16" s="1">
        <v>205823</v>
      </c>
      <c r="N16" s="1">
        <v>206500</v>
      </c>
      <c r="O16" s="1">
        <v>211500</v>
      </c>
      <c r="P16" s="1">
        <v>202500</v>
      </c>
      <c r="Q16" t="s">
        <v>724</v>
      </c>
      <c r="R16" s="3">
        <v>0.42251157407407408</v>
      </c>
      <c r="S16" s="1">
        <v>205500</v>
      </c>
      <c r="T16">
        <v>-250</v>
      </c>
      <c r="U16">
        <v>-0.12</v>
      </c>
      <c r="V16" s="1">
        <v>254345</v>
      </c>
      <c r="W16">
        <v>65.680000000000007</v>
      </c>
    </row>
    <row r="17" spans="3:23" x14ac:dyDescent="0.3">
      <c r="C17">
        <v>14</v>
      </c>
      <c r="D17">
        <v>42660</v>
      </c>
      <c r="E17" t="s">
        <v>32</v>
      </c>
      <c r="G17" s="1">
        <v>139100</v>
      </c>
      <c r="H17">
        <v>5</v>
      </c>
      <c r="I17" s="1">
        <v>2400</v>
      </c>
      <c r="J17">
        <v>-1.7</v>
      </c>
      <c r="K17" s="1">
        <v>716149</v>
      </c>
      <c r="L17" s="1">
        <v>101639</v>
      </c>
      <c r="M17" s="1">
        <v>141924</v>
      </c>
      <c r="N17" s="1">
        <v>143800</v>
      </c>
      <c r="O17" s="1">
        <v>145400</v>
      </c>
      <c r="P17" s="1">
        <v>138200</v>
      </c>
      <c r="Q17" t="s">
        <v>724</v>
      </c>
      <c r="R17" s="3">
        <v>0.42251157407407408</v>
      </c>
      <c r="S17" s="1">
        <v>139200</v>
      </c>
      <c r="T17">
        <v>-100</v>
      </c>
      <c r="U17">
        <v>-7.0000000000000007E-2</v>
      </c>
      <c r="V17" s="1">
        <v>841351</v>
      </c>
      <c r="W17">
        <v>85.11</v>
      </c>
    </row>
    <row r="18" spans="3:23" x14ac:dyDescent="0.3">
      <c r="C18">
        <v>15</v>
      </c>
      <c r="D18">
        <v>15760</v>
      </c>
      <c r="E18" t="s">
        <v>33</v>
      </c>
      <c r="G18" s="1">
        <v>66400</v>
      </c>
      <c r="H18">
        <v>5</v>
      </c>
      <c r="I18" s="1">
        <v>1500</v>
      </c>
      <c r="J18">
        <v>-2.21</v>
      </c>
      <c r="K18" s="1">
        <v>2388648</v>
      </c>
      <c r="L18" s="1">
        <v>161960</v>
      </c>
      <c r="M18" s="1">
        <v>67804</v>
      </c>
      <c r="N18" s="1">
        <v>68800</v>
      </c>
      <c r="O18" s="1">
        <v>69900</v>
      </c>
      <c r="P18" s="1">
        <v>65700</v>
      </c>
      <c r="Q18" t="s">
        <v>724</v>
      </c>
      <c r="R18" s="3">
        <v>0.42251157407407408</v>
      </c>
      <c r="S18" s="1">
        <v>66500</v>
      </c>
      <c r="T18">
        <v>-100</v>
      </c>
      <c r="U18">
        <v>-0.15</v>
      </c>
      <c r="V18" s="1">
        <v>2531296</v>
      </c>
      <c r="W18">
        <v>94.36</v>
      </c>
    </row>
    <row r="19" spans="3:23" x14ac:dyDescent="0.3">
      <c r="C19">
        <v>16</v>
      </c>
      <c r="D19">
        <v>12330</v>
      </c>
      <c r="E19" t="s">
        <v>31</v>
      </c>
      <c r="G19" s="1">
        <v>465000</v>
      </c>
      <c r="H19">
        <v>5</v>
      </c>
      <c r="I19" s="1">
        <v>22500</v>
      </c>
      <c r="J19">
        <v>-4.62</v>
      </c>
      <c r="K19" s="1">
        <v>289865</v>
      </c>
      <c r="L19" s="1">
        <v>142412</v>
      </c>
      <c r="M19" s="1">
        <v>491305</v>
      </c>
      <c r="N19" s="1">
        <v>500000</v>
      </c>
      <c r="O19" s="1">
        <v>516000</v>
      </c>
      <c r="P19" s="1">
        <v>465000</v>
      </c>
      <c r="Q19" t="s">
        <v>724</v>
      </c>
      <c r="R19" s="3">
        <v>0.42252314814814818</v>
      </c>
      <c r="S19" s="1">
        <v>465000</v>
      </c>
      <c r="V19" s="1">
        <v>519346</v>
      </c>
      <c r="W19">
        <v>55.81</v>
      </c>
    </row>
    <row r="20" spans="3:23" x14ac:dyDescent="0.3">
      <c r="C20">
        <v>17</v>
      </c>
      <c r="D20">
        <v>55550</v>
      </c>
      <c r="E20" t="s">
        <v>34</v>
      </c>
      <c r="G20" s="1">
        <v>82500</v>
      </c>
      <c r="H20">
        <v>2</v>
      </c>
      <c r="I20" s="1">
        <v>1300</v>
      </c>
      <c r="J20">
        <v>1.6</v>
      </c>
      <c r="K20" s="1">
        <v>159145</v>
      </c>
      <c r="L20" s="1">
        <v>13048</v>
      </c>
      <c r="M20" s="1">
        <v>81991</v>
      </c>
      <c r="N20" s="1">
        <v>81200</v>
      </c>
      <c r="O20" s="1">
        <v>83400</v>
      </c>
      <c r="P20" s="1">
        <v>80800</v>
      </c>
      <c r="Q20" t="s">
        <v>724</v>
      </c>
      <c r="R20" s="3">
        <v>0.42218749999999999</v>
      </c>
      <c r="S20" s="1">
        <v>82500</v>
      </c>
      <c r="V20" s="1">
        <v>593555</v>
      </c>
      <c r="W20">
        <v>26.81</v>
      </c>
    </row>
    <row r="21" spans="3:23" x14ac:dyDescent="0.3">
      <c r="C21">
        <v>18</v>
      </c>
      <c r="D21">
        <v>35420</v>
      </c>
      <c r="E21" t="s">
        <v>35</v>
      </c>
      <c r="G21" s="1">
        <v>246000</v>
      </c>
      <c r="H21">
        <v>2</v>
      </c>
      <c r="I21" s="1">
        <v>7500</v>
      </c>
      <c r="J21">
        <v>3.14</v>
      </c>
      <c r="K21" s="1">
        <v>404566</v>
      </c>
      <c r="L21" s="1">
        <v>98497</v>
      </c>
      <c r="M21" s="1">
        <v>243464</v>
      </c>
      <c r="N21" s="1">
        <v>242000</v>
      </c>
      <c r="O21" s="1">
        <v>247500</v>
      </c>
      <c r="P21" s="1">
        <v>239500</v>
      </c>
      <c r="Q21" t="s">
        <v>724</v>
      </c>
      <c r="R21" s="3">
        <v>0.42251157407407408</v>
      </c>
      <c r="S21" s="1">
        <v>246500</v>
      </c>
      <c r="T21">
        <v>-500</v>
      </c>
      <c r="U21">
        <v>-0.2</v>
      </c>
      <c r="V21" s="1">
        <v>532983</v>
      </c>
      <c r="W21">
        <v>75.900000000000006</v>
      </c>
    </row>
    <row r="22" spans="3:23" x14ac:dyDescent="0.3">
      <c r="C22">
        <v>19</v>
      </c>
      <c r="D22">
        <v>32830</v>
      </c>
      <c r="E22" t="s">
        <v>36</v>
      </c>
      <c r="G22" s="1">
        <v>175700</v>
      </c>
      <c r="H22">
        <v>2</v>
      </c>
      <c r="I22" s="1">
        <v>1000</v>
      </c>
      <c r="J22">
        <v>0.56999999999999995</v>
      </c>
      <c r="K22" s="1">
        <v>34583</v>
      </c>
      <c r="L22" s="1">
        <v>6149</v>
      </c>
      <c r="M22" s="1">
        <v>177814</v>
      </c>
      <c r="N22" s="1">
        <v>175200</v>
      </c>
      <c r="O22" s="1">
        <v>182100</v>
      </c>
      <c r="P22" s="1">
        <v>174700</v>
      </c>
      <c r="Q22" t="s">
        <v>724</v>
      </c>
      <c r="R22" s="3">
        <v>0.42124999999999996</v>
      </c>
      <c r="S22" s="1">
        <v>175600</v>
      </c>
      <c r="T22">
        <v>100</v>
      </c>
      <c r="U22">
        <v>0.06</v>
      </c>
      <c r="V22" s="1">
        <v>104477</v>
      </c>
      <c r="W22">
        <v>33.1</v>
      </c>
    </row>
    <row r="23" spans="3:23" x14ac:dyDescent="0.3">
      <c r="C23">
        <v>20</v>
      </c>
      <c r="D23">
        <v>10130</v>
      </c>
      <c r="E23" t="s">
        <v>37</v>
      </c>
      <c r="G23" s="1">
        <v>1579000</v>
      </c>
      <c r="H23">
        <v>5</v>
      </c>
      <c r="I23" s="1">
        <v>78000</v>
      </c>
      <c r="J23">
        <v>-4.71</v>
      </c>
      <c r="K23" s="1">
        <v>33088</v>
      </c>
      <c r="L23" s="1">
        <v>53487</v>
      </c>
      <c r="M23" s="1">
        <v>1616512</v>
      </c>
      <c r="N23" s="1">
        <v>1680000</v>
      </c>
      <c r="O23" s="1">
        <v>1680000</v>
      </c>
      <c r="P23" s="1">
        <v>1566000</v>
      </c>
      <c r="Q23" t="s">
        <v>724</v>
      </c>
      <c r="R23" s="3">
        <v>0.42250000000000004</v>
      </c>
      <c r="S23" s="1">
        <v>1577000</v>
      </c>
      <c r="T23" s="1">
        <v>2000</v>
      </c>
      <c r="U23">
        <v>0.13</v>
      </c>
      <c r="V23" s="1">
        <v>40011</v>
      </c>
      <c r="W23">
        <v>82.69</v>
      </c>
    </row>
    <row r="24" spans="3:23" x14ac:dyDescent="0.3">
      <c r="C24">
        <v>21</v>
      </c>
      <c r="D24">
        <v>267260</v>
      </c>
      <c r="E24" t="s">
        <v>38</v>
      </c>
      <c r="G24" s="1">
        <v>895000</v>
      </c>
      <c r="H24">
        <v>2</v>
      </c>
      <c r="I24" s="1">
        <v>1000</v>
      </c>
      <c r="J24">
        <v>0.11</v>
      </c>
      <c r="K24" s="1">
        <v>26689</v>
      </c>
      <c r="L24" s="1">
        <v>24115</v>
      </c>
      <c r="M24" s="1">
        <v>903560</v>
      </c>
      <c r="N24" s="1">
        <v>902000</v>
      </c>
      <c r="O24" s="1">
        <v>920000</v>
      </c>
      <c r="P24" s="1">
        <v>891000</v>
      </c>
      <c r="Q24" t="s">
        <v>724</v>
      </c>
      <c r="R24" s="3">
        <v>0.42228009259259264</v>
      </c>
      <c r="S24" s="1">
        <v>894000</v>
      </c>
      <c r="T24" s="1">
        <v>1000</v>
      </c>
      <c r="U24">
        <v>0.11</v>
      </c>
      <c r="V24" s="1">
        <v>41372</v>
      </c>
      <c r="W24">
        <v>64.5</v>
      </c>
    </row>
    <row r="25" spans="3:23" x14ac:dyDescent="0.3">
      <c r="C25">
        <v>22</v>
      </c>
      <c r="D25">
        <v>9540</v>
      </c>
      <c r="E25" t="s">
        <v>39</v>
      </c>
      <c r="G25" s="1">
        <v>425500</v>
      </c>
      <c r="H25">
        <v>5</v>
      </c>
      <c r="I25" s="1">
        <v>3000</v>
      </c>
      <c r="J25">
        <v>-0.7</v>
      </c>
      <c r="K25" s="1">
        <v>29600</v>
      </c>
      <c r="L25" s="1">
        <v>12745</v>
      </c>
      <c r="M25" s="1">
        <v>430579</v>
      </c>
      <c r="N25" s="1">
        <v>446500</v>
      </c>
      <c r="O25" s="1">
        <v>446500</v>
      </c>
      <c r="P25" s="1">
        <v>423500</v>
      </c>
      <c r="Q25" t="s">
        <v>724</v>
      </c>
      <c r="R25" s="3">
        <v>0.42238425925925926</v>
      </c>
      <c r="S25" s="1">
        <v>425000</v>
      </c>
      <c r="T25">
        <v>500</v>
      </c>
      <c r="U25">
        <v>0.12</v>
      </c>
      <c r="V25" s="1">
        <v>55374</v>
      </c>
      <c r="W25">
        <v>53.45</v>
      </c>
    </row>
    <row r="26" spans="3:23" x14ac:dyDescent="0.3">
      <c r="C26">
        <v>23</v>
      </c>
      <c r="D26">
        <v>6400</v>
      </c>
      <c r="E26" t="s">
        <v>43</v>
      </c>
      <c r="G26" s="1">
        <v>372000</v>
      </c>
      <c r="H26">
        <v>2</v>
      </c>
      <c r="I26" s="1">
        <v>48000</v>
      </c>
      <c r="J26">
        <v>14.81</v>
      </c>
      <c r="K26" s="1">
        <v>1720033</v>
      </c>
      <c r="L26" s="1">
        <v>608076</v>
      </c>
      <c r="M26" s="1">
        <v>353525</v>
      </c>
      <c r="N26" s="1">
        <v>330000</v>
      </c>
      <c r="O26" s="1">
        <v>373000</v>
      </c>
      <c r="P26" s="1">
        <v>326000</v>
      </c>
      <c r="Q26" t="s">
        <v>724</v>
      </c>
      <c r="R26" s="3">
        <v>0.42250000000000004</v>
      </c>
      <c r="S26" s="1">
        <v>372000</v>
      </c>
      <c r="V26" s="1">
        <v>2465559</v>
      </c>
      <c r="W26">
        <v>69.760000000000005</v>
      </c>
    </row>
    <row r="27" spans="3:23" x14ac:dyDescent="0.3">
      <c r="C27">
        <v>24</v>
      </c>
      <c r="D27">
        <v>5490</v>
      </c>
      <c r="E27" t="s">
        <v>40</v>
      </c>
      <c r="G27" s="1">
        <v>361000</v>
      </c>
      <c r="H27">
        <v>2</v>
      </c>
      <c r="I27" s="1">
        <v>10000</v>
      </c>
      <c r="J27">
        <v>2.85</v>
      </c>
      <c r="K27" s="1">
        <v>424151</v>
      </c>
      <c r="L27" s="1">
        <v>153119</v>
      </c>
      <c r="M27" s="1">
        <v>361001</v>
      </c>
      <c r="N27" s="1">
        <v>354500</v>
      </c>
      <c r="O27" s="1">
        <v>372000</v>
      </c>
      <c r="P27" s="1">
        <v>350500</v>
      </c>
      <c r="Q27" t="s">
        <v>724</v>
      </c>
      <c r="R27" s="3">
        <v>0.4223958333333333</v>
      </c>
      <c r="S27" s="1">
        <v>361000</v>
      </c>
      <c r="V27" s="1">
        <v>749759</v>
      </c>
      <c r="W27">
        <v>56.57</v>
      </c>
    </row>
    <row r="28" spans="3:23" x14ac:dyDescent="0.3">
      <c r="C28">
        <v>25</v>
      </c>
      <c r="D28">
        <v>86790</v>
      </c>
      <c r="E28" t="s">
        <v>41</v>
      </c>
      <c r="G28" s="1">
        <v>100200</v>
      </c>
      <c r="H28">
        <v>2</v>
      </c>
      <c r="I28">
        <v>400</v>
      </c>
      <c r="J28">
        <v>0.4</v>
      </c>
      <c r="K28" s="1">
        <v>65143</v>
      </c>
      <c r="L28" s="1">
        <v>6509</v>
      </c>
      <c r="M28" s="1">
        <v>99933</v>
      </c>
      <c r="N28" s="1">
        <v>100000</v>
      </c>
      <c r="O28" s="1">
        <v>101400</v>
      </c>
      <c r="P28" s="1">
        <v>99100</v>
      </c>
      <c r="Q28" t="s">
        <v>724</v>
      </c>
      <c r="R28" s="3">
        <v>0.42170138888888892</v>
      </c>
      <c r="S28" s="1">
        <v>100200</v>
      </c>
      <c r="V28" s="1">
        <v>206918</v>
      </c>
      <c r="W28">
        <v>31.48</v>
      </c>
    </row>
    <row r="29" spans="3:23" x14ac:dyDescent="0.3">
      <c r="C29">
        <v>26</v>
      </c>
      <c r="D29">
        <v>10140</v>
      </c>
      <c r="E29" t="s">
        <v>42</v>
      </c>
      <c r="G29" s="1">
        <v>30150</v>
      </c>
      <c r="H29">
        <v>5</v>
      </c>
      <c r="I29">
        <v>400</v>
      </c>
      <c r="J29">
        <v>-1.31</v>
      </c>
      <c r="K29" s="1">
        <v>1920730</v>
      </c>
      <c r="L29" s="1">
        <v>59150</v>
      </c>
      <c r="M29" s="1">
        <v>30795</v>
      </c>
      <c r="N29" s="1">
        <v>31000</v>
      </c>
      <c r="O29" s="1">
        <v>31350</v>
      </c>
      <c r="P29" s="1">
        <v>30150</v>
      </c>
      <c r="Q29" t="s">
        <v>724</v>
      </c>
      <c r="R29" s="3">
        <v>0.42245370370370372</v>
      </c>
      <c r="S29" s="1">
        <v>30125</v>
      </c>
      <c r="T29">
        <v>25</v>
      </c>
      <c r="U29">
        <v>0.08</v>
      </c>
      <c r="V29" s="1">
        <v>2527369</v>
      </c>
      <c r="W29">
        <v>75.989999999999995</v>
      </c>
    </row>
    <row r="30" spans="3:23" x14ac:dyDescent="0.3">
      <c r="C30">
        <v>27</v>
      </c>
      <c r="D30">
        <v>35720</v>
      </c>
      <c r="E30" t="s">
        <v>44</v>
      </c>
      <c r="G30" s="1">
        <v>58000</v>
      </c>
      <c r="H30">
        <v>2</v>
      </c>
      <c r="I30">
        <v>700</v>
      </c>
      <c r="J30">
        <v>1.22</v>
      </c>
      <c r="K30" s="1">
        <v>606408</v>
      </c>
      <c r="L30" s="1">
        <v>34980</v>
      </c>
      <c r="M30" s="1">
        <v>57685</v>
      </c>
      <c r="N30" s="1">
        <v>57600</v>
      </c>
      <c r="O30" s="1">
        <v>58400</v>
      </c>
      <c r="P30" s="1">
        <v>57000</v>
      </c>
      <c r="Q30" t="s">
        <v>724</v>
      </c>
      <c r="R30" s="3">
        <v>0.42250000000000004</v>
      </c>
      <c r="S30" s="1">
        <v>58000</v>
      </c>
      <c r="V30" s="1">
        <v>875352</v>
      </c>
      <c r="W30">
        <v>69.27</v>
      </c>
    </row>
    <row r="31" spans="3:23" x14ac:dyDescent="0.3">
      <c r="C31">
        <v>28</v>
      </c>
      <c r="D31">
        <v>51910</v>
      </c>
      <c r="E31" t="s">
        <v>45</v>
      </c>
      <c r="G31" s="1">
        <v>351500</v>
      </c>
      <c r="H31">
        <v>2</v>
      </c>
      <c r="I31" s="1">
        <v>20500</v>
      </c>
      <c r="J31">
        <v>6.19</v>
      </c>
      <c r="K31" s="1">
        <v>114139</v>
      </c>
      <c r="L31" s="1">
        <v>39195</v>
      </c>
      <c r="M31" s="1">
        <v>343405</v>
      </c>
      <c r="N31" s="1">
        <v>331500</v>
      </c>
      <c r="O31" s="1">
        <v>351500</v>
      </c>
      <c r="P31" s="1">
        <v>331500</v>
      </c>
      <c r="Q31" t="s">
        <v>724</v>
      </c>
      <c r="R31" s="3">
        <v>0.42245370370370372</v>
      </c>
      <c r="S31" s="1">
        <v>351500</v>
      </c>
      <c r="V31" s="1">
        <v>218028</v>
      </c>
      <c r="W31">
        <v>52.35</v>
      </c>
    </row>
    <row r="32" spans="3:23" x14ac:dyDescent="0.3">
      <c r="C32">
        <v>29</v>
      </c>
      <c r="D32">
        <v>64350</v>
      </c>
      <c r="E32" t="s">
        <v>46</v>
      </c>
      <c r="G32" s="1">
        <v>210000</v>
      </c>
      <c r="H32">
        <v>5</v>
      </c>
      <c r="I32" s="1">
        <v>5500</v>
      </c>
      <c r="J32">
        <v>-2.5499999999999998</v>
      </c>
      <c r="K32" s="1">
        <v>197574</v>
      </c>
      <c r="L32" s="1">
        <v>42053</v>
      </c>
      <c r="M32" s="1">
        <v>212850</v>
      </c>
      <c r="N32" s="1">
        <v>216000</v>
      </c>
      <c r="O32" s="1">
        <v>219000</v>
      </c>
      <c r="P32" s="1">
        <v>208000</v>
      </c>
      <c r="Q32" t="s">
        <v>724</v>
      </c>
      <c r="R32" s="3">
        <v>0.42250000000000004</v>
      </c>
      <c r="S32" s="1">
        <v>209500</v>
      </c>
      <c r="T32">
        <v>500</v>
      </c>
      <c r="U32">
        <v>0.24</v>
      </c>
      <c r="V32" s="1">
        <v>306439</v>
      </c>
      <c r="W32">
        <v>64.47</v>
      </c>
    </row>
    <row r="33" spans="3:23" x14ac:dyDescent="0.3">
      <c r="C33">
        <v>30</v>
      </c>
      <c r="D33">
        <v>810</v>
      </c>
      <c r="E33" t="s">
        <v>47</v>
      </c>
      <c r="G33" s="1">
        <v>495500</v>
      </c>
      <c r="H33">
        <v>5</v>
      </c>
      <c r="I33" s="1">
        <v>3000</v>
      </c>
      <c r="J33">
        <v>-0.6</v>
      </c>
      <c r="K33" s="1">
        <v>4853</v>
      </c>
      <c r="L33" s="1">
        <v>2409</v>
      </c>
      <c r="M33" s="1">
        <v>496570</v>
      </c>
      <c r="N33" s="1">
        <v>498000</v>
      </c>
      <c r="O33" s="1">
        <v>499500</v>
      </c>
      <c r="P33" s="1">
        <v>494000</v>
      </c>
      <c r="Q33" t="s">
        <v>724</v>
      </c>
      <c r="R33" s="3">
        <v>0.42234953703703698</v>
      </c>
      <c r="S33" s="1">
        <v>494500</v>
      </c>
      <c r="T33" s="1">
        <v>1000</v>
      </c>
      <c r="U33">
        <v>0.2</v>
      </c>
      <c r="V33" s="1">
        <v>21064</v>
      </c>
      <c r="W33">
        <v>23.03</v>
      </c>
    </row>
    <row r="34" spans="3:23" x14ac:dyDescent="0.3">
      <c r="C34">
        <v>31</v>
      </c>
      <c r="D34">
        <v>298040</v>
      </c>
      <c r="E34" t="s">
        <v>49</v>
      </c>
      <c r="G34" s="1">
        <v>2335000</v>
      </c>
      <c r="H34">
        <v>2</v>
      </c>
      <c r="I34" s="1">
        <v>16000</v>
      </c>
      <c r="J34">
        <v>0.69</v>
      </c>
      <c r="K34" s="1">
        <v>13747</v>
      </c>
      <c r="L34" s="1">
        <v>32466</v>
      </c>
      <c r="M34" s="1">
        <v>2361684</v>
      </c>
      <c r="N34" s="1">
        <v>2350000</v>
      </c>
      <c r="O34" s="1">
        <v>2400000</v>
      </c>
      <c r="P34" s="1">
        <v>2314000</v>
      </c>
      <c r="Q34" t="s">
        <v>724</v>
      </c>
      <c r="R34" s="3">
        <v>0.42248842592592589</v>
      </c>
      <c r="S34" s="1">
        <v>2334000</v>
      </c>
      <c r="T34" s="1">
        <v>1000</v>
      </c>
      <c r="U34">
        <v>0.04</v>
      </c>
      <c r="V34" s="1">
        <v>21552</v>
      </c>
      <c r="W34">
        <v>63.78</v>
      </c>
    </row>
    <row r="35" spans="3:23" x14ac:dyDescent="0.3">
      <c r="C35">
        <v>32</v>
      </c>
      <c r="D35">
        <v>34730</v>
      </c>
      <c r="E35" t="s">
        <v>50</v>
      </c>
      <c r="G35" s="1">
        <v>295000</v>
      </c>
      <c r="H35">
        <v>2</v>
      </c>
      <c r="I35" s="1">
        <v>2000</v>
      </c>
      <c r="J35">
        <v>0.68</v>
      </c>
      <c r="K35" s="1">
        <v>49592</v>
      </c>
      <c r="L35" s="1">
        <v>14652</v>
      </c>
      <c r="M35" s="1">
        <v>295460</v>
      </c>
      <c r="N35" s="1">
        <v>294000</v>
      </c>
      <c r="O35" s="1">
        <v>298500</v>
      </c>
      <c r="P35" s="1">
        <v>291500</v>
      </c>
      <c r="Q35" t="s">
        <v>724</v>
      </c>
      <c r="R35" s="3">
        <v>0.42083333333333334</v>
      </c>
      <c r="S35" s="1">
        <v>294000</v>
      </c>
      <c r="T35" s="1">
        <v>1000</v>
      </c>
      <c r="U35">
        <v>0.34</v>
      </c>
      <c r="V35" s="1">
        <v>83168</v>
      </c>
      <c r="W35">
        <v>59.62</v>
      </c>
    </row>
    <row r="36" spans="3:23" x14ac:dyDescent="0.3">
      <c r="C36">
        <v>33</v>
      </c>
      <c r="D36">
        <v>316140</v>
      </c>
      <c r="E36" t="s">
        <v>52</v>
      </c>
      <c r="G36" s="1">
        <v>28900</v>
      </c>
      <c r="H36">
        <v>2</v>
      </c>
      <c r="I36">
        <v>50</v>
      </c>
      <c r="J36">
        <v>0.17</v>
      </c>
      <c r="K36" s="1">
        <v>195209</v>
      </c>
      <c r="L36" s="1">
        <v>5603</v>
      </c>
      <c r="M36" s="1">
        <v>28703</v>
      </c>
      <c r="N36" s="1">
        <v>29000</v>
      </c>
      <c r="O36" s="1">
        <v>29000</v>
      </c>
      <c r="P36" s="1">
        <v>28450</v>
      </c>
      <c r="Q36" t="s">
        <v>724</v>
      </c>
      <c r="R36" s="3">
        <v>0.41978009259259258</v>
      </c>
      <c r="S36" s="1">
        <v>28850</v>
      </c>
      <c r="T36">
        <v>50</v>
      </c>
      <c r="U36">
        <v>0.17</v>
      </c>
      <c r="V36" s="1">
        <v>593687</v>
      </c>
      <c r="W36">
        <v>32.880000000000003</v>
      </c>
    </row>
    <row r="37" spans="3:23" x14ac:dyDescent="0.3">
      <c r="C37">
        <v>34</v>
      </c>
      <c r="D37">
        <v>9150</v>
      </c>
      <c r="E37" t="s">
        <v>51</v>
      </c>
      <c r="G37" s="1">
        <v>282000</v>
      </c>
      <c r="H37">
        <v>2</v>
      </c>
      <c r="I37" s="1">
        <v>2000</v>
      </c>
      <c r="J37">
        <v>0.71</v>
      </c>
      <c r="K37" s="1">
        <v>124354</v>
      </c>
      <c r="L37" s="1">
        <v>35439</v>
      </c>
      <c r="M37" s="1">
        <v>284985</v>
      </c>
      <c r="N37" s="1">
        <v>281500</v>
      </c>
      <c r="O37" s="1">
        <v>287500</v>
      </c>
      <c r="P37" s="1">
        <v>281500</v>
      </c>
      <c r="Q37" t="s">
        <v>724</v>
      </c>
      <c r="R37" s="3">
        <v>0.42098379629629629</v>
      </c>
      <c r="S37" s="1">
        <v>282500</v>
      </c>
      <c r="T37">
        <v>-500</v>
      </c>
      <c r="U37">
        <v>-0.18</v>
      </c>
      <c r="V37" s="1">
        <v>141311</v>
      </c>
      <c r="W37">
        <v>88</v>
      </c>
    </row>
    <row r="38" spans="3:23" x14ac:dyDescent="0.3">
      <c r="C38">
        <v>35</v>
      </c>
      <c r="D38">
        <v>86280</v>
      </c>
      <c r="E38" t="s">
        <v>48</v>
      </c>
      <c r="G38" s="1">
        <v>274500</v>
      </c>
      <c r="H38">
        <v>2</v>
      </c>
      <c r="I38" s="1">
        <v>12500</v>
      </c>
      <c r="J38">
        <v>4.7699999999999996</v>
      </c>
      <c r="K38" s="1">
        <v>1174514</v>
      </c>
      <c r="L38" s="1">
        <v>339388</v>
      </c>
      <c r="M38" s="1">
        <v>288960</v>
      </c>
      <c r="N38" s="1">
        <v>270000</v>
      </c>
      <c r="O38" s="1">
        <v>303500</v>
      </c>
      <c r="P38" s="1">
        <v>266500</v>
      </c>
      <c r="Q38" t="s">
        <v>724</v>
      </c>
      <c r="R38" s="3">
        <v>0.42103009259259255</v>
      </c>
      <c r="S38" s="1">
        <v>274500</v>
      </c>
      <c r="V38" s="1">
        <v>528829</v>
      </c>
      <c r="W38">
        <v>222.09</v>
      </c>
    </row>
    <row r="39" spans="3:23" x14ac:dyDescent="0.3">
      <c r="C39">
        <v>36</v>
      </c>
      <c r="D39">
        <v>267250</v>
      </c>
      <c r="E39" t="s">
        <v>53</v>
      </c>
      <c r="G39" s="1">
        <v>248500</v>
      </c>
      <c r="H39">
        <v>5</v>
      </c>
      <c r="I39" s="1">
        <v>6000</v>
      </c>
      <c r="J39">
        <v>-2.36</v>
      </c>
      <c r="K39" s="1">
        <v>60409</v>
      </c>
      <c r="L39" s="1">
        <v>15307</v>
      </c>
      <c r="M39" s="1">
        <v>253381</v>
      </c>
      <c r="N39" s="1">
        <v>260500</v>
      </c>
      <c r="O39" s="1">
        <v>264000</v>
      </c>
      <c r="P39" s="1">
        <v>246000</v>
      </c>
      <c r="Q39" t="s">
        <v>724</v>
      </c>
      <c r="R39" s="3">
        <v>0.42093749999999996</v>
      </c>
      <c r="S39" s="1">
        <v>248000</v>
      </c>
      <c r="T39">
        <v>500</v>
      </c>
      <c r="U39">
        <v>0.2</v>
      </c>
      <c r="V39" s="1">
        <v>97502</v>
      </c>
      <c r="W39">
        <v>61.95</v>
      </c>
    </row>
    <row r="40" spans="3:23" x14ac:dyDescent="0.3">
      <c r="C40">
        <v>37</v>
      </c>
      <c r="D40">
        <v>11200</v>
      </c>
      <c r="E40" t="s">
        <v>55</v>
      </c>
      <c r="G40" s="1">
        <v>20350</v>
      </c>
      <c r="H40">
        <v>2</v>
      </c>
      <c r="I40">
        <v>250</v>
      </c>
      <c r="J40">
        <v>1.24</v>
      </c>
      <c r="K40" s="1">
        <v>473374</v>
      </c>
      <c r="L40" s="1">
        <v>9613</v>
      </c>
      <c r="M40" s="1">
        <v>20306</v>
      </c>
      <c r="N40" s="1">
        <v>20250</v>
      </c>
      <c r="O40" s="1">
        <v>20450</v>
      </c>
      <c r="P40" s="1">
        <v>20050</v>
      </c>
      <c r="Q40" t="s">
        <v>724</v>
      </c>
      <c r="R40" s="3">
        <v>0.42091435185185189</v>
      </c>
      <c r="S40" s="1">
        <v>20350</v>
      </c>
      <c r="V40" s="1">
        <v>654736</v>
      </c>
      <c r="W40">
        <v>72.290000000000006</v>
      </c>
    </row>
    <row r="41" spans="3:23" x14ac:dyDescent="0.3">
      <c r="C41">
        <v>38</v>
      </c>
      <c r="D41">
        <v>3670</v>
      </c>
      <c r="E41" t="s">
        <v>58</v>
      </c>
      <c r="G41" s="1">
        <v>213000</v>
      </c>
      <c r="H41">
        <v>2</v>
      </c>
      <c r="I41" s="1">
        <v>12500</v>
      </c>
      <c r="J41">
        <v>6.23</v>
      </c>
      <c r="K41" s="1">
        <v>292788</v>
      </c>
      <c r="L41" s="1">
        <v>61430</v>
      </c>
      <c r="M41" s="1">
        <v>209809</v>
      </c>
      <c r="N41" s="1">
        <v>202000</v>
      </c>
      <c r="O41" s="1">
        <v>215000</v>
      </c>
      <c r="P41" s="1">
        <v>200000</v>
      </c>
      <c r="Q41" t="s">
        <v>724</v>
      </c>
      <c r="R41" s="3">
        <v>0.42060185185185189</v>
      </c>
      <c r="S41" s="1">
        <v>212750</v>
      </c>
      <c r="T41">
        <v>250</v>
      </c>
      <c r="U41">
        <v>0.12</v>
      </c>
      <c r="V41" s="1">
        <v>437376</v>
      </c>
      <c r="W41">
        <v>66.94</v>
      </c>
    </row>
    <row r="42" spans="3:23" x14ac:dyDescent="0.3">
      <c r="C42">
        <v>39</v>
      </c>
      <c r="D42">
        <v>138040</v>
      </c>
      <c r="E42" t="s">
        <v>56</v>
      </c>
      <c r="G42" s="1">
        <v>107200</v>
      </c>
      <c r="H42">
        <v>2</v>
      </c>
      <c r="I42" s="1">
        <v>1700</v>
      </c>
      <c r="J42">
        <v>1.61</v>
      </c>
      <c r="K42" s="1">
        <v>21977</v>
      </c>
      <c r="L42" s="1">
        <v>2330</v>
      </c>
      <c r="M42" s="1">
        <v>105998</v>
      </c>
      <c r="N42" s="1">
        <v>106000</v>
      </c>
      <c r="O42" s="1">
        <v>107200</v>
      </c>
      <c r="P42" s="1">
        <v>104700</v>
      </c>
      <c r="Q42" t="s">
        <v>724</v>
      </c>
      <c r="R42" s="3">
        <v>0.41905092592592591</v>
      </c>
      <c r="S42" s="1">
        <v>107100</v>
      </c>
      <c r="T42">
        <v>100</v>
      </c>
      <c r="U42">
        <v>0.09</v>
      </c>
      <c r="V42" s="1">
        <v>73329</v>
      </c>
      <c r="W42">
        <v>29.97</v>
      </c>
    </row>
    <row r="43" spans="3:23" x14ac:dyDescent="0.3">
      <c r="C43">
        <v>40</v>
      </c>
      <c r="D43">
        <v>96770</v>
      </c>
      <c r="E43" t="s">
        <v>59</v>
      </c>
      <c r="G43" s="1">
        <v>109500</v>
      </c>
      <c r="H43">
        <v>2</v>
      </c>
      <c r="I43" s="1">
        <v>3700</v>
      </c>
      <c r="J43">
        <v>3.5</v>
      </c>
      <c r="K43" s="1">
        <v>138823</v>
      </c>
      <c r="L43" s="1">
        <v>15083</v>
      </c>
      <c r="M43" s="1">
        <v>108648</v>
      </c>
      <c r="N43" s="1">
        <v>106200</v>
      </c>
      <c r="O43" s="1">
        <v>110400</v>
      </c>
      <c r="P43" s="1">
        <v>106000</v>
      </c>
      <c r="Q43" t="s">
        <v>724</v>
      </c>
      <c r="R43" s="3">
        <v>0.4210416666666667</v>
      </c>
      <c r="S43" s="1">
        <v>109500</v>
      </c>
      <c r="V43" s="1">
        <v>244635</v>
      </c>
      <c r="W43">
        <v>56.74</v>
      </c>
    </row>
    <row r="44" spans="3:23" x14ac:dyDescent="0.3">
      <c r="C44">
        <v>41</v>
      </c>
      <c r="D44">
        <v>66570</v>
      </c>
      <c r="E44" t="s">
        <v>57</v>
      </c>
      <c r="G44" s="1">
        <v>107000</v>
      </c>
      <c r="H44">
        <v>5</v>
      </c>
      <c r="I44" s="1">
        <v>2300</v>
      </c>
      <c r="J44">
        <v>-2.1</v>
      </c>
      <c r="K44" s="1">
        <v>918365</v>
      </c>
      <c r="L44" s="1">
        <v>101264</v>
      </c>
      <c r="M44" s="1">
        <v>110265</v>
      </c>
      <c r="N44" s="1">
        <v>109700</v>
      </c>
      <c r="O44" s="1">
        <v>114000</v>
      </c>
      <c r="P44" s="1">
        <v>106000</v>
      </c>
      <c r="Q44" t="s">
        <v>724</v>
      </c>
      <c r="R44" s="3">
        <v>0.42100694444444442</v>
      </c>
      <c r="S44" s="1">
        <v>106900</v>
      </c>
      <c r="T44">
        <v>100</v>
      </c>
      <c r="U44">
        <v>0.09</v>
      </c>
      <c r="V44" s="1">
        <v>791979</v>
      </c>
      <c r="W44">
        <v>115.95</v>
      </c>
    </row>
    <row r="45" spans="3:23" x14ac:dyDescent="0.3">
      <c r="C45">
        <v>42</v>
      </c>
      <c r="D45">
        <v>6800</v>
      </c>
      <c r="E45" t="s">
        <v>60</v>
      </c>
      <c r="G45" s="1">
        <v>30200</v>
      </c>
      <c r="H45">
        <v>2</v>
      </c>
      <c r="I45">
        <v>450</v>
      </c>
      <c r="J45">
        <v>1.51</v>
      </c>
      <c r="K45" s="1">
        <v>1343666</v>
      </c>
      <c r="L45" s="1">
        <v>40868</v>
      </c>
      <c r="M45" s="1">
        <v>30415</v>
      </c>
      <c r="N45" s="1">
        <v>30450</v>
      </c>
      <c r="O45" s="1">
        <v>30850</v>
      </c>
      <c r="P45" s="1">
        <v>29900</v>
      </c>
      <c r="Q45" t="s">
        <v>724</v>
      </c>
      <c r="R45" s="3">
        <v>0.42103009259259255</v>
      </c>
      <c r="S45" s="1">
        <v>30200</v>
      </c>
      <c r="V45" s="1">
        <v>1342216</v>
      </c>
      <c r="W45">
        <v>100.1</v>
      </c>
    </row>
    <row r="46" spans="3:23" x14ac:dyDescent="0.3">
      <c r="C46">
        <v>43</v>
      </c>
      <c r="D46">
        <v>33780</v>
      </c>
      <c r="E46" t="s">
        <v>61</v>
      </c>
      <c r="G46" s="1">
        <v>144500</v>
      </c>
      <c r="H46">
        <v>2</v>
      </c>
      <c r="I46">
        <v>500</v>
      </c>
      <c r="J46">
        <v>0.35</v>
      </c>
      <c r="K46" s="1">
        <v>22054</v>
      </c>
      <c r="L46" s="1">
        <v>3187</v>
      </c>
      <c r="M46" s="1">
        <v>144502</v>
      </c>
      <c r="N46" s="1">
        <v>146500</v>
      </c>
      <c r="O46" s="1">
        <v>146500</v>
      </c>
      <c r="P46" s="1">
        <v>143400</v>
      </c>
      <c r="Q46" t="s">
        <v>724</v>
      </c>
      <c r="R46" s="3">
        <v>0.42103009259259255</v>
      </c>
      <c r="S46" s="1">
        <v>144500</v>
      </c>
      <c r="V46" s="1">
        <v>77656</v>
      </c>
      <c r="W46">
        <v>28.39</v>
      </c>
    </row>
    <row r="47" spans="3:23" x14ac:dyDescent="0.3">
      <c r="C47">
        <v>44</v>
      </c>
      <c r="D47">
        <v>272210</v>
      </c>
      <c r="E47" t="s">
        <v>62</v>
      </c>
      <c r="G47" s="1">
        <v>88600</v>
      </c>
      <c r="H47">
        <v>5</v>
      </c>
      <c r="I47">
        <v>200</v>
      </c>
      <c r="J47">
        <v>-0.23</v>
      </c>
      <c r="K47" s="1">
        <v>693412</v>
      </c>
      <c r="L47" s="1">
        <v>61755</v>
      </c>
      <c r="M47" s="1">
        <v>89058</v>
      </c>
      <c r="N47" s="1">
        <v>89900</v>
      </c>
      <c r="O47" s="1">
        <v>90600</v>
      </c>
      <c r="P47" s="1">
        <v>87200</v>
      </c>
      <c r="Q47" t="s">
        <v>724</v>
      </c>
      <c r="R47" s="3">
        <v>0.42105324074074074</v>
      </c>
      <c r="S47" s="1">
        <v>88600</v>
      </c>
      <c r="V47" s="1">
        <v>748038</v>
      </c>
      <c r="W47">
        <v>92.69</v>
      </c>
    </row>
    <row r="48" spans="3:23" x14ac:dyDescent="0.3">
      <c r="C48">
        <v>45</v>
      </c>
      <c r="D48">
        <v>24110</v>
      </c>
      <c r="E48" t="s">
        <v>64</v>
      </c>
      <c r="G48" s="1">
        <v>20850</v>
      </c>
      <c r="H48">
        <v>2</v>
      </c>
      <c r="I48">
        <v>100</v>
      </c>
      <c r="J48">
        <v>0.48</v>
      </c>
      <c r="K48" s="1">
        <v>153962</v>
      </c>
      <c r="L48" s="1">
        <v>3193</v>
      </c>
      <c r="M48" s="1">
        <v>20739</v>
      </c>
      <c r="N48" s="1">
        <v>20750</v>
      </c>
      <c r="O48" s="1">
        <v>20900</v>
      </c>
      <c r="P48" s="1">
        <v>20550</v>
      </c>
      <c r="Q48" t="s">
        <v>724</v>
      </c>
      <c r="R48" s="3">
        <v>0.41983796296296294</v>
      </c>
      <c r="S48" s="1">
        <v>20800</v>
      </c>
      <c r="T48">
        <v>50</v>
      </c>
      <c r="U48">
        <v>0.24</v>
      </c>
      <c r="V48" s="1">
        <v>404400</v>
      </c>
      <c r="W48">
        <v>38.07</v>
      </c>
    </row>
    <row r="49" spans="3:23" x14ac:dyDescent="0.3">
      <c r="C49">
        <v>46</v>
      </c>
      <c r="D49">
        <v>42700</v>
      </c>
      <c r="E49" t="s">
        <v>63</v>
      </c>
      <c r="G49" s="1">
        <v>171500</v>
      </c>
      <c r="H49">
        <v>5</v>
      </c>
      <c r="I49">
        <v>700</v>
      </c>
      <c r="J49">
        <v>-0.41</v>
      </c>
      <c r="K49" s="1">
        <v>661250</v>
      </c>
      <c r="L49" s="1">
        <v>116915</v>
      </c>
      <c r="M49" s="1">
        <v>176808</v>
      </c>
      <c r="N49" s="1">
        <v>178600</v>
      </c>
      <c r="O49" s="1">
        <v>181000</v>
      </c>
      <c r="P49" s="1">
        <v>171000</v>
      </c>
      <c r="Q49" t="s">
        <v>724</v>
      </c>
      <c r="R49" s="3">
        <v>0.42105324074074074</v>
      </c>
      <c r="S49" s="1">
        <v>171500</v>
      </c>
      <c r="V49" s="1">
        <v>493821</v>
      </c>
      <c r="W49">
        <v>133.9</v>
      </c>
    </row>
    <row r="50" spans="3:23" x14ac:dyDescent="0.3">
      <c r="C50">
        <v>47</v>
      </c>
      <c r="D50">
        <v>47810</v>
      </c>
      <c r="E50" t="s">
        <v>65</v>
      </c>
      <c r="G50" s="1">
        <v>165600</v>
      </c>
      <c r="H50">
        <v>2</v>
      </c>
      <c r="I50" s="1">
        <v>1400</v>
      </c>
      <c r="J50">
        <v>0.85</v>
      </c>
      <c r="K50" s="1">
        <v>233029</v>
      </c>
      <c r="L50" s="1">
        <v>38292</v>
      </c>
      <c r="M50" s="1">
        <v>164324</v>
      </c>
      <c r="N50" s="1">
        <v>165000</v>
      </c>
      <c r="O50" s="1">
        <v>166100</v>
      </c>
      <c r="P50" s="1">
        <v>160900</v>
      </c>
      <c r="Q50" t="s">
        <v>724</v>
      </c>
      <c r="R50" s="3">
        <v>0.42098379629629629</v>
      </c>
      <c r="S50" s="1">
        <v>165600</v>
      </c>
      <c r="V50" s="1">
        <v>275060</v>
      </c>
      <c r="W50">
        <v>84.71</v>
      </c>
    </row>
    <row r="51" spans="3:23" x14ac:dyDescent="0.3">
      <c r="C51">
        <v>48</v>
      </c>
      <c r="D51">
        <v>352820</v>
      </c>
      <c r="E51" t="s">
        <v>68</v>
      </c>
      <c r="G51" s="1">
        <v>369500</v>
      </c>
      <c r="H51">
        <v>2</v>
      </c>
      <c r="I51" s="1">
        <v>8500</v>
      </c>
      <c r="J51">
        <v>2.35</v>
      </c>
      <c r="K51" s="1">
        <v>101158</v>
      </c>
      <c r="L51" s="1">
        <v>36889</v>
      </c>
      <c r="M51" s="1">
        <v>364665</v>
      </c>
      <c r="N51" s="1">
        <v>362500</v>
      </c>
      <c r="O51" s="1">
        <v>370000</v>
      </c>
      <c r="P51" s="1">
        <v>360000</v>
      </c>
      <c r="Q51" t="s">
        <v>724</v>
      </c>
      <c r="R51" s="3">
        <v>0.42103009259259255</v>
      </c>
      <c r="S51" s="1">
        <v>369000</v>
      </c>
      <c r="T51">
        <v>500</v>
      </c>
      <c r="U51">
        <v>0.14000000000000001</v>
      </c>
      <c r="V51" s="1">
        <v>131285</v>
      </c>
      <c r="W51">
        <v>77.05</v>
      </c>
    </row>
    <row r="52" spans="3:23" x14ac:dyDescent="0.3">
      <c r="C52">
        <v>49</v>
      </c>
      <c r="D52" t="s">
        <v>711</v>
      </c>
      <c r="E52" t="s">
        <v>69</v>
      </c>
      <c r="G52" s="1">
        <v>624000</v>
      </c>
      <c r="H52">
        <v>2</v>
      </c>
      <c r="I52" s="1">
        <v>9000</v>
      </c>
      <c r="J52">
        <v>1.46</v>
      </c>
      <c r="K52" s="1">
        <v>61066</v>
      </c>
      <c r="L52" s="1">
        <v>37755</v>
      </c>
      <c r="M52" s="1">
        <v>618259</v>
      </c>
      <c r="N52" s="1">
        <v>622000</v>
      </c>
      <c r="O52" s="1">
        <v>630000</v>
      </c>
      <c r="P52" s="1">
        <v>605000</v>
      </c>
      <c r="Q52" t="s">
        <v>724</v>
      </c>
      <c r="R52" s="3">
        <v>0.42099537037037038</v>
      </c>
      <c r="S52" s="1">
        <v>624000</v>
      </c>
      <c r="V52" s="1">
        <v>61709</v>
      </c>
      <c r="W52">
        <v>98.95</v>
      </c>
    </row>
    <row r="53" spans="3:23" x14ac:dyDescent="0.3">
      <c r="C53">
        <v>50</v>
      </c>
      <c r="D53">
        <v>10120</v>
      </c>
      <c r="E53" t="s">
        <v>67</v>
      </c>
      <c r="G53" s="1">
        <v>517000</v>
      </c>
      <c r="H53">
        <v>2</v>
      </c>
      <c r="I53" s="1">
        <v>11000</v>
      </c>
      <c r="J53">
        <v>2.17</v>
      </c>
      <c r="K53" s="1">
        <v>70221</v>
      </c>
      <c r="L53" s="1">
        <v>36539</v>
      </c>
      <c r="M53" s="1">
        <v>520337</v>
      </c>
      <c r="N53" s="1">
        <v>511000</v>
      </c>
      <c r="O53" s="1">
        <v>537000</v>
      </c>
      <c r="P53" s="1">
        <v>506000</v>
      </c>
      <c r="Q53" t="s">
        <v>724</v>
      </c>
      <c r="R53" s="3">
        <v>0.42098379629629629</v>
      </c>
      <c r="S53" s="1">
        <v>516000</v>
      </c>
      <c r="T53" s="1">
        <v>1000</v>
      </c>
      <c r="U53">
        <v>0.19</v>
      </c>
      <c r="V53" s="1">
        <v>80535</v>
      </c>
      <c r="W53">
        <v>87.19</v>
      </c>
    </row>
    <row r="54" spans="3:23" x14ac:dyDescent="0.3">
      <c r="C54">
        <v>51</v>
      </c>
      <c r="D54">
        <v>150</v>
      </c>
      <c r="E54" t="s">
        <v>73</v>
      </c>
      <c r="G54" s="1">
        <v>905000</v>
      </c>
      <c r="H54">
        <v>2</v>
      </c>
      <c r="I54" s="1">
        <v>80000</v>
      </c>
      <c r="J54">
        <v>9.6999999999999993</v>
      </c>
      <c r="K54" s="1">
        <v>120063</v>
      </c>
      <c r="L54" s="1">
        <v>107152</v>
      </c>
      <c r="M54" s="1">
        <v>892462</v>
      </c>
      <c r="N54" s="1">
        <v>854000</v>
      </c>
      <c r="O54" s="1">
        <v>925000</v>
      </c>
      <c r="P54" s="1">
        <v>831000</v>
      </c>
      <c r="Q54" t="s">
        <v>724</v>
      </c>
      <c r="R54" s="3">
        <v>0.42097222222222225</v>
      </c>
      <c r="S54" s="1">
        <v>905000</v>
      </c>
      <c r="V54" s="1">
        <v>218213</v>
      </c>
      <c r="W54">
        <v>55.02</v>
      </c>
    </row>
    <row r="55" spans="3:23" x14ac:dyDescent="0.3">
      <c r="C55">
        <v>52</v>
      </c>
      <c r="D55">
        <v>30200</v>
      </c>
      <c r="E55" t="s">
        <v>71</v>
      </c>
      <c r="G55" s="1">
        <v>55300</v>
      </c>
      <c r="H55">
        <v>3</v>
      </c>
      <c r="K55" s="1">
        <v>63713</v>
      </c>
      <c r="L55" s="1">
        <v>3530</v>
      </c>
      <c r="M55" s="1">
        <v>55412</v>
      </c>
      <c r="N55" s="1">
        <v>55500</v>
      </c>
      <c r="O55" s="1">
        <v>55800</v>
      </c>
      <c r="P55" s="1">
        <v>54900</v>
      </c>
      <c r="Q55" t="s">
        <v>724</v>
      </c>
      <c r="R55" s="3">
        <v>0.41994212962962968</v>
      </c>
      <c r="S55" s="1">
        <v>55300</v>
      </c>
      <c r="V55" s="1">
        <v>99722</v>
      </c>
      <c r="W55">
        <v>63.89</v>
      </c>
    </row>
    <row r="56" spans="3:23" x14ac:dyDescent="0.3">
      <c r="C56">
        <v>53</v>
      </c>
      <c r="D56">
        <v>3550</v>
      </c>
      <c r="E56" t="s">
        <v>74</v>
      </c>
      <c r="G56" s="1">
        <v>89400</v>
      </c>
      <c r="H56">
        <v>2</v>
      </c>
      <c r="I56" s="1">
        <v>1500</v>
      </c>
      <c r="J56">
        <v>1.71</v>
      </c>
      <c r="K56" s="1">
        <v>54905</v>
      </c>
      <c r="L56" s="1">
        <v>4906</v>
      </c>
      <c r="M56" s="1">
        <v>89363</v>
      </c>
      <c r="N56" s="1">
        <v>89000</v>
      </c>
      <c r="O56" s="1">
        <v>90600</v>
      </c>
      <c r="P56" s="1">
        <v>88300</v>
      </c>
      <c r="Q56" t="s">
        <v>724</v>
      </c>
      <c r="R56" s="3">
        <v>0.42028935185185184</v>
      </c>
      <c r="S56" s="1">
        <v>89300</v>
      </c>
      <c r="T56">
        <v>100</v>
      </c>
      <c r="U56">
        <v>0.11</v>
      </c>
      <c r="V56" s="1">
        <v>98627</v>
      </c>
      <c r="W56">
        <v>55.66</v>
      </c>
    </row>
    <row r="57" spans="3:23" x14ac:dyDescent="0.3">
      <c r="C57">
        <v>54</v>
      </c>
      <c r="D57">
        <v>18260</v>
      </c>
      <c r="E57" t="s">
        <v>72</v>
      </c>
      <c r="G57" s="1">
        <v>177600</v>
      </c>
      <c r="H57">
        <v>2</v>
      </c>
      <c r="I57">
        <v>900</v>
      </c>
      <c r="J57">
        <v>0.51</v>
      </c>
      <c r="K57" s="1">
        <v>43649</v>
      </c>
      <c r="L57" s="1">
        <v>7825</v>
      </c>
      <c r="M57" s="1">
        <v>179281</v>
      </c>
      <c r="N57" s="1">
        <v>177700</v>
      </c>
      <c r="O57" s="1">
        <v>180800</v>
      </c>
      <c r="P57" s="1">
        <v>177300</v>
      </c>
      <c r="Q57" t="s">
        <v>724</v>
      </c>
      <c r="R57" s="3">
        <v>0.4210416666666667</v>
      </c>
      <c r="S57" s="1">
        <v>177600</v>
      </c>
      <c r="V57" s="1">
        <v>52956</v>
      </c>
      <c r="W57">
        <v>82.42</v>
      </c>
    </row>
    <row r="58" spans="3:23" x14ac:dyDescent="0.3">
      <c r="C58">
        <v>55</v>
      </c>
      <c r="D58">
        <v>307950</v>
      </c>
      <c r="E58" t="s">
        <v>70</v>
      </c>
      <c r="G58" s="1">
        <v>491000</v>
      </c>
      <c r="H58">
        <v>2</v>
      </c>
      <c r="I58" s="1">
        <v>6000</v>
      </c>
      <c r="J58">
        <v>1.24</v>
      </c>
      <c r="K58" s="1">
        <v>669670</v>
      </c>
      <c r="L58" s="1">
        <v>342823</v>
      </c>
      <c r="M58" s="1">
        <v>511928</v>
      </c>
      <c r="N58" s="1">
        <v>489500</v>
      </c>
      <c r="O58" s="1">
        <v>533000</v>
      </c>
      <c r="P58" s="1">
        <v>480500</v>
      </c>
      <c r="Q58" t="s">
        <v>724</v>
      </c>
      <c r="R58" s="3">
        <v>0.42101851851851851</v>
      </c>
      <c r="S58" s="1">
        <v>491000</v>
      </c>
      <c r="V58" s="1">
        <v>255757</v>
      </c>
      <c r="W58">
        <v>261.83</v>
      </c>
    </row>
    <row r="59" spans="3:23" x14ac:dyDescent="0.3">
      <c r="C59">
        <v>56</v>
      </c>
      <c r="D59">
        <v>17670</v>
      </c>
      <c r="E59" t="s">
        <v>75</v>
      </c>
      <c r="G59" s="1">
        <v>62200</v>
      </c>
      <c r="H59">
        <v>2</v>
      </c>
      <c r="I59" s="1">
        <v>1200</v>
      </c>
      <c r="J59">
        <v>1.97</v>
      </c>
      <c r="K59" s="1">
        <v>268223</v>
      </c>
      <c r="L59" s="1">
        <v>16714</v>
      </c>
      <c r="M59" s="1">
        <v>62313</v>
      </c>
      <c r="N59" s="1">
        <v>62000</v>
      </c>
      <c r="O59" s="1">
        <v>63500</v>
      </c>
      <c r="P59" s="1">
        <v>61500</v>
      </c>
      <c r="Q59" t="s">
        <v>724</v>
      </c>
      <c r="R59" s="3">
        <v>0.42094907407407406</v>
      </c>
      <c r="S59" s="1">
        <v>62100</v>
      </c>
      <c r="T59">
        <v>100</v>
      </c>
      <c r="U59">
        <v>0.16</v>
      </c>
      <c r="V59" s="1">
        <v>316120</v>
      </c>
      <c r="W59">
        <v>84.84</v>
      </c>
    </row>
    <row r="60" spans="3:23" x14ac:dyDescent="0.3">
      <c r="C60">
        <v>57</v>
      </c>
      <c r="D60">
        <v>79550</v>
      </c>
      <c r="E60" t="s">
        <v>78</v>
      </c>
      <c r="G60" s="1">
        <v>546000</v>
      </c>
      <c r="H60">
        <v>2</v>
      </c>
      <c r="I60" s="1">
        <v>3000</v>
      </c>
      <c r="J60">
        <v>0.55000000000000004</v>
      </c>
      <c r="K60" s="1">
        <v>36666</v>
      </c>
      <c r="L60" s="1">
        <v>19861</v>
      </c>
      <c r="M60" s="1">
        <v>541663</v>
      </c>
      <c r="N60" s="1">
        <v>548000</v>
      </c>
      <c r="O60" s="1">
        <v>552000</v>
      </c>
      <c r="P60" s="1">
        <v>532000</v>
      </c>
      <c r="Q60" t="s">
        <v>724</v>
      </c>
      <c r="R60" s="3">
        <v>0.42072916666666665</v>
      </c>
      <c r="S60" s="1">
        <v>545000</v>
      </c>
      <c r="T60" s="1">
        <v>1000</v>
      </c>
      <c r="U60">
        <v>0.18</v>
      </c>
      <c r="V60" s="1">
        <v>42908</v>
      </c>
      <c r="W60">
        <v>85.45</v>
      </c>
    </row>
    <row r="61" spans="3:23" x14ac:dyDescent="0.3">
      <c r="C61">
        <v>58</v>
      </c>
      <c r="D61">
        <v>720</v>
      </c>
      <c r="E61" t="s">
        <v>77</v>
      </c>
      <c r="G61" s="1">
        <v>106600</v>
      </c>
      <c r="H61">
        <v>5</v>
      </c>
      <c r="I61" s="1">
        <v>1900</v>
      </c>
      <c r="J61">
        <v>-1.75</v>
      </c>
      <c r="K61" s="1">
        <v>456198</v>
      </c>
      <c r="L61" s="1">
        <v>50334</v>
      </c>
      <c r="M61" s="1">
        <v>110334</v>
      </c>
      <c r="N61" s="1">
        <v>109900</v>
      </c>
      <c r="O61" s="1">
        <v>112200</v>
      </c>
      <c r="P61" s="1">
        <v>106500</v>
      </c>
      <c r="Q61" t="s">
        <v>724</v>
      </c>
      <c r="R61" s="3">
        <v>0.42101851851851851</v>
      </c>
      <c r="S61" s="1">
        <v>106600</v>
      </c>
      <c r="V61" s="1">
        <v>614058</v>
      </c>
      <c r="W61">
        <v>74.290000000000006</v>
      </c>
    </row>
    <row r="62" spans="3:23" x14ac:dyDescent="0.3">
      <c r="C62">
        <v>59</v>
      </c>
      <c r="D62">
        <v>259960</v>
      </c>
      <c r="E62" t="s">
        <v>79</v>
      </c>
      <c r="G62" s="1">
        <v>237500</v>
      </c>
      <c r="H62">
        <v>2</v>
      </c>
      <c r="I62" s="1">
        <v>6000</v>
      </c>
      <c r="J62">
        <v>2.59</v>
      </c>
      <c r="K62" s="1">
        <v>19018</v>
      </c>
      <c r="L62" s="1">
        <v>4439</v>
      </c>
      <c r="M62" s="1">
        <v>233417</v>
      </c>
      <c r="N62" s="1">
        <v>231500</v>
      </c>
      <c r="O62" s="1">
        <v>237500</v>
      </c>
      <c r="P62" s="1">
        <v>228500</v>
      </c>
      <c r="Q62" t="s">
        <v>724</v>
      </c>
      <c r="R62" s="3">
        <v>0.42105324074074074</v>
      </c>
      <c r="S62" s="1">
        <v>237500</v>
      </c>
      <c r="V62" s="1">
        <v>35236</v>
      </c>
      <c r="W62">
        <v>53.97</v>
      </c>
    </row>
    <row r="63" spans="3:23" x14ac:dyDescent="0.3">
      <c r="C63">
        <v>60</v>
      </c>
      <c r="D63">
        <v>47050</v>
      </c>
      <c r="E63" t="s">
        <v>80</v>
      </c>
      <c r="G63" s="1">
        <v>62300</v>
      </c>
      <c r="H63">
        <v>5</v>
      </c>
      <c r="I63">
        <v>100</v>
      </c>
      <c r="J63">
        <v>-0.16</v>
      </c>
      <c r="K63" s="1">
        <v>410586</v>
      </c>
      <c r="L63" s="1">
        <v>25593</v>
      </c>
      <c r="M63" s="1">
        <v>62333</v>
      </c>
      <c r="N63" s="1">
        <v>63100</v>
      </c>
      <c r="O63" s="1">
        <v>63800</v>
      </c>
      <c r="P63" s="1">
        <v>61400</v>
      </c>
      <c r="Q63" t="s">
        <v>724</v>
      </c>
      <c r="R63" s="3">
        <v>0.42081018518518515</v>
      </c>
      <c r="S63" s="1">
        <v>62300</v>
      </c>
      <c r="V63" s="1">
        <v>364538</v>
      </c>
      <c r="W63">
        <v>112.63</v>
      </c>
    </row>
    <row r="64" spans="3:23" x14ac:dyDescent="0.3">
      <c r="C64">
        <v>61</v>
      </c>
      <c r="D64">
        <v>10950</v>
      </c>
      <c r="E64" t="s">
        <v>81</v>
      </c>
      <c r="G64" s="1">
        <v>96500</v>
      </c>
      <c r="H64">
        <v>2</v>
      </c>
      <c r="I64" s="1">
        <v>4600</v>
      </c>
      <c r="J64">
        <v>5.01</v>
      </c>
      <c r="K64" s="1">
        <v>111219</v>
      </c>
      <c r="L64" s="1">
        <v>10475</v>
      </c>
      <c r="M64" s="1">
        <v>94187</v>
      </c>
      <c r="N64" s="1">
        <v>91900</v>
      </c>
      <c r="O64" s="1">
        <v>97700</v>
      </c>
      <c r="P64" s="1">
        <v>91000</v>
      </c>
      <c r="Q64" t="s">
        <v>724</v>
      </c>
      <c r="R64" s="3">
        <v>0.42094907407407406</v>
      </c>
      <c r="S64" s="1">
        <v>96500</v>
      </c>
      <c r="V64" s="1">
        <v>161174</v>
      </c>
      <c r="W64">
        <v>69</v>
      </c>
    </row>
    <row r="65" spans="3:23" x14ac:dyDescent="0.3">
      <c r="C65">
        <v>62</v>
      </c>
      <c r="D65">
        <v>278470</v>
      </c>
      <c r="E65" t="s">
        <v>86</v>
      </c>
      <c r="G65" s="1">
        <v>279500</v>
      </c>
      <c r="H65">
        <v>2</v>
      </c>
      <c r="I65" s="1">
        <v>23000</v>
      </c>
      <c r="J65">
        <v>8.9700000000000006</v>
      </c>
      <c r="K65" s="1">
        <v>245802</v>
      </c>
      <c r="L65" s="1">
        <v>65501</v>
      </c>
      <c r="M65" s="1">
        <v>266477</v>
      </c>
      <c r="N65" s="1">
        <v>259000</v>
      </c>
      <c r="O65" s="1">
        <v>279500</v>
      </c>
      <c r="P65" s="1">
        <v>253000</v>
      </c>
      <c r="Q65" t="s">
        <v>724</v>
      </c>
      <c r="R65" s="3">
        <v>0.42105324074074074</v>
      </c>
      <c r="S65" s="1">
        <v>279500</v>
      </c>
      <c r="V65" s="1">
        <v>418185</v>
      </c>
      <c r="W65">
        <v>58.77</v>
      </c>
    </row>
    <row r="66" spans="3:23" x14ac:dyDescent="0.3">
      <c r="C66">
        <v>63</v>
      </c>
      <c r="D66">
        <v>71050</v>
      </c>
      <c r="E66" t="s">
        <v>82</v>
      </c>
      <c r="G66" s="1">
        <v>185400</v>
      </c>
      <c r="H66">
        <v>2</v>
      </c>
      <c r="I66" s="1">
        <v>4700</v>
      </c>
      <c r="J66">
        <v>2.6</v>
      </c>
      <c r="K66" s="1">
        <v>68478</v>
      </c>
      <c r="L66" s="1">
        <v>12754</v>
      </c>
      <c r="M66" s="1">
        <v>186249</v>
      </c>
      <c r="N66" s="1">
        <v>182000</v>
      </c>
      <c r="O66" s="1">
        <v>190400</v>
      </c>
      <c r="P66" s="1">
        <v>181400</v>
      </c>
      <c r="Q66" t="s">
        <v>724</v>
      </c>
      <c r="R66" s="3">
        <v>0.42099537037037038</v>
      </c>
      <c r="S66" s="1">
        <v>185400</v>
      </c>
      <c r="V66" s="1">
        <v>121794</v>
      </c>
      <c r="W66">
        <v>56.22</v>
      </c>
    </row>
    <row r="67" spans="3:23" x14ac:dyDescent="0.3">
      <c r="C67">
        <v>64</v>
      </c>
      <c r="D67">
        <v>323410</v>
      </c>
      <c r="E67" t="s">
        <v>84</v>
      </c>
      <c r="G67" s="1">
        <v>21350</v>
      </c>
      <c r="H67">
        <v>2</v>
      </c>
      <c r="I67">
        <v>100</v>
      </c>
      <c r="J67">
        <v>0.47</v>
      </c>
      <c r="K67" s="1">
        <v>267033</v>
      </c>
      <c r="L67" s="1">
        <v>5679</v>
      </c>
      <c r="M67" s="1">
        <v>21267</v>
      </c>
      <c r="N67" s="1">
        <v>21350</v>
      </c>
      <c r="O67" s="1">
        <v>21400</v>
      </c>
      <c r="P67" s="1">
        <v>21150</v>
      </c>
      <c r="Q67" t="s">
        <v>724</v>
      </c>
      <c r="R67" s="3">
        <v>0.42101851851851851</v>
      </c>
      <c r="S67" s="1">
        <v>21350</v>
      </c>
      <c r="V67" s="1">
        <v>317123</v>
      </c>
      <c r="W67">
        <v>84.2</v>
      </c>
    </row>
    <row r="68" spans="3:23" x14ac:dyDescent="0.3">
      <c r="C68">
        <v>65</v>
      </c>
      <c r="D68">
        <v>5830</v>
      </c>
      <c r="E68" t="s">
        <v>87</v>
      </c>
      <c r="G68" s="1">
        <v>128600</v>
      </c>
      <c r="H68">
        <v>5</v>
      </c>
      <c r="I68">
        <v>500</v>
      </c>
      <c r="J68">
        <v>-0.39</v>
      </c>
      <c r="K68" s="1">
        <v>8561</v>
      </c>
      <c r="L68" s="1">
        <v>1096</v>
      </c>
      <c r="M68" s="1">
        <v>128058</v>
      </c>
      <c r="N68" s="1">
        <v>128800</v>
      </c>
      <c r="O68" s="1">
        <v>129600</v>
      </c>
      <c r="P68" s="1">
        <v>126800</v>
      </c>
      <c r="Q68" t="s">
        <v>724</v>
      </c>
      <c r="R68" s="3">
        <v>0.41810185185185184</v>
      </c>
      <c r="S68" s="1">
        <v>128400</v>
      </c>
      <c r="T68">
        <v>200</v>
      </c>
      <c r="U68">
        <v>0.16</v>
      </c>
      <c r="V68" s="1">
        <v>37279</v>
      </c>
      <c r="W68">
        <v>22.96</v>
      </c>
    </row>
    <row r="69" spans="3:23" x14ac:dyDescent="0.3">
      <c r="C69">
        <v>66</v>
      </c>
      <c r="D69">
        <v>3230</v>
      </c>
      <c r="E69" t="s">
        <v>89</v>
      </c>
      <c r="G69" s="1">
        <v>1202000</v>
      </c>
      <c r="H69">
        <v>2</v>
      </c>
      <c r="I69" s="1">
        <v>2000</v>
      </c>
      <c r="J69">
        <v>0.17</v>
      </c>
      <c r="K69" s="1">
        <v>13633</v>
      </c>
      <c r="L69" s="1">
        <v>16300</v>
      </c>
      <c r="M69" s="1">
        <v>1195612</v>
      </c>
      <c r="N69" s="1">
        <v>1200000</v>
      </c>
      <c r="O69" s="1">
        <v>1213000</v>
      </c>
      <c r="P69" s="1">
        <v>1180000</v>
      </c>
      <c r="Q69" t="s">
        <v>724</v>
      </c>
      <c r="R69" s="3">
        <v>0.42045138888888894</v>
      </c>
      <c r="S69" s="1">
        <v>1201000</v>
      </c>
      <c r="T69" s="1">
        <v>1000</v>
      </c>
      <c r="U69">
        <v>0.08</v>
      </c>
      <c r="V69" s="1">
        <v>22180</v>
      </c>
      <c r="W69">
        <v>61.46</v>
      </c>
    </row>
    <row r="70" spans="3:23" x14ac:dyDescent="0.3">
      <c r="C70">
        <v>67</v>
      </c>
      <c r="D70">
        <v>326030</v>
      </c>
      <c r="E70" t="s">
        <v>90</v>
      </c>
      <c r="G70" s="1">
        <v>115500</v>
      </c>
      <c r="H70">
        <v>2</v>
      </c>
      <c r="I70" s="1">
        <v>1500</v>
      </c>
      <c r="J70">
        <v>1.32</v>
      </c>
      <c r="K70" s="1">
        <v>57297</v>
      </c>
      <c r="L70" s="1">
        <v>6573</v>
      </c>
      <c r="M70" s="1">
        <v>114716</v>
      </c>
      <c r="N70" s="1">
        <v>114800</v>
      </c>
      <c r="O70" s="1">
        <v>116000</v>
      </c>
      <c r="P70" s="1">
        <v>113900</v>
      </c>
      <c r="Q70" t="s">
        <v>724</v>
      </c>
      <c r="R70" s="3">
        <v>0.42061342592592593</v>
      </c>
      <c r="S70" s="1">
        <v>115400</v>
      </c>
      <c r="T70">
        <v>100</v>
      </c>
      <c r="U70">
        <v>0.09</v>
      </c>
      <c r="V70" s="1">
        <v>56737</v>
      </c>
      <c r="W70">
        <v>100.98</v>
      </c>
    </row>
    <row r="71" spans="3:23" x14ac:dyDescent="0.3">
      <c r="C71">
        <v>68</v>
      </c>
      <c r="D71">
        <v>3490</v>
      </c>
      <c r="E71" t="s">
        <v>91</v>
      </c>
      <c r="G71" s="1">
        <v>24150</v>
      </c>
      <c r="H71">
        <v>2</v>
      </c>
      <c r="I71">
        <v>100</v>
      </c>
      <c r="J71">
        <v>0.42</v>
      </c>
      <c r="K71" s="1">
        <v>674464</v>
      </c>
      <c r="L71" s="1">
        <v>16383</v>
      </c>
      <c r="M71" s="1">
        <v>24290</v>
      </c>
      <c r="N71" s="1">
        <v>24100</v>
      </c>
      <c r="O71" s="1">
        <v>24500</v>
      </c>
      <c r="P71" s="1">
        <v>24050</v>
      </c>
      <c r="Q71" t="s">
        <v>724</v>
      </c>
      <c r="R71" s="3">
        <v>0.42006944444444444</v>
      </c>
      <c r="S71" s="1">
        <v>24150</v>
      </c>
      <c r="V71" s="1">
        <v>729305</v>
      </c>
      <c r="W71">
        <v>92.48</v>
      </c>
    </row>
    <row r="72" spans="3:23" x14ac:dyDescent="0.3">
      <c r="C72">
        <v>69</v>
      </c>
      <c r="D72">
        <v>880</v>
      </c>
      <c r="E72" t="s">
        <v>88</v>
      </c>
      <c r="G72" s="1">
        <v>116900</v>
      </c>
      <c r="H72">
        <v>5</v>
      </c>
      <c r="I72" s="1">
        <v>2600</v>
      </c>
      <c r="J72">
        <v>-2.1800000000000002</v>
      </c>
      <c r="K72" s="1">
        <v>167534</v>
      </c>
      <c r="L72" s="1">
        <v>19882</v>
      </c>
      <c r="M72" s="1">
        <v>118673</v>
      </c>
      <c r="N72" s="1">
        <v>120000</v>
      </c>
      <c r="O72" s="1">
        <v>121000</v>
      </c>
      <c r="P72" s="1">
        <v>116100</v>
      </c>
      <c r="Q72" t="s">
        <v>724</v>
      </c>
      <c r="R72" s="3">
        <v>0.42097222222222225</v>
      </c>
      <c r="S72" s="1">
        <v>116700</v>
      </c>
      <c r="T72">
        <v>200</v>
      </c>
      <c r="U72">
        <v>0.17</v>
      </c>
      <c r="V72" s="1">
        <v>237613</v>
      </c>
      <c r="W72">
        <v>70.5</v>
      </c>
    </row>
    <row r="73" spans="3:23" x14ac:dyDescent="0.3">
      <c r="C73">
        <v>70</v>
      </c>
      <c r="D73">
        <v>39490</v>
      </c>
      <c r="E73" t="s">
        <v>94</v>
      </c>
      <c r="G73" s="1">
        <v>322500</v>
      </c>
      <c r="H73">
        <v>2</v>
      </c>
      <c r="I73" s="1">
        <v>14000</v>
      </c>
      <c r="J73">
        <v>4.54</v>
      </c>
      <c r="K73" s="1">
        <v>30725</v>
      </c>
      <c r="L73" s="1">
        <v>9809</v>
      </c>
      <c r="M73" s="1">
        <v>319247</v>
      </c>
      <c r="N73" s="1">
        <v>314000</v>
      </c>
      <c r="O73" s="1">
        <v>325000</v>
      </c>
      <c r="P73" s="1">
        <v>313000</v>
      </c>
      <c r="Q73" t="s">
        <v>724</v>
      </c>
      <c r="R73" s="3">
        <v>0.42060185185185189</v>
      </c>
      <c r="S73" s="1">
        <v>322000</v>
      </c>
      <c r="T73">
        <v>500</v>
      </c>
      <c r="U73">
        <v>0.16</v>
      </c>
      <c r="V73" s="1">
        <v>46861</v>
      </c>
      <c r="W73">
        <v>65.56</v>
      </c>
    </row>
    <row r="74" spans="3:23" x14ac:dyDescent="0.3">
      <c r="C74">
        <v>71</v>
      </c>
      <c r="D74">
        <v>180640</v>
      </c>
      <c r="E74" t="s">
        <v>92</v>
      </c>
      <c r="G74" s="1">
        <v>129700</v>
      </c>
      <c r="H74">
        <v>2</v>
      </c>
      <c r="I74" s="1">
        <v>2200</v>
      </c>
      <c r="J74">
        <v>1.73</v>
      </c>
      <c r="K74" s="1">
        <v>28953</v>
      </c>
      <c r="L74" s="1">
        <v>3801</v>
      </c>
      <c r="M74" s="1">
        <v>131275</v>
      </c>
      <c r="N74" s="1">
        <v>132000</v>
      </c>
      <c r="O74" s="1">
        <v>147700</v>
      </c>
      <c r="P74" s="1">
        <v>127900</v>
      </c>
      <c r="Q74" t="s">
        <v>724</v>
      </c>
      <c r="R74" s="3">
        <v>0.42094907407407406</v>
      </c>
      <c r="S74" s="1">
        <v>129800</v>
      </c>
      <c r="T74">
        <v>-100</v>
      </c>
      <c r="U74">
        <v>-0.08</v>
      </c>
      <c r="V74" s="1">
        <v>33342</v>
      </c>
      <c r="W74">
        <v>86.83</v>
      </c>
    </row>
    <row r="75" spans="3:23" x14ac:dyDescent="0.3">
      <c r="C75">
        <v>72</v>
      </c>
      <c r="D75">
        <v>161390</v>
      </c>
      <c r="E75" t="s">
        <v>93</v>
      </c>
      <c r="G75" s="1">
        <v>68600</v>
      </c>
      <c r="H75">
        <v>2</v>
      </c>
      <c r="I75" s="1">
        <v>3200</v>
      </c>
      <c r="J75">
        <v>4.8899999999999997</v>
      </c>
      <c r="K75" s="1">
        <v>71266</v>
      </c>
      <c r="L75" s="1">
        <v>4999</v>
      </c>
      <c r="M75" s="1">
        <v>70145</v>
      </c>
      <c r="N75" s="1">
        <v>69600</v>
      </c>
      <c r="O75" s="1">
        <v>72500</v>
      </c>
      <c r="P75" s="1">
        <v>67800</v>
      </c>
      <c r="Q75" t="s">
        <v>724</v>
      </c>
      <c r="R75" s="3">
        <v>0.42047453703703702</v>
      </c>
      <c r="S75" s="1">
        <v>68500</v>
      </c>
      <c r="T75">
        <v>100</v>
      </c>
      <c r="U75">
        <v>0.15</v>
      </c>
      <c r="V75" s="1">
        <v>207519</v>
      </c>
      <c r="W75">
        <v>34.340000000000003</v>
      </c>
    </row>
    <row r="76" spans="3:23" x14ac:dyDescent="0.3">
      <c r="C76">
        <v>73</v>
      </c>
      <c r="D76">
        <v>100</v>
      </c>
      <c r="E76" t="s">
        <v>96</v>
      </c>
      <c r="G76" s="1">
        <v>105100</v>
      </c>
      <c r="H76">
        <v>2</v>
      </c>
      <c r="I76" s="1">
        <v>2300</v>
      </c>
      <c r="J76">
        <v>2.2400000000000002</v>
      </c>
      <c r="K76" s="1">
        <v>120422</v>
      </c>
      <c r="L76" s="1">
        <v>12514</v>
      </c>
      <c r="M76" s="1">
        <v>103921</v>
      </c>
      <c r="N76" s="1">
        <v>103100</v>
      </c>
      <c r="O76" s="1">
        <v>105800</v>
      </c>
      <c r="P76" s="1">
        <v>103000</v>
      </c>
      <c r="Q76" t="s">
        <v>724</v>
      </c>
      <c r="R76" s="3">
        <v>0.4209606481481481</v>
      </c>
      <c r="S76" s="1">
        <v>105000</v>
      </c>
      <c r="T76">
        <v>100</v>
      </c>
      <c r="U76">
        <v>0.1</v>
      </c>
      <c r="V76" s="1">
        <v>165547</v>
      </c>
      <c r="W76">
        <v>72.739999999999995</v>
      </c>
    </row>
    <row r="77" spans="3:23" x14ac:dyDescent="0.3">
      <c r="C77">
        <v>74</v>
      </c>
      <c r="D77">
        <v>443060</v>
      </c>
      <c r="E77" t="s">
        <v>95</v>
      </c>
      <c r="G77" s="1">
        <v>187400</v>
      </c>
      <c r="H77">
        <v>2</v>
      </c>
      <c r="I77" s="1">
        <v>1500</v>
      </c>
      <c r="J77">
        <v>0.81</v>
      </c>
      <c r="K77" s="1">
        <v>11067</v>
      </c>
      <c r="L77" s="1">
        <v>2068</v>
      </c>
      <c r="M77" s="1">
        <v>186833</v>
      </c>
      <c r="N77" s="1">
        <v>187800</v>
      </c>
      <c r="O77" s="1">
        <v>187800</v>
      </c>
      <c r="P77" s="1">
        <v>185800</v>
      </c>
      <c r="Q77" t="s">
        <v>724</v>
      </c>
      <c r="R77" s="3">
        <v>0.42098379629629629</v>
      </c>
      <c r="S77" s="1">
        <v>187100</v>
      </c>
      <c r="T77">
        <v>300</v>
      </c>
      <c r="U77">
        <v>0.16</v>
      </c>
      <c r="V77" s="1">
        <v>22390</v>
      </c>
      <c r="W77">
        <v>49.42</v>
      </c>
    </row>
    <row r="78" spans="3:23" x14ac:dyDescent="0.3">
      <c r="C78">
        <v>75</v>
      </c>
      <c r="D78">
        <v>5940</v>
      </c>
      <c r="E78" t="s">
        <v>97</v>
      </c>
      <c r="G78" s="1">
        <v>23000</v>
      </c>
      <c r="H78">
        <v>2</v>
      </c>
      <c r="I78">
        <v>500</v>
      </c>
      <c r="J78">
        <v>2.2200000000000002</v>
      </c>
      <c r="K78" s="1">
        <v>225521</v>
      </c>
      <c r="L78" s="1">
        <v>5212</v>
      </c>
      <c r="M78" s="1">
        <v>23112</v>
      </c>
      <c r="N78" s="1">
        <v>22800</v>
      </c>
      <c r="O78" s="1">
        <v>23850</v>
      </c>
      <c r="P78" s="1">
        <v>22600</v>
      </c>
      <c r="Q78" t="s">
        <v>724</v>
      </c>
      <c r="R78" s="3">
        <v>0.42086805555555556</v>
      </c>
      <c r="S78" s="1">
        <v>23000</v>
      </c>
      <c r="V78" s="1">
        <v>389644</v>
      </c>
      <c r="W78">
        <v>57.87</v>
      </c>
    </row>
    <row r="79" spans="3:23" x14ac:dyDescent="0.3">
      <c r="C79">
        <v>76</v>
      </c>
      <c r="D79">
        <v>7660</v>
      </c>
      <c r="E79" t="s">
        <v>98</v>
      </c>
      <c r="G79" s="1">
        <v>107300</v>
      </c>
      <c r="H79">
        <v>2</v>
      </c>
      <c r="I79">
        <v>300</v>
      </c>
      <c r="J79">
        <v>0.28000000000000003</v>
      </c>
      <c r="K79" s="1">
        <v>276260</v>
      </c>
      <c r="L79" s="1">
        <v>30264</v>
      </c>
      <c r="M79" s="1">
        <v>109548</v>
      </c>
      <c r="N79" s="1">
        <v>109500</v>
      </c>
      <c r="O79" s="1">
        <v>111500</v>
      </c>
      <c r="P79" s="1">
        <v>107000</v>
      </c>
      <c r="Q79" t="s">
        <v>724</v>
      </c>
      <c r="R79" s="3">
        <v>0.42100694444444442</v>
      </c>
      <c r="S79" s="1">
        <v>107400</v>
      </c>
      <c r="T79">
        <v>-100</v>
      </c>
      <c r="U79">
        <v>-0.09</v>
      </c>
      <c r="V79" s="1">
        <v>325668</v>
      </c>
      <c r="W79">
        <v>84.82</v>
      </c>
    </row>
    <row r="80" spans="3:23" x14ac:dyDescent="0.3">
      <c r="C80">
        <v>77</v>
      </c>
      <c r="D80">
        <v>454910</v>
      </c>
      <c r="E80" t="s">
        <v>99</v>
      </c>
      <c r="G80" s="1">
        <v>116300</v>
      </c>
      <c r="H80">
        <v>5</v>
      </c>
      <c r="I80" s="1">
        <v>4500</v>
      </c>
      <c r="J80">
        <v>-3.73</v>
      </c>
      <c r="K80" s="1">
        <v>850540</v>
      </c>
      <c r="L80" s="1">
        <v>102600</v>
      </c>
      <c r="M80" s="1">
        <v>120629</v>
      </c>
      <c r="N80" s="1">
        <v>121500</v>
      </c>
      <c r="O80" s="1">
        <v>124800</v>
      </c>
      <c r="P80" s="1">
        <v>115000</v>
      </c>
      <c r="Q80" t="s">
        <v>724</v>
      </c>
      <c r="R80" s="3">
        <v>0.42105324074074074</v>
      </c>
      <c r="S80" s="1">
        <v>116300</v>
      </c>
      <c r="V80" s="1">
        <v>762092</v>
      </c>
      <c r="W80">
        <v>111.6</v>
      </c>
    </row>
    <row r="81" spans="3:23" x14ac:dyDescent="0.3">
      <c r="C81">
        <v>78</v>
      </c>
      <c r="D81">
        <v>16360</v>
      </c>
      <c r="E81" t="s">
        <v>100</v>
      </c>
      <c r="G81" s="1">
        <v>83400</v>
      </c>
      <c r="H81">
        <v>2</v>
      </c>
      <c r="I81" s="1">
        <v>1800</v>
      </c>
      <c r="J81">
        <v>2.21</v>
      </c>
      <c r="K81" s="1">
        <v>124621</v>
      </c>
      <c r="L81" s="1">
        <v>10388</v>
      </c>
      <c r="M81" s="1">
        <v>83354</v>
      </c>
      <c r="N81" s="1">
        <v>82100</v>
      </c>
      <c r="O81" s="1">
        <v>84400</v>
      </c>
      <c r="P81" s="1">
        <v>82100</v>
      </c>
      <c r="Q81" t="s">
        <v>724</v>
      </c>
      <c r="R81" s="3">
        <v>0.4206597222222222</v>
      </c>
      <c r="S81" s="1">
        <v>83400</v>
      </c>
      <c r="V81" s="1">
        <v>167871</v>
      </c>
      <c r="W81">
        <v>74.23</v>
      </c>
    </row>
    <row r="82" spans="3:23" x14ac:dyDescent="0.3">
      <c r="C82">
        <v>79</v>
      </c>
      <c r="D82">
        <v>90430</v>
      </c>
      <c r="E82" t="s">
        <v>102</v>
      </c>
      <c r="G82" s="1">
        <v>126400</v>
      </c>
      <c r="H82">
        <v>2</v>
      </c>
      <c r="I82" s="1">
        <v>7300</v>
      </c>
      <c r="J82">
        <v>6.13</v>
      </c>
      <c r="K82" s="1">
        <v>185159</v>
      </c>
      <c r="L82" s="1">
        <v>22909</v>
      </c>
      <c r="M82" s="1">
        <v>123726</v>
      </c>
      <c r="N82" s="1">
        <v>120200</v>
      </c>
      <c r="O82" s="1">
        <v>128000</v>
      </c>
      <c r="P82" s="1">
        <v>118700</v>
      </c>
      <c r="Q82" t="s">
        <v>724</v>
      </c>
      <c r="R82" s="3">
        <v>0.42105324074074074</v>
      </c>
      <c r="S82" s="1">
        <v>126400</v>
      </c>
      <c r="V82" s="1">
        <v>428004</v>
      </c>
      <c r="W82">
        <v>43.26</v>
      </c>
    </row>
    <row r="83" spans="3:23" x14ac:dyDescent="0.3">
      <c r="C83">
        <v>80</v>
      </c>
      <c r="D83">
        <v>6260</v>
      </c>
      <c r="E83" t="s">
        <v>101</v>
      </c>
      <c r="G83" s="1">
        <v>219500</v>
      </c>
      <c r="H83">
        <v>5</v>
      </c>
      <c r="I83" s="1">
        <v>2500</v>
      </c>
      <c r="J83">
        <v>-1.1299999999999999</v>
      </c>
      <c r="K83" s="1">
        <v>32387</v>
      </c>
      <c r="L83" s="1">
        <v>7194</v>
      </c>
      <c r="M83" s="1">
        <v>222123</v>
      </c>
      <c r="N83" s="1">
        <v>222500</v>
      </c>
      <c r="O83" s="1">
        <v>227000</v>
      </c>
      <c r="P83" s="1">
        <v>217500</v>
      </c>
      <c r="Q83" t="s">
        <v>724</v>
      </c>
      <c r="R83" s="3">
        <v>0.42105324074074074</v>
      </c>
      <c r="S83" s="1">
        <v>220000</v>
      </c>
      <c r="T83">
        <v>-500</v>
      </c>
      <c r="U83">
        <v>-0.23</v>
      </c>
      <c r="V83" s="1">
        <v>46699</v>
      </c>
      <c r="W83">
        <v>69.349999999999994</v>
      </c>
    </row>
    <row r="84" spans="3:23" x14ac:dyDescent="0.3">
      <c r="C84">
        <v>81</v>
      </c>
      <c r="D84">
        <v>377300</v>
      </c>
      <c r="E84" t="s">
        <v>104</v>
      </c>
      <c r="G84" s="1">
        <v>50300</v>
      </c>
      <c r="H84">
        <v>2</v>
      </c>
      <c r="I84">
        <v>200</v>
      </c>
      <c r="J84">
        <v>0.4</v>
      </c>
      <c r="K84" s="1">
        <v>196946</v>
      </c>
      <c r="L84" s="1">
        <v>9891</v>
      </c>
      <c r="M84" s="1">
        <v>50222</v>
      </c>
      <c r="N84" s="1">
        <v>50900</v>
      </c>
      <c r="O84" s="1">
        <v>50900</v>
      </c>
      <c r="P84" s="1">
        <v>49350</v>
      </c>
      <c r="Q84" t="s">
        <v>724</v>
      </c>
      <c r="R84" s="3">
        <v>0.42093749999999996</v>
      </c>
      <c r="S84" s="1">
        <v>50300</v>
      </c>
      <c r="V84" s="1">
        <v>232713</v>
      </c>
      <c r="W84">
        <v>84.63</v>
      </c>
    </row>
    <row r="85" spans="3:23" x14ac:dyDescent="0.3">
      <c r="C85">
        <v>82</v>
      </c>
      <c r="D85">
        <v>32640</v>
      </c>
      <c r="E85" t="s">
        <v>108</v>
      </c>
      <c r="G85" s="1">
        <v>15720</v>
      </c>
      <c r="H85">
        <v>2</v>
      </c>
      <c r="I85">
        <v>300</v>
      </c>
      <c r="J85">
        <v>1.95</v>
      </c>
      <c r="K85" s="1">
        <v>97548</v>
      </c>
      <c r="L85" s="1">
        <v>1516</v>
      </c>
      <c r="M85" s="1">
        <v>15546</v>
      </c>
      <c r="N85" s="1">
        <v>15420</v>
      </c>
      <c r="O85" s="1">
        <v>15880</v>
      </c>
      <c r="P85" s="1">
        <v>15260</v>
      </c>
      <c r="Q85" t="s">
        <v>724</v>
      </c>
      <c r="R85" s="3">
        <v>0.42083333333333334</v>
      </c>
      <c r="S85" s="1">
        <v>15710</v>
      </c>
      <c r="T85">
        <v>10</v>
      </c>
      <c r="U85">
        <v>0.06</v>
      </c>
      <c r="V85" s="1">
        <v>424571</v>
      </c>
      <c r="W85">
        <v>22.97</v>
      </c>
    </row>
    <row r="86" spans="3:23" x14ac:dyDescent="0.3">
      <c r="C86">
        <v>83</v>
      </c>
      <c r="D86">
        <v>11070</v>
      </c>
      <c r="E86" t="s">
        <v>106</v>
      </c>
      <c r="G86" s="1">
        <v>284000</v>
      </c>
      <c r="H86">
        <v>2</v>
      </c>
      <c r="I86" s="1">
        <v>5000</v>
      </c>
      <c r="J86">
        <v>1.79</v>
      </c>
      <c r="K86" s="1">
        <v>47844</v>
      </c>
      <c r="L86" s="1">
        <v>13594</v>
      </c>
      <c r="M86" s="1">
        <v>284136</v>
      </c>
      <c r="N86" s="1">
        <v>280000</v>
      </c>
      <c r="O86" s="1">
        <v>290000</v>
      </c>
      <c r="P86" s="1">
        <v>277500</v>
      </c>
      <c r="Q86" t="s">
        <v>724</v>
      </c>
      <c r="R86" s="3">
        <v>0.42103009259259255</v>
      </c>
      <c r="S86" s="1">
        <v>284000</v>
      </c>
      <c r="V86" s="1">
        <v>66093</v>
      </c>
      <c r="W86">
        <v>72.38</v>
      </c>
    </row>
    <row r="87" spans="3:23" x14ac:dyDescent="0.3">
      <c r="C87">
        <v>84</v>
      </c>
      <c r="D87">
        <v>64400</v>
      </c>
      <c r="E87" t="s">
        <v>103</v>
      </c>
      <c r="G87" s="1">
        <v>68900</v>
      </c>
      <c r="H87">
        <v>5</v>
      </c>
      <c r="I87" s="1">
        <v>1600</v>
      </c>
      <c r="J87">
        <v>-2.27</v>
      </c>
      <c r="K87" s="1">
        <v>511414</v>
      </c>
      <c r="L87" s="1">
        <v>35862</v>
      </c>
      <c r="M87" s="1">
        <v>70122</v>
      </c>
      <c r="N87" s="1">
        <v>71100</v>
      </c>
      <c r="O87" s="1">
        <v>71700</v>
      </c>
      <c r="P87" s="1">
        <v>68500</v>
      </c>
      <c r="Q87" t="s">
        <v>724</v>
      </c>
      <c r="R87" s="3">
        <v>0.42083333333333334</v>
      </c>
      <c r="S87" s="1">
        <v>68900</v>
      </c>
      <c r="V87" s="1">
        <v>420159</v>
      </c>
      <c r="W87">
        <v>121.71</v>
      </c>
    </row>
    <row r="88" spans="3:23" x14ac:dyDescent="0.3">
      <c r="C88">
        <v>85</v>
      </c>
      <c r="D88">
        <v>22100</v>
      </c>
      <c r="E88" t="s">
        <v>107</v>
      </c>
      <c r="G88" s="1">
        <v>41800</v>
      </c>
      <c r="H88">
        <v>5</v>
      </c>
      <c r="I88" s="1">
        <v>1050</v>
      </c>
      <c r="J88">
        <v>-2.4500000000000002</v>
      </c>
      <c r="K88" s="1">
        <v>2193535</v>
      </c>
      <c r="L88" s="1">
        <v>95182</v>
      </c>
      <c r="M88" s="1">
        <v>43392</v>
      </c>
      <c r="N88" s="1">
        <v>43400</v>
      </c>
      <c r="O88" s="1">
        <v>44800</v>
      </c>
      <c r="P88" s="1">
        <v>41500</v>
      </c>
      <c r="Q88" t="s">
        <v>724</v>
      </c>
      <c r="R88" s="3">
        <v>0.42100694444444442</v>
      </c>
      <c r="S88" s="1">
        <v>41850</v>
      </c>
      <c r="T88">
        <v>-50</v>
      </c>
      <c r="U88">
        <v>-0.12</v>
      </c>
      <c r="V88" s="1">
        <v>1457589</v>
      </c>
      <c r="W88">
        <v>150.49</v>
      </c>
    </row>
    <row r="89" spans="3:23" x14ac:dyDescent="0.3">
      <c r="C89">
        <v>86</v>
      </c>
      <c r="D89">
        <v>34220</v>
      </c>
      <c r="E89" t="s">
        <v>111</v>
      </c>
      <c r="G89" s="1">
        <v>12490</v>
      </c>
      <c r="H89">
        <v>2</v>
      </c>
      <c r="I89">
        <v>300</v>
      </c>
      <c r="J89">
        <v>2.46</v>
      </c>
      <c r="K89" s="1">
        <v>413949</v>
      </c>
      <c r="L89" s="1">
        <v>5122</v>
      </c>
      <c r="M89" s="1">
        <v>12374</v>
      </c>
      <c r="N89" s="1">
        <v>12200</v>
      </c>
      <c r="O89" s="1">
        <v>12550</v>
      </c>
      <c r="P89" s="1">
        <v>12200</v>
      </c>
      <c r="Q89" t="s">
        <v>724</v>
      </c>
      <c r="R89" s="3">
        <v>0.42092592592592593</v>
      </c>
      <c r="S89" s="1">
        <v>12490</v>
      </c>
      <c r="V89" s="1">
        <v>674465</v>
      </c>
      <c r="W89">
        <v>61.37</v>
      </c>
    </row>
    <row r="90" spans="3:23" x14ac:dyDescent="0.3">
      <c r="C90">
        <v>87</v>
      </c>
      <c r="D90">
        <v>29780</v>
      </c>
      <c r="E90" t="s">
        <v>110</v>
      </c>
      <c r="G90" s="1">
        <v>53800</v>
      </c>
      <c r="H90">
        <v>2</v>
      </c>
      <c r="I90">
        <v>200</v>
      </c>
      <c r="J90">
        <v>0.37</v>
      </c>
      <c r="K90" s="1">
        <v>7031</v>
      </c>
      <c r="L90">
        <v>379</v>
      </c>
      <c r="M90" s="1">
        <v>53835</v>
      </c>
      <c r="N90" s="1">
        <v>53900</v>
      </c>
      <c r="O90" s="1">
        <v>54100</v>
      </c>
      <c r="P90" s="1">
        <v>53400</v>
      </c>
      <c r="Q90" t="s">
        <v>724</v>
      </c>
      <c r="R90" s="3">
        <v>0.4189930555555556</v>
      </c>
      <c r="S90" s="1">
        <v>53700</v>
      </c>
      <c r="T90">
        <v>100</v>
      </c>
      <c r="U90">
        <v>0.19</v>
      </c>
      <c r="V90" s="1">
        <v>11834</v>
      </c>
      <c r="W90">
        <v>59.41</v>
      </c>
    </row>
    <row r="91" spans="3:23" x14ac:dyDescent="0.3">
      <c r="C91">
        <v>88</v>
      </c>
      <c r="D91">
        <v>241560</v>
      </c>
      <c r="E91" t="s">
        <v>112</v>
      </c>
      <c r="G91" s="1">
        <v>60200</v>
      </c>
      <c r="H91">
        <v>2</v>
      </c>
      <c r="I91">
        <v>600</v>
      </c>
      <c r="J91">
        <v>1.01</v>
      </c>
      <c r="K91" s="1">
        <v>31989</v>
      </c>
      <c r="L91" s="1">
        <v>1925</v>
      </c>
      <c r="M91" s="1">
        <v>60166</v>
      </c>
      <c r="N91" s="1">
        <v>60100</v>
      </c>
      <c r="O91" s="1">
        <v>60800</v>
      </c>
      <c r="P91" s="1">
        <v>59700</v>
      </c>
      <c r="Q91" t="s">
        <v>724</v>
      </c>
      <c r="R91" s="3">
        <v>0.42074074074074069</v>
      </c>
      <c r="S91" s="1">
        <v>60200</v>
      </c>
      <c r="V91" s="1">
        <v>97316</v>
      </c>
      <c r="W91">
        <v>32.869999999999997</v>
      </c>
    </row>
    <row r="92" spans="3:23" x14ac:dyDescent="0.3">
      <c r="C92">
        <v>89</v>
      </c>
      <c r="D92">
        <v>78930</v>
      </c>
      <c r="E92" t="s">
        <v>113</v>
      </c>
      <c r="G92" s="1">
        <v>60400</v>
      </c>
      <c r="H92">
        <v>5</v>
      </c>
      <c r="I92">
        <v>500</v>
      </c>
      <c r="J92">
        <v>-0.82</v>
      </c>
      <c r="K92" s="1">
        <v>42262</v>
      </c>
      <c r="L92" s="1">
        <v>2560</v>
      </c>
      <c r="M92" s="1">
        <v>60582</v>
      </c>
      <c r="N92" s="1">
        <v>60900</v>
      </c>
      <c r="O92" s="1">
        <v>61500</v>
      </c>
      <c r="P92" s="1">
        <v>59900</v>
      </c>
      <c r="Q92" t="s">
        <v>724</v>
      </c>
      <c r="R92" s="3">
        <v>0.42099537037037038</v>
      </c>
      <c r="S92" s="1">
        <v>60400</v>
      </c>
      <c r="V92" s="1">
        <v>75036</v>
      </c>
      <c r="W92">
        <v>56.32</v>
      </c>
    </row>
    <row r="93" spans="3:23" x14ac:dyDescent="0.3">
      <c r="C93">
        <v>90</v>
      </c>
      <c r="D93">
        <v>21240</v>
      </c>
      <c r="E93" t="s">
        <v>115</v>
      </c>
      <c r="G93" s="1">
        <v>76400</v>
      </c>
      <c r="H93">
        <v>5</v>
      </c>
      <c r="I93">
        <v>300</v>
      </c>
      <c r="J93">
        <v>-0.39</v>
      </c>
      <c r="K93" s="1">
        <v>16918</v>
      </c>
      <c r="L93" s="1">
        <v>1282</v>
      </c>
      <c r="M93" s="1">
        <v>75771</v>
      </c>
      <c r="N93" s="1">
        <v>76700</v>
      </c>
      <c r="O93" s="1">
        <v>76800</v>
      </c>
      <c r="P93" s="1">
        <v>75000</v>
      </c>
      <c r="Q93" t="s">
        <v>724</v>
      </c>
      <c r="R93" s="3">
        <v>0.42054398148148148</v>
      </c>
      <c r="S93" s="1">
        <v>76300</v>
      </c>
      <c r="T93">
        <v>100</v>
      </c>
      <c r="U93">
        <v>0.13</v>
      </c>
      <c r="V93" s="1">
        <v>148784</v>
      </c>
      <c r="W93">
        <v>11.37</v>
      </c>
    </row>
    <row r="94" spans="3:23" x14ac:dyDescent="0.3">
      <c r="C94">
        <v>91</v>
      </c>
      <c r="D94">
        <v>1040</v>
      </c>
      <c r="E94" t="s">
        <v>114</v>
      </c>
      <c r="G94" s="1">
        <v>187600</v>
      </c>
      <c r="H94">
        <v>5</v>
      </c>
      <c r="I94" s="1">
        <v>1700</v>
      </c>
      <c r="J94">
        <v>-0.9</v>
      </c>
      <c r="K94" s="1">
        <v>22848</v>
      </c>
      <c r="L94" s="1">
        <v>4289</v>
      </c>
      <c r="M94" s="1">
        <v>187714</v>
      </c>
      <c r="N94" s="1">
        <v>189300</v>
      </c>
      <c r="O94" s="1">
        <v>192000</v>
      </c>
      <c r="P94" s="1">
        <v>184400</v>
      </c>
      <c r="Q94" t="s">
        <v>724</v>
      </c>
      <c r="R94" s="3">
        <v>0.42020833333333335</v>
      </c>
      <c r="S94" s="1">
        <v>187500</v>
      </c>
      <c r="T94">
        <v>100</v>
      </c>
      <c r="U94">
        <v>0.05</v>
      </c>
      <c r="V94" s="1">
        <v>50720</v>
      </c>
      <c r="W94">
        <v>45.04</v>
      </c>
    </row>
    <row r="95" spans="3:23" x14ac:dyDescent="0.3">
      <c r="C95">
        <v>92</v>
      </c>
      <c r="D95">
        <v>1440</v>
      </c>
      <c r="E95" t="s">
        <v>119</v>
      </c>
      <c r="G95" s="1">
        <v>28800</v>
      </c>
      <c r="H95">
        <v>2</v>
      </c>
      <c r="I95" s="1">
        <v>1900</v>
      </c>
      <c r="J95">
        <v>7.06</v>
      </c>
      <c r="K95" s="1">
        <v>3492908</v>
      </c>
      <c r="L95" s="1">
        <v>97828</v>
      </c>
      <c r="M95" s="1">
        <v>28007</v>
      </c>
      <c r="N95" s="1">
        <v>27550</v>
      </c>
      <c r="O95" s="1">
        <v>28800</v>
      </c>
      <c r="P95" s="1">
        <v>27350</v>
      </c>
      <c r="Q95" t="s">
        <v>724</v>
      </c>
      <c r="R95" s="3">
        <v>0.42105324074074074</v>
      </c>
      <c r="S95" s="1">
        <v>28800</v>
      </c>
      <c r="V95" s="1">
        <v>4257277</v>
      </c>
      <c r="W95">
        <v>82.04</v>
      </c>
    </row>
    <row r="96" spans="3:23" x14ac:dyDescent="0.3">
      <c r="C96">
        <v>93</v>
      </c>
      <c r="D96">
        <v>128940</v>
      </c>
      <c r="E96" t="s">
        <v>118</v>
      </c>
      <c r="G96" s="1">
        <v>416000</v>
      </c>
      <c r="H96">
        <v>2</v>
      </c>
      <c r="I96" s="1">
        <v>1000</v>
      </c>
      <c r="J96">
        <v>0.24</v>
      </c>
      <c r="K96" s="1">
        <v>24366</v>
      </c>
      <c r="L96" s="1">
        <v>10173</v>
      </c>
      <c r="M96" s="1">
        <v>417522</v>
      </c>
      <c r="N96" s="1">
        <v>420000</v>
      </c>
      <c r="O96" s="1">
        <v>423500</v>
      </c>
      <c r="P96" s="1">
        <v>412500</v>
      </c>
      <c r="Q96" t="s">
        <v>724</v>
      </c>
      <c r="R96" s="3">
        <v>0.42094907407407406</v>
      </c>
      <c r="S96" s="1">
        <v>415500</v>
      </c>
      <c r="T96">
        <v>500</v>
      </c>
      <c r="U96">
        <v>0.12</v>
      </c>
      <c r="V96" s="1">
        <v>30915</v>
      </c>
      <c r="W96">
        <v>78.81</v>
      </c>
    </row>
    <row r="97" spans="3:23" x14ac:dyDescent="0.3">
      <c r="C97">
        <v>94</v>
      </c>
      <c r="D97">
        <v>52690</v>
      </c>
      <c r="E97" t="s">
        <v>116</v>
      </c>
      <c r="G97" s="1">
        <v>136700</v>
      </c>
      <c r="H97">
        <v>5</v>
      </c>
      <c r="I97" s="1">
        <v>3100</v>
      </c>
      <c r="J97">
        <v>-2.2200000000000002</v>
      </c>
      <c r="K97" s="1">
        <v>212469</v>
      </c>
      <c r="L97" s="1">
        <v>30110</v>
      </c>
      <c r="M97" s="1">
        <v>141715</v>
      </c>
      <c r="N97" s="1">
        <v>143500</v>
      </c>
      <c r="O97" s="1">
        <v>146700</v>
      </c>
      <c r="P97" s="1">
        <v>136700</v>
      </c>
      <c r="Q97" t="s">
        <v>724</v>
      </c>
      <c r="R97" s="3">
        <v>0.42105324074074074</v>
      </c>
      <c r="S97" s="1">
        <v>136600</v>
      </c>
      <c r="T97">
        <v>100</v>
      </c>
      <c r="U97">
        <v>7.0000000000000007E-2</v>
      </c>
      <c r="V97" s="1">
        <v>196591</v>
      </c>
      <c r="W97">
        <v>108.07</v>
      </c>
    </row>
    <row r="98" spans="3:23" x14ac:dyDescent="0.3">
      <c r="C98">
        <v>95</v>
      </c>
      <c r="D98">
        <v>36570</v>
      </c>
      <c r="E98" t="s">
        <v>123</v>
      </c>
      <c r="G98" s="1">
        <v>231000</v>
      </c>
      <c r="H98">
        <v>2</v>
      </c>
      <c r="I98" s="1">
        <v>8500</v>
      </c>
      <c r="J98">
        <v>3.82</v>
      </c>
      <c r="K98" s="1">
        <v>40329</v>
      </c>
      <c r="L98" s="1">
        <v>9194</v>
      </c>
      <c r="M98" s="1">
        <v>227967</v>
      </c>
      <c r="N98" s="1">
        <v>223500</v>
      </c>
      <c r="O98" s="1">
        <v>233500</v>
      </c>
      <c r="P98" s="1">
        <v>222000</v>
      </c>
      <c r="Q98" t="s">
        <v>724</v>
      </c>
      <c r="R98" s="3">
        <v>0.42101851851851851</v>
      </c>
      <c r="S98" s="1">
        <v>231500</v>
      </c>
      <c r="T98">
        <v>-500</v>
      </c>
      <c r="U98">
        <v>-0.22</v>
      </c>
      <c r="V98" s="1">
        <v>64811</v>
      </c>
      <c r="W98">
        <v>62.22</v>
      </c>
    </row>
    <row r="99" spans="3:23" x14ac:dyDescent="0.3">
      <c r="C99">
        <v>96</v>
      </c>
      <c r="D99">
        <v>28050</v>
      </c>
      <c r="E99" t="s">
        <v>122</v>
      </c>
      <c r="G99" s="1">
        <v>25150</v>
      </c>
      <c r="H99">
        <v>2</v>
      </c>
      <c r="I99">
        <v>250</v>
      </c>
      <c r="J99">
        <v>1</v>
      </c>
      <c r="K99" s="1">
        <v>74203</v>
      </c>
      <c r="L99" s="1">
        <v>1865</v>
      </c>
      <c r="M99" s="1">
        <v>25135</v>
      </c>
      <c r="N99" s="1">
        <v>25250</v>
      </c>
      <c r="O99" s="1">
        <v>25300</v>
      </c>
      <c r="P99" s="1">
        <v>25050</v>
      </c>
      <c r="Q99" t="s">
        <v>724</v>
      </c>
      <c r="R99" s="3">
        <v>0.42103009259259255</v>
      </c>
      <c r="S99" s="1">
        <v>25150</v>
      </c>
      <c r="V99" s="1">
        <v>119390</v>
      </c>
      <c r="W99">
        <v>62.15</v>
      </c>
    </row>
    <row r="100" spans="3:23" x14ac:dyDescent="0.3">
      <c r="C100">
        <v>97</v>
      </c>
      <c r="D100">
        <v>66970</v>
      </c>
      <c r="E100" t="s">
        <v>127</v>
      </c>
      <c r="G100" s="1">
        <v>122200</v>
      </c>
      <c r="H100">
        <v>2</v>
      </c>
      <c r="I100" s="1">
        <v>10600</v>
      </c>
      <c r="J100">
        <v>9.5</v>
      </c>
      <c r="K100" s="1">
        <v>353119</v>
      </c>
      <c r="L100" s="1">
        <v>42405</v>
      </c>
      <c r="M100" s="1">
        <v>120087</v>
      </c>
      <c r="N100" s="1">
        <v>112500</v>
      </c>
      <c r="O100" s="1">
        <v>124400</v>
      </c>
      <c r="P100" s="1">
        <v>112200</v>
      </c>
      <c r="Q100" t="s">
        <v>724</v>
      </c>
      <c r="R100" s="3">
        <v>0.42103009259259255</v>
      </c>
      <c r="S100" s="1">
        <v>122300</v>
      </c>
      <c r="T100">
        <v>-100</v>
      </c>
      <c r="U100">
        <v>-0.08</v>
      </c>
      <c r="V100" s="1">
        <v>628240</v>
      </c>
      <c r="W100">
        <v>56.2</v>
      </c>
    </row>
    <row r="101" spans="3:23" x14ac:dyDescent="0.3">
      <c r="C101">
        <v>98</v>
      </c>
      <c r="D101">
        <v>9830</v>
      </c>
      <c r="E101" t="s">
        <v>125</v>
      </c>
      <c r="G101" s="1">
        <v>28200</v>
      </c>
      <c r="H101">
        <v>2</v>
      </c>
      <c r="I101">
        <v>950</v>
      </c>
      <c r="J101">
        <v>3.49</v>
      </c>
      <c r="K101" s="1">
        <v>453463</v>
      </c>
      <c r="L101" s="1">
        <v>12598</v>
      </c>
      <c r="M101" s="1">
        <v>27782</v>
      </c>
      <c r="N101" s="1">
        <v>27250</v>
      </c>
      <c r="O101" s="1">
        <v>28300</v>
      </c>
      <c r="P101" s="1">
        <v>27250</v>
      </c>
      <c r="Q101" t="s">
        <v>724</v>
      </c>
      <c r="R101" s="3">
        <v>0.42084490740740743</v>
      </c>
      <c r="S101" s="1">
        <v>28150</v>
      </c>
      <c r="T101">
        <v>50</v>
      </c>
      <c r="U101">
        <v>0.18</v>
      </c>
      <c r="V101" s="1">
        <v>630065</v>
      </c>
      <c r="W101">
        <v>71.97</v>
      </c>
    </row>
    <row r="102" spans="3:23" x14ac:dyDescent="0.3">
      <c r="C102">
        <v>99</v>
      </c>
      <c r="D102">
        <v>138930</v>
      </c>
      <c r="E102" t="s">
        <v>124</v>
      </c>
      <c r="G102" s="1">
        <v>15510</v>
      </c>
      <c r="H102">
        <v>5</v>
      </c>
      <c r="I102">
        <v>60</v>
      </c>
      <c r="J102">
        <v>-0.39</v>
      </c>
      <c r="K102" s="1">
        <v>49394</v>
      </c>
      <c r="L102">
        <v>764</v>
      </c>
      <c r="M102" s="1">
        <v>15464</v>
      </c>
      <c r="N102" s="1">
        <v>15690</v>
      </c>
      <c r="O102" s="1">
        <v>15690</v>
      </c>
      <c r="P102" s="1">
        <v>15400</v>
      </c>
      <c r="Q102" t="s">
        <v>724</v>
      </c>
      <c r="R102" s="3">
        <v>0.42003472222222221</v>
      </c>
      <c r="S102" s="1">
        <v>15520</v>
      </c>
      <c r="T102">
        <v>-10</v>
      </c>
      <c r="U102">
        <v>-0.06</v>
      </c>
      <c r="V102" s="1">
        <v>188373</v>
      </c>
      <c r="W102">
        <v>26.22</v>
      </c>
    </row>
    <row r="103" spans="3:23" x14ac:dyDescent="0.3">
      <c r="C103">
        <v>100</v>
      </c>
      <c r="D103">
        <v>4020</v>
      </c>
      <c r="E103" t="s">
        <v>134</v>
      </c>
      <c r="G103" s="1">
        <v>35400</v>
      </c>
      <c r="H103">
        <v>2</v>
      </c>
      <c r="I103" s="1">
        <v>4000</v>
      </c>
      <c r="J103">
        <v>12.74</v>
      </c>
      <c r="K103" s="1">
        <v>1301697</v>
      </c>
      <c r="L103" s="1">
        <v>44825</v>
      </c>
      <c r="M103" s="1">
        <v>34435</v>
      </c>
      <c r="N103" s="1">
        <v>31450</v>
      </c>
      <c r="O103" s="1">
        <v>36200</v>
      </c>
      <c r="P103" s="1">
        <v>31350</v>
      </c>
      <c r="Q103" t="s">
        <v>724</v>
      </c>
      <c r="R103" s="3">
        <v>0.42105324074074074</v>
      </c>
      <c r="S103" s="1">
        <v>35450</v>
      </c>
      <c r="T103">
        <v>-50</v>
      </c>
      <c r="U103">
        <v>-0.14000000000000001</v>
      </c>
      <c r="V103" s="1">
        <v>2272883</v>
      </c>
      <c r="W103">
        <v>57.27</v>
      </c>
    </row>
    <row r="104" spans="3:23" x14ac:dyDescent="0.3">
      <c r="C104">
        <v>101</v>
      </c>
      <c r="D104">
        <v>271560</v>
      </c>
      <c r="E104" t="s">
        <v>126</v>
      </c>
      <c r="G104" s="1">
        <v>115600</v>
      </c>
      <c r="H104">
        <v>5</v>
      </c>
      <c r="I104" s="1">
        <v>1400</v>
      </c>
      <c r="J104">
        <v>-1.2</v>
      </c>
      <c r="K104" s="1">
        <v>11550</v>
      </c>
      <c r="L104" s="1">
        <v>1337</v>
      </c>
      <c r="M104" s="1">
        <v>115795</v>
      </c>
      <c r="N104" s="1">
        <v>117500</v>
      </c>
      <c r="O104" s="1">
        <v>117500</v>
      </c>
      <c r="P104" s="1">
        <v>114700</v>
      </c>
      <c r="Q104" t="s">
        <v>724</v>
      </c>
      <c r="R104" s="3">
        <v>0.42083333333333334</v>
      </c>
      <c r="S104" s="1">
        <v>115700</v>
      </c>
      <c r="T104">
        <v>-100</v>
      </c>
      <c r="U104">
        <v>-0.09</v>
      </c>
      <c r="V104" s="1">
        <v>28139</v>
      </c>
      <c r="W104">
        <v>41.04</v>
      </c>
    </row>
    <row r="105" spans="3:23" x14ac:dyDescent="0.3">
      <c r="C105">
        <v>102</v>
      </c>
      <c r="D105">
        <v>175330</v>
      </c>
      <c r="E105" t="s">
        <v>130</v>
      </c>
      <c r="G105" s="1">
        <v>23550</v>
      </c>
      <c r="H105">
        <v>5</v>
      </c>
      <c r="I105">
        <v>250</v>
      </c>
      <c r="J105">
        <v>-1.05</v>
      </c>
      <c r="K105" s="1">
        <v>41508</v>
      </c>
      <c r="L105">
        <v>976</v>
      </c>
      <c r="M105" s="1">
        <v>23503</v>
      </c>
      <c r="N105" s="1">
        <v>23650</v>
      </c>
      <c r="O105" s="1">
        <v>23750</v>
      </c>
      <c r="P105" s="1">
        <v>23150</v>
      </c>
      <c r="Q105" t="s">
        <v>724</v>
      </c>
      <c r="R105" s="3">
        <v>0.42004629629629631</v>
      </c>
      <c r="S105" s="1">
        <v>23500</v>
      </c>
      <c r="T105">
        <v>50</v>
      </c>
      <c r="U105">
        <v>0.21</v>
      </c>
      <c r="V105" s="1">
        <v>98905</v>
      </c>
      <c r="W105">
        <v>41.96</v>
      </c>
    </row>
    <row r="106" spans="3:23" x14ac:dyDescent="0.3">
      <c r="C106">
        <v>103</v>
      </c>
      <c r="D106">
        <v>251270</v>
      </c>
      <c r="E106" t="s">
        <v>132</v>
      </c>
      <c r="G106" s="1">
        <v>51100</v>
      </c>
      <c r="H106">
        <v>2</v>
      </c>
      <c r="I106" s="1">
        <v>2000</v>
      </c>
      <c r="J106">
        <v>4.07</v>
      </c>
      <c r="K106" s="1">
        <v>32462</v>
      </c>
      <c r="L106" s="1">
        <v>1628</v>
      </c>
      <c r="M106" s="1">
        <v>50143</v>
      </c>
      <c r="N106" s="1">
        <v>49250</v>
      </c>
      <c r="O106" s="1">
        <v>51100</v>
      </c>
      <c r="P106" s="1">
        <v>48950</v>
      </c>
      <c r="Q106" t="s">
        <v>724</v>
      </c>
      <c r="R106" s="3">
        <v>0.42092592592592593</v>
      </c>
      <c r="S106" s="1">
        <v>51100</v>
      </c>
      <c r="V106" s="1">
        <v>84445</v>
      </c>
      <c r="W106">
        <v>38.44</v>
      </c>
    </row>
    <row r="107" spans="3:23" x14ac:dyDescent="0.3">
      <c r="C107">
        <v>104</v>
      </c>
      <c r="D107">
        <v>450080</v>
      </c>
      <c r="E107" t="s">
        <v>133</v>
      </c>
      <c r="G107" s="1">
        <v>62200</v>
      </c>
      <c r="H107">
        <v>2</v>
      </c>
      <c r="I107" s="1">
        <v>2800</v>
      </c>
      <c r="J107">
        <v>4.71</v>
      </c>
      <c r="K107" s="1">
        <v>314664</v>
      </c>
      <c r="L107" s="1">
        <v>19353</v>
      </c>
      <c r="M107" s="1">
        <v>61502</v>
      </c>
      <c r="N107" s="1">
        <v>60100</v>
      </c>
      <c r="O107" s="1">
        <v>63200</v>
      </c>
      <c r="P107" s="1">
        <v>59500</v>
      </c>
      <c r="Q107" t="s">
        <v>724</v>
      </c>
      <c r="R107" s="3">
        <v>0.42094907407407406</v>
      </c>
      <c r="S107" s="1">
        <v>62200</v>
      </c>
      <c r="V107" s="1">
        <v>383152</v>
      </c>
      <c r="W107">
        <v>82.12</v>
      </c>
    </row>
    <row r="108" spans="3:23" x14ac:dyDescent="0.3">
      <c r="C108">
        <v>105</v>
      </c>
      <c r="D108">
        <v>82740</v>
      </c>
      <c r="E108" t="s">
        <v>128</v>
      </c>
      <c r="G108" s="1">
        <v>52200</v>
      </c>
      <c r="H108">
        <v>5</v>
      </c>
      <c r="I108" s="1">
        <v>1400</v>
      </c>
      <c r="J108">
        <v>-2.61</v>
      </c>
      <c r="K108" s="1">
        <v>229375</v>
      </c>
      <c r="L108" s="1">
        <v>12237</v>
      </c>
      <c r="M108" s="1">
        <v>53351</v>
      </c>
      <c r="N108" s="1">
        <v>54300</v>
      </c>
      <c r="O108" s="1">
        <v>55000</v>
      </c>
      <c r="P108" s="1">
        <v>52100</v>
      </c>
      <c r="Q108" t="s">
        <v>724</v>
      </c>
      <c r="R108" s="3">
        <v>0.42101851851851851</v>
      </c>
      <c r="S108" s="1">
        <v>52100</v>
      </c>
      <c r="T108">
        <v>100</v>
      </c>
      <c r="U108">
        <v>0.19</v>
      </c>
      <c r="V108" s="1">
        <v>268656</v>
      </c>
      <c r="W108">
        <v>85.37</v>
      </c>
    </row>
    <row r="109" spans="3:23" x14ac:dyDescent="0.3">
      <c r="C109">
        <v>106</v>
      </c>
      <c r="D109">
        <v>11790</v>
      </c>
      <c r="E109" t="s">
        <v>135</v>
      </c>
      <c r="G109" s="1">
        <v>115000</v>
      </c>
      <c r="H109">
        <v>2</v>
      </c>
      <c r="I109" s="1">
        <v>6100</v>
      </c>
      <c r="J109">
        <v>5.6</v>
      </c>
      <c r="K109" s="1">
        <v>162349</v>
      </c>
      <c r="L109" s="1">
        <v>18267</v>
      </c>
      <c r="M109" s="1">
        <v>112516</v>
      </c>
      <c r="N109" s="1">
        <v>111000</v>
      </c>
      <c r="O109" s="1">
        <v>115500</v>
      </c>
      <c r="P109" s="1">
        <v>109200</v>
      </c>
      <c r="Q109" t="s">
        <v>724</v>
      </c>
      <c r="R109" s="3">
        <v>0.4210416666666667</v>
      </c>
      <c r="S109" s="1">
        <v>115100</v>
      </c>
      <c r="T109">
        <v>-100</v>
      </c>
      <c r="U109">
        <v>-0.09</v>
      </c>
      <c r="V109" s="1">
        <v>211546</v>
      </c>
      <c r="W109">
        <v>76.739999999999995</v>
      </c>
    </row>
    <row r="110" spans="3:23" x14ac:dyDescent="0.3">
      <c r="C110">
        <v>107</v>
      </c>
      <c r="D110">
        <v>62040</v>
      </c>
      <c r="E110" t="s">
        <v>131</v>
      </c>
      <c r="G110" s="1">
        <v>142200</v>
      </c>
      <c r="H110">
        <v>2</v>
      </c>
      <c r="I110">
        <v>400</v>
      </c>
      <c r="J110">
        <v>0.28000000000000003</v>
      </c>
      <c r="K110" s="1">
        <v>77205</v>
      </c>
      <c r="L110" s="1">
        <v>11068</v>
      </c>
      <c r="M110" s="1">
        <v>143364</v>
      </c>
      <c r="N110" s="1">
        <v>144200</v>
      </c>
      <c r="O110" s="1">
        <v>145300</v>
      </c>
      <c r="P110" s="1">
        <v>141400</v>
      </c>
      <c r="Q110" t="s">
        <v>724</v>
      </c>
      <c r="R110" s="3">
        <v>0.42101851851851851</v>
      </c>
      <c r="S110" s="1">
        <v>142200</v>
      </c>
      <c r="V110" s="1">
        <v>81254</v>
      </c>
      <c r="W110">
        <v>95.01</v>
      </c>
    </row>
    <row r="111" spans="3:23" x14ac:dyDescent="0.3">
      <c r="C111">
        <v>108</v>
      </c>
      <c r="D111">
        <v>990</v>
      </c>
      <c r="E111" t="s">
        <v>137</v>
      </c>
      <c r="G111" s="1">
        <v>96100</v>
      </c>
      <c r="H111">
        <v>2</v>
      </c>
      <c r="I111" s="1">
        <v>5800</v>
      </c>
      <c r="J111">
        <v>6.42</v>
      </c>
      <c r="K111" s="1">
        <v>226958</v>
      </c>
      <c r="L111" s="1">
        <v>21292</v>
      </c>
      <c r="M111" s="1">
        <v>93816</v>
      </c>
      <c r="N111" s="1">
        <v>91200</v>
      </c>
      <c r="O111" s="1">
        <v>97200</v>
      </c>
      <c r="P111" s="1">
        <v>89200</v>
      </c>
      <c r="Q111" t="s">
        <v>724</v>
      </c>
      <c r="R111" s="3">
        <v>0.42097222222222225</v>
      </c>
      <c r="S111" s="1">
        <v>96200</v>
      </c>
      <c r="T111">
        <v>-100</v>
      </c>
      <c r="U111">
        <v>-0.1</v>
      </c>
      <c r="V111" s="1">
        <v>352561</v>
      </c>
      <c r="W111">
        <v>64.37</v>
      </c>
    </row>
    <row r="112" spans="3:23" x14ac:dyDescent="0.3">
      <c r="C112">
        <v>109</v>
      </c>
      <c r="D112">
        <v>51900</v>
      </c>
      <c r="E112" t="s">
        <v>136</v>
      </c>
      <c r="G112" s="1">
        <v>273000</v>
      </c>
      <c r="H112">
        <v>2</v>
      </c>
      <c r="I112" s="1">
        <v>3500</v>
      </c>
      <c r="J112">
        <v>1.3</v>
      </c>
      <c r="K112" s="1">
        <v>18211</v>
      </c>
      <c r="L112" s="1">
        <v>4946</v>
      </c>
      <c r="M112" s="1">
        <v>271584</v>
      </c>
      <c r="N112" s="1">
        <v>270000</v>
      </c>
      <c r="O112" s="1">
        <v>274500</v>
      </c>
      <c r="P112" s="1">
        <v>268000</v>
      </c>
      <c r="Q112" t="s">
        <v>724</v>
      </c>
      <c r="R112" s="3">
        <v>0.42020833333333335</v>
      </c>
      <c r="S112" s="1">
        <v>273000</v>
      </c>
      <c r="V112" s="1">
        <v>33097</v>
      </c>
      <c r="W112">
        <v>55.02</v>
      </c>
    </row>
    <row r="113" spans="3:23" x14ac:dyDescent="0.3">
      <c r="C113">
        <v>110</v>
      </c>
      <c r="D113">
        <v>2380</v>
      </c>
      <c r="E113" t="s">
        <v>139</v>
      </c>
      <c r="G113" s="1">
        <v>440500</v>
      </c>
      <c r="H113">
        <v>2</v>
      </c>
      <c r="I113" s="1">
        <v>2000</v>
      </c>
      <c r="J113">
        <v>0.46</v>
      </c>
      <c r="K113" s="1">
        <v>3761</v>
      </c>
      <c r="L113" s="1">
        <v>1657</v>
      </c>
      <c r="M113" s="1">
        <v>440465</v>
      </c>
      <c r="N113" s="1">
        <v>440000</v>
      </c>
      <c r="O113" s="1">
        <v>446000</v>
      </c>
      <c r="P113" s="1">
        <v>437000</v>
      </c>
      <c r="Q113" t="s">
        <v>724</v>
      </c>
      <c r="R113" s="3">
        <v>0.42016203703703708</v>
      </c>
      <c r="S113" s="1">
        <v>440500</v>
      </c>
      <c r="V113" s="1">
        <v>5156</v>
      </c>
      <c r="W113">
        <v>72.94</v>
      </c>
    </row>
    <row r="114" spans="3:23" x14ac:dyDescent="0.3">
      <c r="C114">
        <v>111</v>
      </c>
      <c r="D114">
        <v>302440</v>
      </c>
      <c r="E114" t="s">
        <v>143</v>
      </c>
      <c r="G114" s="1">
        <v>49450</v>
      </c>
      <c r="H114">
        <v>2</v>
      </c>
      <c r="I114">
        <v>900</v>
      </c>
      <c r="J114">
        <v>1.85</v>
      </c>
      <c r="K114" s="1">
        <v>38195</v>
      </c>
      <c r="L114" s="1">
        <v>1877</v>
      </c>
      <c r="M114" s="1">
        <v>49136</v>
      </c>
      <c r="N114" s="1">
        <v>49700</v>
      </c>
      <c r="O114" s="1">
        <v>49700</v>
      </c>
      <c r="P114" s="1">
        <v>48600</v>
      </c>
      <c r="Q114" t="s">
        <v>724</v>
      </c>
      <c r="R114" s="3">
        <v>0.42074074074074069</v>
      </c>
      <c r="S114" s="1">
        <v>49300</v>
      </c>
      <c r="T114">
        <v>150</v>
      </c>
      <c r="U114">
        <v>0.3</v>
      </c>
      <c r="V114" s="1">
        <v>68544</v>
      </c>
      <c r="W114">
        <v>55.72</v>
      </c>
    </row>
    <row r="115" spans="3:23" x14ac:dyDescent="0.3">
      <c r="C115">
        <v>112</v>
      </c>
      <c r="D115">
        <v>11780</v>
      </c>
      <c r="E115" t="s">
        <v>145</v>
      </c>
      <c r="G115" s="1">
        <v>148000</v>
      </c>
      <c r="H115">
        <v>2</v>
      </c>
      <c r="I115" s="1">
        <v>2500</v>
      </c>
      <c r="J115">
        <v>1.72</v>
      </c>
      <c r="K115" s="1">
        <v>20322</v>
      </c>
      <c r="L115" s="1">
        <v>2981</v>
      </c>
      <c r="M115" s="1">
        <v>146711</v>
      </c>
      <c r="N115" s="1">
        <v>149800</v>
      </c>
      <c r="O115" s="1">
        <v>149800</v>
      </c>
      <c r="P115" s="1">
        <v>144500</v>
      </c>
      <c r="Q115" t="s">
        <v>724</v>
      </c>
      <c r="R115" s="3">
        <v>0.42103009259259255</v>
      </c>
      <c r="S115" s="1">
        <v>148200</v>
      </c>
      <c r="T115">
        <v>-200</v>
      </c>
      <c r="U115">
        <v>-0.13</v>
      </c>
      <c r="V115" s="1">
        <v>49921</v>
      </c>
      <c r="W115">
        <v>40.700000000000003</v>
      </c>
    </row>
    <row r="116" spans="3:23" x14ac:dyDescent="0.3">
      <c r="C116">
        <v>113</v>
      </c>
      <c r="D116">
        <v>35250</v>
      </c>
      <c r="E116" t="s">
        <v>140</v>
      </c>
      <c r="G116" s="1">
        <v>17920</v>
      </c>
      <c r="H116">
        <v>5</v>
      </c>
      <c r="I116">
        <v>60</v>
      </c>
      <c r="J116">
        <v>-0.33</v>
      </c>
      <c r="K116" s="1">
        <v>81348</v>
      </c>
      <c r="L116" s="1">
        <v>1456</v>
      </c>
      <c r="M116" s="1">
        <v>17894</v>
      </c>
      <c r="N116" s="1">
        <v>17980</v>
      </c>
      <c r="O116" s="1">
        <v>18010</v>
      </c>
      <c r="P116" s="1">
        <v>17810</v>
      </c>
      <c r="Q116" t="s">
        <v>724</v>
      </c>
      <c r="R116" s="3">
        <v>0.4209606481481481</v>
      </c>
      <c r="S116" s="1">
        <v>17930</v>
      </c>
      <c r="T116">
        <v>-10</v>
      </c>
      <c r="U116">
        <v>-0.06</v>
      </c>
      <c r="V116" s="1">
        <v>162020</v>
      </c>
      <c r="W116">
        <v>50.2</v>
      </c>
    </row>
    <row r="117" spans="3:23" x14ac:dyDescent="0.3">
      <c r="C117">
        <v>114</v>
      </c>
      <c r="D117">
        <v>36460</v>
      </c>
      <c r="E117" t="s">
        <v>146</v>
      </c>
      <c r="G117" s="1">
        <v>40900</v>
      </c>
      <c r="H117">
        <v>2</v>
      </c>
      <c r="I117">
        <v>650</v>
      </c>
      <c r="J117">
        <v>1.61</v>
      </c>
      <c r="K117" s="1">
        <v>236594</v>
      </c>
      <c r="L117" s="1">
        <v>9645</v>
      </c>
      <c r="M117" s="1">
        <v>40764</v>
      </c>
      <c r="N117" s="1">
        <v>40450</v>
      </c>
      <c r="O117" s="1">
        <v>41400</v>
      </c>
      <c r="P117" s="1">
        <v>40400</v>
      </c>
      <c r="Q117" t="s">
        <v>724</v>
      </c>
      <c r="R117" s="3">
        <v>0.4210416666666667</v>
      </c>
      <c r="S117" s="1">
        <v>40950</v>
      </c>
      <c r="T117">
        <v>-50</v>
      </c>
      <c r="U117">
        <v>-0.12</v>
      </c>
      <c r="V117" s="1">
        <v>225117</v>
      </c>
      <c r="W117">
        <v>105.09</v>
      </c>
    </row>
    <row r="118" spans="3:23" x14ac:dyDescent="0.3">
      <c r="C118">
        <v>115</v>
      </c>
      <c r="D118">
        <v>111770</v>
      </c>
      <c r="E118" t="s">
        <v>147</v>
      </c>
      <c r="G118" s="1">
        <v>85200</v>
      </c>
      <c r="H118">
        <v>2</v>
      </c>
      <c r="I118">
        <v>400</v>
      </c>
      <c r="J118">
        <v>0.47</v>
      </c>
      <c r="K118" s="1">
        <v>5699</v>
      </c>
      <c r="L118">
        <v>474</v>
      </c>
      <c r="M118" s="1">
        <v>83220</v>
      </c>
      <c r="N118" s="1">
        <v>82500</v>
      </c>
      <c r="O118" s="1">
        <v>85300</v>
      </c>
      <c r="P118" s="1">
        <v>81700</v>
      </c>
      <c r="Q118" t="s">
        <v>724</v>
      </c>
      <c r="R118" s="3">
        <v>0.42031250000000003</v>
      </c>
      <c r="S118" s="1">
        <v>85200</v>
      </c>
      <c r="V118" s="1">
        <v>20703</v>
      </c>
      <c r="W118">
        <v>27.52</v>
      </c>
    </row>
    <row r="119" spans="3:23" x14ac:dyDescent="0.3">
      <c r="C119">
        <v>116</v>
      </c>
      <c r="D119">
        <v>17800</v>
      </c>
      <c r="E119" t="s">
        <v>149</v>
      </c>
      <c r="G119" s="1">
        <v>93700</v>
      </c>
      <c r="H119">
        <v>2</v>
      </c>
      <c r="I119" s="1">
        <v>1200</v>
      </c>
      <c r="J119">
        <v>1.3</v>
      </c>
      <c r="K119" s="1">
        <v>84510</v>
      </c>
      <c r="L119" s="1">
        <v>7980</v>
      </c>
      <c r="M119" s="1">
        <v>94421</v>
      </c>
      <c r="N119" s="1">
        <v>92800</v>
      </c>
      <c r="O119" s="1">
        <v>96100</v>
      </c>
      <c r="P119" s="1">
        <v>92500</v>
      </c>
      <c r="Q119" t="s">
        <v>724</v>
      </c>
      <c r="R119" s="3">
        <v>0.42084490740740743</v>
      </c>
      <c r="S119" s="1">
        <v>93900</v>
      </c>
      <c r="T119">
        <v>-200</v>
      </c>
      <c r="U119">
        <v>-0.21</v>
      </c>
      <c r="V119" s="1">
        <v>133253</v>
      </c>
      <c r="W119">
        <v>63.42</v>
      </c>
    </row>
    <row r="120" spans="3:23" x14ac:dyDescent="0.3">
      <c r="C120">
        <v>117</v>
      </c>
      <c r="D120">
        <v>18880</v>
      </c>
      <c r="E120" t="s">
        <v>154</v>
      </c>
      <c r="G120" s="1">
        <v>3480</v>
      </c>
      <c r="H120">
        <v>2</v>
      </c>
      <c r="I120">
        <v>230</v>
      </c>
      <c r="J120">
        <v>7.08</v>
      </c>
      <c r="K120" s="1">
        <v>14219344</v>
      </c>
      <c r="L120" s="1">
        <v>49849</v>
      </c>
      <c r="M120" s="1">
        <v>3505</v>
      </c>
      <c r="N120" s="1">
        <v>3310</v>
      </c>
      <c r="O120" s="1">
        <v>3770</v>
      </c>
      <c r="P120" s="1">
        <v>3285</v>
      </c>
      <c r="Q120" t="s">
        <v>724</v>
      </c>
      <c r="R120" s="3">
        <v>0.42101851851851851</v>
      </c>
      <c r="S120" s="1">
        <v>3475</v>
      </c>
      <c r="T120">
        <v>5</v>
      </c>
      <c r="U120">
        <v>0.14000000000000001</v>
      </c>
      <c r="V120" s="1">
        <v>17687227</v>
      </c>
      <c r="W120">
        <v>80.39</v>
      </c>
    </row>
    <row r="121" spans="3:23" x14ac:dyDescent="0.3">
      <c r="C121">
        <v>118</v>
      </c>
      <c r="D121">
        <v>31210</v>
      </c>
      <c r="E121" t="s">
        <v>152</v>
      </c>
      <c r="G121" s="1">
        <v>49450</v>
      </c>
      <c r="H121">
        <v>2</v>
      </c>
      <c r="I121">
        <v>100</v>
      </c>
      <c r="J121">
        <v>0.2</v>
      </c>
      <c r="K121" s="1">
        <v>8921</v>
      </c>
      <c r="L121">
        <v>441</v>
      </c>
      <c r="M121" s="1">
        <v>49468</v>
      </c>
      <c r="N121" s="1">
        <v>49300</v>
      </c>
      <c r="O121" s="1">
        <v>49800</v>
      </c>
      <c r="P121" s="1">
        <v>49200</v>
      </c>
      <c r="Q121" t="s">
        <v>724</v>
      </c>
      <c r="R121" s="3">
        <v>0.41692129629629626</v>
      </c>
      <c r="S121" s="1">
        <v>49250</v>
      </c>
      <c r="T121">
        <v>200</v>
      </c>
      <c r="U121">
        <v>0.41</v>
      </c>
      <c r="V121" s="1">
        <v>10609</v>
      </c>
      <c r="W121">
        <v>84.08</v>
      </c>
    </row>
    <row r="122" spans="3:23" x14ac:dyDescent="0.3">
      <c r="C122">
        <v>119</v>
      </c>
      <c r="D122">
        <v>103140</v>
      </c>
      <c r="E122" t="s">
        <v>153</v>
      </c>
      <c r="G122" s="1">
        <v>119100</v>
      </c>
      <c r="H122">
        <v>5</v>
      </c>
      <c r="I122" s="1">
        <v>3000</v>
      </c>
      <c r="J122">
        <v>-2.46</v>
      </c>
      <c r="K122" s="1">
        <v>100697</v>
      </c>
      <c r="L122" s="1">
        <v>12134</v>
      </c>
      <c r="M122" s="1">
        <v>120501</v>
      </c>
      <c r="N122" s="1">
        <v>122700</v>
      </c>
      <c r="O122" s="1">
        <v>124000</v>
      </c>
      <c r="P122" s="1">
        <v>118000</v>
      </c>
      <c r="Q122" t="s">
        <v>724</v>
      </c>
      <c r="R122" s="3">
        <v>0.42093749999999996</v>
      </c>
      <c r="S122" s="1">
        <v>119000</v>
      </c>
      <c r="T122">
        <v>100</v>
      </c>
      <c r="U122">
        <v>0.08</v>
      </c>
      <c r="V122" s="1">
        <v>98689</v>
      </c>
      <c r="W122">
        <v>102.03</v>
      </c>
    </row>
    <row r="123" spans="3:23" x14ac:dyDescent="0.3">
      <c r="C123">
        <v>120</v>
      </c>
      <c r="D123">
        <v>204320</v>
      </c>
      <c r="E123" t="s">
        <v>151</v>
      </c>
      <c r="G123" s="1">
        <v>69800</v>
      </c>
      <c r="H123">
        <v>5</v>
      </c>
      <c r="I123" s="1">
        <v>1600</v>
      </c>
      <c r="J123">
        <v>-2.2400000000000002</v>
      </c>
      <c r="K123" s="1">
        <v>2218114</v>
      </c>
      <c r="L123" s="1">
        <v>162955</v>
      </c>
      <c r="M123" s="1">
        <v>73465</v>
      </c>
      <c r="N123" s="1">
        <v>74700</v>
      </c>
      <c r="O123" s="1">
        <v>76700</v>
      </c>
      <c r="P123" s="1">
        <v>68900</v>
      </c>
      <c r="Q123" t="s">
        <v>724</v>
      </c>
      <c r="R123" s="3">
        <v>0.4210416666666667</v>
      </c>
      <c r="S123" s="1">
        <v>69800</v>
      </c>
      <c r="V123" s="1">
        <v>1368467</v>
      </c>
      <c r="W123">
        <v>162.08000000000001</v>
      </c>
    </row>
    <row r="124" spans="3:23" x14ac:dyDescent="0.3">
      <c r="C124">
        <v>121</v>
      </c>
      <c r="D124">
        <v>11170</v>
      </c>
      <c r="E124" t="s">
        <v>161</v>
      </c>
      <c r="G124" s="1">
        <v>76400</v>
      </c>
      <c r="H124">
        <v>2</v>
      </c>
      <c r="I124" s="1">
        <v>3300</v>
      </c>
      <c r="J124">
        <v>4.51</v>
      </c>
      <c r="K124" s="1">
        <v>68135</v>
      </c>
      <c r="L124" s="1">
        <v>5145</v>
      </c>
      <c r="M124" s="1">
        <v>75505</v>
      </c>
      <c r="N124" s="1">
        <v>73400</v>
      </c>
      <c r="O124" s="1">
        <v>77200</v>
      </c>
      <c r="P124" s="1">
        <v>73100</v>
      </c>
      <c r="Q124" t="s">
        <v>724</v>
      </c>
      <c r="R124" s="3">
        <v>0.42094907407407406</v>
      </c>
      <c r="S124" s="1">
        <v>76500</v>
      </c>
      <c r="T124">
        <v>-100</v>
      </c>
      <c r="U124">
        <v>-0.13</v>
      </c>
      <c r="V124" s="1">
        <v>101060</v>
      </c>
      <c r="W124">
        <v>67.42</v>
      </c>
    </row>
    <row r="125" spans="3:23" x14ac:dyDescent="0.3">
      <c r="C125">
        <v>122</v>
      </c>
      <c r="D125">
        <v>457190</v>
      </c>
      <c r="E125" t="s">
        <v>171</v>
      </c>
      <c r="G125" s="1">
        <v>107500</v>
      </c>
      <c r="H125">
        <v>2</v>
      </c>
      <c r="I125" s="1">
        <v>19500</v>
      </c>
      <c r="J125">
        <v>22.16</v>
      </c>
      <c r="K125" s="1">
        <v>2398814</v>
      </c>
      <c r="L125" s="1">
        <v>239375</v>
      </c>
      <c r="M125" s="1">
        <v>99788</v>
      </c>
      <c r="N125" s="1">
        <v>91000</v>
      </c>
      <c r="O125" s="1">
        <v>111800</v>
      </c>
      <c r="P125" s="1">
        <v>89700</v>
      </c>
      <c r="Q125" t="s">
        <v>724</v>
      </c>
      <c r="R125" s="3">
        <v>0.4210416666666667</v>
      </c>
      <c r="S125" s="1">
        <v>107600</v>
      </c>
      <c r="T125">
        <v>-100</v>
      </c>
      <c r="U125">
        <v>-0.09</v>
      </c>
      <c r="V125" s="1">
        <v>2615176</v>
      </c>
      <c r="W125">
        <v>91.72</v>
      </c>
    </row>
    <row r="126" spans="3:23" x14ac:dyDescent="0.3">
      <c r="C126">
        <v>123</v>
      </c>
      <c r="D126">
        <v>97950</v>
      </c>
      <c r="E126" t="s">
        <v>159</v>
      </c>
      <c r="G126" s="1">
        <v>213000</v>
      </c>
      <c r="H126">
        <v>3</v>
      </c>
      <c r="K126" s="1">
        <v>8902</v>
      </c>
      <c r="L126" s="1">
        <v>1893</v>
      </c>
      <c r="M126" s="1">
        <v>212621</v>
      </c>
      <c r="N126" s="1">
        <v>213000</v>
      </c>
      <c r="O126" s="1">
        <v>213500</v>
      </c>
      <c r="P126" s="1">
        <v>211000</v>
      </c>
      <c r="Q126" t="s">
        <v>724</v>
      </c>
      <c r="R126" s="3">
        <v>0.42048611111111112</v>
      </c>
      <c r="S126" s="1">
        <v>213000</v>
      </c>
      <c r="V126" s="1">
        <v>21900</v>
      </c>
      <c r="W126">
        <v>40.64</v>
      </c>
    </row>
    <row r="127" spans="3:23" x14ac:dyDescent="0.3">
      <c r="C127">
        <v>124</v>
      </c>
      <c r="D127">
        <v>14680</v>
      </c>
      <c r="E127" t="s">
        <v>164</v>
      </c>
      <c r="G127" s="1">
        <v>273500</v>
      </c>
      <c r="H127">
        <v>2</v>
      </c>
      <c r="I127" s="1">
        <v>12000</v>
      </c>
      <c r="J127">
        <v>4.59</v>
      </c>
      <c r="K127" s="1">
        <v>13479</v>
      </c>
      <c r="L127" s="1">
        <v>3628</v>
      </c>
      <c r="M127" s="1">
        <v>269128</v>
      </c>
      <c r="N127" s="1">
        <v>265000</v>
      </c>
      <c r="O127" s="1">
        <v>274500</v>
      </c>
      <c r="P127" s="1">
        <v>263500</v>
      </c>
      <c r="Q127" t="s">
        <v>724</v>
      </c>
      <c r="R127" s="3">
        <v>0.42041666666666666</v>
      </c>
      <c r="S127" s="1">
        <v>273500</v>
      </c>
      <c r="V127" s="1">
        <v>34117</v>
      </c>
      <c r="W127">
        <v>39.5</v>
      </c>
    </row>
    <row r="128" spans="3:23" x14ac:dyDescent="0.3">
      <c r="C128">
        <v>125</v>
      </c>
      <c r="D128">
        <v>71970</v>
      </c>
      <c r="E128" t="s">
        <v>160</v>
      </c>
      <c r="G128" s="1">
        <v>90000</v>
      </c>
      <c r="H128">
        <v>5</v>
      </c>
      <c r="I128" s="1">
        <v>3100</v>
      </c>
      <c r="J128">
        <v>-3.33</v>
      </c>
      <c r="K128" s="1">
        <v>92155</v>
      </c>
      <c r="L128" s="1">
        <v>8475</v>
      </c>
      <c r="M128" s="1">
        <v>91966</v>
      </c>
      <c r="N128" s="1">
        <v>95000</v>
      </c>
      <c r="O128" s="1">
        <v>95000</v>
      </c>
      <c r="P128" s="1">
        <v>90000</v>
      </c>
      <c r="Q128" t="s">
        <v>724</v>
      </c>
      <c r="R128" s="3">
        <v>0.42089120370370375</v>
      </c>
      <c r="S128" s="1">
        <v>90100</v>
      </c>
      <c r="T128">
        <v>-100</v>
      </c>
      <c r="U128">
        <v>-0.11</v>
      </c>
      <c r="V128" s="1">
        <v>141588</v>
      </c>
      <c r="W128">
        <v>65.08</v>
      </c>
    </row>
    <row r="129" spans="3:23" x14ac:dyDescent="0.3">
      <c r="C129">
        <v>126</v>
      </c>
      <c r="D129">
        <v>4990</v>
      </c>
      <c r="E129" t="s">
        <v>162</v>
      </c>
      <c r="G129" s="1">
        <v>28950</v>
      </c>
      <c r="H129">
        <v>2</v>
      </c>
      <c r="I129">
        <v>100</v>
      </c>
      <c r="J129">
        <v>0.35</v>
      </c>
      <c r="K129" s="1">
        <v>91214</v>
      </c>
      <c r="L129" s="1">
        <v>2635</v>
      </c>
      <c r="M129" s="1">
        <v>28893</v>
      </c>
      <c r="N129" s="1">
        <v>29000</v>
      </c>
      <c r="O129" s="1">
        <v>29200</v>
      </c>
      <c r="P129" s="1">
        <v>28500</v>
      </c>
      <c r="Q129" t="s">
        <v>724</v>
      </c>
      <c r="R129" s="3">
        <v>0.41885416666666669</v>
      </c>
      <c r="S129" s="1">
        <v>28850</v>
      </c>
      <c r="T129">
        <v>100</v>
      </c>
      <c r="U129">
        <v>0.35</v>
      </c>
      <c r="V129" s="1">
        <v>67666</v>
      </c>
      <c r="W129">
        <v>134.80000000000001</v>
      </c>
    </row>
    <row r="130" spans="3:23" x14ac:dyDescent="0.3">
      <c r="C130">
        <v>127</v>
      </c>
      <c r="D130">
        <v>12750</v>
      </c>
      <c r="E130" t="s">
        <v>165</v>
      </c>
      <c r="G130" s="1">
        <v>79200</v>
      </c>
      <c r="H130">
        <v>5</v>
      </c>
      <c r="I130">
        <v>300</v>
      </c>
      <c r="J130">
        <v>-0.38</v>
      </c>
      <c r="K130" s="1">
        <v>4666</v>
      </c>
      <c r="L130">
        <v>364</v>
      </c>
      <c r="M130" s="1">
        <v>78030</v>
      </c>
      <c r="N130" s="1">
        <v>79500</v>
      </c>
      <c r="O130" s="1">
        <v>79900</v>
      </c>
      <c r="P130" s="1">
        <v>76600</v>
      </c>
      <c r="Q130" t="s">
        <v>724</v>
      </c>
      <c r="R130" s="3">
        <v>0.41873842592592592</v>
      </c>
      <c r="S130" s="1">
        <v>79000</v>
      </c>
      <c r="T130">
        <v>200</v>
      </c>
      <c r="U130">
        <v>0.25</v>
      </c>
      <c r="V130" s="1">
        <v>17835</v>
      </c>
      <c r="W130">
        <v>26.16</v>
      </c>
    </row>
    <row r="131" spans="3:23" x14ac:dyDescent="0.3">
      <c r="C131">
        <v>128</v>
      </c>
      <c r="D131">
        <v>12510</v>
      </c>
      <c r="E131" t="s">
        <v>167</v>
      </c>
      <c r="G131" s="1">
        <v>98000</v>
      </c>
      <c r="H131">
        <v>2</v>
      </c>
      <c r="I131" s="1">
        <v>1000</v>
      </c>
      <c r="J131">
        <v>1.03</v>
      </c>
      <c r="K131" s="1">
        <v>27198</v>
      </c>
      <c r="L131" s="1">
        <v>2643</v>
      </c>
      <c r="M131" s="1">
        <v>97193</v>
      </c>
      <c r="N131" s="1">
        <v>96900</v>
      </c>
      <c r="O131" s="1">
        <v>98300</v>
      </c>
      <c r="P131" s="1">
        <v>95700</v>
      </c>
      <c r="Q131" t="s">
        <v>724</v>
      </c>
      <c r="R131" s="3">
        <v>0.41931712962962964</v>
      </c>
      <c r="S131" s="1">
        <v>97900</v>
      </c>
      <c r="T131">
        <v>100</v>
      </c>
      <c r="U131">
        <v>0.1</v>
      </c>
      <c r="V131" s="1">
        <v>40806</v>
      </c>
      <c r="W131">
        <v>66.650000000000006</v>
      </c>
    </row>
    <row r="132" spans="3:23" x14ac:dyDescent="0.3">
      <c r="C132">
        <v>129</v>
      </c>
      <c r="D132">
        <v>103590</v>
      </c>
      <c r="E132" t="s">
        <v>166</v>
      </c>
      <c r="G132" s="1">
        <v>61400</v>
      </c>
      <c r="H132">
        <v>2</v>
      </c>
      <c r="I132">
        <v>300</v>
      </c>
      <c r="J132">
        <v>0.49</v>
      </c>
      <c r="K132" s="1">
        <v>146711</v>
      </c>
      <c r="L132" s="1">
        <v>9043</v>
      </c>
      <c r="M132" s="1">
        <v>61635</v>
      </c>
      <c r="N132" s="1">
        <v>61300</v>
      </c>
      <c r="O132" s="1">
        <v>62400</v>
      </c>
      <c r="P132" s="1">
        <v>60500</v>
      </c>
      <c r="Q132" t="s">
        <v>724</v>
      </c>
      <c r="R132" s="3">
        <v>0.42024305555555558</v>
      </c>
      <c r="S132" s="1">
        <v>61400</v>
      </c>
      <c r="V132" s="1">
        <v>121486</v>
      </c>
      <c r="W132">
        <v>120.76</v>
      </c>
    </row>
    <row r="133" spans="3:23" x14ac:dyDescent="0.3">
      <c r="C133">
        <v>130</v>
      </c>
      <c r="D133">
        <v>5850</v>
      </c>
      <c r="E133" t="s">
        <v>156</v>
      </c>
      <c r="G133" s="1">
        <v>62500</v>
      </c>
      <c r="H133">
        <v>5</v>
      </c>
      <c r="I133" s="1">
        <v>2300</v>
      </c>
      <c r="J133">
        <v>-3.55</v>
      </c>
      <c r="K133" s="1">
        <v>1152594</v>
      </c>
      <c r="L133" s="1">
        <v>80371</v>
      </c>
      <c r="M133" s="1">
        <v>69730</v>
      </c>
      <c r="N133" s="1">
        <v>67800</v>
      </c>
      <c r="O133" s="1">
        <v>73900</v>
      </c>
      <c r="P133" s="1">
        <v>62300</v>
      </c>
      <c r="Q133" t="s">
        <v>724</v>
      </c>
      <c r="R133" s="3">
        <v>0.4210416666666667</v>
      </c>
      <c r="S133" s="1">
        <v>62400</v>
      </c>
      <c r="T133">
        <v>100</v>
      </c>
      <c r="U133">
        <v>0.16</v>
      </c>
      <c r="V133" s="1">
        <v>641133</v>
      </c>
      <c r="W133">
        <v>179.77</v>
      </c>
    </row>
    <row r="134" spans="3:23" x14ac:dyDescent="0.3">
      <c r="C134">
        <v>131</v>
      </c>
      <c r="D134">
        <v>4170</v>
      </c>
      <c r="E134" t="s">
        <v>172</v>
      </c>
      <c r="G134" s="1">
        <v>290000</v>
      </c>
      <c r="H134">
        <v>2</v>
      </c>
      <c r="I134">
        <v>500</v>
      </c>
      <c r="J134">
        <v>0.17</v>
      </c>
      <c r="K134" s="1">
        <v>6259</v>
      </c>
      <c r="L134" s="1">
        <v>1813</v>
      </c>
      <c r="M134" s="1">
        <v>289699</v>
      </c>
      <c r="N134" s="1">
        <v>285000</v>
      </c>
      <c r="O134" s="1">
        <v>293000</v>
      </c>
      <c r="P134" s="1">
        <v>285000</v>
      </c>
      <c r="Q134" t="s">
        <v>724</v>
      </c>
      <c r="R134" s="3">
        <v>0.42003472222222221</v>
      </c>
      <c r="S134" s="1">
        <v>290000</v>
      </c>
      <c r="V134" s="1">
        <v>12093</v>
      </c>
      <c r="W134">
        <v>51.75</v>
      </c>
    </row>
    <row r="135" spans="3:23" x14ac:dyDescent="0.3">
      <c r="C135">
        <v>132</v>
      </c>
      <c r="D135">
        <v>88350</v>
      </c>
      <c r="E135" t="s">
        <v>173</v>
      </c>
      <c r="G135" s="1">
        <v>3195</v>
      </c>
      <c r="H135">
        <v>2</v>
      </c>
      <c r="I135">
        <v>5</v>
      </c>
      <c r="J135">
        <v>0.16</v>
      </c>
      <c r="K135" s="1">
        <v>281457</v>
      </c>
      <c r="L135">
        <v>901</v>
      </c>
      <c r="M135" s="1">
        <v>3200</v>
      </c>
      <c r="N135" s="1">
        <v>3210</v>
      </c>
      <c r="O135" s="1">
        <v>3240</v>
      </c>
      <c r="P135" s="1">
        <v>3180</v>
      </c>
      <c r="Q135" t="s">
        <v>724</v>
      </c>
      <c r="R135" s="3">
        <v>0.42071759259259256</v>
      </c>
      <c r="S135" s="1">
        <v>3195</v>
      </c>
      <c r="V135" s="1">
        <v>578310</v>
      </c>
      <c r="W135">
        <v>48.66</v>
      </c>
    </row>
    <row r="136" spans="3:23" x14ac:dyDescent="0.3">
      <c r="C136">
        <v>133</v>
      </c>
      <c r="D136">
        <v>9970</v>
      </c>
      <c r="E136" t="s">
        <v>185</v>
      </c>
      <c r="G136" s="1">
        <v>197800</v>
      </c>
      <c r="H136">
        <v>2</v>
      </c>
      <c r="I136" s="1">
        <v>3800</v>
      </c>
      <c r="J136">
        <v>1.96</v>
      </c>
      <c r="K136">
        <v>971</v>
      </c>
      <c r="L136">
        <v>188</v>
      </c>
      <c r="M136" s="1">
        <v>193362</v>
      </c>
      <c r="N136" s="1">
        <v>190400</v>
      </c>
      <c r="O136" s="1">
        <v>200500</v>
      </c>
      <c r="P136" s="1">
        <v>190200</v>
      </c>
      <c r="Q136" t="s">
        <v>724</v>
      </c>
      <c r="R136" s="3">
        <v>0.41896990740740742</v>
      </c>
      <c r="S136" s="1">
        <v>198600</v>
      </c>
      <c r="T136">
        <v>-800</v>
      </c>
      <c r="U136">
        <v>-0.4</v>
      </c>
      <c r="V136" s="1">
        <v>6063</v>
      </c>
      <c r="W136">
        <v>16.010000000000002</v>
      </c>
    </row>
    <row r="137" spans="3:23" x14ac:dyDescent="0.3">
      <c r="C137">
        <v>134</v>
      </c>
      <c r="D137">
        <v>489790</v>
      </c>
      <c r="E137" t="s">
        <v>182</v>
      </c>
      <c r="G137" s="1">
        <v>52200</v>
      </c>
      <c r="H137">
        <v>2</v>
      </c>
      <c r="I137" s="1">
        <v>1100</v>
      </c>
      <c r="J137">
        <v>2.15</v>
      </c>
      <c r="K137" s="1">
        <v>228777</v>
      </c>
      <c r="L137" s="1">
        <v>11998</v>
      </c>
      <c r="M137" s="1">
        <v>52444</v>
      </c>
      <c r="N137" s="1">
        <v>52000</v>
      </c>
      <c r="O137" s="1">
        <v>53500</v>
      </c>
      <c r="P137" s="1">
        <v>51500</v>
      </c>
      <c r="Q137" t="s">
        <v>724</v>
      </c>
      <c r="R137" s="3">
        <v>0.42092592592592593</v>
      </c>
      <c r="S137" s="1">
        <v>52100</v>
      </c>
      <c r="T137">
        <v>100</v>
      </c>
      <c r="U137">
        <v>0.19</v>
      </c>
      <c r="V137" s="1">
        <v>249989</v>
      </c>
      <c r="W137">
        <v>91.51</v>
      </c>
    </row>
    <row r="138" spans="3:23" x14ac:dyDescent="0.3">
      <c r="C138">
        <v>135</v>
      </c>
      <c r="D138">
        <v>8930</v>
      </c>
      <c r="E138" t="s">
        <v>177</v>
      </c>
      <c r="G138" s="1">
        <v>38500</v>
      </c>
      <c r="H138">
        <v>5</v>
      </c>
      <c r="I138">
        <v>250</v>
      </c>
      <c r="J138">
        <v>-0.65</v>
      </c>
      <c r="K138" s="1">
        <v>16406</v>
      </c>
      <c r="L138">
        <v>637</v>
      </c>
      <c r="M138" s="1">
        <v>38832</v>
      </c>
      <c r="N138" s="1">
        <v>39050</v>
      </c>
      <c r="O138" s="1">
        <v>39300</v>
      </c>
      <c r="P138" s="1">
        <v>38350</v>
      </c>
      <c r="Q138" t="s">
        <v>724</v>
      </c>
      <c r="R138" s="3">
        <v>0.42100694444444442</v>
      </c>
      <c r="S138" s="1">
        <v>38500</v>
      </c>
      <c r="V138" s="1">
        <v>34395</v>
      </c>
      <c r="W138">
        <v>47.69</v>
      </c>
    </row>
    <row r="139" spans="3:23" x14ac:dyDescent="0.3">
      <c r="C139">
        <v>136</v>
      </c>
      <c r="D139">
        <v>1430</v>
      </c>
      <c r="E139" t="s">
        <v>175</v>
      </c>
      <c r="G139" s="1">
        <v>73300</v>
      </c>
      <c r="H139">
        <v>5</v>
      </c>
      <c r="I139" s="1">
        <v>3200</v>
      </c>
      <c r="J139">
        <v>-4.18</v>
      </c>
      <c r="K139" s="1">
        <v>113697</v>
      </c>
      <c r="L139" s="1">
        <v>8527</v>
      </c>
      <c r="M139" s="1">
        <v>75000</v>
      </c>
      <c r="N139" s="1">
        <v>76500</v>
      </c>
      <c r="O139" s="1">
        <v>78000</v>
      </c>
      <c r="P139" s="1">
        <v>72000</v>
      </c>
      <c r="Q139" t="s">
        <v>724</v>
      </c>
      <c r="R139" s="3">
        <v>0.42069444444444443</v>
      </c>
      <c r="S139" s="1">
        <v>73300</v>
      </c>
      <c r="V139" s="1">
        <v>146832</v>
      </c>
      <c r="W139">
        <v>77.430000000000007</v>
      </c>
    </row>
    <row r="140" spans="3:23" x14ac:dyDescent="0.3">
      <c r="C140">
        <v>137</v>
      </c>
      <c r="D140">
        <v>51600</v>
      </c>
      <c r="E140" t="s">
        <v>178</v>
      </c>
      <c r="G140" s="1">
        <v>58300</v>
      </c>
      <c r="H140">
        <v>2</v>
      </c>
      <c r="I140">
        <v>300</v>
      </c>
      <c r="J140">
        <v>0.52</v>
      </c>
      <c r="K140" s="1">
        <v>119912</v>
      </c>
      <c r="L140" s="1">
        <v>7061</v>
      </c>
      <c r="M140" s="1">
        <v>58887</v>
      </c>
      <c r="N140" s="1">
        <v>60100</v>
      </c>
      <c r="O140" s="1">
        <v>61000</v>
      </c>
      <c r="P140" s="1">
        <v>58000</v>
      </c>
      <c r="Q140" t="s">
        <v>724</v>
      </c>
      <c r="R140" s="3">
        <v>0.42097222222222225</v>
      </c>
      <c r="S140" s="1">
        <v>58300</v>
      </c>
      <c r="V140" s="1">
        <v>133981</v>
      </c>
      <c r="W140">
        <v>89.49</v>
      </c>
    </row>
    <row r="141" spans="3:23" x14ac:dyDescent="0.3">
      <c r="C141">
        <v>138</v>
      </c>
      <c r="D141">
        <v>439260</v>
      </c>
      <c r="E141" t="s">
        <v>181</v>
      </c>
      <c r="G141" s="1">
        <v>67700</v>
      </c>
      <c r="H141">
        <v>5</v>
      </c>
      <c r="I141">
        <v>100</v>
      </c>
      <c r="J141">
        <v>-0.15</v>
      </c>
      <c r="K141" s="1">
        <v>44881</v>
      </c>
      <c r="L141" s="1">
        <v>3053</v>
      </c>
      <c r="M141" s="1">
        <v>68030</v>
      </c>
      <c r="N141" s="1">
        <v>68800</v>
      </c>
      <c r="O141" s="1">
        <v>69000</v>
      </c>
      <c r="P141" s="1">
        <v>67100</v>
      </c>
      <c r="Q141" t="s">
        <v>724</v>
      </c>
      <c r="R141" s="3">
        <v>0.42092592592592593</v>
      </c>
      <c r="S141" s="1">
        <v>67600</v>
      </c>
      <c r="T141">
        <v>100</v>
      </c>
      <c r="U141">
        <v>0.15</v>
      </c>
      <c r="V141" s="1">
        <v>43252</v>
      </c>
      <c r="W141">
        <v>103.76</v>
      </c>
    </row>
    <row r="142" spans="3:23" x14ac:dyDescent="0.3">
      <c r="C142">
        <v>139</v>
      </c>
      <c r="D142">
        <v>26960</v>
      </c>
      <c r="E142" t="s">
        <v>184</v>
      </c>
      <c r="G142" s="1">
        <v>26050</v>
      </c>
      <c r="H142">
        <v>5</v>
      </c>
      <c r="I142">
        <v>50</v>
      </c>
      <c r="J142">
        <v>-0.19</v>
      </c>
      <c r="K142" s="1">
        <v>20166</v>
      </c>
      <c r="L142">
        <v>521</v>
      </c>
      <c r="M142" s="1">
        <v>25833</v>
      </c>
      <c r="N142" s="1">
        <v>26100</v>
      </c>
      <c r="O142" s="1">
        <v>26100</v>
      </c>
      <c r="P142" s="1">
        <v>25500</v>
      </c>
      <c r="Q142" t="s">
        <v>724</v>
      </c>
      <c r="R142" s="3">
        <v>0.41827546296296297</v>
      </c>
      <c r="S142" s="1">
        <v>26000</v>
      </c>
      <c r="T142">
        <v>50</v>
      </c>
      <c r="U142">
        <v>0.19</v>
      </c>
      <c r="V142" s="1">
        <v>36056</v>
      </c>
      <c r="W142">
        <v>55.92</v>
      </c>
    </row>
    <row r="143" spans="3:23" x14ac:dyDescent="0.3">
      <c r="C143">
        <v>140</v>
      </c>
      <c r="D143">
        <v>240</v>
      </c>
      <c r="E143" t="s">
        <v>183</v>
      </c>
      <c r="G143" s="1">
        <v>27050</v>
      </c>
      <c r="H143">
        <v>3</v>
      </c>
      <c r="K143" s="1">
        <v>15332</v>
      </c>
      <c r="L143">
        <v>422</v>
      </c>
      <c r="M143" s="1">
        <v>27549</v>
      </c>
      <c r="N143" s="1">
        <v>27450</v>
      </c>
      <c r="O143" s="1">
        <v>28150</v>
      </c>
      <c r="P143" s="1">
        <v>27050</v>
      </c>
      <c r="Q143" t="s">
        <v>724</v>
      </c>
      <c r="R143" s="3">
        <v>0.41875000000000001</v>
      </c>
      <c r="S143" s="1">
        <v>27150</v>
      </c>
      <c r="T143">
        <v>-100</v>
      </c>
      <c r="U143">
        <v>-0.37</v>
      </c>
      <c r="V143" s="1">
        <v>49370</v>
      </c>
      <c r="W143">
        <v>31.05</v>
      </c>
    </row>
    <row r="144" spans="3:23" x14ac:dyDescent="0.3">
      <c r="C144">
        <v>141</v>
      </c>
      <c r="D144">
        <v>11210</v>
      </c>
      <c r="E144" t="s">
        <v>176</v>
      </c>
      <c r="G144" s="1">
        <v>93400</v>
      </c>
      <c r="H144">
        <v>5</v>
      </c>
      <c r="I144">
        <v>300</v>
      </c>
      <c r="J144">
        <v>-0.32</v>
      </c>
      <c r="K144" s="1">
        <v>833327</v>
      </c>
      <c r="L144" s="1">
        <v>81361</v>
      </c>
      <c r="M144" s="1">
        <v>97634</v>
      </c>
      <c r="N144" s="1">
        <v>94500</v>
      </c>
      <c r="O144" s="1">
        <v>101800</v>
      </c>
      <c r="P144" s="1">
        <v>92500</v>
      </c>
      <c r="Q144" t="s">
        <v>724</v>
      </c>
      <c r="R144" s="3">
        <v>0.42101851851851851</v>
      </c>
      <c r="S144" s="1">
        <v>93400</v>
      </c>
      <c r="V144" s="1">
        <v>352114</v>
      </c>
      <c r="W144">
        <v>236.66</v>
      </c>
    </row>
    <row r="145" spans="3:23" x14ac:dyDescent="0.3">
      <c r="C145">
        <v>142</v>
      </c>
      <c r="D145">
        <v>383220</v>
      </c>
      <c r="E145" t="s">
        <v>187</v>
      </c>
      <c r="G145" s="1">
        <v>66100</v>
      </c>
      <c r="H145">
        <v>2</v>
      </c>
      <c r="I145">
        <v>400</v>
      </c>
      <c r="J145">
        <v>0.61</v>
      </c>
      <c r="K145" s="1">
        <v>12196</v>
      </c>
      <c r="L145">
        <v>802</v>
      </c>
      <c r="M145" s="1">
        <v>65799</v>
      </c>
      <c r="N145" s="1">
        <v>65800</v>
      </c>
      <c r="O145" s="1">
        <v>66500</v>
      </c>
      <c r="P145" s="1">
        <v>64800</v>
      </c>
      <c r="Q145" t="s">
        <v>724</v>
      </c>
      <c r="R145" s="3">
        <v>0.41971064814814812</v>
      </c>
      <c r="S145" s="1">
        <v>66100</v>
      </c>
      <c r="V145" s="1">
        <v>18019</v>
      </c>
      <c r="W145">
        <v>67.680000000000007</v>
      </c>
    </row>
    <row r="146" spans="3:23" x14ac:dyDescent="0.3">
      <c r="C146">
        <v>143</v>
      </c>
      <c r="D146">
        <v>4800</v>
      </c>
      <c r="E146" t="s">
        <v>186</v>
      </c>
      <c r="G146" s="1">
        <v>150100</v>
      </c>
      <c r="H146">
        <v>5</v>
      </c>
      <c r="I146" s="1">
        <v>1100</v>
      </c>
      <c r="J146">
        <v>-0.73</v>
      </c>
      <c r="K146" s="1">
        <v>9722</v>
      </c>
      <c r="L146" s="1">
        <v>1478</v>
      </c>
      <c r="M146" s="1">
        <v>152006</v>
      </c>
      <c r="N146" s="1">
        <v>151200</v>
      </c>
      <c r="O146" s="1">
        <v>157000</v>
      </c>
      <c r="P146" s="1">
        <v>148900</v>
      </c>
      <c r="Q146" t="s">
        <v>724</v>
      </c>
      <c r="R146" s="3">
        <v>0.42081018518518515</v>
      </c>
      <c r="S146" s="1">
        <v>150100</v>
      </c>
      <c r="V146" s="1">
        <v>13676</v>
      </c>
      <c r="W146">
        <v>71.08</v>
      </c>
    </row>
    <row r="147" spans="3:23" x14ac:dyDescent="0.3">
      <c r="C147">
        <v>144</v>
      </c>
      <c r="D147">
        <v>4370</v>
      </c>
      <c r="E147" t="s">
        <v>191</v>
      </c>
      <c r="G147" s="1">
        <v>412500</v>
      </c>
      <c r="H147">
        <v>2</v>
      </c>
      <c r="I147" s="1">
        <v>6500</v>
      </c>
      <c r="J147">
        <v>1.6</v>
      </c>
      <c r="K147" s="1">
        <v>6277</v>
      </c>
      <c r="L147" s="1">
        <v>2569</v>
      </c>
      <c r="M147" s="1">
        <v>409243</v>
      </c>
      <c r="N147" s="1">
        <v>406000</v>
      </c>
      <c r="O147" s="1">
        <v>413500</v>
      </c>
      <c r="P147" s="1">
        <v>406000</v>
      </c>
      <c r="Q147" t="s">
        <v>724</v>
      </c>
      <c r="R147" s="3">
        <v>0.41909722222222223</v>
      </c>
      <c r="S147" s="1">
        <v>412500</v>
      </c>
      <c r="V147" s="1">
        <v>9666</v>
      </c>
      <c r="W147">
        <v>64.930000000000007</v>
      </c>
    </row>
    <row r="148" spans="3:23" x14ac:dyDescent="0.3">
      <c r="C148">
        <v>145</v>
      </c>
      <c r="D148">
        <v>336260</v>
      </c>
      <c r="E148" t="s">
        <v>195</v>
      </c>
      <c r="G148" s="1">
        <v>38200</v>
      </c>
      <c r="H148">
        <v>2</v>
      </c>
      <c r="I148" s="1">
        <v>1550</v>
      </c>
      <c r="J148">
        <v>4.2300000000000004</v>
      </c>
      <c r="K148" s="1">
        <v>468740</v>
      </c>
      <c r="L148" s="1">
        <v>18051</v>
      </c>
      <c r="M148" s="1">
        <v>38508</v>
      </c>
      <c r="N148" s="1">
        <v>37150</v>
      </c>
      <c r="O148" s="1">
        <v>39900</v>
      </c>
      <c r="P148" s="1">
        <v>37050</v>
      </c>
      <c r="Q148" t="s">
        <v>724</v>
      </c>
      <c r="R148" s="3">
        <v>0.42101851851851851</v>
      </c>
      <c r="S148" s="1">
        <v>38250</v>
      </c>
      <c r="T148">
        <v>-50</v>
      </c>
      <c r="U148">
        <v>-0.13</v>
      </c>
      <c r="V148" s="1">
        <v>563999</v>
      </c>
      <c r="W148">
        <v>83.11</v>
      </c>
    </row>
    <row r="149" spans="3:23" x14ac:dyDescent="0.3">
      <c r="C149">
        <v>146</v>
      </c>
      <c r="D149">
        <v>1450</v>
      </c>
      <c r="E149" t="s">
        <v>192</v>
      </c>
      <c r="G149" s="1">
        <v>27650</v>
      </c>
      <c r="H149">
        <v>2</v>
      </c>
      <c r="I149">
        <v>100</v>
      </c>
      <c r="J149">
        <v>0.36</v>
      </c>
      <c r="K149" s="1">
        <v>100731</v>
      </c>
      <c r="L149" s="1">
        <v>2772</v>
      </c>
      <c r="M149" s="1">
        <v>27523</v>
      </c>
      <c r="N149" s="1">
        <v>27550</v>
      </c>
      <c r="O149" s="1">
        <v>27850</v>
      </c>
      <c r="P149" s="1">
        <v>27400</v>
      </c>
      <c r="Q149" t="s">
        <v>724</v>
      </c>
      <c r="R149" s="3">
        <v>0.42017361111111112</v>
      </c>
      <c r="S149" s="1">
        <v>27650</v>
      </c>
      <c r="V149" s="1">
        <v>197436</v>
      </c>
      <c r="W149">
        <v>51.01</v>
      </c>
    </row>
    <row r="150" spans="3:23" x14ac:dyDescent="0.3">
      <c r="C150">
        <v>147</v>
      </c>
      <c r="D150">
        <v>9420</v>
      </c>
      <c r="E150" t="s">
        <v>199</v>
      </c>
      <c r="G150" s="1">
        <v>46700</v>
      </c>
      <c r="H150">
        <v>2</v>
      </c>
      <c r="I150" s="1">
        <v>1200</v>
      </c>
      <c r="J150">
        <v>2.64</v>
      </c>
      <c r="K150" s="1">
        <v>191966</v>
      </c>
      <c r="L150" s="1">
        <v>8861</v>
      </c>
      <c r="M150" s="1">
        <v>46160</v>
      </c>
      <c r="N150" s="1">
        <v>46600</v>
      </c>
      <c r="O150" s="1">
        <v>47650</v>
      </c>
      <c r="P150" s="1">
        <v>44850</v>
      </c>
      <c r="Q150" t="s">
        <v>724</v>
      </c>
      <c r="R150" s="3">
        <v>0.42105324074074074</v>
      </c>
      <c r="S150" s="1">
        <v>46650</v>
      </c>
      <c r="T150">
        <v>50</v>
      </c>
      <c r="U150">
        <v>0.11</v>
      </c>
      <c r="V150" s="1">
        <v>248723</v>
      </c>
      <c r="W150">
        <v>77.180000000000007</v>
      </c>
    </row>
    <row r="151" spans="3:23" x14ac:dyDescent="0.3">
      <c r="C151">
        <v>148</v>
      </c>
      <c r="D151">
        <v>353200</v>
      </c>
      <c r="E151" t="s">
        <v>188</v>
      </c>
      <c r="G151" s="1">
        <v>49100</v>
      </c>
      <c r="H151">
        <v>5</v>
      </c>
      <c r="I151">
        <v>450</v>
      </c>
      <c r="J151">
        <v>-0.91</v>
      </c>
      <c r="K151" s="1">
        <v>575622</v>
      </c>
      <c r="L151" s="1">
        <v>29274</v>
      </c>
      <c r="M151" s="1">
        <v>50855</v>
      </c>
      <c r="N151" s="1">
        <v>50900</v>
      </c>
      <c r="O151" s="1">
        <v>52500</v>
      </c>
      <c r="P151" s="1">
        <v>48300</v>
      </c>
      <c r="Q151" t="s">
        <v>724</v>
      </c>
      <c r="R151" s="3">
        <v>0.42092592592592593</v>
      </c>
      <c r="S151" s="1">
        <v>49200</v>
      </c>
      <c r="T151">
        <v>-100</v>
      </c>
      <c r="U151">
        <v>-0.2</v>
      </c>
      <c r="V151" s="1">
        <v>501204</v>
      </c>
      <c r="W151">
        <v>114.84</v>
      </c>
    </row>
    <row r="152" spans="3:23" x14ac:dyDescent="0.3">
      <c r="C152">
        <v>149</v>
      </c>
      <c r="D152">
        <v>81660</v>
      </c>
      <c r="E152" t="s">
        <v>201</v>
      </c>
      <c r="G152" s="1">
        <v>45600</v>
      </c>
      <c r="H152">
        <v>2</v>
      </c>
      <c r="I152">
        <v>600</v>
      </c>
      <c r="J152">
        <v>1.33</v>
      </c>
      <c r="K152" s="1">
        <v>6256</v>
      </c>
      <c r="L152">
        <v>281</v>
      </c>
      <c r="M152" s="1">
        <v>44875</v>
      </c>
      <c r="N152" s="1">
        <v>44800</v>
      </c>
      <c r="O152" s="1">
        <v>45650</v>
      </c>
      <c r="P152" s="1">
        <v>44150</v>
      </c>
      <c r="Q152" t="s">
        <v>724</v>
      </c>
      <c r="R152" s="3">
        <v>0.42056712962962961</v>
      </c>
      <c r="S152" s="1">
        <v>45550</v>
      </c>
      <c r="T152">
        <v>50</v>
      </c>
      <c r="U152">
        <v>0.11</v>
      </c>
      <c r="V152" s="1">
        <v>27031</v>
      </c>
      <c r="W152">
        <v>23.14</v>
      </c>
    </row>
    <row r="153" spans="3:23" x14ac:dyDescent="0.3">
      <c r="C153">
        <v>150</v>
      </c>
      <c r="D153">
        <v>1720</v>
      </c>
      <c r="E153" t="s">
        <v>193</v>
      </c>
      <c r="G153" s="1">
        <v>147200</v>
      </c>
      <c r="H153">
        <v>5</v>
      </c>
      <c r="I153" s="1">
        <v>4200</v>
      </c>
      <c r="J153">
        <v>-2.77</v>
      </c>
      <c r="K153" s="1">
        <v>19546</v>
      </c>
      <c r="L153" s="1">
        <v>2909</v>
      </c>
      <c r="M153" s="1">
        <v>148810</v>
      </c>
      <c r="N153" s="1">
        <v>150000</v>
      </c>
      <c r="O153" s="1">
        <v>151300</v>
      </c>
      <c r="P153" s="1">
        <v>145500</v>
      </c>
      <c r="Q153" t="s">
        <v>724</v>
      </c>
      <c r="R153" s="3">
        <v>0.42090277777777779</v>
      </c>
      <c r="S153" s="1">
        <v>146900</v>
      </c>
      <c r="T153">
        <v>300</v>
      </c>
      <c r="U153">
        <v>0.2</v>
      </c>
      <c r="V153" s="1">
        <v>14106</v>
      </c>
      <c r="W153">
        <v>138.56</v>
      </c>
    </row>
    <row r="154" spans="3:23" x14ac:dyDescent="0.3">
      <c r="C154">
        <v>151</v>
      </c>
      <c r="D154">
        <v>30000</v>
      </c>
      <c r="E154" t="s">
        <v>196</v>
      </c>
      <c r="G154" s="1">
        <v>20800</v>
      </c>
      <c r="H154">
        <v>5</v>
      </c>
      <c r="I154">
        <v>150</v>
      </c>
      <c r="J154">
        <v>-0.72</v>
      </c>
      <c r="K154" s="1">
        <v>35051</v>
      </c>
      <c r="L154">
        <v>731</v>
      </c>
      <c r="M154" s="1">
        <v>20843</v>
      </c>
      <c r="N154" s="1">
        <v>21000</v>
      </c>
      <c r="O154" s="1">
        <v>21050</v>
      </c>
      <c r="P154" s="1">
        <v>20700</v>
      </c>
      <c r="Q154" t="s">
        <v>724</v>
      </c>
      <c r="R154" s="3">
        <v>0.41905092592592591</v>
      </c>
      <c r="S154" s="1">
        <v>20850</v>
      </c>
      <c r="T154">
        <v>-50</v>
      </c>
      <c r="U154">
        <v>-0.24</v>
      </c>
      <c r="V154" s="1">
        <v>73484</v>
      </c>
      <c r="W154">
        <v>47.69</v>
      </c>
    </row>
    <row r="155" spans="3:23" x14ac:dyDescent="0.3">
      <c r="C155">
        <v>152</v>
      </c>
      <c r="D155">
        <v>28670</v>
      </c>
      <c r="E155" t="s">
        <v>200</v>
      </c>
      <c r="G155" s="1">
        <v>4420</v>
      </c>
      <c r="H155">
        <v>2</v>
      </c>
      <c r="I155">
        <v>20</v>
      </c>
      <c r="J155">
        <v>0.45</v>
      </c>
      <c r="K155" s="1">
        <v>1384256</v>
      </c>
      <c r="L155" s="1">
        <v>6238</v>
      </c>
      <c r="M155" s="1">
        <v>4506</v>
      </c>
      <c r="N155" s="1">
        <v>4435</v>
      </c>
      <c r="O155" s="1">
        <v>4625</v>
      </c>
      <c r="P155" s="1">
        <v>4400</v>
      </c>
      <c r="Q155" t="s">
        <v>724</v>
      </c>
      <c r="R155" s="3">
        <v>0.42091435185185189</v>
      </c>
      <c r="S155" s="1">
        <v>4425</v>
      </c>
      <c r="T155">
        <v>-5</v>
      </c>
      <c r="U155">
        <v>-0.11</v>
      </c>
      <c r="V155" s="1">
        <v>1827490</v>
      </c>
      <c r="W155">
        <v>75.739999999999995</v>
      </c>
    </row>
    <row r="156" spans="3:23" x14ac:dyDescent="0.3">
      <c r="C156">
        <v>153</v>
      </c>
      <c r="D156">
        <v>139480</v>
      </c>
      <c r="E156" t="s">
        <v>203</v>
      </c>
      <c r="G156" s="1">
        <v>84750</v>
      </c>
      <c r="H156">
        <v>2</v>
      </c>
      <c r="I156">
        <v>650</v>
      </c>
      <c r="J156">
        <v>0.77</v>
      </c>
      <c r="K156" s="1">
        <v>36816</v>
      </c>
      <c r="L156" s="1">
        <v>3121</v>
      </c>
      <c r="M156" s="1">
        <v>84779</v>
      </c>
      <c r="N156" s="1">
        <v>84700</v>
      </c>
      <c r="O156" s="1">
        <v>86000</v>
      </c>
      <c r="P156" s="1">
        <v>83900</v>
      </c>
      <c r="Q156" t="s">
        <v>724</v>
      </c>
      <c r="R156" s="3">
        <v>0.42077546296296298</v>
      </c>
      <c r="S156" s="1">
        <v>84700</v>
      </c>
      <c r="T156">
        <v>50</v>
      </c>
      <c r="U156">
        <v>0.06</v>
      </c>
      <c r="V156" s="1">
        <v>49622</v>
      </c>
      <c r="W156">
        <v>74.19</v>
      </c>
    </row>
    <row r="157" spans="3:23" x14ac:dyDescent="0.3">
      <c r="C157">
        <v>154</v>
      </c>
      <c r="D157">
        <v>120</v>
      </c>
      <c r="E157" t="s">
        <v>206</v>
      </c>
      <c r="G157" s="1">
        <v>102200</v>
      </c>
      <c r="H157">
        <v>2</v>
      </c>
      <c r="I157" s="1">
        <v>4200</v>
      </c>
      <c r="J157">
        <v>4.29</v>
      </c>
      <c r="K157" s="1">
        <v>29382</v>
      </c>
      <c r="L157" s="1">
        <v>2978</v>
      </c>
      <c r="M157" s="1">
        <v>101344</v>
      </c>
      <c r="N157" s="1">
        <v>97500</v>
      </c>
      <c r="O157" s="1">
        <v>103400</v>
      </c>
      <c r="P157" s="1">
        <v>97500</v>
      </c>
      <c r="Q157" t="s">
        <v>724</v>
      </c>
      <c r="R157" s="3">
        <v>0.42099537037037038</v>
      </c>
      <c r="S157" s="1">
        <v>102200</v>
      </c>
      <c r="V157" s="1">
        <v>60879</v>
      </c>
      <c r="W157">
        <v>48.26</v>
      </c>
    </row>
    <row r="158" spans="3:23" x14ac:dyDescent="0.3">
      <c r="C158">
        <v>155</v>
      </c>
      <c r="D158">
        <v>139130</v>
      </c>
      <c r="E158" t="s">
        <v>205</v>
      </c>
      <c r="G158" s="1">
        <v>14280</v>
      </c>
      <c r="H158">
        <v>5</v>
      </c>
      <c r="I158">
        <v>50</v>
      </c>
      <c r="J158">
        <v>-0.35</v>
      </c>
      <c r="K158" s="1">
        <v>37077</v>
      </c>
      <c r="L158">
        <v>528</v>
      </c>
      <c r="M158" s="1">
        <v>14247</v>
      </c>
      <c r="N158" s="1">
        <v>14350</v>
      </c>
      <c r="O158" s="1">
        <v>14360</v>
      </c>
      <c r="P158" s="1">
        <v>14170</v>
      </c>
      <c r="Q158" t="s">
        <v>724</v>
      </c>
      <c r="R158" s="3">
        <v>0.42077546296296298</v>
      </c>
      <c r="S158" s="1">
        <v>14270</v>
      </c>
      <c r="T158">
        <v>10</v>
      </c>
      <c r="U158">
        <v>7.0000000000000007E-2</v>
      </c>
      <c r="V158" s="1">
        <v>136180</v>
      </c>
      <c r="W158">
        <v>27.22</v>
      </c>
    </row>
    <row r="159" spans="3:23" x14ac:dyDescent="0.3">
      <c r="C159">
        <v>156</v>
      </c>
      <c r="D159">
        <v>192820</v>
      </c>
      <c r="E159" t="s">
        <v>217</v>
      </c>
      <c r="G159" s="1">
        <v>195900</v>
      </c>
      <c r="H159">
        <v>2</v>
      </c>
      <c r="I159" s="1">
        <v>11700</v>
      </c>
      <c r="J159">
        <v>6.35</v>
      </c>
      <c r="K159" s="1">
        <v>27901</v>
      </c>
      <c r="L159" s="1">
        <v>5265</v>
      </c>
      <c r="M159" s="1">
        <v>188687</v>
      </c>
      <c r="N159" s="1">
        <v>186000</v>
      </c>
      <c r="O159" s="1">
        <v>195900</v>
      </c>
      <c r="P159" s="1">
        <v>183500</v>
      </c>
      <c r="Q159" t="s">
        <v>724</v>
      </c>
      <c r="R159" s="3">
        <v>0.42103009259259255</v>
      </c>
      <c r="S159" s="1">
        <v>195900</v>
      </c>
      <c r="V159" s="1">
        <v>55659</v>
      </c>
      <c r="W159">
        <v>50.12</v>
      </c>
    </row>
    <row r="160" spans="3:23" x14ac:dyDescent="0.3">
      <c r="C160">
        <v>157</v>
      </c>
      <c r="D160">
        <v>3690</v>
      </c>
      <c r="E160" t="s">
        <v>208</v>
      </c>
      <c r="G160" s="1">
        <v>11080</v>
      </c>
      <c r="H160">
        <v>5</v>
      </c>
      <c r="I160">
        <v>140</v>
      </c>
      <c r="J160">
        <v>-1.25</v>
      </c>
      <c r="K160" s="1">
        <v>27332</v>
      </c>
      <c r="L160">
        <v>306</v>
      </c>
      <c r="M160" s="1">
        <v>11192</v>
      </c>
      <c r="N160" s="1">
        <v>11290</v>
      </c>
      <c r="O160" s="1">
        <v>11390</v>
      </c>
      <c r="P160" s="1">
        <v>11060</v>
      </c>
      <c r="Q160" t="s">
        <v>724</v>
      </c>
      <c r="R160" s="3">
        <v>0.42103009259259255</v>
      </c>
      <c r="S160" s="1">
        <v>11060</v>
      </c>
      <c r="T160">
        <v>20</v>
      </c>
      <c r="U160">
        <v>0.18</v>
      </c>
      <c r="V160" s="1">
        <v>114759</v>
      </c>
      <c r="W160">
        <v>23.81</v>
      </c>
    </row>
    <row r="161" spans="3:23" x14ac:dyDescent="0.3">
      <c r="C161">
        <v>158</v>
      </c>
      <c r="D161">
        <v>23530</v>
      </c>
      <c r="E161" t="s">
        <v>212</v>
      </c>
      <c r="G161" s="1">
        <v>76300</v>
      </c>
      <c r="H161">
        <v>2</v>
      </c>
      <c r="I161">
        <v>900</v>
      </c>
      <c r="J161">
        <v>1.19</v>
      </c>
      <c r="K161" s="1">
        <v>10561</v>
      </c>
      <c r="L161">
        <v>804</v>
      </c>
      <c r="M161" s="1">
        <v>76101</v>
      </c>
      <c r="N161" s="1">
        <v>76000</v>
      </c>
      <c r="O161" s="1">
        <v>77300</v>
      </c>
      <c r="P161" s="1">
        <v>75000</v>
      </c>
      <c r="Q161" t="s">
        <v>724</v>
      </c>
      <c r="R161" s="3">
        <v>0.4203587962962963</v>
      </c>
      <c r="S161" s="1">
        <v>76600</v>
      </c>
      <c r="T161">
        <v>-300</v>
      </c>
      <c r="U161">
        <v>-0.39</v>
      </c>
      <c r="V161" s="1">
        <v>24759</v>
      </c>
      <c r="W161">
        <v>42.65</v>
      </c>
    </row>
    <row r="162" spans="3:23" x14ac:dyDescent="0.3">
      <c r="C162">
        <v>159</v>
      </c>
      <c r="D162">
        <v>97230</v>
      </c>
      <c r="E162" t="s">
        <v>207</v>
      </c>
      <c r="G162" s="1">
        <v>23900</v>
      </c>
      <c r="H162">
        <v>5</v>
      </c>
      <c r="I162">
        <v>400</v>
      </c>
      <c r="J162">
        <v>-1.65</v>
      </c>
      <c r="K162" s="1">
        <v>370977</v>
      </c>
      <c r="L162" s="1">
        <v>9000</v>
      </c>
      <c r="M162" s="1">
        <v>24258</v>
      </c>
      <c r="N162" s="1">
        <v>24800</v>
      </c>
      <c r="O162" s="1">
        <v>24950</v>
      </c>
      <c r="P162" s="1">
        <v>23650</v>
      </c>
      <c r="Q162" t="s">
        <v>724</v>
      </c>
      <c r="R162" s="3">
        <v>0.42100694444444442</v>
      </c>
      <c r="S162" s="1">
        <v>23850</v>
      </c>
      <c r="T162">
        <v>50</v>
      </c>
      <c r="U162">
        <v>0.21</v>
      </c>
      <c r="V162" s="1">
        <v>408040</v>
      </c>
      <c r="W162">
        <v>90.91</v>
      </c>
    </row>
    <row r="163" spans="3:23" x14ac:dyDescent="0.3">
      <c r="C163">
        <v>160</v>
      </c>
      <c r="D163">
        <v>10060</v>
      </c>
      <c r="E163" t="s">
        <v>211</v>
      </c>
      <c r="G163" s="1">
        <v>115200</v>
      </c>
      <c r="H163">
        <v>2</v>
      </c>
      <c r="I163" s="1">
        <v>1000</v>
      </c>
      <c r="J163">
        <v>0.88</v>
      </c>
      <c r="K163" s="1">
        <v>31112</v>
      </c>
      <c r="L163" s="1">
        <v>3566</v>
      </c>
      <c r="M163" s="1">
        <v>114613</v>
      </c>
      <c r="N163" s="1">
        <v>116000</v>
      </c>
      <c r="O163" s="1">
        <v>117100</v>
      </c>
      <c r="P163" s="1">
        <v>111800</v>
      </c>
      <c r="Q163" t="s">
        <v>724</v>
      </c>
      <c r="R163" s="3">
        <v>0.42097222222222225</v>
      </c>
      <c r="S163" s="1">
        <v>115600</v>
      </c>
      <c r="T163">
        <v>-400</v>
      </c>
      <c r="U163">
        <v>-0.35</v>
      </c>
      <c r="V163" s="1">
        <v>44639</v>
      </c>
      <c r="W163">
        <v>69.69</v>
      </c>
    </row>
    <row r="164" spans="3:23" x14ac:dyDescent="0.3">
      <c r="C164">
        <v>161</v>
      </c>
      <c r="D164">
        <v>2790</v>
      </c>
      <c r="E164" t="s">
        <v>219</v>
      </c>
      <c r="G164" s="1">
        <v>26700</v>
      </c>
      <c r="H164">
        <v>2</v>
      </c>
      <c r="I164">
        <v>900</v>
      </c>
      <c r="J164">
        <v>3.49</v>
      </c>
      <c r="K164" s="1">
        <v>43577</v>
      </c>
      <c r="L164" s="1">
        <v>1143</v>
      </c>
      <c r="M164" s="1">
        <v>26224</v>
      </c>
      <c r="N164" s="1">
        <v>26300</v>
      </c>
      <c r="O164" s="1">
        <v>26750</v>
      </c>
      <c r="P164" s="1">
        <v>25600</v>
      </c>
      <c r="Q164" t="s">
        <v>724</v>
      </c>
      <c r="R164" s="3">
        <v>0.42105324074074074</v>
      </c>
      <c r="S164" s="1">
        <v>26700</v>
      </c>
      <c r="V164" s="1">
        <v>82392</v>
      </c>
      <c r="W164">
        <v>52.88</v>
      </c>
    </row>
    <row r="165" spans="3:23" x14ac:dyDescent="0.3">
      <c r="C165">
        <v>162</v>
      </c>
      <c r="D165">
        <v>18670</v>
      </c>
      <c r="E165" t="s">
        <v>218</v>
      </c>
      <c r="G165" s="1">
        <v>225500</v>
      </c>
      <c r="H165">
        <v>2</v>
      </c>
      <c r="I165" s="1">
        <v>4000</v>
      </c>
      <c r="J165">
        <v>1.81</v>
      </c>
      <c r="K165" s="1">
        <v>3032</v>
      </c>
      <c r="L165">
        <v>683</v>
      </c>
      <c r="M165" s="1">
        <v>225200</v>
      </c>
      <c r="N165" s="1">
        <v>224000</v>
      </c>
      <c r="O165" s="1">
        <v>228500</v>
      </c>
      <c r="P165" s="1">
        <v>222000</v>
      </c>
      <c r="Q165" t="s">
        <v>724</v>
      </c>
      <c r="R165" s="3">
        <v>0.42043981481481479</v>
      </c>
      <c r="S165" s="1">
        <v>226000</v>
      </c>
      <c r="T165">
        <v>-500</v>
      </c>
      <c r="U165">
        <v>-0.22</v>
      </c>
      <c r="V165" s="1">
        <v>5346</v>
      </c>
      <c r="W165">
        <v>56.71</v>
      </c>
    </row>
    <row r="166" spans="3:23" x14ac:dyDescent="0.3">
      <c r="C166">
        <v>163</v>
      </c>
      <c r="D166">
        <v>361610</v>
      </c>
      <c r="E166" t="s">
        <v>223</v>
      </c>
      <c r="G166" s="1">
        <v>25450</v>
      </c>
      <c r="H166">
        <v>2</v>
      </c>
      <c r="I166" s="1">
        <v>1300</v>
      </c>
      <c r="J166">
        <v>5.38</v>
      </c>
      <c r="K166" s="1">
        <v>66000</v>
      </c>
      <c r="L166" s="1">
        <v>1653</v>
      </c>
      <c r="M166" s="1">
        <v>25039</v>
      </c>
      <c r="N166" s="1">
        <v>24300</v>
      </c>
      <c r="O166" s="1">
        <v>25550</v>
      </c>
      <c r="P166" s="1">
        <v>24250</v>
      </c>
      <c r="Q166" t="s">
        <v>724</v>
      </c>
      <c r="R166" s="3">
        <v>0.42086805555555556</v>
      </c>
      <c r="S166" s="1">
        <v>25500</v>
      </c>
      <c r="T166">
        <v>-50</v>
      </c>
      <c r="U166">
        <v>-0.2</v>
      </c>
      <c r="V166" s="1">
        <v>131034</v>
      </c>
      <c r="W166">
        <v>50.36</v>
      </c>
    </row>
    <row r="167" spans="3:23" x14ac:dyDescent="0.3">
      <c r="C167">
        <v>164</v>
      </c>
      <c r="D167">
        <v>69960</v>
      </c>
      <c r="E167" t="s">
        <v>215</v>
      </c>
      <c r="G167" s="1">
        <v>91000</v>
      </c>
      <c r="H167">
        <v>5</v>
      </c>
      <c r="I167" s="1">
        <v>3200</v>
      </c>
      <c r="J167">
        <v>-3.4</v>
      </c>
      <c r="K167" s="1">
        <v>11251</v>
      </c>
      <c r="L167" s="1">
        <v>1027</v>
      </c>
      <c r="M167" s="1">
        <v>91322</v>
      </c>
      <c r="N167" s="1">
        <v>93000</v>
      </c>
      <c r="O167" s="1">
        <v>93600</v>
      </c>
      <c r="P167" s="1">
        <v>89100</v>
      </c>
      <c r="Q167" t="s">
        <v>724</v>
      </c>
      <c r="R167" s="3">
        <v>0.41997685185185185</v>
      </c>
      <c r="S167" s="1">
        <v>91000</v>
      </c>
      <c r="V167" s="1">
        <v>33885</v>
      </c>
      <c r="W167">
        <v>33.200000000000003</v>
      </c>
    </row>
    <row r="168" spans="3:23" x14ac:dyDescent="0.3">
      <c r="C168">
        <v>165</v>
      </c>
      <c r="D168">
        <v>20150</v>
      </c>
      <c r="E168" t="s">
        <v>237</v>
      </c>
      <c r="G168" s="1">
        <v>38900</v>
      </c>
      <c r="H168">
        <v>2</v>
      </c>
      <c r="I168" s="1">
        <v>5450</v>
      </c>
      <c r="J168">
        <v>16.29</v>
      </c>
      <c r="K168" s="1">
        <v>592424</v>
      </c>
      <c r="L168" s="1">
        <v>22404</v>
      </c>
      <c r="M168" s="1">
        <v>37817</v>
      </c>
      <c r="N168" s="1">
        <v>33450</v>
      </c>
      <c r="O168" s="1">
        <v>40000</v>
      </c>
      <c r="P168" s="1">
        <v>33350</v>
      </c>
      <c r="Q168" t="s">
        <v>724</v>
      </c>
      <c r="R168" s="3">
        <v>0.42105324074074074</v>
      </c>
      <c r="S168" s="1">
        <v>38900</v>
      </c>
      <c r="V168" s="1">
        <v>920377</v>
      </c>
      <c r="W168">
        <v>64.36</v>
      </c>
    </row>
    <row r="169" spans="3:23" x14ac:dyDescent="0.3">
      <c r="C169">
        <v>166</v>
      </c>
      <c r="D169">
        <v>282330</v>
      </c>
      <c r="E169" t="s">
        <v>222</v>
      </c>
      <c r="G169" s="1">
        <v>117800</v>
      </c>
      <c r="H169">
        <v>2</v>
      </c>
      <c r="I169" s="1">
        <v>1500</v>
      </c>
      <c r="J169">
        <v>1.29</v>
      </c>
      <c r="K169" s="1">
        <v>2567</v>
      </c>
      <c r="L169">
        <v>298</v>
      </c>
      <c r="M169" s="1">
        <v>116117</v>
      </c>
      <c r="N169" s="1">
        <v>113400</v>
      </c>
      <c r="O169" s="1">
        <v>118200</v>
      </c>
      <c r="P169" s="1">
        <v>113400</v>
      </c>
      <c r="Q169" t="s">
        <v>724</v>
      </c>
      <c r="R169" s="3">
        <v>0.41782407407407413</v>
      </c>
      <c r="S169" s="1">
        <v>117900</v>
      </c>
      <c r="T169">
        <v>-100</v>
      </c>
      <c r="U169">
        <v>-0.08</v>
      </c>
      <c r="V169" s="1">
        <v>12039</v>
      </c>
      <c r="W169">
        <v>21.32</v>
      </c>
    </row>
    <row r="170" spans="3:23" x14ac:dyDescent="0.3">
      <c r="C170">
        <v>167</v>
      </c>
      <c r="D170">
        <v>462870</v>
      </c>
      <c r="E170" t="s">
        <v>226</v>
      </c>
      <c r="G170" s="1">
        <v>34000</v>
      </c>
      <c r="H170">
        <v>2</v>
      </c>
      <c r="I170">
        <v>950</v>
      </c>
      <c r="J170">
        <v>2.87</v>
      </c>
      <c r="K170" s="1">
        <v>19379</v>
      </c>
      <c r="L170">
        <v>650</v>
      </c>
      <c r="M170" s="1">
        <v>33527</v>
      </c>
      <c r="N170" s="1">
        <v>33750</v>
      </c>
      <c r="O170" s="1">
        <v>34000</v>
      </c>
      <c r="P170" s="1">
        <v>33150</v>
      </c>
      <c r="Q170" t="s">
        <v>724</v>
      </c>
      <c r="R170" s="3">
        <v>0.42067129629629635</v>
      </c>
      <c r="S170" s="1">
        <v>34000</v>
      </c>
      <c r="V170" s="1">
        <v>31599</v>
      </c>
      <c r="W170">
        <v>61.32</v>
      </c>
    </row>
    <row r="171" spans="3:23" x14ac:dyDescent="0.3">
      <c r="C171">
        <v>168</v>
      </c>
      <c r="D171">
        <v>47040</v>
      </c>
      <c r="E171" t="s">
        <v>220</v>
      </c>
      <c r="G171" s="1">
        <v>4795</v>
      </c>
      <c r="H171">
        <v>2</v>
      </c>
      <c r="I171">
        <v>30</v>
      </c>
      <c r="J171">
        <v>0.63</v>
      </c>
      <c r="K171" s="1">
        <v>2814870</v>
      </c>
      <c r="L171" s="1">
        <v>13795</v>
      </c>
      <c r="M171" s="1">
        <v>4900</v>
      </c>
      <c r="N171" s="1">
        <v>4845</v>
      </c>
      <c r="O171" s="1">
        <v>5040</v>
      </c>
      <c r="P171" s="1">
        <v>4747</v>
      </c>
      <c r="Q171" t="s">
        <v>724</v>
      </c>
      <c r="R171" s="3">
        <v>0.42089120370370375</v>
      </c>
      <c r="S171" s="1">
        <v>4795</v>
      </c>
      <c r="V171" s="1">
        <v>2542588</v>
      </c>
      <c r="W171">
        <v>110.7</v>
      </c>
    </row>
    <row r="172" spans="3:23" x14ac:dyDescent="0.3">
      <c r="C172">
        <v>169</v>
      </c>
      <c r="D172">
        <v>267270</v>
      </c>
      <c r="E172" t="s">
        <v>225</v>
      </c>
      <c r="G172" s="1">
        <v>114100</v>
      </c>
      <c r="H172">
        <v>2</v>
      </c>
      <c r="I172" s="1">
        <v>2400</v>
      </c>
      <c r="J172">
        <v>2.15</v>
      </c>
      <c r="K172" s="1">
        <v>65598</v>
      </c>
      <c r="L172" s="1">
        <v>7490</v>
      </c>
      <c r="M172" s="1">
        <v>114183</v>
      </c>
      <c r="N172" s="1">
        <v>113800</v>
      </c>
      <c r="O172" s="1">
        <v>116000</v>
      </c>
      <c r="P172" s="1">
        <v>111900</v>
      </c>
      <c r="Q172" t="s">
        <v>724</v>
      </c>
      <c r="R172" s="3">
        <v>0.42033564814814817</v>
      </c>
      <c r="S172" s="1">
        <v>114000</v>
      </c>
      <c r="T172">
        <v>100</v>
      </c>
      <c r="U172">
        <v>0.09</v>
      </c>
      <c r="V172" s="1">
        <v>63330</v>
      </c>
      <c r="W172">
        <v>103.58</v>
      </c>
    </row>
    <row r="173" spans="3:23" x14ac:dyDescent="0.3">
      <c r="C173">
        <v>170</v>
      </c>
      <c r="D173">
        <v>69620</v>
      </c>
      <c r="E173" t="s">
        <v>229</v>
      </c>
      <c r="G173" s="1">
        <v>160900</v>
      </c>
      <c r="H173">
        <v>5</v>
      </c>
      <c r="I173" s="1">
        <v>2000</v>
      </c>
      <c r="J173">
        <v>-1.23</v>
      </c>
      <c r="K173" s="1">
        <v>4217</v>
      </c>
      <c r="L173">
        <v>681</v>
      </c>
      <c r="M173" s="1">
        <v>161516</v>
      </c>
      <c r="N173" s="1">
        <v>163000</v>
      </c>
      <c r="O173" s="1">
        <v>163100</v>
      </c>
      <c r="P173" s="1">
        <v>159900</v>
      </c>
      <c r="Q173" t="s">
        <v>724</v>
      </c>
      <c r="R173" s="3">
        <v>0.42091435185185189</v>
      </c>
      <c r="S173" s="1">
        <v>160800</v>
      </c>
      <c r="T173">
        <v>100</v>
      </c>
      <c r="U173">
        <v>0.06</v>
      </c>
      <c r="V173" s="1">
        <v>10790</v>
      </c>
      <c r="W173">
        <v>39.08</v>
      </c>
    </row>
    <row r="174" spans="3:23" x14ac:dyDescent="0.3">
      <c r="C174">
        <v>171</v>
      </c>
      <c r="D174">
        <v>32350</v>
      </c>
      <c r="E174" t="s">
        <v>235</v>
      </c>
      <c r="G174" s="1">
        <v>23400</v>
      </c>
      <c r="H174">
        <v>2</v>
      </c>
      <c r="I174">
        <v>450</v>
      </c>
      <c r="J174">
        <v>1.96</v>
      </c>
      <c r="K174" s="1">
        <v>124741</v>
      </c>
      <c r="L174" s="1">
        <v>2855</v>
      </c>
      <c r="M174" s="1">
        <v>22887</v>
      </c>
      <c r="N174" s="1">
        <v>23000</v>
      </c>
      <c r="O174" s="1">
        <v>23500</v>
      </c>
      <c r="P174" s="1">
        <v>22150</v>
      </c>
      <c r="Q174" t="s">
        <v>724</v>
      </c>
      <c r="R174" s="3">
        <v>0.42105324074074074</v>
      </c>
      <c r="S174" s="1">
        <v>23450</v>
      </c>
      <c r="T174">
        <v>-50</v>
      </c>
      <c r="U174">
        <v>-0.21</v>
      </c>
      <c r="V174" s="1">
        <v>167559</v>
      </c>
      <c r="W174">
        <v>74.44</v>
      </c>
    </row>
    <row r="175" spans="3:23" x14ac:dyDescent="0.3">
      <c r="C175">
        <v>172</v>
      </c>
      <c r="D175">
        <v>483650</v>
      </c>
      <c r="E175" t="s">
        <v>245</v>
      </c>
      <c r="G175" s="1">
        <v>147900</v>
      </c>
      <c r="H175">
        <v>2</v>
      </c>
      <c r="I175" s="1">
        <v>7800</v>
      </c>
      <c r="J175">
        <v>5.57</v>
      </c>
      <c r="K175" s="1">
        <v>53796</v>
      </c>
      <c r="L175" s="1">
        <v>7714</v>
      </c>
      <c r="M175" s="1">
        <v>143390</v>
      </c>
      <c r="N175" s="1">
        <v>142000</v>
      </c>
      <c r="O175" s="1">
        <v>148600</v>
      </c>
      <c r="P175" s="1">
        <v>138800</v>
      </c>
      <c r="Q175" t="s">
        <v>724</v>
      </c>
      <c r="R175" s="3">
        <v>0.4210416666666667</v>
      </c>
      <c r="S175" s="1">
        <v>148100</v>
      </c>
      <c r="T175">
        <v>-200</v>
      </c>
      <c r="U175">
        <v>-0.14000000000000001</v>
      </c>
      <c r="V175" s="1">
        <v>75062</v>
      </c>
      <c r="W175">
        <v>71.66</v>
      </c>
    </row>
    <row r="176" spans="3:23" x14ac:dyDescent="0.3">
      <c r="C176">
        <v>173</v>
      </c>
      <c r="D176">
        <v>17960</v>
      </c>
      <c r="E176" t="s">
        <v>230</v>
      </c>
      <c r="G176" s="1">
        <v>35100</v>
      </c>
      <c r="H176">
        <v>5</v>
      </c>
      <c r="I176">
        <v>550</v>
      </c>
      <c r="J176">
        <v>-1.54</v>
      </c>
      <c r="K176" s="1">
        <v>102426</v>
      </c>
      <c r="L176" s="1">
        <v>3649</v>
      </c>
      <c r="M176" s="1">
        <v>35630</v>
      </c>
      <c r="N176" s="1">
        <v>36150</v>
      </c>
      <c r="O176" s="1">
        <v>37100</v>
      </c>
      <c r="P176" s="1">
        <v>35050</v>
      </c>
      <c r="Q176" t="s">
        <v>724</v>
      </c>
      <c r="R176" s="3">
        <v>0.42046296296296298</v>
      </c>
      <c r="S176" s="1">
        <v>35100</v>
      </c>
      <c r="V176" s="1">
        <v>119876</v>
      </c>
      <c r="W176">
        <v>85.44</v>
      </c>
    </row>
    <row r="177" spans="3:23" x14ac:dyDescent="0.3">
      <c r="C177">
        <v>174</v>
      </c>
      <c r="D177">
        <v>8770</v>
      </c>
      <c r="E177" t="s">
        <v>238</v>
      </c>
      <c r="G177" s="1">
        <v>45900</v>
      </c>
      <c r="H177">
        <v>2</v>
      </c>
      <c r="I177">
        <v>450</v>
      </c>
      <c r="J177">
        <v>0.99</v>
      </c>
      <c r="K177" s="1">
        <v>41239</v>
      </c>
      <c r="L177" s="1">
        <v>1879</v>
      </c>
      <c r="M177" s="1">
        <v>45571</v>
      </c>
      <c r="N177" s="1">
        <v>45800</v>
      </c>
      <c r="O177" s="1">
        <v>45950</v>
      </c>
      <c r="P177" s="1">
        <v>45200</v>
      </c>
      <c r="Q177" t="s">
        <v>724</v>
      </c>
      <c r="R177" s="3">
        <v>0.42021990740740739</v>
      </c>
      <c r="S177" s="1">
        <v>45900</v>
      </c>
      <c r="V177" s="1">
        <v>71452</v>
      </c>
      <c r="W177">
        <v>57.71</v>
      </c>
    </row>
    <row r="178" spans="3:23" x14ac:dyDescent="0.3">
      <c r="C178">
        <v>175</v>
      </c>
      <c r="D178">
        <v>73240</v>
      </c>
      <c r="E178" t="s">
        <v>236</v>
      </c>
      <c r="G178" s="1">
        <v>6260</v>
      </c>
      <c r="H178">
        <v>2</v>
      </c>
      <c r="I178">
        <v>80</v>
      </c>
      <c r="J178">
        <v>1.29</v>
      </c>
      <c r="K178" s="1">
        <v>155641</v>
      </c>
      <c r="L178">
        <v>979</v>
      </c>
      <c r="M178" s="1">
        <v>6287</v>
      </c>
      <c r="N178" s="1">
        <v>6230</v>
      </c>
      <c r="O178" s="1">
        <v>6390</v>
      </c>
      <c r="P178" s="1">
        <v>6160</v>
      </c>
      <c r="Q178" t="s">
        <v>724</v>
      </c>
      <c r="R178" s="3">
        <v>0.41902777777777778</v>
      </c>
      <c r="S178" s="1">
        <v>6260</v>
      </c>
      <c r="V178" s="1">
        <v>249727</v>
      </c>
      <c r="W178">
        <v>62.32</v>
      </c>
    </row>
    <row r="179" spans="3:23" x14ac:dyDescent="0.3">
      <c r="C179">
        <v>176</v>
      </c>
      <c r="D179">
        <v>6040</v>
      </c>
      <c r="E179" t="s">
        <v>239</v>
      </c>
      <c r="G179" s="1">
        <v>40700</v>
      </c>
      <c r="H179">
        <v>2</v>
      </c>
      <c r="I179">
        <v>700</v>
      </c>
      <c r="J179">
        <v>1.75</v>
      </c>
      <c r="K179" s="1">
        <v>10040</v>
      </c>
      <c r="L179">
        <v>406</v>
      </c>
      <c r="M179" s="1">
        <v>40438</v>
      </c>
      <c r="N179" s="1">
        <v>40500</v>
      </c>
      <c r="O179" s="1">
        <v>40850</v>
      </c>
      <c r="P179" s="1">
        <v>40100</v>
      </c>
      <c r="Q179" t="s">
        <v>724</v>
      </c>
      <c r="R179" s="3">
        <v>0.4205787037037037</v>
      </c>
      <c r="S179" s="1">
        <v>40700</v>
      </c>
      <c r="V179" s="1">
        <v>23794</v>
      </c>
      <c r="W179">
        <v>42.19</v>
      </c>
    </row>
    <row r="180" spans="3:23" x14ac:dyDescent="0.3">
      <c r="C180">
        <v>177</v>
      </c>
      <c r="D180">
        <v>23590</v>
      </c>
      <c r="E180" t="s">
        <v>234</v>
      </c>
      <c r="G180" s="1">
        <v>39800</v>
      </c>
      <c r="H180">
        <v>5</v>
      </c>
      <c r="I180">
        <v>50</v>
      </c>
      <c r="J180">
        <v>-0.13</v>
      </c>
      <c r="K180" s="1">
        <v>15025</v>
      </c>
      <c r="L180">
        <v>602</v>
      </c>
      <c r="M180" s="1">
        <v>40068</v>
      </c>
      <c r="N180" s="1">
        <v>39800</v>
      </c>
      <c r="O180" s="1">
        <v>40850</v>
      </c>
      <c r="P180" s="1">
        <v>39200</v>
      </c>
      <c r="Q180" t="s">
        <v>724</v>
      </c>
      <c r="R180" s="3">
        <v>0.42037037037037034</v>
      </c>
      <c r="S180" s="1">
        <v>39750</v>
      </c>
      <c r="T180">
        <v>50</v>
      </c>
      <c r="U180">
        <v>0.13</v>
      </c>
      <c r="V180" s="1">
        <v>22520</v>
      </c>
      <c r="W180">
        <v>66.709999999999994</v>
      </c>
    </row>
    <row r="181" spans="3:23" x14ac:dyDescent="0.3">
      <c r="C181">
        <v>178</v>
      </c>
      <c r="D181">
        <v>7070</v>
      </c>
      <c r="E181" t="s">
        <v>244</v>
      </c>
      <c r="G181" s="1">
        <v>21150</v>
      </c>
      <c r="H181">
        <v>2</v>
      </c>
      <c r="I181">
        <v>200</v>
      </c>
      <c r="J181">
        <v>0.95</v>
      </c>
      <c r="K181" s="1">
        <v>12002</v>
      </c>
      <c r="L181">
        <v>252</v>
      </c>
      <c r="M181" s="1">
        <v>21011</v>
      </c>
      <c r="N181" s="1">
        <v>21150</v>
      </c>
      <c r="O181" s="1">
        <v>21400</v>
      </c>
      <c r="P181" s="1">
        <v>20750</v>
      </c>
      <c r="Q181" t="s">
        <v>724</v>
      </c>
      <c r="R181" s="3">
        <v>0.41972222222222227</v>
      </c>
      <c r="S181" s="1">
        <v>21100</v>
      </c>
      <c r="T181">
        <v>50</v>
      </c>
      <c r="U181">
        <v>0.24</v>
      </c>
      <c r="V181" s="1">
        <v>28363</v>
      </c>
      <c r="W181">
        <v>42.31</v>
      </c>
    </row>
    <row r="182" spans="3:23" x14ac:dyDescent="0.3">
      <c r="C182">
        <v>179</v>
      </c>
      <c r="D182">
        <v>6280</v>
      </c>
      <c r="E182" t="s">
        <v>241</v>
      </c>
      <c r="G182" s="1">
        <v>151000</v>
      </c>
      <c r="H182">
        <v>2</v>
      </c>
      <c r="I182">
        <v>100</v>
      </c>
      <c r="J182">
        <v>7.0000000000000007E-2</v>
      </c>
      <c r="K182" s="1">
        <v>8580</v>
      </c>
      <c r="L182" s="1">
        <v>1294</v>
      </c>
      <c r="M182" s="1">
        <v>150826</v>
      </c>
      <c r="N182" s="1">
        <v>151000</v>
      </c>
      <c r="O182" s="1">
        <v>152400</v>
      </c>
      <c r="P182" s="1">
        <v>149000</v>
      </c>
      <c r="Q182" t="s">
        <v>724</v>
      </c>
      <c r="R182" s="3">
        <v>0.42074074074074069</v>
      </c>
      <c r="S182" s="1">
        <v>151100</v>
      </c>
      <c r="T182">
        <v>-100</v>
      </c>
      <c r="U182">
        <v>-7.0000000000000007E-2</v>
      </c>
      <c r="V182" s="1">
        <v>16352</v>
      </c>
      <c r="W182">
        <v>52.47</v>
      </c>
    </row>
    <row r="183" spans="3:23" x14ac:dyDescent="0.3">
      <c r="C183">
        <v>180</v>
      </c>
      <c r="D183">
        <v>112610</v>
      </c>
      <c r="E183" t="s">
        <v>249</v>
      </c>
      <c r="G183" s="1">
        <v>40050</v>
      </c>
      <c r="H183">
        <v>2</v>
      </c>
      <c r="I183">
        <v>350</v>
      </c>
      <c r="J183">
        <v>0.88</v>
      </c>
      <c r="K183" s="1">
        <v>39474</v>
      </c>
      <c r="L183" s="1">
        <v>1576</v>
      </c>
      <c r="M183" s="1">
        <v>39931</v>
      </c>
      <c r="N183" s="1">
        <v>40200</v>
      </c>
      <c r="O183" s="1">
        <v>40500</v>
      </c>
      <c r="P183" s="1">
        <v>39650</v>
      </c>
      <c r="Q183" t="s">
        <v>724</v>
      </c>
      <c r="R183" s="3">
        <v>0.42079861111111111</v>
      </c>
      <c r="S183" s="1">
        <v>40050</v>
      </c>
      <c r="V183" s="1">
        <v>67559</v>
      </c>
      <c r="W183">
        <v>58.42</v>
      </c>
    </row>
    <row r="184" spans="3:23" x14ac:dyDescent="0.3">
      <c r="C184">
        <v>181</v>
      </c>
      <c r="D184">
        <v>3570</v>
      </c>
      <c r="E184" t="s">
        <v>246</v>
      </c>
      <c r="G184" s="1">
        <v>50500</v>
      </c>
      <c r="H184">
        <v>5</v>
      </c>
      <c r="I184" s="1">
        <v>1700</v>
      </c>
      <c r="J184">
        <v>-3.26</v>
      </c>
      <c r="K184" s="1">
        <v>26019</v>
      </c>
      <c r="L184" s="1">
        <v>1331</v>
      </c>
      <c r="M184" s="1">
        <v>51141</v>
      </c>
      <c r="N184" s="1">
        <v>51700</v>
      </c>
      <c r="O184" s="1">
        <v>52500</v>
      </c>
      <c r="P184" s="1">
        <v>49950</v>
      </c>
      <c r="Q184" t="s">
        <v>724</v>
      </c>
      <c r="R184" s="3">
        <v>0.42008101851851848</v>
      </c>
      <c r="S184" s="1">
        <v>50500</v>
      </c>
      <c r="V184" s="1">
        <v>27671</v>
      </c>
      <c r="W184">
        <v>94.02</v>
      </c>
    </row>
    <row r="185" spans="3:23" x14ac:dyDescent="0.3">
      <c r="C185">
        <v>182</v>
      </c>
      <c r="D185">
        <v>375500</v>
      </c>
      <c r="E185" t="s">
        <v>247</v>
      </c>
      <c r="G185" s="1">
        <v>43100</v>
      </c>
      <c r="H185">
        <v>5</v>
      </c>
      <c r="I185">
        <v>300</v>
      </c>
      <c r="J185">
        <v>-0.69</v>
      </c>
      <c r="K185" s="1">
        <v>93960</v>
      </c>
      <c r="L185" s="1">
        <v>4101</v>
      </c>
      <c r="M185" s="1">
        <v>43650</v>
      </c>
      <c r="N185" s="1">
        <v>43800</v>
      </c>
      <c r="O185" s="1">
        <v>44500</v>
      </c>
      <c r="P185" s="1">
        <v>42900</v>
      </c>
      <c r="Q185" t="s">
        <v>724</v>
      </c>
      <c r="R185" s="3">
        <v>0.42103009259259255</v>
      </c>
      <c r="S185" s="1">
        <v>43050</v>
      </c>
      <c r="T185">
        <v>50</v>
      </c>
      <c r="U185">
        <v>0.12</v>
      </c>
      <c r="V185" s="1">
        <v>121202</v>
      </c>
      <c r="W185">
        <v>77.52</v>
      </c>
    </row>
    <row r="186" spans="3:23" x14ac:dyDescent="0.3">
      <c r="C186">
        <v>183</v>
      </c>
      <c r="D186">
        <v>298020</v>
      </c>
      <c r="E186" t="s">
        <v>243</v>
      </c>
      <c r="G186" s="1">
        <v>380500</v>
      </c>
      <c r="H186">
        <v>2</v>
      </c>
      <c r="I186" s="1">
        <v>1000</v>
      </c>
      <c r="J186">
        <v>0.26</v>
      </c>
      <c r="K186" s="1">
        <v>68286</v>
      </c>
      <c r="L186" s="1">
        <v>27469</v>
      </c>
      <c r="M186" s="1">
        <v>402261</v>
      </c>
      <c r="N186" s="1">
        <v>420000</v>
      </c>
      <c r="O186" s="1">
        <v>440000</v>
      </c>
      <c r="P186" s="1">
        <v>371500</v>
      </c>
      <c r="Q186" t="s">
        <v>724</v>
      </c>
      <c r="R186" s="3">
        <v>0.42101851851851851</v>
      </c>
      <c r="S186" s="1">
        <v>379000</v>
      </c>
      <c r="T186" s="1">
        <v>1500</v>
      </c>
      <c r="U186">
        <v>0.4</v>
      </c>
      <c r="V186" s="1">
        <v>51329</v>
      </c>
      <c r="W186">
        <v>133.03</v>
      </c>
    </row>
    <row r="187" spans="3:23" x14ac:dyDescent="0.3">
      <c r="C187">
        <v>184</v>
      </c>
      <c r="D187">
        <v>34230</v>
      </c>
      <c r="E187" t="s">
        <v>254</v>
      </c>
      <c r="G187" s="1">
        <v>17280</v>
      </c>
      <c r="H187">
        <v>2</v>
      </c>
      <c r="I187">
        <v>140</v>
      </c>
      <c r="J187">
        <v>0.82</v>
      </c>
      <c r="K187" s="1">
        <v>74982</v>
      </c>
      <c r="L187" s="1">
        <v>1283</v>
      </c>
      <c r="M187" s="1">
        <v>17112</v>
      </c>
      <c r="N187" s="1">
        <v>17600</v>
      </c>
      <c r="O187" s="1">
        <v>17600</v>
      </c>
      <c r="P187" s="1">
        <v>16920</v>
      </c>
      <c r="Q187" t="s">
        <v>724</v>
      </c>
      <c r="R187" s="3">
        <v>0.42101851851851851</v>
      </c>
      <c r="S187" s="1">
        <v>17260</v>
      </c>
      <c r="T187">
        <v>20</v>
      </c>
      <c r="U187">
        <v>0.12</v>
      </c>
      <c r="V187" s="1">
        <v>131904</v>
      </c>
      <c r="W187">
        <v>56.84</v>
      </c>
    </row>
    <row r="188" spans="3:23" x14ac:dyDescent="0.3">
      <c r="C188">
        <v>185</v>
      </c>
      <c r="D188">
        <v>85620</v>
      </c>
      <c r="E188" t="s">
        <v>253</v>
      </c>
      <c r="G188" s="1">
        <v>9000</v>
      </c>
      <c r="H188">
        <v>2</v>
      </c>
      <c r="I188">
        <v>40</v>
      </c>
      <c r="J188">
        <v>0.45</v>
      </c>
      <c r="K188" s="1">
        <v>7186</v>
      </c>
      <c r="L188">
        <v>65</v>
      </c>
      <c r="M188" s="1">
        <v>8990</v>
      </c>
      <c r="N188" s="1">
        <v>9100</v>
      </c>
      <c r="O188" s="1">
        <v>9120</v>
      </c>
      <c r="P188" s="1">
        <v>8920</v>
      </c>
      <c r="Q188" t="s">
        <v>724</v>
      </c>
      <c r="R188" s="3">
        <v>0.41836805555555556</v>
      </c>
      <c r="S188" s="1">
        <v>9000</v>
      </c>
      <c r="V188" s="1">
        <v>13055</v>
      </c>
      <c r="W188">
        <v>55.04</v>
      </c>
    </row>
    <row r="189" spans="3:23" x14ac:dyDescent="0.3">
      <c r="C189">
        <v>186</v>
      </c>
      <c r="D189">
        <v>6360</v>
      </c>
      <c r="E189" t="s">
        <v>252</v>
      </c>
      <c r="G189" s="1">
        <v>18590</v>
      </c>
      <c r="H189">
        <v>2</v>
      </c>
      <c r="I189">
        <v>70</v>
      </c>
      <c r="J189">
        <v>0.38</v>
      </c>
      <c r="K189" s="1">
        <v>112798</v>
      </c>
      <c r="L189" s="1">
        <v>2105</v>
      </c>
      <c r="M189" s="1">
        <v>18662</v>
      </c>
      <c r="N189" s="1">
        <v>18740</v>
      </c>
      <c r="O189" s="1">
        <v>18820</v>
      </c>
      <c r="P189" s="1">
        <v>18550</v>
      </c>
      <c r="Q189" t="s">
        <v>724</v>
      </c>
      <c r="R189" s="3">
        <v>0.42097222222222225</v>
      </c>
      <c r="S189" s="1">
        <v>18600</v>
      </c>
      <c r="T189">
        <v>-10</v>
      </c>
      <c r="U189">
        <v>-0.05</v>
      </c>
      <c r="V189" s="1">
        <v>155226</v>
      </c>
      <c r="W189">
        <v>72.66</v>
      </c>
    </row>
    <row r="190" spans="3:23" x14ac:dyDescent="0.3">
      <c r="C190">
        <v>187</v>
      </c>
      <c r="D190">
        <v>20560</v>
      </c>
      <c r="E190" t="s">
        <v>255</v>
      </c>
      <c r="G190" s="1">
        <v>7680</v>
      </c>
      <c r="H190">
        <v>2</v>
      </c>
      <c r="I190">
        <v>60</v>
      </c>
      <c r="J190">
        <v>0.79</v>
      </c>
      <c r="K190" s="1">
        <v>17104</v>
      </c>
      <c r="L190">
        <v>131</v>
      </c>
      <c r="M190" s="1">
        <v>7677</v>
      </c>
      <c r="N190" s="1">
        <v>7720</v>
      </c>
      <c r="O190" s="1">
        <v>7720</v>
      </c>
      <c r="P190" s="1">
        <v>7640</v>
      </c>
      <c r="Q190" t="s">
        <v>724</v>
      </c>
      <c r="R190" s="3">
        <v>0.42070601851851852</v>
      </c>
      <c r="S190" s="1">
        <v>7680</v>
      </c>
      <c r="V190" s="1">
        <v>31495</v>
      </c>
      <c r="W190">
        <v>54.3</v>
      </c>
    </row>
    <row r="191" spans="3:23" x14ac:dyDescent="0.3">
      <c r="C191">
        <v>188</v>
      </c>
      <c r="D191">
        <v>161890</v>
      </c>
      <c r="E191" t="s">
        <v>257</v>
      </c>
      <c r="G191" s="1">
        <v>66800</v>
      </c>
      <c r="H191">
        <v>2</v>
      </c>
      <c r="I191" s="1">
        <v>2300</v>
      </c>
      <c r="J191">
        <v>3.57</v>
      </c>
      <c r="K191" s="1">
        <v>100136</v>
      </c>
      <c r="L191" s="1">
        <v>6563</v>
      </c>
      <c r="M191" s="1">
        <v>65545</v>
      </c>
      <c r="N191" s="1">
        <v>65000</v>
      </c>
      <c r="O191" s="1">
        <v>67100</v>
      </c>
      <c r="P191" s="1">
        <v>64100</v>
      </c>
      <c r="Q191" t="s">
        <v>724</v>
      </c>
      <c r="R191" s="3">
        <v>0.42091435185185189</v>
      </c>
      <c r="S191" s="1">
        <v>66800</v>
      </c>
      <c r="V191" s="1">
        <v>149981</v>
      </c>
      <c r="W191">
        <v>66.760000000000005</v>
      </c>
    </row>
    <row r="192" spans="3:23" x14ac:dyDescent="0.3">
      <c r="C192">
        <v>189</v>
      </c>
      <c r="D192">
        <v>7310</v>
      </c>
      <c r="E192" t="s">
        <v>256</v>
      </c>
      <c r="G192" s="1">
        <v>385500</v>
      </c>
      <c r="H192">
        <v>2</v>
      </c>
      <c r="I192" s="1">
        <v>1500</v>
      </c>
      <c r="J192">
        <v>0.39</v>
      </c>
      <c r="K192" s="1">
        <v>1105</v>
      </c>
      <c r="L192">
        <v>425</v>
      </c>
      <c r="M192" s="1">
        <v>384192</v>
      </c>
      <c r="N192" s="1">
        <v>384000</v>
      </c>
      <c r="O192" s="1">
        <v>386500</v>
      </c>
      <c r="P192" s="1">
        <v>381500</v>
      </c>
      <c r="Q192" t="s">
        <v>724</v>
      </c>
      <c r="R192" s="3">
        <v>0.42072916666666665</v>
      </c>
      <c r="S192" s="1">
        <v>385500</v>
      </c>
      <c r="V192" s="1">
        <v>1590</v>
      </c>
      <c r="W192">
        <v>69.489999999999995</v>
      </c>
    </row>
    <row r="193" spans="3:23" x14ac:dyDescent="0.3">
      <c r="C193">
        <v>190</v>
      </c>
      <c r="D193">
        <v>5070</v>
      </c>
      <c r="E193" t="s">
        <v>264</v>
      </c>
      <c r="G193" s="1">
        <v>47050</v>
      </c>
      <c r="H193">
        <v>2</v>
      </c>
      <c r="I193" s="1">
        <v>2800</v>
      </c>
      <c r="J193">
        <v>6.33</v>
      </c>
      <c r="K193" s="1">
        <v>173174</v>
      </c>
      <c r="L193" s="1">
        <v>7980</v>
      </c>
      <c r="M193" s="1">
        <v>46083</v>
      </c>
      <c r="N193" s="1">
        <v>44700</v>
      </c>
      <c r="O193" s="1">
        <v>47200</v>
      </c>
      <c r="P193" s="1">
        <v>44450</v>
      </c>
      <c r="Q193" t="s">
        <v>724</v>
      </c>
      <c r="R193" s="3">
        <v>0.4210416666666667</v>
      </c>
      <c r="S193" s="1">
        <v>47050</v>
      </c>
      <c r="V193" s="1">
        <v>207384</v>
      </c>
      <c r="W193">
        <v>83.5</v>
      </c>
    </row>
    <row r="194" spans="3:23" x14ac:dyDescent="0.3">
      <c r="C194">
        <v>191</v>
      </c>
      <c r="D194">
        <v>500</v>
      </c>
      <c r="E194" t="s">
        <v>261</v>
      </c>
      <c r="G194" s="1">
        <v>90100</v>
      </c>
      <c r="H194">
        <v>2</v>
      </c>
      <c r="I194" s="1">
        <v>1300</v>
      </c>
      <c r="J194">
        <v>1.46</v>
      </c>
      <c r="K194" s="1">
        <v>19522</v>
      </c>
      <c r="L194" s="1">
        <v>1765</v>
      </c>
      <c r="M194" s="1">
        <v>90430</v>
      </c>
      <c r="N194" s="1">
        <v>91100</v>
      </c>
      <c r="O194" s="1">
        <v>92000</v>
      </c>
      <c r="P194" s="1">
        <v>88900</v>
      </c>
      <c r="Q194" t="s">
        <v>724</v>
      </c>
      <c r="R194" s="3">
        <v>0.42089120370370375</v>
      </c>
      <c r="S194" s="1">
        <v>90100</v>
      </c>
      <c r="V194" s="1">
        <v>20058</v>
      </c>
      <c r="W194">
        <v>97.32</v>
      </c>
    </row>
    <row r="195" spans="3:23" x14ac:dyDescent="0.3">
      <c r="C195">
        <v>192</v>
      </c>
      <c r="D195">
        <v>77970</v>
      </c>
      <c r="E195" t="s">
        <v>258</v>
      </c>
      <c r="G195" s="1">
        <v>36950</v>
      </c>
      <c r="H195">
        <v>5</v>
      </c>
      <c r="I195" s="1">
        <v>1050</v>
      </c>
      <c r="J195">
        <v>-2.76</v>
      </c>
      <c r="K195" s="1">
        <v>118475</v>
      </c>
      <c r="L195" s="1">
        <v>4438</v>
      </c>
      <c r="M195" s="1">
        <v>37455</v>
      </c>
      <c r="N195" s="1">
        <v>38250</v>
      </c>
      <c r="O195" s="1">
        <v>38750</v>
      </c>
      <c r="P195" s="1">
        <v>36400</v>
      </c>
      <c r="Q195" t="s">
        <v>724</v>
      </c>
      <c r="R195" s="3">
        <v>0.4209606481481481</v>
      </c>
      <c r="S195" s="1">
        <v>36900</v>
      </c>
      <c r="T195">
        <v>50</v>
      </c>
      <c r="U195">
        <v>0.14000000000000001</v>
      </c>
      <c r="V195" s="1">
        <v>143369</v>
      </c>
      <c r="W195">
        <v>82.63</v>
      </c>
    </row>
    <row r="196" spans="3:23" x14ac:dyDescent="0.3">
      <c r="C196">
        <v>193</v>
      </c>
      <c r="D196">
        <v>7340</v>
      </c>
      <c r="E196" t="s">
        <v>263</v>
      </c>
      <c r="G196" s="1">
        <v>25250</v>
      </c>
      <c r="H196">
        <v>2</v>
      </c>
      <c r="I196">
        <v>150</v>
      </c>
      <c r="J196">
        <v>0.6</v>
      </c>
      <c r="K196" s="1">
        <v>57868</v>
      </c>
      <c r="L196" s="1">
        <v>1457</v>
      </c>
      <c r="M196" s="1">
        <v>25175</v>
      </c>
      <c r="N196" s="1">
        <v>25350</v>
      </c>
      <c r="O196" s="1">
        <v>25500</v>
      </c>
      <c r="P196" s="1">
        <v>24750</v>
      </c>
      <c r="Q196" t="s">
        <v>724</v>
      </c>
      <c r="R196" s="3">
        <v>0.42040509259259262</v>
      </c>
      <c r="S196" s="1">
        <v>25200</v>
      </c>
      <c r="T196">
        <v>50</v>
      </c>
      <c r="U196">
        <v>0.2</v>
      </c>
      <c r="V196" s="1">
        <v>43169</v>
      </c>
      <c r="W196">
        <v>134.04</v>
      </c>
    </row>
    <row r="197" spans="3:23" x14ac:dyDescent="0.3">
      <c r="C197">
        <v>194</v>
      </c>
      <c r="D197">
        <v>7810</v>
      </c>
      <c r="E197" t="s">
        <v>262</v>
      </c>
      <c r="G197" s="1">
        <v>62100</v>
      </c>
      <c r="H197">
        <v>2</v>
      </c>
      <c r="I197" s="1">
        <v>1400</v>
      </c>
      <c r="J197">
        <v>2.31</v>
      </c>
      <c r="K197" s="1">
        <v>100934</v>
      </c>
      <c r="L197" s="1">
        <v>6255</v>
      </c>
      <c r="M197" s="1">
        <v>61968</v>
      </c>
      <c r="N197" s="1">
        <v>61400</v>
      </c>
      <c r="O197" s="1">
        <v>63500</v>
      </c>
      <c r="P197" s="1">
        <v>60500</v>
      </c>
      <c r="Q197" t="s">
        <v>724</v>
      </c>
      <c r="R197" s="3">
        <v>0.42099537037037038</v>
      </c>
      <c r="S197" s="1">
        <v>62300</v>
      </c>
      <c r="T197">
        <v>-200</v>
      </c>
      <c r="U197">
        <v>-0.32</v>
      </c>
      <c r="V197" s="1">
        <v>117817</v>
      </c>
      <c r="W197">
        <v>85.67</v>
      </c>
    </row>
    <row r="198" spans="3:23" x14ac:dyDescent="0.3">
      <c r="C198">
        <v>195</v>
      </c>
      <c r="D198">
        <v>3540</v>
      </c>
      <c r="E198" t="s">
        <v>271</v>
      </c>
      <c r="G198" s="1">
        <v>27350</v>
      </c>
      <c r="H198">
        <v>2</v>
      </c>
      <c r="I198">
        <v>150</v>
      </c>
      <c r="J198">
        <v>0.55000000000000004</v>
      </c>
      <c r="K198" s="1">
        <v>81172</v>
      </c>
      <c r="L198" s="1">
        <v>2241</v>
      </c>
      <c r="M198" s="1">
        <v>27613</v>
      </c>
      <c r="N198" s="1">
        <v>27200</v>
      </c>
      <c r="O198" s="1">
        <v>28200</v>
      </c>
      <c r="P198" s="1">
        <v>27200</v>
      </c>
      <c r="Q198" t="s">
        <v>724</v>
      </c>
      <c r="R198" s="3">
        <v>0.42099537037037038</v>
      </c>
      <c r="S198" s="1">
        <v>27350</v>
      </c>
      <c r="V198" s="1">
        <v>64678</v>
      </c>
      <c r="W198">
        <v>125.5</v>
      </c>
    </row>
    <row r="199" spans="3:23" x14ac:dyDescent="0.3">
      <c r="C199">
        <v>196</v>
      </c>
      <c r="D199">
        <v>1120</v>
      </c>
      <c r="E199" t="s">
        <v>269</v>
      </c>
      <c r="G199" s="1">
        <v>35800</v>
      </c>
      <c r="H199">
        <v>5</v>
      </c>
      <c r="I199">
        <v>150</v>
      </c>
      <c r="J199">
        <v>-0.42</v>
      </c>
      <c r="K199" s="1">
        <v>28293</v>
      </c>
      <c r="L199" s="1">
        <v>1017</v>
      </c>
      <c r="M199" s="1">
        <v>35939</v>
      </c>
      <c r="N199" s="1">
        <v>36050</v>
      </c>
      <c r="O199" s="1">
        <v>36500</v>
      </c>
      <c r="P199" s="1">
        <v>35300</v>
      </c>
      <c r="Q199" t="s">
        <v>724</v>
      </c>
      <c r="R199" s="3">
        <v>0.42032407407407407</v>
      </c>
      <c r="S199" s="1">
        <v>35850</v>
      </c>
      <c r="T199">
        <v>-50</v>
      </c>
      <c r="U199">
        <v>-0.14000000000000001</v>
      </c>
      <c r="V199" s="1">
        <v>57636</v>
      </c>
      <c r="W199">
        <v>49.08</v>
      </c>
    </row>
    <row r="200" spans="3:23" x14ac:dyDescent="0.3">
      <c r="C200">
        <v>197</v>
      </c>
      <c r="D200">
        <v>294870</v>
      </c>
      <c r="E200" t="s">
        <v>276</v>
      </c>
      <c r="G200" s="1">
        <v>20200</v>
      </c>
      <c r="H200">
        <v>2</v>
      </c>
      <c r="I200">
        <v>150</v>
      </c>
      <c r="J200">
        <v>0.75</v>
      </c>
      <c r="K200" s="1">
        <v>28819</v>
      </c>
      <c r="L200">
        <v>581</v>
      </c>
      <c r="M200" s="1">
        <v>20176</v>
      </c>
      <c r="N200" s="1">
        <v>20200</v>
      </c>
      <c r="O200" s="1">
        <v>20350</v>
      </c>
      <c r="P200" s="1">
        <v>20000</v>
      </c>
      <c r="Q200" t="s">
        <v>724</v>
      </c>
      <c r="R200" s="3">
        <v>0.42054398148148148</v>
      </c>
      <c r="S200" s="1">
        <v>20150</v>
      </c>
      <c r="T200">
        <v>50</v>
      </c>
      <c r="U200">
        <v>0.25</v>
      </c>
      <c r="V200" s="1">
        <v>51313</v>
      </c>
      <c r="W200">
        <v>56.16</v>
      </c>
    </row>
    <row r="201" spans="3:23" x14ac:dyDescent="0.3">
      <c r="C201">
        <v>198</v>
      </c>
      <c r="D201">
        <v>484870</v>
      </c>
      <c r="E201" t="s">
        <v>268</v>
      </c>
      <c r="G201" s="1">
        <v>144300</v>
      </c>
      <c r="H201">
        <v>5</v>
      </c>
      <c r="I201" s="1">
        <v>12100</v>
      </c>
      <c r="J201">
        <v>-7.74</v>
      </c>
      <c r="K201" s="1">
        <v>8600</v>
      </c>
      <c r="L201" s="1">
        <v>1280</v>
      </c>
      <c r="M201" s="1">
        <v>148877</v>
      </c>
      <c r="N201" s="1">
        <v>156500</v>
      </c>
      <c r="O201" s="1">
        <v>161200</v>
      </c>
      <c r="P201" s="1">
        <v>143000</v>
      </c>
      <c r="Q201" t="s">
        <v>724</v>
      </c>
      <c r="R201" s="3">
        <v>0.4209606481481481</v>
      </c>
      <c r="S201" s="1">
        <v>144300</v>
      </c>
      <c r="V201" s="1">
        <v>18402</v>
      </c>
      <c r="W201">
        <v>46.73</v>
      </c>
    </row>
    <row r="202" spans="3:23" x14ac:dyDescent="0.3">
      <c r="C202">
        <v>199</v>
      </c>
      <c r="D202">
        <v>5440</v>
      </c>
      <c r="E202" t="s">
        <v>277</v>
      </c>
      <c r="G202" s="1">
        <v>8410</v>
      </c>
      <c r="H202">
        <v>5</v>
      </c>
      <c r="I202">
        <v>10</v>
      </c>
      <c r="J202">
        <v>-0.12</v>
      </c>
      <c r="K202" s="1">
        <v>15323</v>
      </c>
      <c r="L202">
        <v>129</v>
      </c>
      <c r="M202" s="1">
        <v>8428</v>
      </c>
      <c r="N202" s="1">
        <v>8260</v>
      </c>
      <c r="O202" s="1">
        <v>8620</v>
      </c>
      <c r="P202" s="1">
        <v>8260</v>
      </c>
      <c r="Q202" t="s">
        <v>724</v>
      </c>
      <c r="R202" s="3">
        <v>0.41539351851851852</v>
      </c>
      <c r="S202" s="1">
        <v>8410</v>
      </c>
      <c r="V202" s="1">
        <v>33649</v>
      </c>
      <c r="W202">
        <v>45.53</v>
      </c>
    </row>
    <row r="203" spans="3:23" x14ac:dyDescent="0.3">
      <c r="C203">
        <v>200</v>
      </c>
      <c r="D203">
        <v>1800</v>
      </c>
      <c r="E203" t="s">
        <v>279</v>
      </c>
      <c r="G203" s="1">
        <v>20600</v>
      </c>
      <c r="H203">
        <v>2</v>
      </c>
      <c r="I203">
        <v>50</v>
      </c>
      <c r="J203">
        <v>0.24</v>
      </c>
      <c r="K203" s="1">
        <v>22206</v>
      </c>
      <c r="L203">
        <v>456</v>
      </c>
      <c r="M203" s="1">
        <v>20518</v>
      </c>
      <c r="N203" s="1">
        <v>20700</v>
      </c>
      <c r="O203" s="1">
        <v>20800</v>
      </c>
      <c r="P203" s="1">
        <v>20400</v>
      </c>
      <c r="Q203" t="s">
        <v>724</v>
      </c>
      <c r="R203" s="3">
        <v>0.41737268518518517</v>
      </c>
      <c r="S203" s="1">
        <v>20600</v>
      </c>
      <c r="V203" s="1">
        <v>35431</v>
      </c>
      <c r="W203">
        <v>62.67</v>
      </c>
    </row>
    <row r="204" spans="3:23" x14ac:dyDescent="0.3">
      <c r="C204">
        <v>201</v>
      </c>
      <c r="D204">
        <v>3090</v>
      </c>
      <c r="E204" t="s">
        <v>281</v>
      </c>
      <c r="G204" s="1">
        <v>21900</v>
      </c>
      <c r="H204">
        <v>2</v>
      </c>
      <c r="I204">
        <v>50</v>
      </c>
      <c r="J204">
        <v>0.23</v>
      </c>
      <c r="K204" s="1">
        <v>16954</v>
      </c>
      <c r="L204">
        <v>370</v>
      </c>
      <c r="M204" s="1">
        <v>21834</v>
      </c>
      <c r="N204" s="1">
        <v>21650</v>
      </c>
      <c r="O204" s="1">
        <v>22250</v>
      </c>
      <c r="P204" s="1">
        <v>21600</v>
      </c>
      <c r="Q204" t="s">
        <v>724</v>
      </c>
      <c r="R204" s="3">
        <v>0.42024305555555558</v>
      </c>
      <c r="S204" s="1">
        <v>21850</v>
      </c>
      <c r="T204">
        <v>50</v>
      </c>
      <c r="U204">
        <v>0.23</v>
      </c>
      <c r="V204" s="1">
        <v>20496</v>
      </c>
      <c r="W204">
        <v>82.71</v>
      </c>
    </row>
    <row r="205" spans="3:23" x14ac:dyDescent="0.3">
      <c r="C205">
        <v>202</v>
      </c>
      <c r="D205">
        <v>120110</v>
      </c>
      <c r="E205" t="s">
        <v>289</v>
      </c>
      <c r="G205" s="1">
        <v>45950</v>
      </c>
      <c r="H205">
        <v>2</v>
      </c>
      <c r="I205" s="1">
        <v>1850</v>
      </c>
      <c r="J205">
        <v>4.2</v>
      </c>
      <c r="K205" s="1">
        <v>115922</v>
      </c>
      <c r="L205" s="1">
        <v>5280</v>
      </c>
      <c r="M205" s="1">
        <v>45544</v>
      </c>
      <c r="N205" s="1">
        <v>45500</v>
      </c>
      <c r="O205" s="1">
        <v>46400</v>
      </c>
      <c r="P205" s="1">
        <v>44350</v>
      </c>
      <c r="Q205" t="s">
        <v>724</v>
      </c>
      <c r="R205" s="3">
        <v>0.41916666666666669</v>
      </c>
      <c r="S205" s="1">
        <v>45950</v>
      </c>
      <c r="V205" s="1">
        <v>148390</v>
      </c>
      <c r="W205">
        <v>78.11</v>
      </c>
    </row>
    <row r="206" spans="3:23" x14ac:dyDescent="0.3">
      <c r="C206">
        <v>203</v>
      </c>
      <c r="D206">
        <v>80</v>
      </c>
      <c r="E206" t="s">
        <v>286</v>
      </c>
      <c r="G206" s="1">
        <v>18000</v>
      </c>
      <c r="H206">
        <v>2</v>
      </c>
      <c r="I206">
        <v>180</v>
      </c>
      <c r="J206">
        <v>1.01</v>
      </c>
      <c r="K206" s="1">
        <v>26925</v>
      </c>
      <c r="L206">
        <v>481</v>
      </c>
      <c r="M206" s="1">
        <v>17880</v>
      </c>
      <c r="N206" s="1">
        <v>17910</v>
      </c>
      <c r="O206" s="1">
        <v>18010</v>
      </c>
      <c r="P206" s="1">
        <v>17780</v>
      </c>
      <c r="Q206" t="s">
        <v>724</v>
      </c>
      <c r="R206" s="3">
        <v>0.42105324074074074</v>
      </c>
      <c r="S206" s="1">
        <v>17990</v>
      </c>
      <c r="T206">
        <v>10</v>
      </c>
      <c r="U206">
        <v>0.06</v>
      </c>
      <c r="V206" s="1">
        <v>72453</v>
      </c>
      <c r="W206">
        <v>37.159999999999997</v>
      </c>
    </row>
    <row r="207" spans="3:23" x14ac:dyDescent="0.3">
      <c r="C207">
        <v>204</v>
      </c>
      <c r="D207">
        <v>71320</v>
      </c>
      <c r="E207" t="s">
        <v>283</v>
      </c>
      <c r="G207" s="1">
        <v>108700</v>
      </c>
      <c r="H207">
        <v>5</v>
      </c>
      <c r="I207" s="1">
        <v>1300</v>
      </c>
      <c r="J207">
        <v>-1.18</v>
      </c>
      <c r="K207" s="1">
        <v>3270</v>
      </c>
      <c r="L207">
        <v>358</v>
      </c>
      <c r="M207" s="1">
        <v>109353</v>
      </c>
      <c r="N207" s="1">
        <v>110000</v>
      </c>
      <c r="O207" s="1">
        <v>110800</v>
      </c>
      <c r="P207" s="1">
        <v>108400</v>
      </c>
      <c r="Q207" t="s">
        <v>724</v>
      </c>
      <c r="R207" s="3">
        <v>0.42079861111111111</v>
      </c>
      <c r="S207" s="1">
        <v>108600</v>
      </c>
      <c r="T207">
        <v>100</v>
      </c>
      <c r="U207">
        <v>0.09</v>
      </c>
      <c r="V207" s="1">
        <v>3732</v>
      </c>
      <c r="W207">
        <v>87.62</v>
      </c>
    </row>
    <row r="208" spans="3:23" x14ac:dyDescent="0.3">
      <c r="C208">
        <v>205</v>
      </c>
      <c r="D208">
        <v>5300</v>
      </c>
      <c r="E208" t="s">
        <v>293</v>
      </c>
      <c r="G208" s="1">
        <v>132200</v>
      </c>
      <c r="H208">
        <v>2</v>
      </c>
      <c r="I208" s="1">
        <v>1900</v>
      </c>
      <c r="J208">
        <v>1.46</v>
      </c>
      <c r="K208" s="1">
        <v>5178</v>
      </c>
      <c r="L208">
        <v>679</v>
      </c>
      <c r="M208" s="1">
        <v>131148</v>
      </c>
      <c r="N208" s="1">
        <v>128700</v>
      </c>
      <c r="O208" s="1">
        <v>133000</v>
      </c>
      <c r="P208" s="1">
        <v>128200</v>
      </c>
      <c r="Q208" t="s">
        <v>724</v>
      </c>
      <c r="R208" s="3">
        <v>0.42042824074074076</v>
      </c>
      <c r="S208" s="1">
        <v>132400</v>
      </c>
      <c r="T208">
        <v>-200</v>
      </c>
      <c r="U208">
        <v>-0.15</v>
      </c>
      <c r="V208" s="1">
        <v>11104</v>
      </c>
      <c r="W208">
        <v>46.63</v>
      </c>
    </row>
    <row r="209" spans="3:23" x14ac:dyDescent="0.3">
      <c r="C209">
        <v>206</v>
      </c>
      <c r="D209">
        <v>300720</v>
      </c>
      <c r="E209" t="s">
        <v>291</v>
      </c>
      <c r="G209" s="1">
        <v>16600</v>
      </c>
      <c r="H209">
        <v>2</v>
      </c>
      <c r="I209">
        <v>110</v>
      </c>
      <c r="J209">
        <v>0.67</v>
      </c>
      <c r="K209" s="1">
        <v>13366</v>
      </c>
      <c r="L209">
        <v>222</v>
      </c>
      <c r="M209" s="1">
        <v>16619</v>
      </c>
      <c r="N209" s="1">
        <v>16700</v>
      </c>
      <c r="O209" s="1">
        <v>16750</v>
      </c>
      <c r="P209" s="1">
        <v>16490</v>
      </c>
      <c r="Q209" t="s">
        <v>724</v>
      </c>
      <c r="R209" s="3">
        <v>0.42064814814814816</v>
      </c>
      <c r="S209" s="1">
        <v>16610</v>
      </c>
      <c r="T209">
        <v>-10</v>
      </c>
      <c r="U209">
        <v>-0.06</v>
      </c>
      <c r="V209" s="1">
        <v>29531</v>
      </c>
      <c r="W209">
        <v>45.26</v>
      </c>
    </row>
    <row r="210" spans="3:23" x14ac:dyDescent="0.3">
      <c r="C210">
        <v>207</v>
      </c>
      <c r="D210">
        <v>100090</v>
      </c>
      <c r="E210" t="s">
        <v>294</v>
      </c>
      <c r="G210" s="1">
        <v>19110</v>
      </c>
      <c r="H210">
        <v>2</v>
      </c>
      <c r="I210">
        <v>80</v>
      </c>
      <c r="J210">
        <v>0.42</v>
      </c>
      <c r="K210" s="1">
        <v>101878</v>
      </c>
      <c r="L210" s="1">
        <v>1944</v>
      </c>
      <c r="M210" s="1">
        <v>19079</v>
      </c>
      <c r="N210" s="1">
        <v>19030</v>
      </c>
      <c r="O210" s="1">
        <v>19300</v>
      </c>
      <c r="P210" s="1">
        <v>18820</v>
      </c>
      <c r="Q210" t="s">
        <v>724</v>
      </c>
      <c r="R210" s="3">
        <v>0.42103009259259255</v>
      </c>
      <c r="S210" s="1">
        <v>19130</v>
      </c>
      <c r="T210">
        <v>-20</v>
      </c>
      <c r="U210">
        <v>-0.1</v>
      </c>
      <c r="V210" s="1">
        <v>119854</v>
      </c>
      <c r="W210">
        <v>85</v>
      </c>
    </row>
    <row r="211" spans="3:23" x14ac:dyDescent="0.3">
      <c r="C211">
        <v>208</v>
      </c>
      <c r="D211">
        <v>30610</v>
      </c>
      <c r="E211" t="s">
        <v>298</v>
      </c>
      <c r="G211" s="1">
        <v>10450</v>
      </c>
      <c r="H211">
        <v>2</v>
      </c>
      <c r="I211">
        <v>310</v>
      </c>
      <c r="J211">
        <v>3.06</v>
      </c>
      <c r="K211" s="1">
        <v>28226</v>
      </c>
      <c r="L211">
        <v>295</v>
      </c>
      <c r="M211" s="1">
        <v>10460</v>
      </c>
      <c r="N211" s="1">
        <v>10150</v>
      </c>
      <c r="O211" s="1">
        <v>10650</v>
      </c>
      <c r="P211" s="1">
        <v>10150</v>
      </c>
      <c r="Q211" t="s">
        <v>724</v>
      </c>
      <c r="R211" s="3">
        <v>0.41729166666666667</v>
      </c>
      <c r="S211" s="1">
        <v>10460</v>
      </c>
      <c r="T211">
        <v>-10</v>
      </c>
      <c r="U211">
        <v>-0.1</v>
      </c>
      <c r="V211" s="1">
        <v>59499</v>
      </c>
      <c r="W211">
        <v>47.43</v>
      </c>
    </row>
    <row r="212" spans="3:23" x14ac:dyDescent="0.3">
      <c r="C212">
        <v>209</v>
      </c>
      <c r="D212">
        <v>229640</v>
      </c>
      <c r="E212" t="s">
        <v>301</v>
      </c>
      <c r="G212" s="1">
        <v>38200</v>
      </c>
      <c r="H212">
        <v>2</v>
      </c>
      <c r="I212">
        <v>950</v>
      </c>
      <c r="J212">
        <v>2.5499999999999998</v>
      </c>
      <c r="K212" s="1">
        <v>52922</v>
      </c>
      <c r="L212" s="1">
        <v>2009</v>
      </c>
      <c r="M212" s="1">
        <v>37963</v>
      </c>
      <c r="N212" s="1">
        <v>37750</v>
      </c>
      <c r="O212" s="1">
        <v>38500</v>
      </c>
      <c r="P212" s="1">
        <v>37250</v>
      </c>
      <c r="Q212" t="s">
        <v>724</v>
      </c>
      <c r="R212" s="3">
        <v>0.42094907407407406</v>
      </c>
      <c r="S212" s="1">
        <v>38150</v>
      </c>
      <c r="T212">
        <v>50</v>
      </c>
      <c r="U212">
        <v>0.13</v>
      </c>
      <c r="V212" s="1">
        <v>46389</v>
      </c>
      <c r="W212">
        <v>114.08</v>
      </c>
    </row>
    <row r="213" spans="3:23" x14ac:dyDescent="0.3">
      <c r="C213">
        <v>210</v>
      </c>
      <c r="D213">
        <v>285130</v>
      </c>
      <c r="E213" t="s">
        <v>304</v>
      </c>
      <c r="G213" s="1">
        <v>67500</v>
      </c>
      <c r="H213">
        <v>2</v>
      </c>
      <c r="I213" s="1">
        <v>1800</v>
      </c>
      <c r="J213">
        <v>2.74</v>
      </c>
      <c r="K213" s="1">
        <v>11988</v>
      </c>
      <c r="L213">
        <v>805</v>
      </c>
      <c r="M213" s="1">
        <v>67116</v>
      </c>
      <c r="N213" s="1">
        <v>65500</v>
      </c>
      <c r="O213" s="1">
        <v>68500</v>
      </c>
      <c r="P213" s="1">
        <v>65500</v>
      </c>
      <c r="Q213" t="s">
        <v>724</v>
      </c>
      <c r="R213" s="3">
        <v>0.42103009259259255</v>
      </c>
      <c r="S213" s="1">
        <v>67500</v>
      </c>
      <c r="V213" s="1">
        <v>26788</v>
      </c>
      <c r="W213">
        <v>44.75</v>
      </c>
    </row>
    <row r="214" spans="3:23" x14ac:dyDescent="0.3">
      <c r="C214">
        <v>211</v>
      </c>
      <c r="D214">
        <v>4000</v>
      </c>
      <c r="E214" t="s">
        <v>299</v>
      </c>
      <c r="G214" s="1">
        <v>45050</v>
      </c>
      <c r="H214">
        <v>2</v>
      </c>
      <c r="I214">
        <v>800</v>
      </c>
      <c r="J214">
        <v>1.81</v>
      </c>
      <c r="K214" s="1">
        <v>8011</v>
      </c>
      <c r="L214">
        <v>362</v>
      </c>
      <c r="M214" s="1">
        <v>45245</v>
      </c>
      <c r="N214" s="1">
        <v>44500</v>
      </c>
      <c r="O214" s="1">
        <v>45950</v>
      </c>
      <c r="P214" s="1">
        <v>44400</v>
      </c>
      <c r="Q214" t="s">
        <v>724</v>
      </c>
      <c r="R214" s="3">
        <v>0.42078703703703701</v>
      </c>
      <c r="S214" s="1">
        <v>45000</v>
      </c>
      <c r="T214">
        <v>50</v>
      </c>
      <c r="U214">
        <v>0.11</v>
      </c>
      <c r="V214" s="1">
        <v>24971</v>
      </c>
      <c r="W214">
        <v>32.08</v>
      </c>
    </row>
    <row r="215" spans="3:23" x14ac:dyDescent="0.3">
      <c r="C215">
        <v>212</v>
      </c>
      <c r="D215">
        <v>249420</v>
      </c>
      <c r="E215" t="s">
        <v>297</v>
      </c>
      <c r="G215" s="1">
        <v>36400</v>
      </c>
      <c r="H215">
        <v>5</v>
      </c>
      <c r="I215">
        <v>600</v>
      </c>
      <c r="J215">
        <v>-1.62</v>
      </c>
      <c r="K215" s="1">
        <v>305603</v>
      </c>
      <c r="L215" s="1">
        <v>11101</v>
      </c>
      <c r="M215" s="1">
        <v>36325</v>
      </c>
      <c r="N215" s="1">
        <v>37000</v>
      </c>
      <c r="O215" s="1">
        <v>37400</v>
      </c>
      <c r="P215" s="1">
        <v>35350</v>
      </c>
      <c r="Q215" t="s">
        <v>724</v>
      </c>
      <c r="R215" s="3">
        <v>0.42100694444444442</v>
      </c>
      <c r="S215" s="1">
        <v>36300</v>
      </c>
      <c r="T215">
        <v>100</v>
      </c>
      <c r="U215">
        <v>0.28000000000000003</v>
      </c>
      <c r="V215" s="1">
        <v>316491</v>
      </c>
      <c r="W215">
        <v>96.55</v>
      </c>
    </row>
    <row r="216" spans="3:23" x14ac:dyDescent="0.3">
      <c r="C216">
        <v>213</v>
      </c>
      <c r="D216">
        <v>185750</v>
      </c>
      <c r="E216" t="s">
        <v>302</v>
      </c>
      <c r="G216" s="1">
        <v>83400</v>
      </c>
      <c r="H216">
        <v>2</v>
      </c>
      <c r="I216">
        <v>400</v>
      </c>
      <c r="J216">
        <v>0.48</v>
      </c>
      <c r="K216" s="1">
        <v>7637</v>
      </c>
      <c r="L216">
        <v>634</v>
      </c>
      <c r="M216" s="1">
        <v>83052</v>
      </c>
      <c r="N216" s="1">
        <v>83100</v>
      </c>
      <c r="O216" s="1">
        <v>84100</v>
      </c>
      <c r="P216" s="1">
        <v>82500</v>
      </c>
      <c r="Q216" t="s">
        <v>724</v>
      </c>
      <c r="R216" s="3">
        <v>0.4189930555555556</v>
      </c>
      <c r="S216" s="1">
        <v>83300</v>
      </c>
      <c r="T216">
        <v>100</v>
      </c>
      <c r="U216">
        <v>0.12</v>
      </c>
      <c r="V216" s="1">
        <v>12804</v>
      </c>
      <c r="W216">
        <v>59.64</v>
      </c>
    </row>
    <row r="217" spans="3:23" x14ac:dyDescent="0.3">
      <c r="C217">
        <v>214</v>
      </c>
      <c r="D217">
        <v>6120</v>
      </c>
      <c r="E217" t="s">
        <v>303</v>
      </c>
      <c r="G217" s="1">
        <v>62000</v>
      </c>
      <c r="H217">
        <v>2</v>
      </c>
      <c r="I217">
        <v>400</v>
      </c>
      <c r="J217">
        <v>0.65</v>
      </c>
      <c r="K217" s="1">
        <v>2172</v>
      </c>
      <c r="L217">
        <v>135</v>
      </c>
      <c r="M217" s="1">
        <v>62045</v>
      </c>
      <c r="N217" s="1">
        <v>61800</v>
      </c>
      <c r="O217" s="1">
        <v>62800</v>
      </c>
      <c r="P217" s="1">
        <v>61500</v>
      </c>
      <c r="Q217" t="s">
        <v>724</v>
      </c>
      <c r="R217" s="3">
        <v>0.4203587962962963</v>
      </c>
      <c r="S217" s="1">
        <v>62100</v>
      </c>
      <c r="T217">
        <v>-100</v>
      </c>
      <c r="U217">
        <v>-0.16</v>
      </c>
      <c r="V217" s="1">
        <v>6551</v>
      </c>
      <c r="W217">
        <v>33.15</v>
      </c>
    </row>
    <row r="218" spans="3:23" x14ac:dyDescent="0.3">
      <c r="C218">
        <v>215</v>
      </c>
      <c r="D218">
        <v>89860</v>
      </c>
      <c r="E218" t="s">
        <v>309</v>
      </c>
      <c r="G218" s="1">
        <v>30400</v>
      </c>
      <c r="H218">
        <v>2</v>
      </c>
      <c r="I218">
        <v>300</v>
      </c>
      <c r="J218">
        <v>1</v>
      </c>
      <c r="K218" s="1">
        <v>4239</v>
      </c>
      <c r="L218">
        <v>128</v>
      </c>
      <c r="M218" s="1">
        <v>30232</v>
      </c>
      <c r="N218" s="1">
        <v>30000</v>
      </c>
      <c r="O218" s="1">
        <v>30400</v>
      </c>
      <c r="P218" s="1">
        <v>29950</v>
      </c>
      <c r="Q218" t="s">
        <v>724</v>
      </c>
      <c r="R218" s="3">
        <v>0.41928240740740735</v>
      </c>
      <c r="S218" s="1">
        <v>30450</v>
      </c>
      <c r="T218">
        <v>-50</v>
      </c>
      <c r="U218">
        <v>-0.16</v>
      </c>
      <c r="V218" s="1">
        <v>10943</v>
      </c>
      <c r="W218">
        <v>38.729999999999997</v>
      </c>
    </row>
    <row r="219" spans="3:23" x14ac:dyDescent="0.3">
      <c r="C219">
        <v>216</v>
      </c>
      <c r="D219">
        <v>192080</v>
      </c>
      <c r="E219" t="s">
        <v>310</v>
      </c>
      <c r="G219" s="1">
        <v>51100</v>
      </c>
      <c r="H219">
        <v>2</v>
      </c>
      <c r="I219" s="1">
        <v>1200</v>
      </c>
      <c r="J219">
        <v>2.4</v>
      </c>
      <c r="K219" s="1">
        <v>7033</v>
      </c>
      <c r="L219">
        <v>355</v>
      </c>
      <c r="M219" s="1">
        <v>50418</v>
      </c>
      <c r="N219" s="1">
        <v>49900</v>
      </c>
      <c r="O219" s="1">
        <v>51400</v>
      </c>
      <c r="P219" s="1">
        <v>49900</v>
      </c>
      <c r="Q219" t="s">
        <v>724</v>
      </c>
      <c r="R219" s="3">
        <v>0.42069444444444443</v>
      </c>
      <c r="S219" s="1">
        <v>51100</v>
      </c>
      <c r="V219" s="1">
        <v>13982</v>
      </c>
      <c r="W219">
        <v>50.3</v>
      </c>
    </row>
    <row r="220" spans="3:23" x14ac:dyDescent="0.3">
      <c r="C220">
        <v>217</v>
      </c>
      <c r="D220">
        <v>75580</v>
      </c>
      <c r="E220" t="s">
        <v>308</v>
      </c>
      <c r="G220" s="1">
        <v>18850</v>
      </c>
      <c r="H220">
        <v>5</v>
      </c>
      <c r="I220">
        <v>390</v>
      </c>
      <c r="J220">
        <v>-2.0299999999999998</v>
      </c>
      <c r="K220" s="1">
        <v>158488</v>
      </c>
      <c r="L220" s="1">
        <v>3035</v>
      </c>
      <c r="M220" s="1">
        <v>19147</v>
      </c>
      <c r="N220" s="1">
        <v>19300</v>
      </c>
      <c r="O220" s="1">
        <v>19740</v>
      </c>
      <c r="P220" s="1">
        <v>18760</v>
      </c>
      <c r="Q220" t="s">
        <v>724</v>
      </c>
      <c r="R220" s="3">
        <v>0.4210416666666667</v>
      </c>
      <c r="S220" s="1">
        <v>18850</v>
      </c>
      <c r="V220" s="1">
        <v>146015</v>
      </c>
      <c r="W220">
        <v>108.54</v>
      </c>
    </row>
    <row r="221" spans="3:23" x14ac:dyDescent="0.3">
      <c r="C221">
        <v>218</v>
      </c>
      <c r="D221">
        <v>9240</v>
      </c>
      <c r="E221" t="s">
        <v>313</v>
      </c>
      <c r="G221" s="1">
        <v>44600</v>
      </c>
      <c r="H221">
        <v>3</v>
      </c>
      <c r="K221" s="1">
        <v>38085</v>
      </c>
      <c r="L221" s="1">
        <v>1707</v>
      </c>
      <c r="M221" s="1">
        <v>44823</v>
      </c>
      <c r="N221" s="1">
        <v>44600</v>
      </c>
      <c r="O221" s="1">
        <v>46700</v>
      </c>
      <c r="P221" s="1">
        <v>43450</v>
      </c>
      <c r="Q221" t="s">
        <v>724</v>
      </c>
      <c r="R221" s="3">
        <v>0.42103009259259255</v>
      </c>
      <c r="S221" s="1">
        <v>44600</v>
      </c>
      <c r="V221" s="1">
        <v>70650</v>
      </c>
      <c r="W221">
        <v>53.9</v>
      </c>
    </row>
    <row r="222" spans="3:23" x14ac:dyDescent="0.3">
      <c r="C222">
        <v>219</v>
      </c>
      <c r="D222">
        <v>280360</v>
      </c>
      <c r="E222" t="s">
        <v>319</v>
      </c>
      <c r="G222" s="1">
        <v>111100</v>
      </c>
      <c r="H222">
        <v>2</v>
      </c>
      <c r="I222" s="1">
        <v>2100</v>
      </c>
      <c r="J222">
        <v>1.93</v>
      </c>
      <c r="K222" s="1">
        <v>3988</v>
      </c>
      <c r="L222">
        <v>442</v>
      </c>
      <c r="M222" s="1">
        <v>110850</v>
      </c>
      <c r="N222" s="1">
        <v>109400</v>
      </c>
      <c r="O222" s="1">
        <v>112200</v>
      </c>
      <c r="P222" s="1">
        <v>109300</v>
      </c>
      <c r="Q222" t="s">
        <v>724</v>
      </c>
      <c r="R222" s="3">
        <v>0.42078703703703701</v>
      </c>
      <c r="S222" s="1">
        <v>110900</v>
      </c>
      <c r="T222">
        <v>200</v>
      </c>
      <c r="U222">
        <v>0.18</v>
      </c>
      <c r="V222" s="1">
        <v>5685</v>
      </c>
      <c r="W222">
        <v>70.14</v>
      </c>
    </row>
    <row r="223" spans="3:23" x14ac:dyDescent="0.3">
      <c r="C223">
        <v>220</v>
      </c>
      <c r="D223">
        <v>6650</v>
      </c>
      <c r="E223" t="s">
        <v>318</v>
      </c>
      <c r="G223" s="1">
        <v>158400</v>
      </c>
      <c r="H223">
        <v>2</v>
      </c>
      <c r="I223">
        <v>900</v>
      </c>
      <c r="J223">
        <v>0.56999999999999995</v>
      </c>
      <c r="K223" s="1">
        <v>6086</v>
      </c>
      <c r="L223">
        <v>962</v>
      </c>
      <c r="M223" s="1">
        <v>158065</v>
      </c>
      <c r="N223" s="1">
        <v>157600</v>
      </c>
      <c r="O223" s="1">
        <v>161200</v>
      </c>
      <c r="P223" s="1">
        <v>154800</v>
      </c>
      <c r="Q223" t="s">
        <v>724</v>
      </c>
      <c r="R223" s="3">
        <v>0.42055555555555557</v>
      </c>
      <c r="S223" s="1">
        <v>158200</v>
      </c>
      <c r="T223">
        <v>200</v>
      </c>
      <c r="U223">
        <v>0.13</v>
      </c>
      <c r="V223" s="1">
        <v>13437</v>
      </c>
      <c r="W223">
        <v>45.29</v>
      </c>
    </row>
    <row r="224" spans="3:23" x14ac:dyDescent="0.3">
      <c r="C224">
        <v>221</v>
      </c>
      <c r="D224">
        <v>64960</v>
      </c>
      <c r="E224" t="s">
        <v>311</v>
      </c>
      <c r="G224" s="1">
        <v>38000</v>
      </c>
      <c r="H224">
        <v>5</v>
      </c>
      <c r="I224" s="1">
        <v>1450</v>
      </c>
      <c r="J224">
        <v>-3.68</v>
      </c>
      <c r="K224" s="1">
        <v>78262</v>
      </c>
      <c r="L224" s="1">
        <v>3091</v>
      </c>
      <c r="M224" s="1">
        <v>39490</v>
      </c>
      <c r="N224" s="1">
        <v>40400</v>
      </c>
      <c r="O224" s="1">
        <v>40650</v>
      </c>
      <c r="P224" s="1">
        <v>38000</v>
      </c>
      <c r="Q224" t="s">
        <v>724</v>
      </c>
      <c r="R224" s="3">
        <v>0.42105324074074074</v>
      </c>
      <c r="S224" s="1">
        <v>37950</v>
      </c>
      <c r="T224">
        <v>50</v>
      </c>
      <c r="U224">
        <v>0.13</v>
      </c>
      <c r="V224" s="1">
        <v>98471</v>
      </c>
      <c r="W224">
        <v>79.47</v>
      </c>
    </row>
    <row r="225" spans="3:23" x14ac:dyDescent="0.3">
      <c r="C225">
        <v>222</v>
      </c>
      <c r="D225">
        <v>137310</v>
      </c>
      <c r="E225" t="s">
        <v>324</v>
      </c>
      <c r="G225" s="1">
        <v>8240</v>
      </c>
      <c r="H225">
        <v>2</v>
      </c>
      <c r="I225">
        <v>30</v>
      </c>
      <c r="J225">
        <v>0.37</v>
      </c>
      <c r="K225" s="1">
        <v>19599</v>
      </c>
      <c r="L225">
        <v>161</v>
      </c>
      <c r="M225" s="1">
        <v>8206</v>
      </c>
      <c r="N225" s="1">
        <v>8230</v>
      </c>
      <c r="O225" s="1">
        <v>8310</v>
      </c>
      <c r="P225" s="1">
        <v>8160</v>
      </c>
      <c r="Q225" t="s">
        <v>724</v>
      </c>
      <c r="R225" s="3">
        <v>0.4208796296296296</v>
      </c>
      <c r="S225" s="1">
        <v>8240</v>
      </c>
      <c r="V225" s="1">
        <v>46570</v>
      </c>
      <c r="W225">
        <v>42.08</v>
      </c>
    </row>
    <row r="226" spans="3:23" x14ac:dyDescent="0.3">
      <c r="C226">
        <v>223</v>
      </c>
      <c r="D226">
        <v>12630</v>
      </c>
      <c r="E226" t="s">
        <v>321</v>
      </c>
      <c r="G226" s="1">
        <v>16630</v>
      </c>
      <c r="H226">
        <v>5</v>
      </c>
      <c r="I226">
        <v>110</v>
      </c>
      <c r="J226">
        <v>-0.66</v>
      </c>
      <c r="K226" s="1">
        <v>13211</v>
      </c>
      <c r="L226">
        <v>221</v>
      </c>
      <c r="M226" s="1">
        <v>16761</v>
      </c>
      <c r="N226" s="1">
        <v>16750</v>
      </c>
      <c r="O226" s="1">
        <v>17280</v>
      </c>
      <c r="P226" s="1">
        <v>16460</v>
      </c>
      <c r="Q226" t="s">
        <v>724</v>
      </c>
      <c r="R226" s="3">
        <v>0.41956018518518517</v>
      </c>
      <c r="S226" s="1">
        <v>16580</v>
      </c>
      <c r="T226">
        <v>50</v>
      </c>
      <c r="U226">
        <v>0.3</v>
      </c>
      <c r="V226" s="1">
        <v>49536</v>
      </c>
      <c r="W226">
        <v>26.66</v>
      </c>
    </row>
    <row r="227" spans="3:23" x14ac:dyDescent="0.3">
      <c r="C227">
        <v>224</v>
      </c>
      <c r="D227">
        <v>30190</v>
      </c>
      <c r="E227" t="s">
        <v>326</v>
      </c>
      <c r="G227" s="1">
        <v>16720</v>
      </c>
      <c r="H227">
        <v>2</v>
      </c>
      <c r="I227">
        <v>320</v>
      </c>
      <c r="J227">
        <v>1.95</v>
      </c>
      <c r="K227" s="1">
        <v>2661</v>
      </c>
      <c r="L227">
        <v>45</v>
      </c>
      <c r="M227" s="1">
        <v>16789</v>
      </c>
      <c r="N227" s="1">
        <v>16600</v>
      </c>
      <c r="O227" s="1">
        <v>16920</v>
      </c>
      <c r="P227" s="1">
        <v>16550</v>
      </c>
      <c r="Q227" t="s">
        <v>724</v>
      </c>
      <c r="R227" s="3">
        <v>0.41908564814814814</v>
      </c>
      <c r="S227" s="1">
        <v>16760</v>
      </c>
      <c r="T227">
        <v>-40</v>
      </c>
      <c r="U227">
        <v>-0.24</v>
      </c>
      <c r="V227" s="1">
        <v>29772</v>
      </c>
      <c r="W227">
        <v>8.93</v>
      </c>
    </row>
    <row r="228" spans="3:23" x14ac:dyDescent="0.3">
      <c r="C228">
        <v>225</v>
      </c>
      <c r="D228">
        <v>181710</v>
      </c>
      <c r="E228" t="s">
        <v>328</v>
      </c>
      <c r="G228" s="1">
        <v>30050</v>
      </c>
      <c r="H228">
        <v>2</v>
      </c>
      <c r="I228">
        <v>650</v>
      </c>
      <c r="J228">
        <v>2.21</v>
      </c>
      <c r="K228" s="1">
        <v>4139</v>
      </c>
      <c r="L228">
        <v>123</v>
      </c>
      <c r="M228" s="1">
        <v>29817</v>
      </c>
      <c r="N228" s="1">
        <v>29900</v>
      </c>
      <c r="O228" s="1">
        <v>30100</v>
      </c>
      <c r="P228" s="1">
        <v>29550</v>
      </c>
      <c r="Q228" t="s">
        <v>724</v>
      </c>
      <c r="R228" s="3">
        <v>0.42001157407407402</v>
      </c>
      <c r="S228" s="1">
        <v>30050</v>
      </c>
      <c r="V228" s="1">
        <v>9131</v>
      </c>
      <c r="W228">
        <v>45.32</v>
      </c>
    </row>
    <row r="229" spans="3:23" x14ac:dyDescent="0.3">
      <c r="C229">
        <v>226</v>
      </c>
      <c r="D229">
        <v>670</v>
      </c>
      <c r="E229" t="s">
        <v>333</v>
      </c>
      <c r="G229" s="1">
        <v>53700</v>
      </c>
      <c r="H229">
        <v>2</v>
      </c>
      <c r="I229" s="1">
        <v>1000</v>
      </c>
      <c r="J229">
        <v>1.9</v>
      </c>
      <c r="K229" s="1">
        <v>13070</v>
      </c>
      <c r="L229">
        <v>695</v>
      </c>
      <c r="M229" s="1">
        <v>53204</v>
      </c>
      <c r="N229" s="1">
        <v>53200</v>
      </c>
      <c r="O229" s="1">
        <v>53900</v>
      </c>
      <c r="P229" s="1">
        <v>52700</v>
      </c>
      <c r="Q229" t="s">
        <v>724</v>
      </c>
      <c r="R229" s="3">
        <v>0.41928240740740735</v>
      </c>
      <c r="S229" s="1">
        <v>53800</v>
      </c>
      <c r="T229">
        <v>-100</v>
      </c>
      <c r="U229">
        <v>-0.19</v>
      </c>
      <c r="V229" s="1">
        <v>12368</v>
      </c>
      <c r="W229">
        <v>105.67</v>
      </c>
    </row>
    <row r="230" spans="3:23" x14ac:dyDescent="0.3">
      <c r="C230">
        <v>227</v>
      </c>
      <c r="D230">
        <v>192400</v>
      </c>
      <c r="E230" t="s">
        <v>332</v>
      </c>
      <c r="G230" s="1">
        <v>27000</v>
      </c>
      <c r="H230">
        <v>2</v>
      </c>
      <c r="I230">
        <v>50</v>
      </c>
      <c r="J230">
        <v>0.19</v>
      </c>
      <c r="K230" s="1">
        <v>1994</v>
      </c>
      <c r="L230">
        <v>54</v>
      </c>
      <c r="M230" s="1">
        <v>26925</v>
      </c>
      <c r="N230" s="1">
        <v>27000</v>
      </c>
      <c r="O230" s="1">
        <v>27150</v>
      </c>
      <c r="P230" s="1">
        <v>26750</v>
      </c>
      <c r="Q230" t="s">
        <v>724</v>
      </c>
      <c r="R230" s="3">
        <v>0.42059027777777774</v>
      </c>
      <c r="S230" s="1">
        <v>27000</v>
      </c>
      <c r="V230" s="1">
        <v>7431</v>
      </c>
      <c r="W230">
        <v>26.83</v>
      </c>
    </row>
    <row r="231" spans="3:23" x14ac:dyDescent="0.3">
      <c r="C231">
        <v>228</v>
      </c>
      <c r="D231">
        <v>298050</v>
      </c>
      <c r="E231" t="s">
        <v>330</v>
      </c>
      <c r="G231" s="1">
        <v>210500</v>
      </c>
      <c r="H231">
        <v>5</v>
      </c>
      <c r="I231" s="1">
        <v>5000</v>
      </c>
      <c r="J231">
        <v>-2.3199999999999998</v>
      </c>
      <c r="K231" s="1">
        <v>15716</v>
      </c>
      <c r="L231" s="1">
        <v>3369</v>
      </c>
      <c r="M231" s="1">
        <v>214360</v>
      </c>
      <c r="N231" s="1">
        <v>220000</v>
      </c>
      <c r="O231" s="1">
        <v>222500</v>
      </c>
      <c r="P231" s="1">
        <v>207500</v>
      </c>
      <c r="Q231" t="s">
        <v>724</v>
      </c>
      <c r="R231" s="3">
        <v>0.42086805555555556</v>
      </c>
      <c r="S231" s="1">
        <v>210500</v>
      </c>
      <c r="V231" s="1">
        <v>13772</v>
      </c>
      <c r="W231">
        <v>114.11</v>
      </c>
    </row>
    <row r="232" spans="3:23" x14ac:dyDescent="0.3">
      <c r="C232">
        <v>229</v>
      </c>
      <c r="D232">
        <v>36530</v>
      </c>
      <c r="E232" t="s">
        <v>337</v>
      </c>
      <c r="G232" s="1">
        <v>55300</v>
      </c>
      <c r="H232">
        <v>5</v>
      </c>
      <c r="I232" s="1">
        <v>1500</v>
      </c>
      <c r="J232">
        <v>-2.64</v>
      </c>
      <c r="K232" s="1">
        <v>9708</v>
      </c>
      <c r="L232">
        <v>548</v>
      </c>
      <c r="M232" s="1">
        <v>56430</v>
      </c>
      <c r="N232" s="1">
        <v>56800</v>
      </c>
      <c r="O232" s="1">
        <v>58700</v>
      </c>
      <c r="P232" s="1">
        <v>54900</v>
      </c>
      <c r="Q232" t="s">
        <v>724</v>
      </c>
      <c r="R232" s="3">
        <v>0.42054398148148148</v>
      </c>
      <c r="S232" s="1">
        <v>55200</v>
      </c>
      <c r="T232">
        <v>100</v>
      </c>
      <c r="U232">
        <v>0.18</v>
      </c>
      <c r="V232" s="1">
        <v>18523</v>
      </c>
      <c r="W232">
        <v>52.41</v>
      </c>
    </row>
    <row r="233" spans="3:23" x14ac:dyDescent="0.3">
      <c r="C233">
        <v>230</v>
      </c>
      <c r="D233">
        <v>4490</v>
      </c>
      <c r="E233" t="s">
        <v>342</v>
      </c>
      <c r="G233" s="1">
        <v>64200</v>
      </c>
      <c r="H233">
        <v>2</v>
      </c>
      <c r="I233">
        <v>900</v>
      </c>
      <c r="J233">
        <v>1.42</v>
      </c>
      <c r="K233" s="1">
        <v>14498</v>
      </c>
      <c r="L233">
        <v>929</v>
      </c>
      <c r="M233" s="1">
        <v>64084</v>
      </c>
      <c r="N233" s="1">
        <v>63300</v>
      </c>
      <c r="O233" s="1">
        <v>65100</v>
      </c>
      <c r="P233" s="1">
        <v>63300</v>
      </c>
      <c r="Q233" t="s">
        <v>724</v>
      </c>
      <c r="R233" s="3">
        <v>0.42086805555555556</v>
      </c>
      <c r="S233" s="1">
        <v>64000</v>
      </c>
      <c r="T233">
        <v>200</v>
      </c>
      <c r="U233">
        <v>0.31</v>
      </c>
      <c r="V233" s="1">
        <v>17962</v>
      </c>
      <c r="W233">
        <v>80.709999999999994</v>
      </c>
    </row>
    <row r="234" spans="3:23" x14ac:dyDescent="0.3">
      <c r="C234">
        <v>231</v>
      </c>
      <c r="D234">
        <v>195870</v>
      </c>
      <c r="E234" t="s">
        <v>344</v>
      </c>
      <c r="G234" s="1">
        <v>52600</v>
      </c>
      <c r="H234">
        <v>2</v>
      </c>
      <c r="I234" s="1">
        <v>1600</v>
      </c>
      <c r="J234">
        <v>3.14</v>
      </c>
      <c r="K234" s="1">
        <v>64724</v>
      </c>
      <c r="L234" s="1">
        <v>3357</v>
      </c>
      <c r="M234" s="1">
        <v>51867</v>
      </c>
      <c r="N234" s="1">
        <v>51900</v>
      </c>
      <c r="O234" s="1">
        <v>52800</v>
      </c>
      <c r="P234" s="1">
        <v>50800</v>
      </c>
      <c r="Q234" t="s">
        <v>724</v>
      </c>
      <c r="R234" s="3">
        <v>0.42101851851851851</v>
      </c>
      <c r="S234" s="1">
        <v>52500</v>
      </c>
      <c r="T234">
        <v>100</v>
      </c>
      <c r="U234">
        <v>0.19</v>
      </c>
      <c r="V234" s="1">
        <v>100510</v>
      </c>
      <c r="W234">
        <v>64.39</v>
      </c>
    </row>
    <row r="235" spans="3:23" x14ac:dyDescent="0.3">
      <c r="C235">
        <v>232</v>
      </c>
      <c r="D235">
        <v>499790</v>
      </c>
      <c r="E235" t="s">
        <v>371</v>
      </c>
      <c r="G235" s="1">
        <v>42850</v>
      </c>
      <c r="H235">
        <v>2</v>
      </c>
      <c r="I235" s="1">
        <v>3400</v>
      </c>
      <c r="J235">
        <v>8.6199999999999992</v>
      </c>
      <c r="K235" s="1">
        <v>39585</v>
      </c>
      <c r="L235" s="1">
        <v>1628</v>
      </c>
      <c r="M235" s="1">
        <v>41128</v>
      </c>
      <c r="N235" s="1">
        <v>39500</v>
      </c>
      <c r="O235" s="1">
        <v>42850</v>
      </c>
      <c r="P235" s="1">
        <v>39450</v>
      </c>
      <c r="Q235" t="s">
        <v>724</v>
      </c>
      <c r="R235" s="3">
        <v>0.42101851851851851</v>
      </c>
      <c r="S235" s="1">
        <v>42850</v>
      </c>
      <c r="V235" s="1">
        <v>67025</v>
      </c>
      <c r="W235">
        <v>59.06</v>
      </c>
    </row>
    <row r="236" spans="3:23" x14ac:dyDescent="0.3">
      <c r="C236">
        <v>233</v>
      </c>
      <c r="D236">
        <v>317450</v>
      </c>
      <c r="E236" t="s">
        <v>351</v>
      </c>
      <c r="G236" s="1">
        <v>58200</v>
      </c>
      <c r="H236">
        <v>5</v>
      </c>
      <c r="I236">
        <v>100</v>
      </c>
      <c r="J236">
        <v>-0.17</v>
      </c>
      <c r="K236" s="1">
        <v>10087</v>
      </c>
      <c r="L236">
        <v>587</v>
      </c>
      <c r="M236" s="1">
        <v>58217</v>
      </c>
      <c r="N236" s="1">
        <v>58600</v>
      </c>
      <c r="O236" s="1">
        <v>59100</v>
      </c>
      <c r="P236" s="1">
        <v>57800</v>
      </c>
      <c r="Q236" t="s">
        <v>724</v>
      </c>
      <c r="R236" s="3">
        <v>0.42064814814814816</v>
      </c>
      <c r="S236" s="1">
        <v>58200</v>
      </c>
      <c r="V236" s="1">
        <v>15586</v>
      </c>
      <c r="W236">
        <v>64.709999999999994</v>
      </c>
    </row>
    <row r="237" spans="3:23" x14ac:dyDescent="0.3">
      <c r="C237">
        <v>234</v>
      </c>
      <c r="D237">
        <v>3240</v>
      </c>
      <c r="E237" t="s">
        <v>353</v>
      </c>
      <c r="G237" s="1">
        <v>756000</v>
      </c>
      <c r="H237">
        <v>2</v>
      </c>
      <c r="I237" s="1">
        <v>6000</v>
      </c>
      <c r="J237">
        <v>0.8</v>
      </c>
      <c r="K237">
        <v>158</v>
      </c>
      <c r="L237">
        <v>119</v>
      </c>
      <c r="M237" s="1">
        <v>752917</v>
      </c>
      <c r="N237" s="1">
        <v>745000</v>
      </c>
      <c r="O237" s="1">
        <v>759000</v>
      </c>
      <c r="P237" s="1">
        <v>744000</v>
      </c>
      <c r="Q237" t="s">
        <v>724</v>
      </c>
      <c r="R237" s="3">
        <v>0.41778935185185184</v>
      </c>
      <c r="S237" s="1">
        <v>756000</v>
      </c>
      <c r="V237">
        <v>475</v>
      </c>
      <c r="W237">
        <v>33.26</v>
      </c>
    </row>
    <row r="238" spans="3:23" x14ac:dyDescent="0.3">
      <c r="C238">
        <v>235</v>
      </c>
      <c r="D238">
        <v>93370</v>
      </c>
      <c r="E238" t="s">
        <v>367</v>
      </c>
      <c r="G238" s="1">
        <v>7800</v>
      </c>
      <c r="H238">
        <v>2</v>
      </c>
      <c r="I238">
        <v>420</v>
      </c>
      <c r="J238">
        <v>5.69</v>
      </c>
      <c r="K238" s="1">
        <v>495605</v>
      </c>
      <c r="L238" s="1">
        <v>3799</v>
      </c>
      <c r="M238" s="1">
        <v>7665</v>
      </c>
      <c r="N238" s="1">
        <v>7360</v>
      </c>
      <c r="O238" s="1">
        <v>7820</v>
      </c>
      <c r="P238" s="1">
        <v>7360</v>
      </c>
      <c r="Q238" t="s">
        <v>724</v>
      </c>
      <c r="R238" s="3">
        <v>0.42094907407407406</v>
      </c>
      <c r="S238" s="1">
        <v>7800</v>
      </c>
      <c r="V238" s="1">
        <v>657535</v>
      </c>
      <c r="W238">
        <v>75.37</v>
      </c>
    </row>
    <row r="239" spans="3:23" x14ac:dyDescent="0.3">
      <c r="C239">
        <v>236</v>
      </c>
      <c r="D239">
        <v>108320</v>
      </c>
      <c r="E239" t="s">
        <v>357</v>
      </c>
      <c r="G239" s="1">
        <v>50500</v>
      </c>
      <c r="H239">
        <v>2</v>
      </c>
      <c r="I239">
        <v>500</v>
      </c>
      <c r="J239">
        <v>1</v>
      </c>
      <c r="K239" s="1">
        <v>10124</v>
      </c>
      <c r="L239">
        <v>511</v>
      </c>
      <c r="M239" s="1">
        <v>50468</v>
      </c>
      <c r="N239" s="1">
        <v>50600</v>
      </c>
      <c r="O239" s="1">
        <v>51000</v>
      </c>
      <c r="P239" s="1">
        <v>50200</v>
      </c>
      <c r="Q239" t="s">
        <v>724</v>
      </c>
      <c r="R239" s="3">
        <v>0.41692129629629626</v>
      </c>
      <c r="S239" s="1">
        <v>50600</v>
      </c>
      <c r="T239">
        <v>-100</v>
      </c>
      <c r="U239">
        <v>-0.2</v>
      </c>
      <c r="V239" s="1">
        <v>28801</v>
      </c>
      <c r="W239">
        <v>35.15</v>
      </c>
    </row>
    <row r="240" spans="3:23" x14ac:dyDescent="0.3">
      <c r="C240">
        <v>237</v>
      </c>
      <c r="D240">
        <v>3160</v>
      </c>
      <c r="E240" t="s">
        <v>354</v>
      </c>
      <c r="G240" s="1">
        <v>28850</v>
      </c>
      <c r="H240">
        <v>2</v>
      </c>
      <c r="I240">
        <v>50</v>
      </c>
      <c r="J240">
        <v>0.17</v>
      </c>
      <c r="K240" s="1">
        <v>184091</v>
      </c>
      <c r="L240" s="1">
        <v>5404</v>
      </c>
      <c r="M240" s="1">
        <v>29357</v>
      </c>
      <c r="N240" s="1">
        <v>29500</v>
      </c>
      <c r="O240" s="1">
        <v>30300</v>
      </c>
      <c r="P240" s="1">
        <v>28600</v>
      </c>
      <c r="Q240" t="s">
        <v>724</v>
      </c>
      <c r="R240" s="3">
        <v>0.42071759259259256</v>
      </c>
      <c r="S240" s="1">
        <v>28900</v>
      </c>
      <c r="T240">
        <v>-50</v>
      </c>
      <c r="U240">
        <v>-0.17</v>
      </c>
      <c r="V240" s="1">
        <v>125769</v>
      </c>
      <c r="W240">
        <v>146.37</v>
      </c>
    </row>
    <row r="241" spans="3:23" x14ac:dyDescent="0.3">
      <c r="C241">
        <v>238</v>
      </c>
      <c r="D241">
        <v>9450</v>
      </c>
      <c r="E241" t="s">
        <v>360</v>
      </c>
      <c r="G241" s="1">
        <v>55600</v>
      </c>
      <c r="H241">
        <v>5</v>
      </c>
      <c r="I241">
        <v>100</v>
      </c>
      <c r="J241">
        <v>-0.18</v>
      </c>
      <c r="K241" s="1">
        <v>6164</v>
      </c>
      <c r="L241">
        <v>342</v>
      </c>
      <c r="M241" s="1">
        <v>55545</v>
      </c>
      <c r="N241" s="1">
        <v>55700</v>
      </c>
      <c r="O241" s="1">
        <v>56300</v>
      </c>
      <c r="P241" s="1">
        <v>54800</v>
      </c>
      <c r="Q241" t="s">
        <v>724</v>
      </c>
      <c r="R241" s="3">
        <v>0.42055555555555557</v>
      </c>
      <c r="S241" s="1">
        <v>55500</v>
      </c>
      <c r="T241">
        <v>100</v>
      </c>
      <c r="U241">
        <v>0.18</v>
      </c>
      <c r="V241" s="1">
        <v>9272</v>
      </c>
      <c r="W241">
        <v>66.47</v>
      </c>
    </row>
    <row r="242" spans="3:23" x14ac:dyDescent="0.3">
      <c r="C242">
        <v>239</v>
      </c>
      <c r="D242">
        <v>114090</v>
      </c>
      <c r="E242" t="s">
        <v>363</v>
      </c>
      <c r="G242" s="1">
        <v>13010</v>
      </c>
      <c r="H242">
        <v>2</v>
      </c>
      <c r="I242">
        <v>10</v>
      </c>
      <c r="J242">
        <v>0.08</v>
      </c>
      <c r="K242" s="1">
        <v>25201</v>
      </c>
      <c r="L242">
        <v>328</v>
      </c>
      <c r="M242" s="1">
        <v>13008</v>
      </c>
      <c r="N242" s="1">
        <v>13010</v>
      </c>
      <c r="O242" s="1">
        <v>13120</v>
      </c>
      <c r="P242" s="1">
        <v>12850</v>
      </c>
      <c r="Q242" t="s">
        <v>724</v>
      </c>
      <c r="R242" s="3">
        <v>0.42064814814814816</v>
      </c>
      <c r="S242" s="1">
        <v>13020</v>
      </c>
      <c r="T242">
        <v>-10</v>
      </c>
      <c r="U242">
        <v>-0.08</v>
      </c>
      <c r="V242" s="1">
        <v>60284</v>
      </c>
      <c r="W242">
        <v>41.8</v>
      </c>
    </row>
    <row r="243" spans="3:23" x14ac:dyDescent="0.3">
      <c r="C243">
        <v>240</v>
      </c>
      <c r="D243">
        <v>100840</v>
      </c>
      <c r="E243" t="s">
        <v>359</v>
      </c>
      <c r="G243" s="1">
        <v>38700</v>
      </c>
      <c r="H243">
        <v>2</v>
      </c>
      <c r="I243">
        <v>200</v>
      </c>
      <c r="J243">
        <v>0.52</v>
      </c>
      <c r="K243" s="1">
        <v>33446</v>
      </c>
      <c r="L243" s="1">
        <v>1310</v>
      </c>
      <c r="M243" s="1">
        <v>39172</v>
      </c>
      <c r="N243" s="1">
        <v>39400</v>
      </c>
      <c r="O243" s="1">
        <v>39700</v>
      </c>
      <c r="P243" s="1">
        <v>38600</v>
      </c>
      <c r="Q243" t="s">
        <v>724</v>
      </c>
      <c r="R243" s="3">
        <v>0.42099537037037038</v>
      </c>
      <c r="S243" s="1">
        <v>38650</v>
      </c>
      <c r="T243">
        <v>50</v>
      </c>
      <c r="U243">
        <v>0.13</v>
      </c>
      <c r="V243" s="1">
        <v>41443</v>
      </c>
      <c r="W243">
        <v>80.7</v>
      </c>
    </row>
    <row r="244" spans="3:23" x14ac:dyDescent="0.3">
      <c r="C244">
        <v>241</v>
      </c>
      <c r="D244">
        <v>5690</v>
      </c>
      <c r="E244" t="s">
        <v>370</v>
      </c>
      <c r="G244" s="1">
        <v>13330</v>
      </c>
      <c r="H244">
        <v>2</v>
      </c>
      <c r="I244">
        <v>790</v>
      </c>
      <c r="J244">
        <v>6.3</v>
      </c>
      <c r="K244" s="1">
        <v>836252</v>
      </c>
      <c r="L244" s="1">
        <v>10995</v>
      </c>
      <c r="M244" s="1">
        <v>13148</v>
      </c>
      <c r="N244" s="1">
        <v>12700</v>
      </c>
      <c r="O244" s="1">
        <v>13600</v>
      </c>
      <c r="P244" s="1">
        <v>12700</v>
      </c>
      <c r="Q244" t="s">
        <v>724</v>
      </c>
      <c r="R244" s="3">
        <v>0.42100694444444442</v>
      </c>
      <c r="S244" s="1">
        <v>13320</v>
      </c>
      <c r="T244">
        <v>10</v>
      </c>
      <c r="U244">
        <v>0.08</v>
      </c>
      <c r="V244" s="1">
        <v>638988</v>
      </c>
      <c r="W244">
        <v>130.87</v>
      </c>
    </row>
    <row r="245" spans="3:23" x14ac:dyDescent="0.3">
      <c r="C245">
        <v>242</v>
      </c>
      <c r="D245">
        <v>281820</v>
      </c>
      <c r="E245" t="s">
        <v>362</v>
      </c>
      <c r="G245" s="1">
        <v>38300</v>
      </c>
      <c r="H245">
        <v>2</v>
      </c>
      <c r="I245">
        <v>150</v>
      </c>
      <c r="J245">
        <v>0.39</v>
      </c>
      <c r="K245" s="1">
        <v>41388</v>
      </c>
      <c r="L245" s="1">
        <v>1600</v>
      </c>
      <c r="M245" s="1">
        <v>38647</v>
      </c>
      <c r="N245" s="1">
        <v>38650</v>
      </c>
      <c r="O245" s="1">
        <v>39150</v>
      </c>
      <c r="P245" s="1">
        <v>37900</v>
      </c>
      <c r="Q245" t="s">
        <v>724</v>
      </c>
      <c r="R245" s="3">
        <v>0.41822916666666665</v>
      </c>
      <c r="S245" s="1">
        <v>38350</v>
      </c>
      <c r="T245">
        <v>-50</v>
      </c>
      <c r="U245">
        <v>-0.13</v>
      </c>
      <c r="V245" s="1">
        <v>21623</v>
      </c>
      <c r="W245">
        <v>191.4</v>
      </c>
    </row>
    <row r="246" spans="3:23" x14ac:dyDescent="0.3">
      <c r="C246">
        <v>243</v>
      </c>
      <c r="D246">
        <v>25540</v>
      </c>
      <c r="E246" t="s">
        <v>364</v>
      </c>
      <c r="G246" s="1">
        <v>76300</v>
      </c>
      <c r="H246">
        <v>5</v>
      </c>
      <c r="I246">
        <v>100</v>
      </c>
      <c r="J246">
        <v>-0.13</v>
      </c>
      <c r="K246" s="1">
        <v>59899</v>
      </c>
      <c r="L246" s="1">
        <v>4718</v>
      </c>
      <c r="M246" s="1">
        <v>78763</v>
      </c>
      <c r="N246" s="1">
        <v>77600</v>
      </c>
      <c r="O246" s="1">
        <v>81000</v>
      </c>
      <c r="P246" s="1">
        <v>75700</v>
      </c>
      <c r="Q246" t="s">
        <v>724</v>
      </c>
      <c r="R246" s="3">
        <v>0.42103009259259255</v>
      </c>
      <c r="S246" s="1">
        <v>76300</v>
      </c>
      <c r="V246" s="1">
        <v>57968</v>
      </c>
      <c r="W246">
        <v>103.33</v>
      </c>
    </row>
    <row r="247" spans="3:23" x14ac:dyDescent="0.3">
      <c r="C247">
        <v>244</v>
      </c>
      <c r="D247">
        <v>7700</v>
      </c>
      <c r="E247" t="s">
        <v>374</v>
      </c>
      <c r="G247" s="1">
        <v>19720</v>
      </c>
      <c r="H247">
        <v>2</v>
      </c>
      <c r="I247">
        <v>560</v>
      </c>
      <c r="J247">
        <v>2.92</v>
      </c>
      <c r="K247" s="1">
        <v>1049</v>
      </c>
      <c r="L247">
        <v>21</v>
      </c>
      <c r="M247" s="1">
        <v>19573</v>
      </c>
      <c r="N247" s="1">
        <v>19900</v>
      </c>
      <c r="O247" s="1">
        <v>19900</v>
      </c>
      <c r="P247" s="1">
        <v>19120</v>
      </c>
      <c r="Q247" t="s">
        <v>724</v>
      </c>
      <c r="R247" s="3">
        <v>0.42094907407407406</v>
      </c>
      <c r="S247" s="1">
        <v>19680</v>
      </c>
      <c r="T247">
        <v>40</v>
      </c>
      <c r="U247">
        <v>0.2</v>
      </c>
      <c r="V247" s="1">
        <v>15788</v>
      </c>
      <c r="W247">
        <v>6.64</v>
      </c>
    </row>
    <row r="248" spans="3:23" x14ac:dyDescent="0.3">
      <c r="C248">
        <v>245</v>
      </c>
      <c r="D248">
        <v>210</v>
      </c>
      <c r="E248" t="s">
        <v>377</v>
      </c>
      <c r="G248" s="1">
        <v>36700</v>
      </c>
      <c r="H248">
        <v>2</v>
      </c>
      <c r="I248">
        <v>500</v>
      </c>
      <c r="J248">
        <v>1.38</v>
      </c>
      <c r="K248" s="1">
        <v>13353</v>
      </c>
      <c r="L248">
        <v>487</v>
      </c>
      <c r="M248" s="1">
        <v>36460</v>
      </c>
      <c r="N248" s="1">
        <v>36400</v>
      </c>
      <c r="O248" s="1">
        <v>36900</v>
      </c>
      <c r="P248" s="1">
        <v>35450</v>
      </c>
      <c r="Q248" t="s">
        <v>724</v>
      </c>
      <c r="R248" s="3">
        <v>0.41984953703703703</v>
      </c>
      <c r="S248" s="1">
        <v>36600</v>
      </c>
      <c r="T248">
        <v>100</v>
      </c>
      <c r="U248">
        <v>0.27</v>
      </c>
      <c r="V248" s="1">
        <v>24985</v>
      </c>
      <c r="W248">
        <v>53.44</v>
      </c>
    </row>
    <row r="249" spans="3:23" x14ac:dyDescent="0.3">
      <c r="C249">
        <v>246</v>
      </c>
      <c r="D249">
        <v>69260</v>
      </c>
      <c r="E249" t="s">
        <v>381</v>
      </c>
      <c r="G249" s="1">
        <v>18580</v>
      </c>
      <c r="H249">
        <v>2</v>
      </c>
      <c r="I249">
        <v>220</v>
      </c>
      <c r="J249">
        <v>1.2</v>
      </c>
      <c r="K249" s="1">
        <v>6777</v>
      </c>
      <c r="L249">
        <v>125</v>
      </c>
      <c r="M249" s="1">
        <v>18395</v>
      </c>
      <c r="N249" s="1">
        <v>18460</v>
      </c>
      <c r="O249" s="1">
        <v>18580</v>
      </c>
      <c r="P249" s="1">
        <v>18270</v>
      </c>
      <c r="Q249" t="s">
        <v>724</v>
      </c>
      <c r="R249" s="3">
        <v>0.42003472222222221</v>
      </c>
      <c r="S249" s="1">
        <v>18570</v>
      </c>
      <c r="T249">
        <v>10</v>
      </c>
      <c r="U249">
        <v>0.05</v>
      </c>
      <c r="V249" s="1">
        <v>25855</v>
      </c>
      <c r="W249">
        <v>26.21</v>
      </c>
    </row>
    <row r="250" spans="3:23" x14ac:dyDescent="0.3">
      <c r="C250">
        <v>247</v>
      </c>
      <c r="D250">
        <v>14820</v>
      </c>
      <c r="E250" t="s">
        <v>393</v>
      </c>
      <c r="G250" s="1">
        <v>26000</v>
      </c>
      <c r="H250">
        <v>2</v>
      </c>
      <c r="I250" s="1">
        <v>1350</v>
      </c>
      <c r="J250">
        <v>5.48</v>
      </c>
      <c r="K250" s="1">
        <v>12743</v>
      </c>
      <c r="L250">
        <v>324</v>
      </c>
      <c r="M250" s="1">
        <v>25422</v>
      </c>
      <c r="N250" s="1">
        <v>24650</v>
      </c>
      <c r="O250" s="1">
        <v>26100</v>
      </c>
      <c r="P250" s="1">
        <v>24650</v>
      </c>
      <c r="Q250" t="s">
        <v>724</v>
      </c>
      <c r="R250" s="3">
        <v>0.42099537037037038</v>
      </c>
      <c r="S250" s="1">
        <v>25950</v>
      </c>
      <c r="T250">
        <v>50</v>
      </c>
      <c r="U250">
        <v>0.19</v>
      </c>
      <c r="V250" s="1">
        <v>26743</v>
      </c>
      <c r="W250">
        <v>47.64</v>
      </c>
    </row>
    <row r="251" spans="3:23" x14ac:dyDescent="0.3">
      <c r="C251">
        <v>248</v>
      </c>
      <c r="D251">
        <v>1680</v>
      </c>
      <c r="E251" t="s">
        <v>383</v>
      </c>
      <c r="G251" s="1">
        <v>21700</v>
      </c>
      <c r="H251">
        <v>2</v>
      </c>
      <c r="I251">
        <v>150</v>
      </c>
      <c r="J251">
        <v>0.7</v>
      </c>
      <c r="K251" s="1">
        <v>21670</v>
      </c>
      <c r="L251">
        <v>468</v>
      </c>
      <c r="M251" s="1">
        <v>21587</v>
      </c>
      <c r="N251" s="1">
        <v>21750</v>
      </c>
      <c r="O251" s="1">
        <v>21800</v>
      </c>
      <c r="P251" s="1">
        <v>21450</v>
      </c>
      <c r="Q251" t="s">
        <v>724</v>
      </c>
      <c r="R251" s="3">
        <v>0.41912037037037037</v>
      </c>
      <c r="S251" s="1">
        <v>21700</v>
      </c>
      <c r="V251" s="1">
        <v>41447</v>
      </c>
      <c r="W251">
        <v>52.28</v>
      </c>
    </row>
    <row r="252" spans="3:23" x14ac:dyDescent="0.3">
      <c r="C252">
        <v>249</v>
      </c>
      <c r="D252">
        <v>3850</v>
      </c>
      <c r="E252" t="s">
        <v>378</v>
      </c>
      <c r="G252" s="1">
        <v>8750</v>
      </c>
      <c r="H252">
        <v>5</v>
      </c>
      <c r="I252">
        <v>20</v>
      </c>
      <c r="J252">
        <v>-0.23</v>
      </c>
      <c r="K252" s="1">
        <v>69506</v>
      </c>
      <c r="L252">
        <v>611</v>
      </c>
      <c r="M252" s="1">
        <v>8785</v>
      </c>
      <c r="N252" s="1">
        <v>8800</v>
      </c>
      <c r="O252" s="1">
        <v>8900</v>
      </c>
      <c r="P252" s="1">
        <v>8710</v>
      </c>
      <c r="Q252" t="s">
        <v>724</v>
      </c>
      <c r="R252" s="3">
        <v>0.42100694444444442</v>
      </c>
      <c r="S252" s="1">
        <v>8760</v>
      </c>
      <c r="T252">
        <v>-10</v>
      </c>
      <c r="U252">
        <v>-0.11</v>
      </c>
      <c r="V252" s="1">
        <v>62625</v>
      </c>
      <c r="W252">
        <v>110.98</v>
      </c>
    </row>
    <row r="253" spans="3:23" x14ac:dyDescent="0.3">
      <c r="C253">
        <v>250</v>
      </c>
      <c r="D253">
        <v>381970</v>
      </c>
      <c r="E253" t="s">
        <v>388</v>
      </c>
      <c r="G253" s="1">
        <v>15150</v>
      </c>
      <c r="H253">
        <v>2</v>
      </c>
      <c r="I253">
        <v>140</v>
      </c>
      <c r="J253">
        <v>0.93</v>
      </c>
      <c r="K253" s="1">
        <v>6011</v>
      </c>
      <c r="L253">
        <v>91</v>
      </c>
      <c r="M253" s="1">
        <v>15087</v>
      </c>
      <c r="N253" s="1">
        <v>15020</v>
      </c>
      <c r="O253" s="1">
        <v>15170</v>
      </c>
      <c r="P253" s="1">
        <v>14980</v>
      </c>
      <c r="Q253" t="s">
        <v>724</v>
      </c>
      <c r="R253" s="3">
        <v>0.42081018518518515</v>
      </c>
      <c r="S253" s="1">
        <v>15160</v>
      </c>
      <c r="T253">
        <v>-10</v>
      </c>
      <c r="U253">
        <v>-7.0000000000000007E-2</v>
      </c>
      <c r="V253" s="1">
        <v>31480</v>
      </c>
      <c r="W253">
        <v>19.09</v>
      </c>
    </row>
    <row r="254" spans="3:23" x14ac:dyDescent="0.3">
      <c r="C254">
        <v>251</v>
      </c>
      <c r="D254">
        <v>214320</v>
      </c>
      <c r="E254" t="s">
        <v>387</v>
      </c>
      <c r="G254" s="1">
        <v>18470</v>
      </c>
      <c r="H254">
        <v>2</v>
      </c>
      <c r="I254">
        <v>80</v>
      </c>
      <c r="J254">
        <v>0.44</v>
      </c>
      <c r="K254" s="1">
        <v>14155</v>
      </c>
      <c r="L254">
        <v>261</v>
      </c>
      <c r="M254" s="1">
        <v>18444</v>
      </c>
      <c r="N254" s="1">
        <v>18430</v>
      </c>
      <c r="O254" s="1">
        <v>18570</v>
      </c>
      <c r="P254" s="1">
        <v>18410</v>
      </c>
      <c r="Q254" t="s">
        <v>724</v>
      </c>
      <c r="R254" s="3">
        <v>0.42060185185185189</v>
      </c>
      <c r="S254" s="1">
        <v>18470</v>
      </c>
      <c r="V254" s="1">
        <v>21253</v>
      </c>
      <c r="W254">
        <v>66.599999999999994</v>
      </c>
    </row>
    <row r="255" spans="3:23" x14ac:dyDescent="0.3">
      <c r="C255">
        <v>252</v>
      </c>
      <c r="D255">
        <v>5180</v>
      </c>
      <c r="E255" t="s">
        <v>390</v>
      </c>
      <c r="G255" s="1">
        <v>76300</v>
      </c>
      <c r="H255">
        <v>3</v>
      </c>
      <c r="K255" s="1">
        <v>4862</v>
      </c>
      <c r="L255">
        <v>369</v>
      </c>
      <c r="M255" s="1">
        <v>75995</v>
      </c>
      <c r="N255" s="1">
        <v>76800</v>
      </c>
      <c r="O255" s="1">
        <v>76800</v>
      </c>
      <c r="P255" s="1">
        <v>75700</v>
      </c>
      <c r="Q255" t="s">
        <v>724</v>
      </c>
      <c r="R255" s="3">
        <v>0.41412037037037036</v>
      </c>
      <c r="S255" s="1">
        <v>76200</v>
      </c>
      <c r="T255">
        <v>100</v>
      </c>
      <c r="U255">
        <v>0.13</v>
      </c>
      <c r="V255" s="1">
        <v>6635</v>
      </c>
      <c r="W255">
        <v>73.27</v>
      </c>
    </row>
    <row r="256" spans="3:23" x14ac:dyDescent="0.3">
      <c r="C256">
        <v>253</v>
      </c>
      <c r="D256">
        <v>248070</v>
      </c>
      <c r="E256" t="s">
        <v>389</v>
      </c>
      <c r="G256" s="1">
        <v>15240</v>
      </c>
      <c r="H256">
        <v>2</v>
      </c>
      <c r="I256">
        <v>10</v>
      </c>
      <c r="J256">
        <v>7.0000000000000007E-2</v>
      </c>
      <c r="K256" s="1">
        <v>25673</v>
      </c>
      <c r="L256">
        <v>390</v>
      </c>
      <c r="M256" s="1">
        <v>15189</v>
      </c>
      <c r="N256" s="1">
        <v>15370</v>
      </c>
      <c r="O256" s="1">
        <v>15370</v>
      </c>
      <c r="P256" s="1">
        <v>15050</v>
      </c>
      <c r="Q256" t="s">
        <v>724</v>
      </c>
      <c r="R256" s="3">
        <v>0.42093749999999996</v>
      </c>
      <c r="S256" s="1">
        <v>15240</v>
      </c>
      <c r="V256" s="1">
        <v>32978</v>
      </c>
      <c r="W256">
        <v>77.84</v>
      </c>
    </row>
    <row r="257" spans="3:23" x14ac:dyDescent="0.3">
      <c r="C257">
        <v>254</v>
      </c>
      <c r="D257">
        <v>79900</v>
      </c>
      <c r="E257" t="s">
        <v>394</v>
      </c>
      <c r="G257" s="1">
        <v>48700</v>
      </c>
      <c r="H257">
        <v>2</v>
      </c>
      <c r="I257">
        <v>900</v>
      </c>
      <c r="J257">
        <v>1.88</v>
      </c>
      <c r="K257" s="1">
        <v>36750</v>
      </c>
      <c r="L257" s="1">
        <v>1794</v>
      </c>
      <c r="M257" s="1">
        <v>48816</v>
      </c>
      <c r="N257" s="1">
        <v>50200</v>
      </c>
      <c r="O257" s="1">
        <v>50200</v>
      </c>
      <c r="P257" s="1">
        <v>48400</v>
      </c>
      <c r="Q257" t="s">
        <v>724</v>
      </c>
      <c r="R257" s="3">
        <v>0.42055555555555557</v>
      </c>
      <c r="S257" s="1">
        <v>48700</v>
      </c>
      <c r="V257" s="1">
        <v>33141</v>
      </c>
      <c r="W257">
        <v>110.88</v>
      </c>
    </row>
    <row r="258" spans="3:23" x14ac:dyDescent="0.3">
      <c r="C258">
        <v>255</v>
      </c>
      <c r="D258">
        <v>39130</v>
      </c>
      <c r="E258" t="s">
        <v>397</v>
      </c>
      <c r="G258" s="1">
        <v>45300</v>
      </c>
      <c r="H258">
        <v>2</v>
      </c>
      <c r="I258">
        <v>300</v>
      </c>
      <c r="J258">
        <v>0.67</v>
      </c>
      <c r="K258" s="1">
        <v>11113</v>
      </c>
      <c r="L258">
        <v>502</v>
      </c>
      <c r="M258" s="1">
        <v>45127</v>
      </c>
      <c r="N258" s="1">
        <v>44900</v>
      </c>
      <c r="O258" s="1">
        <v>45400</v>
      </c>
      <c r="P258" s="1">
        <v>44900</v>
      </c>
      <c r="Q258" t="s">
        <v>724</v>
      </c>
      <c r="R258" s="3">
        <v>0.42053240740740744</v>
      </c>
      <c r="S258" s="1">
        <v>45300</v>
      </c>
      <c r="V258" s="1">
        <v>16817</v>
      </c>
      <c r="W258">
        <v>66.08</v>
      </c>
    </row>
    <row r="259" spans="3:23" x14ac:dyDescent="0.3">
      <c r="C259">
        <v>256</v>
      </c>
      <c r="D259">
        <v>2840</v>
      </c>
      <c r="E259" t="s">
        <v>404</v>
      </c>
      <c r="G259" s="1">
        <v>144800</v>
      </c>
      <c r="H259">
        <v>2</v>
      </c>
      <c r="I259" s="1">
        <v>1800</v>
      </c>
      <c r="J259">
        <v>1.26</v>
      </c>
      <c r="K259">
        <v>192</v>
      </c>
      <c r="L259">
        <v>28</v>
      </c>
      <c r="M259" s="1">
        <v>143413</v>
      </c>
      <c r="N259" s="1">
        <v>147700</v>
      </c>
      <c r="O259" s="1">
        <v>147700</v>
      </c>
      <c r="P259" s="1">
        <v>142600</v>
      </c>
      <c r="Q259" t="s">
        <v>724</v>
      </c>
      <c r="R259" s="3">
        <v>0.41107638888888887</v>
      </c>
      <c r="S259" s="1">
        <v>144300</v>
      </c>
      <c r="T259">
        <v>500</v>
      </c>
      <c r="U259">
        <v>0.35</v>
      </c>
      <c r="V259" s="1">
        <v>1470</v>
      </c>
      <c r="W259">
        <v>13.06</v>
      </c>
    </row>
    <row r="260" spans="3:23" x14ac:dyDescent="0.3">
      <c r="C260">
        <v>257</v>
      </c>
      <c r="D260">
        <v>8730</v>
      </c>
      <c r="E260" t="s">
        <v>409</v>
      </c>
      <c r="G260" s="1">
        <v>27650</v>
      </c>
      <c r="H260">
        <v>2</v>
      </c>
      <c r="I260" s="1">
        <v>1100</v>
      </c>
      <c r="J260">
        <v>4.1399999999999997</v>
      </c>
      <c r="K260" s="1">
        <v>42336</v>
      </c>
      <c r="L260" s="1">
        <v>1165</v>
      </c>
      <c r="M260" s="1">
        <v>27508</v>
      </c>
      <c r="N260" s="1">
        <v>26600</v>
      </c>
      <c r="O260" s="1">
        <v>28150</v>
      </c>
      <c r="P260" s="1">
        <v>26600</v>
      </c>
      <c r="Q260" t="s">
        <v>724</v>
      </c>
      <c r="R260" s="3">
        <v>0.41995370370370372</v>
      </c>
      <c r="S260" s="1">
        <v>27600</v>
      </c>
      <c r="T260">
        <v>50</v>
      </c>
      <c r="U260">
        <v>0.18</v>
      </c>
      <c r="V260" s="1">
        <v>51044</v>
      </c>
      <c r="W260">
        <v>82.94</v>
      </c>
    </row>
    <row r="261" spans="3:23" x14ac:dyDescent="0.3">
      <c r="C261">
        <v>258</v>
      </c>
      <c r="D261">
        <v>5250</v>
      </c>
      <c r="E261" t="s">
        <v>401</v>
      </c>
      <c r="G261" s="1">
        <v>14500</v>
      </c>
      <c r="H261">
        <v>2</v>
      </c>
      <c r="I261">
        <v>50</v>
      </c>
      <c r="J261">
        <v>0.35</v>
      </c>
      <c r="K261" s="1">
        <v>8936</v>
      </c>
      <c r="L261">
        <v>129</v>
      </c>
      <c r="M261" s="1">
        <v>14466</v>
      </c>
      <c r="N261" s="1">
        <v>14450</v>
      </c>
      <c r="O261" s="1">
        <v>14580</v>
      </c>
      <c r="P261" s="1">
        <v>14360</v>
      </c>
      <c r="Q261" t="s">
        <v>724</v>
      </c>
      <c r="R261" s="3">
        <v>0.4208217592592593</v>
      </c>
      <c r="S261" s="1">
        <v>14500</v>
      </c>
      <c r="V261" s="1">
        <v>29730</v>
      </c>
      <c r="W261">
        <v>30.05</v>
      </c>
    </row>
    <row r="262" spans="3:23" x14ac:dyDescent="0.3">
      <c r="C262">
        <v>259</v>
      </c>
      <c r="D262">
        <v>640</v>
      </c>
      <c r="E262" t="s">
        <v>406</v>
      </c>
      <c r="G262" s="1">
        <v>103400</v>
      </c>
      <c r="H262">
        <v>2</v>
      </c>
      <c r="I262" s="1">
        <v>1400</v>
      </c>
      <c r="J262">
        <v>1.37</v>
      </c>
      <c r="K262">
        <v>449</v>
      </c>
      <c r="L262">
        <v>46</v>
      </c>
      <c r="M262" s="1">
        <v>102798</v>
      </c>
      <c r="N262" s="1">
        <v>103500</v>
      </c>
      <c r="O262" s="1">
        <v>103500</v>
      </c>
      <c r="P262" s="1">
        <v>102000</v>
      </c>
      <c r="Q262" t="s">
        <v>724</v>
      </c>
      <c r="R262" s="3">
        <v>0.41790509259259262</v>
      </c>
      <c r="S262" s="1">
        <v>103300</v>
      </c>
      <c r="T262">
        <v>100</v>
      </c>
      <c r="U262">
        <v>0.1</v>
      </c>
      <c r="V262" s="1">
        <v>1515</v>
      </c>
      <c r="W262">
        <v>29.63</v>
      </c>
    </row>
    <row r="263" spans="3:23" x14ac:dyDescent="0.3">
      <c r="C263">
        <v>260</v>
      </c>
      <c r="D263">
        <v>268280</v>
      </c>
      <c r="E263" t="s">
        <v>400</v>
      </c>
      <c r="G263" s="1">
        <v>135100</v>
      </c>
      <c r="H263">
        <v>5</v>
      </c>
      <c r="I263" s="1">
        <v>2400</v>
      </c>
      <c r="J263">
        <v>-1.75</v>
      </c>
      <c r="K263">
        <v>176</v>
      </c>
      <c r="L263">
        <v>24</v>
      </c>
      <c r="M263" s="1">
        <v>136355</v>
      </c>
      <c r="N263" s="1">
        <v>137000</v>
      </c>
      <c r="O263" s="1">
        <v>137200</v>
      </c>
      <c r="P263" s="1">
        <v>135100</v>
      </c>
      <c r="Q263" t="s">
        <v>724</v>
      </c>
      <c r="R263" s="3">
        <v>0.39461805555555557</v>
      </c>
      <c r="S263" s="1">
        <v>136100</v>
      </c>
      <c r="T263" s="1">
        <v>-1000</v>
      </c>
      <c r="U263">
        <v>-0.73</v>
      </c>
      <c r="V263" s="1">
        <v>1257</v>
      </c>
      <c r="W263">
        <v>14</v>
      </c>
    </row>
    <row r="264" spans="3:23" x14ac:dyDescent="0.3">
      <c r="C264">
        <v>261</v>
      </c>
      <c r="D264">
        <v>10780</v>
      </c>
      <c r="E264" t="s">
        <v>407</v>
      </c>
      <c r="G264" s="1">
        <v>22150</v>
      </c>
      <c r="H264">
        <v>2</v>
      </c>
      <c r="I264">
        <v>150</v>
      </c>
      <c r="J264">
        <v>0.68</v>
      </c>
      <c r="K264" s="1">
        <v>3885</v>
      </c>
      <c r="L264">
        <v>86</v>
      </c>
      <c r="M264" s="1">
        <v>22166</v>
      </c>
      <c r="N264" s="1">
        <v>22000</v>
      </c>
      <c r="O264" s="1">
        <v>22700</v>
      </c>
      <c r="P264" s="1">
        <v>21950</v>
      </c>
      <c r="Q264" t="s">
        <v>724</v>
      </c>
      <c r="R264" s="3">
        <v>0.41950231481481487</v>
      </c>
      <c r="S264" s="1">
        <v>22100</v>
      </c>
      <c r="T264">
        <v>50</v>
      </c>
      <c r="U264">
        <v>0.23</v>
      </c>
      <c r="V264" s="1">
        <v>8837</v>
      </c>
      <c r="W264">
        <v>43.96</v>
      </c>
    </row>
    <row r="265" spans="3:23" x14ac:dyDescent="0.3">
      <c r="C265">
        <v>262</v>
      </c>
      <c r="D265">
        <v>475150</v>
      </c>
      <c r="E265" t="s">
        <v>411</v>
      </c>
      <c r="G265" s="1">
        <v>19700</v>
      </c>
      <c r="H265">
        <v>2</v>
      </c>
      <c r="I265">
        <v>350</v>
      </c>
      <c r="J265">
        <v>1.81</v>
      </c>
      <c r="K265" s="1">
        <v>69479</v>
      </c>
      <c r="L265" s="1">
        <v>1362</v>
      </c>
      <c r="M265" s="1">
        <v>19598</v>
      </c>
      <c r="N265" s="1">
        <v>19350</v>
      </c>
      <c r="O265" s="1">
        <v>19810</v>
      </c>
      <c r="P265" s="1">
        <v>19350</v>
      </c>
      <c r="Q265" t="s">
        <v>724</v>
      </c>
      <c r="R265" s="3">
        <v>0.42034722222222221</v>
      </c>
      <c r="S265" s="1">
        <v>19700</v>
      </c>
      <c r="V265" s="1">
        <v>52783</v>
      </c>
      <c r="W265">
        <v>131.63</v>
      </c>
    </row>
    <row r="266" spans="3:23" x14ac:dyDescent="0.3">
      <c r="C266">
        <v>263</v>
      </c>
      <c r="D266">
        <v>57050</v>
      </c>
      <c r="E266" t="s">
        <v>422</v>
      </c>
      <c r="G266" s="1">
        <v>53900</v>
      </c>
      <c r="H266">
        <v>2</v>
      </c>
      <c r="I266">
        <v>900</v>
      </c>
      <c r="J266">
        <v>1.7</v>
      </c>
      <c r="K266">
        <v>668</v>
      </c>
      <c r="L266">
        <v>36</v>
      </c>
      <c r="M266" s="1">
        <v>53589</v>
      </c>
      <c r="N266" s="1">
        <v>53300</v>
      </c>
      <c r="O266" s="1">
        <v>54000</v>
      </c>
      <c r="P266" s="1">
        <v>53100</v>
      </c>
      <c r="Q266" t="s">
        <v>724</v>
      </c>
      <c r="R266" s="3">
        <v>0.41993055555555553</v>
      </c>
      <c r="S266" s="1">
        <v>54100</v>
      </c>
      <c r="T266">
        <v>-200</v>
      </c>
      <c r="U266">
        <v>-0.37</v>
      </c>
      <c r="V266" s="1">
        <v>2324</v>
      </c>
      <c r="W266">
        <v>28.74</v>
      </c>
    </row>
    <row r="267" spans="3:23" x14ac:dyDescent="0.3">
      <c r="C267">
        <v>264</v>
      </c>
      <c r="D267">
        <v>19170</v>
      </c>
      <c r="E267" t="s">
        <v>420</v>
      </c>
      <c r="G267" s="1">
        <v>12150</v>
      </c>
      <c r="H267">
        <v>5</v>
      </c>
      <c r="I267">
        <v>20</v>
      </c>
      <c r="J267">
        <v>-0.16</v>
      </c>
      <c r="K267" s="1">
        <v>50469</v>
      </c>
      <c r="L267">
        <v>612</v>
      </c>
      <c r="M267" s="1">
        <v>12130</v>
      </c>
      <c r="N267" s="1">
        <v>12190</v>
      </c>
      <c r="O267" s="1">
        <v>12330</v>
      </c>
      <c r="P267" s="1">
        <v>11950</v>
      </c>
      <c r="Q267" t="s">
        <v>724</v>
      </c>
      <c r="R267" s="3">
        <v>0.4206597222222222</v>
      </c>
      <c r="S267" s="1">
        <v>12160</v>
      </c>
      <c r="T267">
        <v>-10</v>
      </c>
      <c r="U267">
        <v>-0.08</v>
      </c>
      <c r="V267" s="1">
        <v>58854</v>
      </c>
      <c r="W267">
        <v>85.75</v>
      </c>
    </row>
    <row r="268" spans="3:23" x14ac:dyDescent="0.3">
      <c r="C268">
        <v>265</v>
      </c>
      <c r="D268">
        <v>456040</v>
      </c>
      <c r="E268" t="s">
        <v>421</v>
      </c>
      <c r="G268" s="1">
        <v>71300</v>
      </c>
      <c r="H268">
        <v>2</v>
      </c>
      <c r="I268">
        <v>800</v>
      </c>
      <c r="J268">
        <v>1.1299999999999999</v>
      </c>
      <c r="K268" s="1">
        <v>23090</v>
      </c>
      <c r="L268" s="1">
        <v>1661</v>
      </c>
      <c r="M268" s="1">
        <v>71929</v>
      </c>
      <c r="N268" s="1">
        <v>71300</v>
      </c>
      <c r="O268" s="1">
        <v>72700</v>
      </c>
      <c r="P268" s="1">
        <v>71100</v>
      </c>
      <c r="Q268" t="s">
        <v>724</v>
      </c>
      <c r="R268" s="3">
        <v>0.42090277777777779</v>
      </c>
      <c r="S268" s="1">
        <v>71300</v>
      </c>
      <c r="V268" s="1">
        <v>20937</v>
      </c>
      <c r="W268">
        <v>110.28</v>
      </c>
    </row>
    <row r="269" spans="3:23" x14ac:dyDescent="0.3">
      <c r="C269">
        <v>266</v>
      </c>
      <c r="D269">
        <v>1060</v>
      </c>
      <c r="E269" t="s">
        <v>419</v>
      </c>
      <c r="G269" s="1">
        <v>27400</v>
      </c>
      <c r="H269">
        <v>2</v>
      </c>
      <c r="I269">
        <v>50</v>
      </c>
      <c r="J269">
        <v>0.18</v>
      </c>
      <c r="K269" s="1">
        <v>55565</v>
      </c>
      <c r="L269" s="1">
        <v>1523</v>
      </c>
      <c r="M269" s="1">
        <v>27403</v>
      </c>
      <c r="N269" s="1">
        <v>27350</v>
      </c>
      <c r="O269" s="1">
        <v>27900</v>
      </c>
      <c r="P269" s="1">
        <v>27000</v>
      </c>
      <c r="Q269" t="s">
        <v>724</v>
      </c>
      <c r="R269" s="3">
        <v>0.41988425925925926</v>
      </c>
      <c r="S269" s="1">
        <v>27400</v>
      </c>
      <c r="V269" s="1">
        <v>48058</v>
      </c>
      <c r="W269">
        <v>115.62</v>
      </c>
    </row>
    <row r="270" spans="3:23" x14ac:dyDescent="0.3">
      <c r="C270">
        <v>267</v>
      </c>
      <c r="D270">
        <v>383800</v>
      </c>
      <c r="E270" t="s">
        <v>429</v>
      </c>
      <c r="G270" s="1">
        <v>8090</v>
      </c>
      <c r="H270">
        <v>5</v>
      </c>
      <c r="I270">
        <v>30</v>
      </c>
      <c r="J270">
        <v>-0.37</v>
      </c>
      <c r="K270" s="1">
        <v>32267</v>
      </c>
      <c r="L270">
        <v>263</v>
      </c>
      <c r="M270" s="1">
        <v>8161</v>
      </c>
      <c r="N270" s="1">
        <v>8120</v>
      </c>
      <c r="O270" s="1">
        <v>8280</v>
      </c>
      <c r="P270" s="1">
        <v>8070</v>
      </c>
      <c r="Q270" t="s">
        <v>724</v>
      </c>
      <c r="R270" s="3">
        <v>0.4205787037037037</v>
      </c>
      <c r="S270" s="1">
        <v>8090</v>
      </c>
      <c r="V270" s="1">
        <v>73282</v>
      </c>
      <c r="W270">
        <v>44.03</v>
      </c>
    </row>
    <row r="271" spans="3:23" x14ac:dyDescent="0.3">
      <c r="C271">
        <v>268</v>
      </c>
      <c r="D271">
        <v>322000</v>
      </c>
      <c r="E271" t="s">
        <v>432</v>
      </c>
      <c r="G271" s="1">
        <v>55000</v>
      </c>
      <c r="H271">
        <v>2</v>
      </c>
      <c r="I271">
        <v>800</v>
      </c>
      <c r="J271">
        <v>1.48</v>
      </c>
      <c r="K271" s="1">
        <v>39628</v>
      </c>
      <c r="L271" s="1">
        <v>2174</v>
      </c>
      <c r="M271" s="1">
        <v>54865</v>
      </c>
      <c r="N271" s="1">
        <v>55200</v>
      </c>
      <c r="O271" s="1">
        <v>56000</v>
      </c>
      <c r="P271" s="1">
        <v>53400</v>
      </c>
      <c r="Q271" t="s">
        <v>724</v>
      </c>
      <c r="R271" s="3">
        <v>0.42105324074074074</v>
      </c>
      <c r="S271" s="1">
        <v>54900</v>
      </c>
      <c r="T271">
        <v>100</v>
      </c>
      <c r="U271">
        <v>0.18</v>
      </c>
      <c r="V271" s="1">
        <v>50965</v>
      </c>
      <c r="W271">
        <v>77.75</v>
      </c>
    </row>
    <row r="272" spans="3:23" x14ac:dyDescent="0.3">
      <c r="C272">
        <v>269</v>
      </c>
      <c r="D272">
        <v>1270</v>
      </c>
      <c r="E272" t="s">
        <v>424</v>
      </c>
      <c r="G272" s="1">
        <v>59100</v>
      </c>
      <c r="H272">
        <v>5</v>
      </c>
      <c r="I272" s="1">
        <v>2400</v>
      </c>
      <c r="J272">
        <v>-3.9</v>
      </c>
      <c r="K272" s="1">
        <v>7720</v>
      </c>
      <c r="L272">
        <v>466</v>
      </c>
      <c r="M272" s="1">
        <v>60336</v>
      </c>
      <c r="N272" s="1">
        <v>61400</v>
      </c>
      <c r="O272" s="1">
        <v>61800</v>
      </c>
      <c r="P272" s="1">
        <v>58800</v>
      </c>
      <c r="Q272" t="s">
        <v>724</v>
      </c>
      <c r="R272" s="3">
        <v>0.41986111111111107</v>
      </c>
      <c r="S272" s="1">
        <v>59100</v>
      </c>
      <c r="V272" s="1">
        <v>11384</v>
      </c>
      <c r="W272">
        <v>67.81</v>
      </c>
    </row>
    <row r="273" spans="3:23" x14ac:dyDescent="0.3">
      <c r="C273">
        <v>270</v>
      </c>
      <c r="D273" t="s">
        <v>713</v>
      </c>
      <c r="E273" t="s">
        <v>445</v>
      </c>
      <c r="G273" s="1">
        <v>82300</v>
      </c>
      <c r="H273">
        <v>2</v>
      </c>
      <c r="I273" s="1">
        <v>6900</v>
      </c>
      <c r="J273">
        <v>9.15</v>
      </c>
      <c r="K273" s="1">
        <v>107990</v>
      </c>
      <c r="L273" s="1">
        <v>8792</v>
      </c>
      <c r="M273" s="1">
        <v>81417</v>
      </c>
      <c r="N273" s="1">
        <v>89500</v>
      </c>
      <c r="O273" s="1">
        <v>89500</v>
      </c>
      <c r="P273" s="1">
        <v>76500</v>
      </c>
      <c r="Q273" t="s">
        <v>724</v>
      </c>
      <c r="R273" s="3">
        <v>0.42097222222222225</v>
      </c>
      <c r="S273" s="1">
        <v>82500</v>
      </c>
      <c r="T273">
        <v>-200</v>
      </c>
      <c r="U273">
        <v>-0.24</v>
      </c>
      <c r="V273" s="1">
        <v>105900</v>
      </c>
      <c r="W273">
        <v>101.97</v>
      </c>
    </row>
    <row r="274" spans="3:23" x14ac:dyDescent="0.3">
      <c r="C274">
        <v>271</v>
      </c>
      <c r="D274">
        <v>5420</v>
      </c>
      <c r="E274" t="s">
        <v>455</v>
      </c>
      <c r="G274" s="1">
        <v>15700</v>
      </c>
      <c r="H274">
        <v>2</v>
      </c>
      <c r="I274" s="1">
        <v>1290</v>
      </c>
      <c r="J274">
        <v>8.9499999999999993</v>
      </c>
      <c r="K274" s="1">
        <v>195189</v>
      </c>
      <c r="L274" s="1">
        <v>2968</v>
      </c>
      <c r="M274" s="1">
        <v>15207</v>
      </c>
      <c r="N274" s="1">
        <v>14800</v>
      </c>
      <c r="O274" s="1">
        <v>15900</v>
      </c>
      <c r="P274" s="1">
        <v>14460</v>
      </c>
      <c r="Q274" t="s">
        <v>724</v>
      </c>
      <c r="R274" s="3">
        <v>0.42103009259259255</v>
      </c>
      <c r="S274" s="1">
        <v>15700</v>
      </c>
      <c r="V274" s="1">
        <v>266259</v>
      </c>
      <c r="W274">
        <v>73.3</v>
      </c>
    </row>
    <row r="275" spans="3:23" x14ac:dyDescent="0.3">
      <c r="C275">
        <v>272</v>
      </c>
      <c r="D275">
        <v>2240</v>
      </c>
      <c r="E275" t="s">
        <v>438</v>
      </c>
      <c r="G275" s="1">
        <v>21950</v>
      </c>
      <c r="H275">
        <v>5</v>
      </c>
      <c r="I275">
        <v>150</v>
      </c>
      <c r="J275">
        <v>-0.68</v>
      </c>
      <c r="K275" s="1">
        <v>21106</v>
      </c>
      <c r="L275">
        <v>466</v>
      </c>
      <c r="M275" s="1">
        <v>22070</v>
      </c>
      <c r="N275" s="1">
        <v>22500</v>
      </c>
      <c r="O275" s="1">
        <v>22550</v>
      </c>
      <c r="P275" s="1">
        <v>21550</v>
      </c>
      <c r="Q275" t="s">
        <v>724</v>
      </c>
      <c r="R275" s="3">
        <v>0.42011574074074076</v>
      </c>
      <c r="S275" s="1">
        <v>22000</v>
      </c>
      <c r="T275">
        <v>-50</v>
      </c>
      <c r="U275">
        <v>-0.23</v>
      </c>
      <c r="V275" s="1">
        <v>20230</v>
      </c>
      <c r="W275">
        <v>104.33</v>
      </c>
    </row>
    <row r="276" spans="3:23" x14ac:dyDescent="0.3">
      <c r="C276">
        <v>273</v>
      </c>
      <c r="D276">
        <v>2030</v>
      </c>
      <c r="E276" t="s">
        <v>442</v>
      </c>
      <c r="G276" s="1">
        <v>285500</v>
      </c>
      <c r="H276">
        <v>5</v>
      </c>
      <c r="I276" s="1">
        <v>1000</v>
      </c>
      <c r="J276">
        <v>-0.35</v>
      </c>
      <c r="K276" s="1">
        <v>4705</v>
      </c>
      <c r="L276" s="1">
        <v>1331</v>
      </c>
      <c r="M276" s="1">
        <v>282800</v>
      </c>
      <c r="N276" s="1">
        <v>283000</v>
      </c>
      <c r="O276" s="1">
        <v>288500</v>
      </c>
      <c r="P276" s="1">
        <v>281000</v>
      </c>
      <c r="Q276" t="s">
        <v>724</v>
      </c>
      <c r="R276" s="3">
        <v>0.39583333333333331</v>
      </c>
      <c r="S276" s="1">
        <v>288500</v>
      </c>
      <c r="T276" s="1">
        <v>-3000</v>
      </c>
      <c r="U276">
        <v>-1.04</v>
      </c>
      <c r="V276" s="1">
        <v>2471</v>
      </c>
      <c r="W276">
        <v>190.4</v>
      </c>
    </row>
    <row r="277" spans="3:23" x14ac:dyDescent="0.3">
      <c r="C277">
        <v>274</v>
      </c>
      <c r="D277">
        <v>2020</v>
      </c>
      <c r="E277" t="s">
        <v>452</v>
      </c>
      <c r="G277" s="1">
        <v>44650</v>
      </c>
      <c r="H277">
        <v>2</v>
      </c>
      <c r="I277" s="1">
        <v>1350</v>
      </c>
      <c r="J277">
        <v>3.12</v>
      </c>
      <c r="K277" s="1">
        <v>22003</v>
      </c>
      <c r="L277">
        <v>966</v>
      </c>
      <c r="M277" s="1">
        <v>43893</v>
      </c>
      <c r="N277" s="1">
        <v>43450</v>
      </c>
      <c r="O277" s="1">
        <v>44900</v>
      </c>
      <c r="P277" s="1">
        <v>43000</v>
      </c>
      <c r="Q277" t="s">
        <v>724</v>
      </c>
      <c r="R277" s="3">
        <v>0.42068287037037039</v>
      </c>
      <c r="S277" s="1">
        <v>44600</v>
      </c>
      <c r="T277">
        <v>50</v>
      </c>
      <c r="U277">
        <v>0.11</v>
      </c>
      <c r="V277" s="1">
        <v>30102</v>
      </c>
      <c r="W277">
        <v>73.09</v>
      </c>
    </row>
    <row r="278" spans="3:23" x14ac:dyDescent="0.3">
      <c r="C278">
        <v>275</v>
      </c>
      <c r="D278">
        <v>105630</v>
      </c>
      <c r="E278" t="s">
        <v>453</v>
      </c>
      <c r="G278" s="1">
        <v>14160</v>
      </c>
      <c r="H278">
        <v>5</v>
      </c>
      <c r="I278">
        <v>30</v>
      </c>
      <c r="J278">
        <v>-0.21</v>
      </c>
      <c r="K278" s="1">
        <v>6481</v>
      </c>
      <c r="L278">
        <v>91</v>
      </c>
      <c r="M278" s="1">
        <v>14075</v>
      </c>
      <c r="N278" s="1">
        <v>14190</v>
      </c>
      <c r="O278" s="1">
        <v>14200</v>
      </c>
      <c r="P278" s="1">
        <v>13950</v>
      </c>
      <c r="Q278" t="s">
        <v>724</v>
      </c>
      <c r="R278" s="3">
        <v>0.42048611111111112</v>
      </c>
      <c r="S278" s="1">
        <v>14160</v>
      </c>
      <c r="V278" s="1">
        <v>31349</v>
      </c>
      <c r="W278">
        <v>20.67</v>
      </c>
    </row>
    <row r="279" spans="3:23" x14ac:dyDescent="0.3">
      <c r="C279">
        <v>276</v>
      </c>
      <c r="D279">
        <v>2960</v>
      </c>
      <c r="E279" t="s">
        <v>454</v>
      </c>
      <c r="G279" s="1">
        <v>435500</v>
      </c>
      <c r="H279">
        <v>2</v>
      </c>
      <c r="I279">
        <v>500</v>
      </c>
      <c r="J279">
        <v>0.11</v>
      </c>
      <c r="K279">
        <v>290</v>
      </c>
      <c r="L279">
        <v>126</v>
      </c>
      <c r="M279" s="1">
        <v>435687</v>
      </c>
      <c r="N279" s="1">
        <v>437000</v>
      </c>
      <c r="O279" s="1">
        <v>438000</v>
      </c>
      <c r="P279" s="1">
        <v>434000</v>
      </c>
      <c r="Q279" t="s">
        <v>724</v>
      </c>
      <c r="R279" s="3">
        <v>0.41824074074074075</v>
      </c>
      <c r="S279" s="1">
        <v>435500</v>
      </c>
      <c r="V279">
        <v>694</v>
      </c>
      <c r="W279">
        <v>41.78</v>
      </c>
    </row>
    <row r="280" spans="3:23" x14ac:dyDescent="0.3">
      <c r="C280">
        <v>277</v>
      </c>
      <c r="D280">
        <v>17940</v>
      </c>
      <c r="E280" t="s">
        <v>456</v>
      </c>
      <c r="G280" s="1">
        <v>82200</v>
      </c>
      <c r="H280">
        <v>2</v>
      </c>
      <c r="I280">
        <v>900</v>
      </c>
      <c r="J280">
        <v>1.1100000000000001</v>
      </c>
      <c r="K280" s="1">
        <v>1433</v>
      </c>
      <c r="L280">
        <v>117</v>
      </c>
      <c r="M280" s="1">
        <v>81886</v>
      </c>
      <c r="N280" s="1">
        <v>82100</v>
      </c>
      <c r="O280" s="1">
        <v>82500</v>
      </c>
      <c r="P280" s="1">
        <v>81200</v>
      </c>
      <c r="Q280" t="s">
        <v>724</v>
      </c>
      <c r="R280" s="3">
        <v>0.42046296296296298</v>
      </c>
      <c r="S280" s="1">
        <v>82400</v>
      </c>
      <c r="T280">
        <v>-200</v>
      </c>
      <c r="U280">
        <v>-0.24</v>
      </c>
      <c r="V280" s="1">
        <v>2652</v>
      </c>
      <c r="W280">
        <v>54.03</v>
      </c>
    </row>
    <row r="281" spans="3:23" x14ac:dyDescent="0.3">
      <c r="C281">
        <v>278</v>
      </c>
      <c r="D281">
        <v>90460</v>
      </c>
      <c r="E281" t="s">
        <v>467</v>
      </c>
      <c r="G281" s="1">
        <v>16460</v>
      </c>
      <c r="H281">
        <v>2</v>
      </c>
      <c r="I281">
        <v>470</v>
      </c>
      <c r="J281">
        <v>2.94</v>
      </c>
      <c r="K281" s="1">
        <v>50173</v>
      </c>
      <c r="L281">
        <v>816</v>
      </c>
      <c r="M281" s="1">
        <v>16268</v>
      </c>
      <c r="N281" s="1">
        <v>16070</v>
      </c>
      <c r="O281" s="1">
        <v>16470</v>
      </c>
      <c r="P281" s="1">
        <v>16070</v>
      </c>
      <c r="Q281" t="s">
        <v>724</v>
      </c>
      <c r="R281" s="3">
        <v>0.4210416666666667</v>
      </c>
      <c r="S281" s="1">
        <v>16460</v>
      </c>
      <c r="V281" s="1">
        <v>86903</v>
      </c>
      <c r="W281">
        <v>57.73</v>
      </c>
    </row>
    <row r="282" spans="3:23" x14ac:dyDescent="0.3">
      <c r="C282">
        <v>279</v>
      </c>
      <c r="D282">
        <v>5810</v>
      </c>
      <c r="E282" t="s">
        <v>458</v>
      </c>
      <c r="G282" s="1">
        <v>38450</v>
      </c>
      <c r="H282">
        <v>2</v>
      </c>
      <c r="I282">
        <v>50</v>
      </c>
      <c r="J282">
        <v>0.13</v>
      </c>
      <c r="K282" s="1">
        <v>2958</v>
      </c>
      <c r="L282">
        <v>113</v>
      </c>
      <c r="M282" s="1">
        <v>38366</v>
      </c>
      <c r="N282" s="1">
        <v>39400</v>
      </c>
      <c r="O282" s="1">
        <v>39400</v>
      </c>
      <c r="P282" s="1">
        <v>38250</v>
      </c>
      <c r="Q282" t="s">
        <v>724</v>
      </c>
      <c r="R282" s="3">
        <v>0.42090277777777779</v>
      </c>
      <c r="S282" s="1">
        <v>38500</v>
      </c>
      <c r="T282">
        <v>-50</v>
      </c>
      <c r="U282">
        <v>-0.13</v>
      </c>
      <c r="V282" s="1">
        <v>6773</v>
      </c>
      <c r="W282">
        <v>43.67</v>
      </c>
    </row>
    <row r="283" spans="3:23" x14ac:dyDescent="0.3">
      <c r="C283">
        <v>280</v>
      </c>
      <c r="D283">
        <v>3030</v>
      </c>
      <c r="E283" t="s">
        <v>478</v>
      </c>
      <c r="G283" s="1">
        <v>131200</v>
      </c>
      <c r="H283">
        <v>2</v>
      </c>
      <c r="I283" s="1">
        <v>8100</v>
      </c>
      <c r="J283">
        <v>6.58</v>
      </c>
      <c r="K283" s="1">
        <v>3740</v>
      </c>
      <c r="L283">
        <v>477</v>
      </c>
      <c r="M283" s="1">
        <v>127485</v>
      </c>
      <c r="N283" s="1">
        <v>123800</v>
      </c>
      <c r="O283" s="1">
        <v>132600</v>
      </c>
      <c r="P283" s="1">
        <v>122400</v>
      </c>
      <c r="Q283" t="s">
        <v>724</v>
      </c>
      <c r="R283" s="3">
        <v>0.4208796296296296</v>
      </c>
      <c r="S283" s="1">
        <v>131200</v>
      </c>
      <c r="V283" s="1">
        <v>21731</v>
      </c>
      <c r="W283">
        <v>17.21</v>
      </c>
    </row>
    <row r="284" spans="3:23" x14ac:dyDescent="0.3">
      <c r="C284">
        <v>281</v>
      </c>
      <c r="D284">
        <v>336370</v>
      </c>
      <c r="E284" t="s">
        <v>469</v>
      </c>
      <c r="G284" s="1">
        <v>7710</v>
      </c>
      <c r="H284">
        <v>2</v>
      </c>
      <c r="I284">
        <v>260</v>
      </c>
      <c r="J284">
        <v>3.49</v>
      </c>
      <c r="K284" s="1">
        <v>141914</v>
      </c>
      <c r="L284" s="1">
        <v>1085</v>
      </c>
      <c r="M284" s="1">
        <v>7646</v>
      </c>
      <c r="N284" s="1">
        <v>7460</v>
      </c>
      <c r="O284" s="1">
        <v>7750</v>
      </c>
      <c r="P284" s="1">
        <v>7460</v>
      </c>
      <c r="Q284" t="s">
        <v>724</v>
      </c>
      <c r="R284" s="3">
        <v>0.42077546296296298</v>
      </c>
      <c r="S284" s="1">
        <v>7720</v>
      </c>
      <c r="T284">
        <v>-10</v>
      </c>
      <c r="U284">
        <v>-0.13</v>
      </c>
      <c r="V284" s="1">
        <v>149972</v>
      </c>
      <c r="W284">
        <v>94.62</v>
      </c>
    </row>
    <row r="285" spans="3:23" x14ac:dyDescent="0.3">
      <c r="C285">
        <v>282</v>
      </c>
      <c r="D285">
        <v>97520</v>
      </c>
      <c r="E285" t="s">
        <v>459</v>
      </c>
      <c r="G285" s="1">
        <v>30600</v>
      </c>
      <c r="H285">
        <v>5</v>
      </c>
      <c r="I285">
        <v>350</v>
      </c>
      <c r="J285">
        <v>-1.1299999999999999</v>
      </c>
      <c r="K285" s="1">
        <v>29162</v>
      </c>
      <c r="L285">
        <v>907</v>
      </c>
      <c r="M285" s="1">
        <v>31118</v>
      </c>
      <c r="N285" s="1">
        <v>31100</v>
      </c>
      <c r="O285" s="1">
        <v>31950</v>
      </c>
      <c r="P285" s="1">
        <v>30250</v>
      </c>
      <c r="Q285" t="s">
        <v>724</v>
      </c>
      <c r="R285" s="3">
        <v>0.4206597222222222</v>
      </c>
      <c r="S285" s="1">
        <v>30600</v>
      </c>
      <c r="V285" s="1">
        <v>43782</v>
      </c>
      <c r="W285">
        <v>66.599999999999994</v>
      </c>
    </row>
    <row r="286" spans="3:23" x14ac:dyDescent="0.3">
      <c r="C286">
        <v>283</v>
      </c>
      <c r="D286">
        <v>105840</v>
      </c>
      <c r="E286" t="s">
        <v>463</v>
      </c>
      <c r="G286" s="1">
        <v>26250</v>
      </c>
      <c r="H286">
        <v>2</v>
      </c>
      <c r="I286">
        <v>50</v>
      </c>
      <c r="J286">
        <v>0.19</v>
      </c>
      <c r="K286" s="1">
        <v>1040275</v>
      </c>
      <c r="L286" s="1">
        <v>28364</v>
      </c>
      <c r="M286" s="1">
        <v>27265</v>
      </c>
      <c r="N286" s="1">
        <v>26900</v>
      </c>
      <c r="O286" s="1">
        <v>28050</v>
      </c>
      <c r="P286" s="1">
        <v>26000</v>
      </c>
      <c r="Q286" t="s">
        <v>724</v>
      </c>
      <c r="R286" s="3">
        <v>0.42105324074074074</v>
      </c>
      <c r="S286" s="1">
        <v>26200</v>
      </c>
      <c r="T286">
        <v>50</v>
      </c>
      <c r="U286">
        <v>0.19</v>
      </c>
      <c r="V286" s="1">
        <v>542034</v>
      </c>
      <c r="W286">
        <v>191.92</v>
      </c>
    </row>
    <row r="287" spans="3:23" x14ac:dyDescent="0.3">
      <c r="C287">
        <v>284</v>
      </c>
      <c r="D287">
        <v>1500</v>
      </c>
      <c r="E287" t="s">
        <v>471</v>
      </c>
      <c r="G287" s="1">
        <v>8540</v>
      </c>
      <c r="H287">
        <v>2</v>
      </c>
      <c r="I287">
        <v>150</v>
      </c>
      <c r="J287">
        <v>1.79</v>
      </c>
      <c r="K287" s="1">
        <v>72864</v>
      </c>
      <c r="L287">
        <v>631</v>
      </c>
      <c r="M287" s="1">
        <v>8660</v>
      </c>
      <c r="N287" s="1">
        <v>8400</v>
      </c>
      <c r="O287" s="1">
        <v>8870</v>
      </c>
      <c r="P287" s="1">
        <v>8400</v>
      </c>
      <c r="Q287" t="s">
        <v>724</v>
      </c>
      <c r="R287" s="3">
        <v>0.41954861111111108</v>
      </c>
      <c r="S287" s="1">
        <v>8530</v>
      </c>
      <c r="T287">
        <v>10</v>
      </c>
      <c r="U287">
        <v>0.12</v>
      </c>
      <c r="V287" s="1">
        <v>78445</v>
      </c>
      <c r="W287">
        <v>92.88</v>
      </c>
    </row>
    <row r="288" spans="3:23" x14ac:dyDescent="0.3">
      <c r="C288">
        <v>285</v>
      </c>
      <c r="D288">
        <v>145720</v>
      </c>
      <c r="E288" t="s">
        <v>479</v>
      </c>
      <c r="G288" s="1">
        <v>46550</v>
      </c>
      <c r="H288">
        <v>2</v>
      </c>
      <c r="I288">
        <v>650</v>
      </c>
      <c r="J288">
        <v>1.42</v>
      </c>
      <c r="K288" s="1">
        <v>5328</v>
      </c>
      <c r="L288">
        <v>246</v>
      </c>
      <c r="M288" s="1">
        <v>46247</v>
      </c>
      <c r="N288" s="1">
        <v>45900</v>
      </c>
      <c r="O288" s="1">
        <v>46850</v>
      </c>
      <c r="P288" s="1">
        <v>45800</v>
      </c>
      <c r="Q288" t="s">
        <v>724</v>
      </c>
      <c r="R288" s="3">
        <v>0.4209606481481481</v>
      </c>
      <c r="S288" s="1">
        <v>46550</v>
      </c>
      <c r="V288" s="1">
        <v>10176</v>
      </c>
      <c r="W288">
        <v>52.35</v>
      </c>
    </row>
    <row r="289" spans="3:23" x14ac:dyDescent="0.3">
      <c r="C289">
        <v>286</v>
      </c>
      <c r="D289">
        <v>4690</v>
      </c>
      <c r="E289" t="s">
        <v>477</v>
      </c>
      <c r="G289" s="1">
        <v>126400</v>
      </c>
      <c r="H289">
        <v>2</v>
      </c>
      <c r="I289" s="1">
        <v>1900</v>
      </c>
      <c r="J289">
        <v>1.53</v>
      </c>
      <c r="K289" s="1">
        <v>4191</v>
      </c>
      <c r="L289">
        <v>528</v>
      </c>
      <c r="M289" s="1">
        <v>126068</v>
      </c>
      <c r="N289" s="1">
        <v>124300</v>
      </c>
      <c r="O289" s="1">
        <v>126900</v>
      </c>
      <c r="P289" s="1">
        <v>124300</v>
      </c>
      <c r="Q289" t="s">
        <v>724</v>
      </c>
      <c r="R289" s="3">
        <v>0.41805555555555557</v>
      </c>
      <c r="S289" s="1">
        <v>126300</v>
      </c>
      <c r="T289">
        <v>100</v>
      </c>
      <c r="U289">
        <v>0.08</v>
      </c>
      <c r="V289" s="1">
        <v>5464</v>
      </c>
      <c r="W289">
        <v>76.7</v>
      </c>
    </row>
    <row r="290" spans="3:23" x14ac:dyDescent="0.3">
      <c r="C290">
        <v>287</v>
      </c>
      <c r="D290">
        <v>284740</v>
      </c>
      <c r="E290" t="s">
        <v>482</v>
      </c>
      <c r="G290" s="1">
        <v>22800</v>
      </c>
      <c r="H290">
        <v>2</v>
      </c>
      <c r="I290">
        <v>350</v>
      </c>
      <c r="J290">
        <v>1.56</v>
      </c>
      <c r="K290" s="1">
        <v>1710</v>
      </c>
      <c r="L290">
        <v>38</v>
      </c>
      <c r="M290" s="1">
        <v>22511</v>
      </c>
      <c r="N290" s="1">
        <v>22550</v>
      </c>
      <c r="O290" s="1">
        <v>22800</v>
      </c>
      <c r="P290" s="1">
        <v>22400</v>
      </c>
      <c r="Q290" t="s">
        <v>724</v>
      </c>
      <c r="R290" s="3">
        <v>0.41887731481481483</v>
      </c>
      <c r="S290" s="1">
        <v>22650</v>
      </c>
      <c r="T290">
        <v>150</v>
      </c>
      <c r="U290">
        <v>0.66</v>
      </c>
      <c r="V290" s="1">
        <v>4130</v>
      </c>
      <c r="W290">
        <v>41.4</v>
      </c>
    </row>
    <row r="291" spans="3:23" x14ac:dyDescent="0.3">
      <c r="C291">
        <v>288</v>
      </c>
      <c r="D291">
        <v>93050</v>
      </c>
      <c r="E291" t="s">
        <v>480</v>
      </c>
      <c r="G291" s="1">
        <v>17340</v>
      </c>
      <c r="H291">
        <v>3</v>
      </c>
      <c r="K291" s="1">
        <v>1454</v>
      </c>
      <c r="L291">
        <v>25</v>
      </c>
      <c r="M291" s="1">
        <v>17309</v>
      </c>
      <c r="N291" s="1">
        <v>17350</v>
      </c>
      <c r="O291" s="1">
        <v>17570</v>
      </c>
      <c r="P291" s="1">
        <v>17200</v>
      </c>
      <c r="Q291" t="s">
        <v>724</v>
      </c>
      <c r="R291" s="3">
        <v>0.41795138888888889</v>
      </c>
      <c r="S291" s="1">
        <v>17330</v>
      </c>
      <c r="T291">
        <v>10</v>
      </c>
      <c r="U291">
        <v>0.06</v>
      </c>
      <c r="V291" s="1">
        <v>8451</v>
      </c>
      <c r="W291">
        <v>17.2</v>
      </c>
    </row>
    <row r="292" spans="3:23" x14ac:dyDescent="0.3">
      <c r="C292">
        <v>289</v>
      </c>
      <c r="D292">
        <v>16590</v>
      </c>
      <c r="E292" t="s">
        <v>474</v>
      </c>
      <c r="G292" s="1">
        <v>12380</v>
      </c>
      <c r="H292">
        <v>5</v>
      </c>
      <c r="I292">
        <v>480</v>
      </c>
      <c r="J292">
        <v>-3.73</v>
      </c>
      <c r="K292" s="1">
        <v>8843</v>
      </c>
      <c r="L292">
        <v>112</v>
      </c>
      <c r="M292" s="1">
        <v>12665</v>
      </c>
      <c r="N292" s="1">
        <v>12530</v>
      </c>
      <c r="O292" s="1">
        <v>12890</v>
      </c>
      <c r="P292" s="1">
        <v>12380</v>
      </c>
      <c r="Q292" t="s">
        <v>724</v>
      </c>
      <c r="R292" s="3">
        <v>0.41884259259259254</v>
      </c>
      <c r="S292" s="1">
        <v>12410</v>
      </c>
      <c r="T292">
        <v>-30</v>
      </c>
      <c r="U292">
        <v>-0.24</v>
      </c>
      <c r="V292" s="1">
        <v>10969</v>
      </c>
      <c r="W292">
        <v>80.61</v>
      </c>
    </row>
    <row r="293" spans="3:23" x14ac:dyDescent="0.3">
      <c r="C293">
        <v>290</v>
      </c>
      <c r="D293">
        <v>9900</v>
      </c>
      <c r="E293" t="s">
        <v>476</v>
      </c>
      <c r="G293" s="1">
        <v>9470</v>
      </c>
      <c r="H293">
        <v>5</v>
      </c>
      <c r="I293">
        <v>50</v>
      </c>
      <c r="J293">
        <v>-0.53</v>
      </c>
      <c r="K293" s="1">
        <v>144389</v>
      </c>
      <c r="L293" s="1">
        <v>1390</v>
      </c>
      <c r="M293" s="1">
        <v>9623</v>
      </c>
      <c r="N293" s="1">
        <v>9700</v>
      </c>
      <c r="O293" s="1">
        <v>9810</v>
      </c>
      <c r="P293" s="1">
        <v>9380</v>
      </c>
      <c r="Q293" t="s">
        <v>724</v>
      </c>
      <c r="R293" s="3">
        <v>0.42077546296296298</v>
      </c>
      <c r="S293" s="1">
        <v>9460</v>
      </c>
      <c r="T293">
        <v>10</v>
      </c>
      <c r="U293">
        <v>0.11</v>
      </c>
      <c r="V293" s="1">
        <v>131132</v>
      </c>
      <c r="W293">
        <v>110.1</v>
      </c>
    </row>
    <row r="294" spans="3:23" x14ac:dyDescent="0.3">
      <c r="C294">
        <v>291</v>
      </c>
      <c r="D294">
        <v>16800</v>
      </c>
      <c r="E294" t="s">
        <v>487</v>
      </c>
      <c r="G294" s="1">
        <v>43150</v>
      </c>
      <c r="H294">
        <v>5</v>
      </c>
      <c r="I294">
        <v>100</v>
      </c>
      <c r="J294">
        <v>-0.23</v>
      </c>
      <c r="K294">
        <v>26</v>
      </c>
      <c r="L294">
        <v>1</v>
      </c>
      <c r="M294" s="1">
        <v>43001</v>
      </c>
      <c r="N294" s="1">
        <v>43100</v>
      </c>
      <c r="O294" s="1">
        <v>43250</v>
      </c>
      <c r="P294" s="1">
        <v>42950</v>
      </c>
      <c r="Q294" t="s">
        <v>724</v>
      </c>
      <c r="R294" s="3">
        <v>0.4057291666666667</v>
      </c>
      <c r="S294" s="1">
        <v>43350</v>
      </c>
      <c r="T294">
        <v>-200</v>
      </c>
      <c r="U294">
        <v>-0.46</v>
      </c>
      <c r="V294">
        <v>326</v>
      </c>
      <c r="W294">
        <v>7.97</v>
      </c>
    </row>
    <row r="295" spans="3:23" x14ac:dyDescent="0.3">
      <c r="C295">
        <v>292</v>
      </c>
      <c r="D295">
        <v>33240</v>
      </c>
      <c r="E295" t="s">
        <v>473</v>
      </c>
      <c r="G295" s="1">
        <v>22800</v>
      </c>
      <c r="H295">
        <v>2</v>
      </c>
      <c r="I295">
        <v>100</v>
      </c>
      <c r="J295">
        <v>0.44</v>
      </c>
      <c r="K295" s="1">
        <v>132443</v>
      </c>
      <c r="L295" s="1">
        <v>3088</v>
      </c>
      <c r="M295" s="1">
        <v>23317</v>
      </c>
      <c r="N295" s="1">
        <v>23300</v>
      </c>
      <c r="O295" s="1">
        <v>23850</v>
      </c>
      <c r="P295" s="1">
        <v>22550</v>
      </c>
      <c r="Q295" t="s">
        <v>724</v>
      </c>
      <c r="R295" s="3">
        <v>0.41980324074074077</v>
      </c>
      <c r="S295" s="1">
        <v>22800</v>
      </c>
      <c r="V295" s="1">
        <v>123621</v>
      </c>
      <c r="W295">
        <v>107.13</v>
      </c>
    </row>
    <row r="296" spans="3:23" x14ac:dyDescent="0.3">
      <c r="C296">
        <v>293</v>
      </c>
      <c r="D296">
        <v>271940</v>
      </c>
      <c r="E296" t="s">
        <v>493</v>
      </c>
      <c r="G296" s="1">
        <v>13600</v>
      </c>
      <c r="H296">
        <v>2</v>
      </c>
      <c r="I296">
        <v>170</v>
      </c>
      <c r="J296">
        <v>1.27</v>
      </c>
      <c r="K296" s="1">
        <v>8772</v>
      </c>
      <c r="L296">
        <v>119</v>
      </c>
      <c r="M296" s="1">
        <v>13588</v>
      </c>
      <c r="N296" s="1">
        <v>13430</v>
      </c>
      <c r="O296" s="1">
        <v>13740</v>
      </c>
      <c r="P296" s="1">
        <v>13430</v>
      </c>
      <c r="Q296" t="s">
        <v>724</v>
      </c>
      <c r="R296" s="3">
        <v>0.4203587962962963</v>
      </c>
      <c r="S296" s="1">
        <v>13610</v>
      </c>
      <c r="T296">
        <v>-10</v>
      </c>
      <c r="U296">
        <v>-7.0000000000000007E-2</v>
      </c>
      <c r="V296" s="1">
        <v>16875</v>
      </c>
      <c r="W296">
        <v>51.98</v>
      </c>
    </row>
    <row r="297" spans="3:23" x14ac:dyDescent="0.3">
      <c r="C297">
        <v>294</v>
      </c>
      <c r="D297">
        <v>14830</v>
      </c>
      <c r="E297" t="s">
        <v>496</v>
      </c>
      <c r="G297" s="1">
        <v>72700</v>
      </c>
      <c r="H297">
        <v>2</v>
      </c>
      <c r="I297">
        <v>900</v>
      </c>
      <c r="J297">
        <v>1.25</v>
      </c>
      <c r="K297" s="1">
        <v>7118</v>
      </c>
      <c r="L297">
        <v>517</v>
      </c>
      <c r="M297" s="1">
        <v>72650</v>
      </c>
      <c r="N297" s="1">
        <v>71700</v>
      </c>
      <c r="O297" s="1">
        <v>73200</v>
      </c>
      <c r="P297" s="1">
        <v>71500</v>
      </c>
      <c r="Q297" t="s">
        <v>724</v>
      </c>
      <c r="R297" s="3">
        <v>0.4181597222222222</v>
      </c>
      <c r="S297" s="1">
        <v>72900</v>
      </c>
      <c r="T297">
        <v>-200</v>
      </c>
      <c r="U297">
        <v>-0.27</v>
      </c>
      <c r="V297" s="1">
        <v>7531</v>
      </c>
      <c r="W297">
        <v>94.51</v>
      </c>
    </row>
    <row r="298" spans="3:23" x14ac:dyDescent="0.3">
      <c r="C298">
        <v>295</v>
      </c>
      <c r="D298">
        <v>453340</v>
      </c>
      <c r="E298" t="s">
        <v>492</v>
      </c>
      <c r="G298" s="1">
        <v>14960</v>
      </c>
      <c r="H298">
        <v>2</v>
      </c>
      <c r="I298">
        <v>130</v>
      </c>
      <c r="J298">
        <v>0.88</v>
      </c>
      <c r="K298" s="1">
        <v>3221</v>
      </c>
      <c r="L298">
        <v>48</v>
      </c>
      <c r="M298" s="1">
        <v>14959</v>
      </c>
      <c r="N298" s="1">
        <v>14950</v>
      </c>
      <c r="O298" s="1">
        <v>15080</v>
      </c>
      <c r="P298" s="1">
        <v>14910</v>
      </c>
      <c r="Q298" t="s">
        <v>724</v>
      </c>
      <c r="R298" s="3">
        <v>0.41547453703703702</v>
      </c>
      <c r="S298" s="1">
        <v>14970</v>
      </c>
      <c r="T298">
        <v>-10</v>
      </c>
      <c r="U298">
        <v>-7.0000000000000007E-2</v>
      </c>
      <c r="V298" s="1">
        <v>13080</v>
      </c>
      <c r="W298">
        <v>24.62</v>
      </c>
    </row>
    <row r="299" spans="3:23" x14ac:dyDescent="0.3">
      <c r="C299">
        <v>296</v>
      </c>
      <c r="D299">
        <v>17810</v>
      </c>
      <c r="E299" t="s">
        <v>491</v>
      </c>
      <c r="G299" s="1">
        <v>12830</v>
      </c>
      <c r="H299">
        <v>3</v>
      </c>
      <c r="K299" s="1">
        <v>17686</v>
      </c>
      <c r="L299">
        <v>227</v>
      </c>
      <c r="M299" s="1">
        <v>12828</v>
      </c>
      <c r="N299" s="1">
        <v>13240</v>
      </c>
      <c r="O299" s="1">
        <v>13240</v>
      </c>
      <c r="P299" s="1">
        <v>12760</v>
      </c>
      <c r="Q299" t="s">
        <v>724</v>
      </c>
      <c r="R299" s="3">
        <v>0.42092592592592593</v>
      </c>
      <c r="S299" s="1">
        <v>12830</v>
      </c>
      <c r="V299" s="1">
        <v>26769</v>
      </c>
      <c r="W299">
        <v>66.06</v>
      </c>
    </row>
    <row r="300" spans="3:23" x14ac:dyDescent="0.3">
      <c r="C300">
        <v>297</v>
      </c>
      <c r="D300">
        <v>16610</v>
      </c>
      <c r="E300" t="s">
        <v>495</v>
      </c>
      <c r="G300" s="1">
        <v>11500</v>
      </c>
      <c r="H300">
        <v>2</v>
      </c>
      <c r="I300">
        <v>140</v>
      </c>
      <c r="J300">
        <v>1.23</v>
      </c>
      <c r="K300" s="1">
        <v>14589</v>
      </c>
      <c r="L300">
        <v>168</v>
      </c>
      <c r="M300" s="1">
        <v>11536</v>
      </c>
      <c r="N300" s="1">
        <v>11500</v>
      </c>
      <c r="O300" s="1">
        <v>11750</v>
      </c>
      <c r="P300" s="1">
        <v>11150</v>
      </c>
      <c r="Q300" t="s">
        <v>724</v>
      </c>
      <c r="R300" s="3">
        <v>0.41250000000000003</v>
      </c>
      <c r="S300" s="1">
        <v>11480</v>
      </c>
      <c r="T300">
        <v>20</v>
      </c>
      <c r="U300">
        <v>0.17</v>
      </c>
      <c r="V300" s="1">
        <v>39213</v>
      </c>
      <c r="W300">
        <v>37.200000000000003</v>
      </c>
    </row>
    <row r="301" spans="3:23" x14ac:dyDescent="0.3">
      <c r="C301">
        <v>298</v>
      </c>
      <c r="D301">
        <v>3300</v>
      </c>
      <c r="E301" t="s">
        <v>501</v>
      </c>
      <c r="G301" s="1">
        <v>15580</v>
      </c>
      <c r="H301">
        <v>2</v>
      </c>
      <c r="I301">
        <v>210</v>
      </c>
      <c r="J301">
        <v>1.37</v>
      </c>
      <c r="K301">
        <v>518</v>
      </c>
      <c r="L301">
        <v>8</v>
      </c>
      <c r="M301" s="1">
        <v>15600</v>
      </c>
      <c r="N301" s="1">
        <v>15500</v>
      </c>
      <c r="O301" s="1">
        <v>15630</v>
      </c>
      <c r="P301" s="1">
        <v>15500</v>
      </c>
      <c r="Q301" t="s">
        <v>724</v>
      </c>
      <c r="R301" s="3">
        <v>0.41655092592592591</v>
      </c>
      <c r="S301" s="1">
        <v>15610</v>
      </c>
      <c r="T301">
        <v>-30</v>
      </c>
      <c r="U301">
        <v>-0.19</v>
      </c>
      <c r="V301" s="1">
        <v>5149</v>
      </c>
      <c r="W301">
        <v>10.06</v>
      </c>
    </row>
    <row r="302" spans="3:23" x14ac:dyDescent="0.3">
      <c r="C302">
        <v>299</v>
      </c>
      <c r="D302">
        <v>34310</v>
      </c>
      <c r="E302" t="s">
        <v>500</v>
      </c>
      <c r="G302" s="1">
        <v>12940</v>
      </c>
      <c r="H302">
        <v>5</v>
      </c>
      <c r="I302">
        <v>10</v>
      </c>
      <c r="J302">
        <v>-0.08</v>
      </c>
      <c r="K302" s="1">
        <v>2066</v>
      </c>
      <c r="L302">
        <v>27</v>
      </c>
      <c r="M302" s="1">
        <v>12900</v>
      </c>
      <c r="N302" s="1">
        <v>13080</v>
      </c>
      <c r="O302" s="1">
        <v>13080</v>
      </c>
      <c r="P302" s="1">
        <v>12840</v>
      </c>
      <c r="Q302" t="s">
        <v>724</v>
      </c>
      <c r="R302" s="3">
        <v>0.41520833333333335</v>
      </c>
      <c r="S302" s="1">
        <v>12990</v>
      </c>
      <c r="T302">
        <v>-50</v>
      </c>
      <c r="U302">
        <v>-0.38</v>
      </c>
      <c r="V302" s="1">
        <v>10045</v>
      </c>
      <c r="W302">
        <v>20.56</v>
      </c>
    </row>
    <row r="303" spans="3:23" x14ac:dyDescent="0.3">
      <c r="C303">
        <v>300</v>
      </c>
      <c r="D303">
        <v>145990</v>
      </c>
      <c r="E303" t="s">
        <v>504</v>
      </c>
      <c r="G303" s="1">
        <v>46100</v>
      </c>
      <c r="H303">
        <v>2</v>
      </c>
      <c r="I303" s="1">
        <v>1000</v>
      </c>
      <c r="J303">
        <v>2.2200000000000002</v>
      </c>
      <c r="K303" s="1">
        <v>1077</v>
      </c>
      <c r="L303">
        <v>49</v>
      </c>
      <c r="M303" s="1">
        <v>45726</v>
      </c>
      <c r="N303" s="1">
        <v>45100</v>
      </c>
      <c r="O303" s="1">
        <v>46100</v>
      </c>
      <c r="P303" s="1">
        <v>45100</v>
      </c>
      <c r="Q303" t="s">
        <v>724</v>
      </c>
      <c r="R303" s="3">
        <v>0.41939814814814813</v>
      </c>
      <c r="S303" s="1">
        <v>46150</v>
      </c>
      <c r="T303">
        <v>-50</v>
      </c>
      <c r="U303">
        <v>-0.11</v>
      </c>
      <c r="V303" s="1">
        <v>3798</v>
      </c>
      <c r="W303">
        <v>28.35</v>
      </c>
    </row>
    <row r="304" spans="3:23" x14ac:dyDescent="0.3">
      <c r="C304">
        <v>301</v>
      </c>
      <c r="D304">
        <v>4700</v>
      </c>
      <c r="E304" t="s">
        <v>509</v>
      </c>
      <c r="G304" s="1">
        <v>70800</v>
      </c>
      <c r="H304">
        <v>2</v>
      </c>
      <c r="I304">
        <v>500</v>
      </c>
      <c r="J304">
        <v>0.71</v>
      </c>
      <c r="K304" s="1">
        <v>1116</v>
      </c>
      <c r="L304">
        <v>79</v>
      </c>
      <c r="M304" s="1">
        <v>70737</v>
      </c>
      <c r="N304" s="1">
        <v>71000</v>
      </c>
      <c r="O304" s="1">
        <v>71900</v>
      </c>
      <c r="P304" s="1">
        <v>70100</v>
      </c>
      <c r="Q304" t="s">
        <v>724</v>
      </c>
      <c r="R304" s="3">
        <v>0.42006944444444444</v>
      </c>
      <c r="S304" s="1">
        <v>70900</v>
      </c>
      <c r="T304">
        <v>-100</v>
      </c>
      <c r="U304">
        <v>-0.14000000000000001</v>
      </c>
      <c r="V304" s="1">
        <v>2083</v>
      </c>
      <c r="W304">
        <v>53.57</v>
      </c>
    </row>
    <row r="305" spans="3:23" x14ac:dyDescent="0.3">
      <c r="C305">
        <v>302</v>
      </c>
      <c r="D305">
        <v>178920</v>
      </c>
      <c r="E305" t="s">
        <v>513</v>
      </c>
      <c r="G305" s="1">
        <v>15970</v>
      </c>
      <c r="H305">
        <v>2</v>
      </c>
      <c r="I305">
        <v>560</v>
      </c>
      <c r="J305">
        <v>3.63</v>
      </c>
      <c r="K305" s="1">
        <v>32517</v>
      </c>
      <c r="L305">
        <v>511</v>
      </c>
      <c r="M305" s="1">
        <v>15702</v>
      </c>
      <c r="N305" s="1">
        <v>15540</v>
      </c>
      <c r="O305" s="1">
        <v>15970</v>
      </c>
      <c r="P305" s="1">
        <v>15480</v>
      </c>
      <c r="Q305" t="s">
        <v>724</v>
      </c>
      <c r="R305" s="3">
        <v>0.42091435185185189</v>
      </c>
      <c r="S305" s="1">
        <v>15960</v>
      </c>
      <c r="T305">
        <v>10</v>
      </c>
      <c r="U305">
        <v>0.06</v>
      </c>
      <c r="V305" s="1">
        <v>58907</v>
      </c>
      <c r="W305">
        <v>55.2</v>
      </c>
    </row>
    <row r="306" spans="3:23" x14ac:dyDescent="0.3">
      <c r="C306">
        <v>303</v>
      </c>
      <c r="D306">
        <v>161000</v>
      </c>
      <c r="E306" t="s">
        <v>533</v>
      </c>
      <c r="G306" s="1">
        <v>9630</v>
      </c>
      <c r="H306">
        <v>2</v>
      </c>
      <c r="I306" s="1">
        <v>1010</v>
      </c>
      <c r="J306">
        <v>11.72</v>
      </c>
      <c r="K306" s="1">
        <v>833012</v>
      </c>
      <c r="L306" s="1">
        <v>8070</v>
      </c>
      <c r="M306" s="1">
        <v>9688</v>
      </c>
      <c r="N306" s="1">
        <v>8710</v>
      </c>
      <c r="O306" s="1">
        <v>10060</v>
      </c>
      <c r="P306" s="1">
        <v>8690</v>
      </c>
      <c r="Q306" t="s">
        <v>724</v>
      </c>
      <c r="R306" s="3">
        <v>0.42105324074074074</v>
      </c>
      <c r="S306" s="1">
        <v>9630</v>
      </c>
      <c r="V306" s="1">
        <v>864096</v>
      </c>
      <c r="W306">
        <v>96.4</v>
      </c>
    </row>
    <row r="307" spans="3:23" x14ac:dyDescent="0.3">
      <c r="C307">
        <v>304</v>
      </c>
      <c r="D307">
        <v>29530</v>
      </c>
      <c r="E307" t="s">
        <v>511</v>
      </c>
      <c r="G307" s="1">
        <v>46250</v>
      </c>
      <c r="H307">
        <v>2</v>
      </c>
      <c r="I307">
        <v>250</v>
      </c>
      <c r="J307">
        <v>0.54</v>
      </c>
      <c r="K307">
        <v>352</v>
      </c>
      <c r="L307">
        <v>16</v>
      </c>
      <c r="M307" s="1">
        <v>46173</v>
      </c>
      <c r="N307" s="1">
        <v>46100</v>
      </c>
      <c r="O307" s="1">
        <v>46300</v>
      </c>
      <c r="P307" s="1">
        <v>45900</v>
      </c>
      <c r="Q307" t="s">
        <v>724</v>
      </c>
      <c r="R307" s="3">
        <v>0.41434027777777777</v>
      </c>
      <c r="S307" s="1">
        <v>46000</v>
      </c>
      <c r="T307">
        <v>250</v>
      </c>
      <c r="U307">
        <v>0.54</v>
      </c>
      <c r="V307" s="1">
        <v>1189</v>
      </c>
      <c r="W307">
        <v>29.6</v>
      </c>
    </row>
    <row r="308" spans="3:23" x14ac:dyDescent="0.3">
      <c r="C308">
        <v>305</v>
      </c>
      <c r="D308">
        <v>170900</v>
      </c>
      <c r="E308" t="s">
        <v>508</v>
      </c>
      <c r="G308" s="1">
        <v>49800</v>
      </c>
      <c r="H308">
        <v>2</v>
      </c>
      <c r="I308">
        <v>350</v>
      </c>
      <c r="J308">
        <v>0.71</v>
      </c>
      <c r="K308" s="1">
        <v>1982</v>
      </c>
      <c r="L308">
        <v>98</v>
      </c>
      <c r="M308" s="1">
        <v>49404</v>
      </c>
      <c r="N308" s="1">
        <v>49350</v>
      </c>
      <c r="O308" s="1">
        <v>50000</v>
      </c>
      <c r="P308" s="1">
        <v>49150</v>
      </c>
      <c r="Q308" t="s">
        <v>724</v>
      </c>
      <c r="R308" s="3">
        <v>0.41974537037037035</v>
      </c>
      <c r="S308" s="1">
        <v>49800</v>
      </c>
      <c r="V308" s="1">
        <v>3265</v>
      </c>
      <c r="W308">
        <v>60.7</v>
      </c>
    </row>
    <row r="309" spans="3:23" x14ac:dyDescent="0.3">
      <c r="C309">
        <v>306</v>
      </c>
      <c r="D309">
        <v>70</v>
      </c>
      <c r="E309" t="s">
        <v>514</v>
      </c>
      <c r="G309" s="1">
        <v>58600</v>
      </c>
      <c r="H309">
        <v>2</v>
      </c>
      <c r="I309">
        <v>500</v>
      </c>
      <c r="J309">
        <v>0.86</v>
      </c>
      <c r="K309" s="1">
        <v>1463</v>
      </c>
      <c r="L309">
        <v>86</v>
      </c>
      <c r="M309" s="1">
        <v>58476</v>
      </c>
      <c r="N309" s="1">
        <v>59300</v>
      </c>
      <c r="O309" s="1">
        <v>59300</v>
      </c>
      <c r="P309" s="1">
        <v>58200</v>
      </c>
      <c r="Q309" t="s">
        <v>724</v>
      </c>
      <c r="R309" s="3">
        <v>0.41896990740740742</v>
      </c>
      <c r="S309" s="1">
        <v>58700</v>
      </c>
      <c r="T309">
        <v>-100</v>
      </c>
      <c r="U309">
        <v>-0.17</v>
      </c>
      <c r="V309" s="1">
        <v>4033</v>
      </c>
      <c r="W309">
        <v>36.270000000000003</v>
      </c>
    </row>
    <row r="310" spans="3:23" x14ac:dyDescent="0.3">
      <c r="C310">
        <v>307</v>
      </c>
      <c r="D310">
        <v>60980</v>
      </c>
      <c r="E310" t="s">
        <v>517</v>
      </c>
      <c r="G310" s="1">
        <v>47100</v>
      </c>
      <c r="H310">
        <v>2</v>
      </c>
      <c r="I310">
        <v>200</v>
      </c>
      <c r="J310">
        <v>0.43</v>
      </c>
      <c r="K310" s="1">
        <v>23813</v>
      </c>
      <c r="L310" s="1">
        <v>1143</v>
      </c>
      <c r="M310" s="1">
        <v>48016</v>
      </c>
      <c r="N310" s="1">
        <v>47100</v>
      </c>
      <c r="O310" s="1">
        <v>48800</v>
      </c>
      <c r="P310" s="1">
        <v>46750</v>
      </c>
      <c r="Q310" t="s">
        <v>724</v>
      </c>
      <c r="R310" s="3">
        <v>0.42011574074074076</v>
      </c>
      <c r="S310" s="1">
        <v>47000</v>
      </c>
      <c r="T310">
        <v>100</v>
      </c>
      <c r="U310">
        <v>0.21</v>
      </c>
      <c r="V310" s="1">
        <v>32345</v>
      </c>
      <c r="W310">
        <v>73.62</v>
      </c>
    </row>
    <row r="311" spans="3:23" x14ac:dyDescent="0.3">
      <c r="C311">
        <v>308</v>
      </c>
      <c r="D311">
        <v>5610</v>
      </c>
      <c r="E311" t="s">
        <v>523</v>
      </c>
      <c r="G311" s="1">
        <v>50200</v>
      </c>
      <c r="H311">
        <v>2</v>
      </c>
      <c r="I311">
        <v>200</v>
      </c>
      <c r="J311">
        <v>0.4</v>
      </c>
      <c r="K311" s="1">
        <v>1185</v>
      </c>
      <c r="L311">
        <v>59</v>
      </c>
      <c r="M311" s="1">
        <v>50151</v>
      </c>
      <c r="N311" s="1">
        <v>50500</v>
      </c>
      <c r="O311" s="1">
        <v>50500</v>
      </c>
      <c r="P311" s="1">
        <v>49950</v>
      </c>
      <c r="Q311" t="s">
        <v>724</v>
      </c>
      <c r="R311" s="3">
        <v>0.41957175925925921</v>
      </c>
      <c r="S311" s="1">
        <v>50200</v>
      </c>
      <c r="V311" s="1">
        <v>1116</v>
      </c>
      <c r="W311">
        <v>106.18</v>
      </c>
    </row>
    <row r="312" spans="3:23" x14ac:dyDescent="0.3">
      <c r="C312">
        <v>309</v>
      </c>
      <c r="D312">
        <v>183190</v>
      </c>
      <c r="E312" t="s">
        <v>525</v>
      </c>
      <c r="G312" s="1">
        <v>11720</v>
      </c>
      <c r="H312">
        <v>2</v>
      </c>
      <c r="I312">
        <v>120</v>
      </c>
      <c r="J312">
        <v>1.03</v>
      </c>
      <c r="K312" s="1">
        <v>6488</v>
      </c>
      <c r="L312">
        <v>76</v>
      </c>
      <c r="M312" s="1">
        <v>11754</v>
      </c>
      <c r="N312" s="1">
        <v>11600</v>
      </c>
      <c r="O312" s="1">
        <v>11840</v>
      </c>
      <c r="P312" s="1">
        <v>11600</v>
      </c>
      <c r="Q312" t="s">
        <v>724</v>
      </c>
      <c r="R312" s="3">
        <v>0.41886574074074073</v>
      </c>
      <c r="S312" s="1">
        <v>11720</v>
      </c>
      <c r="V312" s="1">
        <v>9243</v>
      </c>
      <c r="W312">
        <v>70.19</v>
      </c>
    </row>
    <row r="313" spans="3:23" x14ac:dyDescent="0.3">
      <c r="C313">
        <v>310</v>
      </c>
      <c r="D313">
        <v>6220</v>
      </c>
      <c r="E313" t="s">
        <v>524</v>
      </c>
      <c r="G313" s="1">
        <v>11420</v>
      </c>
      <c r="H313">
        <v>2</v>
      </c>
      <c r="I313">
        <v>70</v>
      </c>
      <c r="J313">
        <v>0.62</v>
      </c>
      <c r="K313" s="1">
        <v>19209</v>
      </c>
      <c r="L313">
        <v>220</v>
      </c>
      <c r="M313" s="1">
        <v>11463</v>
      </c>
      <c r="N313" s="1">
        <v>11600</v>
      </c>
      <c r="O313" s="1">
        <v>11600</v>
      </c>
      <c r="P313" s="1">
        <v>11360</v>
      </c>
      <c r="Q313" t="s">
        <v>724</v>
      </c>
      <c r="R313" s="3">
        <v>0.42024305555555558</v>
      </c>
      <c r="S313" s="1">
        <v>11420</v>
      </c>
      <c r="V313" s="1">
        <v>25377</v>
      </c>
      <c r="W313">
        <v>75.69</v>
      </c>
    </row>
    <row r="314" spans="3:23" x14ac:dyDescent="0.3">
      <c r="C314">
        <v>311</v>
      </c>
      <c r="D314">
        <v>344820</v>
      </c>
      <c r="E314" t="s">
        <v>528</v>
      </c>
      <c r="G314" s="1">
        <v>26850</v>
      </c>
      <c r="H314">
        <v>2</v>
      </c>
      <c r="I314">
        <v>250</v>
      </c>
      <c r="J314">
        <v>0.94</v>
      </c>
      <c r="K314" s="1">
        <v>2646</v>
      </c>
      <c r="L314">
        <v>71</v>
      </c>
      <c r="M314" s="1">
        <v>26931</v>
      </c>
      <c r="N314" s="1">
        <v>26850</v>
      </c>
      <c r="O314" s="1">
        <v>27050</v>
      </c>
      <c r="P314" s="1">
        <v>26700</v>
      </c>
      <c r="Q314" t="s">
        <v>724</v>
      </c>
      <c r="R314" s="3">
        <v>0.41971064814814812</v>
      </c>
      <c r="S314" s="1">
        <v>26900</v>
      </c>
      <c r="T314">
        <v>-50</v>
      </c>
      <c r="U314">
        <v>-0.19</v>
      </c>
      <c r="V314" s="1">
        <v>17519</v>
      </c>
      <c r="W314">
        <v>15.1</v>
      </c>
    </row>
    <row r="315" spans="3:23" x14ac:dyDescent="0.3">
      <c r="C315">
        <v>312</v>
      </c>
      <c r="D315">
        <v>200880</v>
      </c>
      <c r="E315" t="s">
        <v>515</v>
      </c>
      <c r="G315" s="1">
        <v>15720</v>
      </c>
      <c r="H315">
        <v>5</v>
      </c>
      <c r="I315">
        <v>490</v>
      </c>
      <c r="J315">
        <v>-3.02</v>
      </c>
      <c r="K315" s="1">
        <v>686224</v>
      </c>
      <c r="L315" s="1">
        <v>11219</v>
      </c>
      <c r="M315" s="1">
        <v>16349</v>
      </c>
      <c r="N315" s="1">
        <v>16240</v>
      </c>
      <c r="O315" s="1">
        <v>16750</v>
      </c>
      <c r="P315" s="1">
        <v>15500</v>
      </c>
      <c r="Q315" t="s">
        <v>724</v>
      </c>
      <c r="R315" s="3">
        <v>0.42090277777777779</v>
      </c>
      <c r="S315" s="1">
        <v>15720</v>
      </c>
      <c r="V315" s="1">
        <v>380763</v>
      </c>
      <c r="W315">
        <v>180.22</v>
      </c>
    </row>
    <row r="316" spans="3:23" x14ac:dyDescent="0.3">
      <c r="C316">
        <v>313</v>
      </c>
      <c r="D316">
        <v>26890</v>
      </c>
      <c r="E316" t="s">
        <v>542</v>
      </c>
      <c r="G316" s="1">
        <v>10100</v>
      </c>
      <c r="H316">
        <v>2</v>
      </c>
      <c r="I316">
        <v>320</v>
      </c>
      <c r="J316">
        <v>3.27</v>
      </c>
      <c r="K316" s="1">
        <v>21706</v>
      </c>
      <c r="L316">
        <v>217</v>
      </c>
      <c r="M316" s="1">
        <v>9997</v>
      </c>
      <c r="N316" s="1">
        <v>9850</v>
      </c>
      <c r="O316" s="1">
        <v>10190</v>
      </c>
      <c r="P316" s="1">
        <v>9650</v>
      </c>
      <c r="Q316" t="s">
        <v>724</v>
      </c>
      <c r="R316" s="3">
        <v>0.41997685185185185</v>
      </c>
      <c r="S316" s="1">
        <v>10110</v>
      </c>
      <c r="T316">
        <v>-10</v>
      </c>
      <c r="U316">
        <v>-0.1</v>
      </c>
      <c r="V316" s="1">
        <v>64051</v>
      </c>
      <c r="W316">
        <v>33.880000000000003</v>
      </c>
    </row>
    <row r="317" spans="3:23" x14ac:dyDescent="0.3">
      <c r="C317">
        <v>314</v>
      </c>
      <c r="D317">
        <v>460860</v>
      </c>
      <c r="E317" t="s">
        <v>545</v>
      </c>
      <c r="G317" s="1">
        <v>8380</v>
      </c>
      <c r="H317">
        <v>2</v>
      </c>
      <c r="I317">
        <v>210</v>
      </c>
      <c r="J317">
        <v>2.57</v>
      </c>
      <c r="K317" s="1">
        <v>118545</v>
      </c>
      <c r="L317">
        <v>987</v>
      </c>
      <c r="M317" s="1">
        <v>8326</v>
      </c>
      <c r="N317" s="1">
        <v>8210</v>
      </c>
      <c r="O317" s="1">
        <v>8410</v>
      </c>
      <c r="P317" s="1">
        <v>8180</v>
      </c>
      <c r="Q317" t="s">
        <v>724</v>
      </c>
      <c r="R317" s="3">
        <v>0.42071759259259256</v>
      </c>
      <c r="S317" s="1">
        <v>8380</v>
      </c>
      <c r="V317" s="1">
        <v>156431</v>
      </c>
      <c r="W317">
        <v>75.78</v>
      </c>
    </row>
    <row r="318" spans="3:23" x14ac:dyDescent="0.3">
      <c r="C318">
        <v>315</v>
      </c>
      <c r="D318">
        <v>72710</v>
      </c>
      <c r="E318" t="s">
        <v>548</v>
      </c>
      <c r="G318" s="1">
        <v>88000</v>
      </c>
      <c r="H318">
        <v>2</v>
      </c>
      <c r="I318" s="1">
        <v>1900</v>
      </c>
      <c r="J318">
        <v>2.21</v>
      </c>
      <c r="K318" s="1">
        <v>1394</v>
      </c>
      <c r="L318">
        <v>122</v>
      </c>
      <c r="M318" s="1">
        <v>87192</v>
      </c>
      <c r="N318" s="1">
        <v>86700</v>
      </c>
      <c r="O318" s="1">
        <v>88000</v>
      </c>
      <c r="P318" s="1">
        <v>86200</v>
      </c>
      <c r="Q318" t="s">
        <v>724</v>
      </c>
      <c r="R318" s="3">
        <v>0.41364583333333332</v>
      </c>
      <c r="S318" s="1">
        <v>87900</v>
      </c>
      <c r="T318">
        <v>100</v>
      </c>
      <c r="U318">
        <v>0.11</v>
      </c>
      <c r="V318" s="1">
        <v>2357</v>
      </c>
      <c r="W318">
        <v>59.14</v>
      </c>
    </row>
    <row r="319" spans="3:23" x14ac:dyDescent="0.3">
      <c r="C319">
        <v>316</v>
      </c>
      <c r="D319">
        <v>130660</v>
      </c>
      <c r="E319" t="s">
        <v>530</v>
      </c>
      <c r="G319" s="1">
        <v>12360</v>
      </c>
      <c r="H319">
        <v>5</v>
      </c>
      <c r="I319">
        <v>410</v>
      </c>
      <c r="J319">
        <v>-3.21</v>
      </c>
      <c r="K319" s="1">
        <v>438333</v>
      </c>
      <c r="L319" s="1">
        <v>5612</v>
      </c>
      <c r="M319" s="1">
        <v>12803</v>
      </c>
      <c r="N319" s="1">
        <v>12820</v>
      </c>
      <c r="O319" s="1">
        <v>13380</v>
      </c>
      <c r="P319" s="1">
        <v>12150</v>
      </c>
      <c r="Q319" t="s">
        <v>724</v>
      </c>
      <c r="R319" s="3">
        <v>0.42105324074074074</v>
      </c>
      <c r="S319" s="1">
        <v>12360</v>
      </c>
      <c r="V319" s="1">
        <v>617504</v>
      </c>
      <c r="W319">
        <v>70.98</v>
      </c>
    </row>
    <row r="320" spans="3:23" x14ac:dyDescent="0.3">
      <c r="C320">
        <v>317</v>
      </c>
      <c r="D320">
        <v>403550</v>
      </c>
      <c r="E320" t="s">
        <v>549</v>
      </c>
      <c r="G320" s="1">
        <v>12110</v>
      </c>
      <c r="H320">
        <v>2</v>
      </c>
      <c r="I320">
        <v>80</v>
      </c>
      <c r="J320">
        <v>0.67</v>
      </c>
      <c r="K320">
        <v>590</v>
      </c>
      <c r="L320">
        <v>7</v>
      </c>
      <c r="M320" s="1">
        <v>12051</v>
      </c>
      <c r="N320" s="1">
        <v>12180</v>
      </c>
      <c r="O320" s="1">
        <v>12180</v>
      </c>
      <c r="P320" s="1">
        <v>11990</v>
      </c>
      <c r="Q320" t="s">
        <v>724</v>
      </c>
      <c r="R320" s="3">
        <v>0.41512731481481485</v>
      </c>
      <c r="S320" s="1">
        <v>12080</v>
      </c>
      <c r="T320">
        <v>30</v>
      </c>
      <c r="U320">
        <v>0.25</v>
      </c>
      <c r="V320" s="1">
        <v>2580</v>
      </c>
      <c r="W320">
        <v>22.86</v>
      </c>
    </row>
    <row r="321" spans="3:23" x14ac:dyDescent="0.3">
      <c r="C321">
        <v>318</v>
      </c>
      <c r="D321">
        <v>31430</v>
      </c>
      <c r="E321" t="s">
        <v>559</v>
      </c>
      <c r="G321" s="1">
        <v>11110</v>
      </c>
      <c r="H321">
        <v>2</v>
      </c>
      <c r="I321">
        <v>380</v>
      </c>
      <c r="J321">
        <v>3.54</v>
      </c>
      <c r="K321" s="1">
        <v>31020</v>
      </c>
      <c r="L321">
        <v>340</v>
      </c>
      <c r="M321" s="1">
        <v>10953</v>
      </c>
      <c r="N321" s="1">
        <v>10850</v>
      </c>
      <c r="O321" s="1">
        <v>11110</v>
      </c>
      <c r="P321" s="1">
        <v>10760</v>
      </c>
      <c r="Q321" t="s">
        <v>724</v>
      </c>
      <c r="R321" s="3">
        <v>0.42031250000000003</v>
      </c>
      <c r="S321" s="1">
        <v>11080</v>
      </c>
      <c r="T321">
        <v>30</v>
      </c>
      <c r="U321">
        <v>0.27</v>
      </c>
      <c r="V321" s="1">
        <v>31824</v>
      </c>
      <c r="W321">
        <v>97.47</v>
      </c>
    </row>
    <row r="322" spans="3:23" x14ac:dyDescent="0.3">
      <c r="C322">
        <v>319</v>
      </c>
      <c r="D322">
        <v>2710</v>
      </c>
      <c r="E322" t="s">
        <v>579</v>
      </c>
      <c r="G322" s="1">
        <v>14910</v>
      </c>
      <c r="H322">
        <v>2</v>
      </c>
      <c r="I322" s="1">
        <v>1350</v>
      </c>
      <c r="J322">
        <v>9.9600000000000009</v>
      </c>
      <c r="K322" s="1">
        <v>195177</v>
      </c>
      <c r="L322" s="1">
        <v>2829</v>
      </c>
      <c r="M322" s="1">
        <v>14492</v>
      </c>
      <c r="N322" s="1">
        <v>13700</v>
      </c>
      <c r="O322" s="1">
        <v>14930</v>
      </c>
      <c r="P322" s="1">
        <v>13560</v>
      </c>
      <c r="Q322" t="s">
        <v>724</v>
      </c>
      <c r="R322" s="3">
        <v>0.42089120370370375</v>
      </c>
      <c r="S322" s="1">
        <v>14860</v>
      </c>
      <c r="T322">
        <v>50</v>
      </c>
      <c r="U322">
        <v>0.34</v>
      </c>
      <c r="V322" s="1">
        <v>245814</v>
      </c>
      <c r="W322">
        <v>79.400000000000006</v>
      </c>
    </row>
    <row r="323" spans="3:23" x14ac:dyDescent="0.3">
      <c r="C323">
        <v>320</v>
      </c>
      <c r="D323">
        <v>1530</v>
      </c>
      <c r="E323" t="s">
        <v>558</v>
      </c>
      <c r="G323" s="1">
        <v>19530</v>
      </c>
      <c r="H323">
        <v>2</v>
      </c>
      <c r="I323">
        <v>90</v>
      </c>
      <c r="J323">
        <v>0.46</v>
      </c>
      <c r="K323" s="1">
        <v>6573</v>
      </c>
      <c r="L323">
        <v>129</v>
      </c>
      <c r="M323" s="1">
        <v>19701</v>
      </c>
      <c r="N323" s="1">
        <v>19950</v>
      </c>
      <c r="O323" s="1">
        <v>19950</v>
      </c>
      <c r="P323" s="1">
        <v>19510</v>
      </c>
      <c r="Q323" t="s">
        <v>724</v>
      </c>
      <c r="R323" s="3">
        <v>0.4206597222222222</v>
      </c>
      <c r="S323" s="1">
        <v>19640</v>
      </c>
      <c r="T323">
        <v>-110</v>
      </c>
      <c r="U323">
        <v>-0.56000000000000005</v>
      </c>
      <c r="V323" s="1">
        <v>12803</v>
      </c>
      <c r="W323">
        <v>51.33</v>
      </c>
    </row>
    <row r="324" spans="3:23" x14ac:dyDescent="0.3">
      <c r="C324">
        <v>321</v>
      </c>
      <c r="D324">
        <v>217590</v>
      </c>
      <c r="E324" t="s">
        <v>554</v>
      </c>
      <c r="G324" s="1">
        <v>15840</v>
      </c>
      <c r="H324">
        <v>5</v>
      </c>
      <c r="I324">
        <v>90</v>
      </c>
      <c r="J324">
        <v>-0.56000000000000005</v>
      </c>
      <c r="K324" s="1">
        <v>373640</v>
      </c>
      <c r="L324" s="1">
        <v>6098</v>
      </c>
      <c r="M324" s="1">
        <v>16320</v>
      </c>
      <c r="N324" s="1">
        <v>16300</v>
      </c>
      <c r="O324" s="1">
        <v>16650</v>
      </c>
      <c r="P324" s="1">
        <v>15810</v>
      </c>
      <c r="Q324" t="s">
        <v>724</v>
      </c>
      <c r="R324" s="3">
        <v>0.4210416666666667</v>
      </c>
      <c r="S324" s="1">
        <v>15870</v>
      </c>
      <c r="T324">
        <v>-30</v>
      </c>
      <c r="U324">
        <v>-0.19</v>
      </c>
      <c r="V324" s="1">
        <v>196184</v>
      </c>
      <c r="W324">
        <v>190.45</v>
      </c>
    </row>
    <row r="325" spans="3:23" x14ac:dyDescent="0.3">
      <c r="C325">
        <v>322</v>
      </c>
      <c r="D325">
        <v>126720</v>
      </c>
      <c r="E325" t="s">
        <v>556</v>
      </c>
      <c r="G325" s="1">
        <v>26700</v>
      </c>
      <c r="H325">
        <v>5</v>
      </c>
      <c r="I325">
        <v>200</v>
      </c>
      <c r="J325">
        <v>-0.74</v>
      </c>
      <c r="K325" s="1">
        <v>40946</v>
      </c>
      <c r="L325" s="1">
        <v>1114</v>
      </c>
      <c r="M325" s="1">
        <v>27206</v>
      </c>
      <c r="N325" s="1">
        <v>27050</v>
      </c>
      <c r="O325" s="1">
        <v>27850</v>
      </c>
      <c r="P325" s="1">
        <v>26550</v>
      </c>
      <c r="Q325" t="s">
        <v>724</v>
      </c>
      <c r="R325" s="3">
        <v>0.42089120370370375</v>
      </c>
      <c r="S325" s="1">
        <v>26750</v>
      </c>
      <c r="T325">
        <v>-50</v>
      </c>
      <c r="U325">
        <v>-0.19</v>
      </c>
      <c r="V325" s="1">
        <v>27234</v>
      </c>
      <c r="W325">
        <v>150.34</v>
      </c>
    </row>
    <row r="326" spans="3:23" x14ac:dyDescent="0.3">
      <c r="C326">
        <v>323</v>
      </c>
      <c r="D326">
        <v>1940</v>
      </c>
      <c r="E326" t="s">
        <v>563</v>
      </c>
      <c r="G326" s="1">
        <v>26600</v>
      </c>
      <c r="H326">
        <v>3</v>
      </c>
      <c r="K326">
        <v>319</v>
      </c>
      <c r="L326">
        <v>9</v>
      </c>
      <c r="M326" s="1">
        <v>26710</v>
      </c>
      <c r="N326" s="1">
        <v>26600</v>
      </c>
      <c r="O326" s="1">
        <v>26750</v>
      </c>
      <c r="P326" s="1">
        <v>26600</v>
      </c>
      <c r="Q326" t="s">
        <v>724</v>
      </c>
      <c r="R326" s="3">
        <v>0.41028935185185184</v>
      </c>
      <c r="S326" s="1">
        <v>26600</v>
      </c>
      <c r="V326" s="1">
        <v>5024</v>
      </c>
      <c r="W326">
        <v>6.34</v>
      </c>
    </row>
    <row r="327" spans="3:23" x14ac:dyDescent="0.3">
      <c r="C327">
        <v>324</v>
      </c>
      <c r="D327">
        <v>29460</v>
      </c>
      <c r="E327" t="s">
        <v>566</v>
      </c>
      <c r="G327" s="1">
        <v>28500</v>
      </c>
      <c r="H327">
        <v>2</v>
      </c>
      <c r="I327">
        <v>350</v>
      </c>
      <c r="J327">
        <v>1.24</v>
      </c>
      <c r="K327" s="1">
        <v>19216</v>
      </c>
      <c r="L327">
        <v>547</v>
      </c>
      <c r="M327" s="1">
        <v>28485</v>
      </c>
      <c r="N327" s="1">
        <v>28800</v>
      </c>
      <c r="O327" s="1">
        <v>28800</v>
      </c>
      <c r="P327" s="1">
        <v>28050</v>
      </c>
      <c r="Q327" t="s">
        <v>724</v>
      </c>
      <c r="R327" s="3">
        <v>0.41773148148148148</v>
      </c>
      <c r="S327" s="1">
        <v>28550</v>
      </c>
      <c r="T327">
        <v>-50</v>
      </c>
      <c r="U327">
        <v>-0.18</v>
      </c>
      <c r="V327" s="1">
        <v>21769</v>
      </c>
      <c r="W327">
        <v>88.27</v>
      </c>
    </row>
    <row r="328" spans="3:23" x14ac:dyDescent="0.3">
      <c r="C328">
        <v>325</v>
      </c>
      <c r="D328">
        <v>15360</v>
      </c>
      <c r="E328" t="s">
        <v>561</v>
      </c>
      <c r="G328" s="1">
        <v>65700</v>
      </c>
      <c r="H328">
        <v>2</v>
      </c>
      <c r="I328">
        <v>400</v>
      </c>
      <c r="J328">
        <v>0.61</v>
      </c>
      <c r="K328" s="1">
        <v>1292</v>
      </c>
      <c r="L328">
        <v>85</v>
      </c>
      <c r="M328" s="1">
        <v>65530</v>
      </c>
      <c r="N328" s="1">
        <v>65600</v>
      </c>
      <c r="O328" s="1">
        <v>66500</v>
      </c>
      <c r="P328" s="1">
        <v>65300</v>
      </c>
      <c r="Q328" t="s">
        <v>724</v>
      </c>
      <c r="R328" s="3">
        <v>0.41934027777777777</v>
      </c>
      <c r="S328" s="1">
        <v>65900</v>
      </c>
      <c r="T328">
        <v>-200</v>
      </c>
      <c r="U328">
        <v>-0.3</v>
      </c>
      <c r="V328" s="1">
        <v>2547</v>
      </c>
      <c r="W328">
        <v>50.72</v>
      </c>
    </row>
    <row r="329" spans="3:23" x14ac:dyDescent="0.3">
      <c r="C329">
        <v>326</v>
      </c>
      <c r="D329">
        <v>6110</v>
      </c>
      <c r="E329" t="s">
        <v>580</v>
      </c>
      <c r="G329" s="1">
        <v>25400</v>
      </c>
      <c r="H329">
        <v>2</v>
      </c>
      <c r="I329" s="1">
        <v>1450</v>
      </c>
      <c r="J329">
        <v>6.05</v>
      </c>
      <c r="K329" s="1">
        <v>58469</v>
      </c>
      <c r="L329" s="1">
        <v>1454</v>
      </c>
      <c r="M329" s="1">
        <v>24861</v>
      </c>
      <c r="N329" s="1">
        <v>24150</v>
      </c>
      <c r="O329" s="1">
        <v>25500</v>
      </c>
      <c r="P329" s="1">
        <v>24000</v>
      </c>
      <c r="Q329" t="s">
        <v>724</v>
      </c>
      <c r="R329" s="3">
        <v>0.4209606481481481</v>
      </c>
      <c r="S329" s="1">
        <v>25450</v>
      </c>
      <c r="T329">
        <v>-50</v>
      </c>
      <c r="U329">
        <v>-0.2</v>
      </c>
      <c r="V329" s="1">
        <v>90004</v>
      </c>
      <c r="W329">
        <v>64.959999999999994</v>
      </c>
    </row>
    <row r="330" spans="3:23" x14ac:dyDescent="0.3">
      <c r="C330">
        <v>327</v>
      </c>
      <c r="D330">
        <v>104700</v>
      </c>
      <c r="E330" t="s">
        <v>577</v>
      </c>
      <c r="G330" s="1">
        <v>9940</v>
      </c>
      <c r="H330">
        <v>5</v>
      </c>
      <c r="I330">
        <v>30</v>
      </c>
      <c r="J330">
        <v>-0.3</v>
      </c>
      <c r="K330" s="1">
        <v>3807</v>
      </c>
      <c r="L330">
        <v>38</v>
      </c>
      <c r="M330" s="1">
        <v>9980</v>
      </c>
      <c r="N330" s="1">
        <v>9970</v>
      </c>
      <c r="O330" s="1">
        <v>9990</v>
      </c>
      <c r="P330" s="1">
        <v>9940</v>
      </c>
      <c r="Q330" t="s">
        <v>724</v>
      </c>
      <c r="R330" s="3">
        <v>0.41651620370370374</v>
      </c>
      <c r="S330" s="1">
        <v>9960</v>
      </c>
      <c r="T330">
        <v>-20</v>
      </c>
      <c r="U330">
        <v>-0.2</v>
      </c>
      <c r="V330" s="1">
        <v>12728</v>
      </c>
      <c r="W330">
        <v>29.91</v>
      </c>
    </row>
    <row r="331" spans="3:23" x14ac:dyDescent="0.3">
      <c r="C331">
        <v>328</v>
      </c>
      <c r="D331">
        <v>11500</v>
      </c>
      <c r="E331" t="s">
        <v>643</v>
      </c>
      <c r="G331" s="1">
        <v>22850</v>
      </c>
      <c r="H331">
        <v>1</v>
      </c>
      <c r="I331" s="1">
        <v>5250</v>
      </c>
      <c r="J331">
        <v>29.83</v>
      </c>
      <c r="K331" s="1">
        <v>3331853</v>
      </c>
      <c r="L331" s="1">
        <v>69120</v>
      </c>
      <c r="M331" s="1">
        <v>20745</v>
      </c>
      <c r="N331" s="1">
        <v>17880</v>
      </c>
      <c r="O331" s="1">
        <v>22850</v>
      </c>
      <c r="P331" s="1">
        <v>17600</v>
      </c>
      <c r="Q331" t="s">
        <v>724</v>
      </c>
      <c r="R331" s="3">
        <v>0.42090277777777779</v>
      </c>
      <c r="S331" s="1">
        <v>22850</v>
      </c>
      <c r="V331" s="1">
        <v>3111331</v>
      </c>
      <c r="W331">
        <v>107.08</v>
      </c>
    </row>
    <row r="332" spans="3:23" x14ac:dyDescent="0.3">
      <c r="C332">
        <v>329</v>
      </c>
      <c r="D332">
        <v>475560</v>
      </c>
      <c r="E332" t="s">
        <v>583</v>
      </c>
      <c r="G332" s="1">
        <v>24000</v>
      </c>
      <c r="H332">
        <v>2</v>
      </c>
      <c r="I332">
        <v>100</v>
      </c>
      <c r="J332">
        <v>0.42</v>
      </c>
      <c r="K332" s="1">
        <v>2804</v>
      </c>
      <c r="L332">
        <v>67</v>
      </c>
      <c r="M332" s="1">
        <v>24011</v>
      </c>
      <c r="N332" s="1">
        <v>23900</v>
      </c>
      <c r="O332" s="1">
        <v>24100</v>
      </c>
      <c r="P332" s="1">
        <v>23850</v>
      </c>
      <c r="Q332" t="s">
        <v>724</v>
      </c>
      <c r="R332" s="3">
        <v>0.42050925925925925</v>
      </c>
      <c r="S332" s="1">
        <v>24000</v>
      </c>
      <c r="V332" s="1">
        <v>5876</v>
      </c>
      <c r="W332">
        <v>47.71</v>
      </c>
    </row>
    <row r="333" spans="3:23" x14ac:dyDescent="0.3">
      <c r="C333">
        <v>330</v>
      </c>
      <c r="D333">
        <v>10690</v>
      </c>
      <c r="E333" t="s">
        <v>572</v>
      </c>
      <c r="G333" s="1">
        <v>9930</v>
      </c>
      <c r="H333">
        <v>2</v>
      </c>
      <c r="I333">
        <v>150</v>
      </c>
      <c r="J333">
        <v>1.53</v>
      </c>
      <c r="K333" s="1">
        <v>1269601</v>
      </c>
      <c r="L333" s="1">
        <v>12934</v>
      </c>
      <c r="M333" s="1">
        <v>10187</v>
      </c>
      <c r="N333" s="1">
        <v>10090</v>
      </c>
      <c r="O333" s="1">
        <v>10580</v>
      </c>
      <c r="P333" s="1">
        <v>9710</v>
      </c>
      <c r="Q333" t="s">
        <v>724</v>
      </c>
      <c r="R333" s="3">
        <v>0.4209606481481481</v>
      </c>
      <c r="S333" s="1">
        <v>9920</v>
      </c>
      <c r="T333">
        <v>10</v>
      </c>
      <c r="U333">
        <v>0.1</v>
      </c>
      <c r="V333" s="1">
        <v>665049</v>
      </c>
      <c r="W333">
        <v>190.9</v>
      </c>
    </row>
    <row r="334" spans="3:23" x14ac:dyDescent="0.3">
      <c r="C334">
        <v>331</v>
      </c>
      <c r="D334">
        <v>34120</v>
      </c>
      <c r="E334" t="s">
        <v>593</v>
      </c>
      <c r="G334" s="1">
        <v>18500</v>
      </c>
      <c r="H334">
        <v>2</v>
      </c>
      <c r="I334">
        <v>240</v>
      </c>
      <c r="J334">
        <v>1.31</v>
      </c>
      <c r="K334" s="1">
        <v>15161</v>
      </c>
      <c r="L334">
        <v>279</v>
      </c>
      <c r="M334" s="1">
        <v>18397</v>
      </c>
      <c r="N334" s="1">
        <v>18410</v>
      </c>
      <c r="O334" s="1">
        <v>18530</v>
      </c>
      <c r="P334" s="1">
        <v>18270</v>
      </c>
      <c r="Q334" t="s">
        <v>724</v>
      </c>
      <c r="R334" s="3">
        <v>0.42006944444444444</v>
      </c>
      <c r="S334" s="1">
        <v>18500</v>
      </c>
      <c r="V334" s="1">
        <v>13607</v>
      </c>
      <c r="W334">
        <v>111.42</v>
      </c>
    </row>
    <row r="335" spans="3:23" x14ac:dyDescent="0.3">
      <c r="C335">
        <v>332</v>
      </c>
      <c r="D335">
        <v>20000</v>
      </c>
      <c r="E335" t="s">
        <v>596</v>
      </c>
      <c r="G335" s="1">
        <v>15240</v>
      </c>
      <c r="H335">
        <v>2</v>
      </c>
      <c r="I335">
        <v>200</v>
      </c>
      <c r="J335">
        <v>1.33</v>
      </c>
      <c r="K335" s="1">
        <v>7483</v>
      </c>
      <c r="L335">
        <v>113</v>
      </c>
      <c r="M335" s="1">
        <v>15117</v>
      </c>
      <c r="N335" s="1">
        <v>15070</v>
      </c>
      <c r="O335" s="1">
        <v>15250</v>
      </c>
      <c r="P335" s="1">
        <v>15040</v>
      </c>
      <c r="Q335" t="s">
        <v>724</v>
      </c>
      <c r="R335" s="3">
        <v>0.41681712962962963</v>
      </c>
      <c r="S335" s="1">
        <v>15210</v>
      </c>
      <c r="T335">
        <v>30</v>
      </c>
      <c r="U335">
        <v>0.2</v>
      </c>
      <c r="V335" s="1">
        <v>24176</v>
      </c>
      <c r="W335">
        <v>30.95</v>
      </c>
    </row>
    <row r="336" spans="3:23" x14ac:dyDescent="0.3">
      <c r="C336">
        <v>333</v>
      </c>
      <c r="D336">
        <v>17860</v>
      </c>
      <c r="E336" t="s">
        <v>606</v>
      </c>
      <c r="G336" s="1">
        <v>19390</v>
      </c>
      <c r="H336">
        <v>2</v>
      </c>
      <c r="I336">
        <v>920</v>
      </c>
      <c r="J336">
        <v>4.9800000000000004</v>
      </c>
      <c r="K336" s="1">
        <v>65246</v>
      </c>
      <c r="L336" s="1">
        <v>1243</v>
      </c>
      <c r="M336" s="1">
        <v>19049</v>
      </c>
      <c r="N336" s="1">
        <v>18550</v>
      </c>
      <c r="O336" s="1">
        <v>19390</v>
      </c>
      <c r="P336" s="1">
        <v>18550</v>
      </c>
      <c r="Q336" t="s">
        <v>724</v>
      </c>
      <c r="R336" s="3">
        <v>0.42097222222222225</v>
      </c>
      <c r="S336" s="1">
        <v>19410</v>
      </c>
      <c r="T336">
        <v>-20</v>
      </c>
      <c r="U336">
        <v>-0.1</v>
      </c>
      <c r="V336" s="1">
        <v>68271</v>
      </c>
      <c r="W336">
        <v>95.56</v>
      </c>
    </row>
    <row r="337" spans="3:23" x14ac:dyDescent="0.3">
      <c r="C337">
        <v>334</v>
      </c>
      <c r="D337">
        <v>7690</v>
      </c>
      <c r="E337" t="s">
        <v>598</v>
      </c>
      <c r="G337" s="1">
        <v>36700</v>
      </c>
      <c r="H337">
        <v>2</v>
      </c>
      <c r="I337">
        <v>450</v>
      </c>
      <c r="J337">
        <v>1.24</v>
      </c>
      <c r="K337" s="1">
        <v>3451</v>
      </c>
      <c r="L337">
        <v>127</v>
      </c>
      <c r="M337" s="1">
        <v>36715</v>
      </c>
      <c r="N337" s="1">
        <v>36850</v>
      </c>
      <c r="O337" s="1">
        <v>37000</v>
      </c>
      <c r="P337" s="1">
        <v>36350</v>
      </c>
      <c r="Q337" t="s">
        <v>724</v>
      </c>
      <c r="R337" s="3">
        <v>0.41673611111111114</v>
      </c>
      <c r="S337" s="1">
        <v>36800</v>
      </c>
      <c r="T337">
        <v>-100</v>
      </c>
      <c r="U337">
        <v>-0.27</v>
      </c>
      <c r="V337" s="1">
        <v>7826</v>
      </c>
      <c r="W337">
        <v>44.09</v>
      </c>
    </row>
    <row r="338" spans="3:23" x14ac:dyDescent="0.3">
      <c r="C338">
        <v>335</v>
      </c>
      <c r="D338">
        <v>8060</v>
      </c>
      <c r="E338" t="s">
        <v>597</v>
      </c>
      <c r="G338" s="1">
        <v>10000</v>
      </c>
      <c r="H338">
        <v>2</v>
      </c>
      <c r="I338">
        <v>110</v>
      </c>
      <c r="J338">
        <v>1.1100000000000001</v>
      </c>
      <c r="K338" s="1">
        <v>9550</v>
      </c>
      <c r="L338">
        <v>95</v>
      </c>
      <c r="M338" s="1">
        <v>9967</v>
      </c>
      <c r="N338" s="1">
        <v>9970</v>
      </c>
      <c r="O338" s="1">
        <v>10040</v>
      </c>
      <c r="P338" s="1">
        <v>9880</v>
      </c>
      <c r="Q338" t="s">
        <v>724</v>
      </c>
      <c r="R338" s="3">
        <v>0.41745370370370366</v>
      </c>
      <c r="S338" s="1">
        <v>9970</v>
      </c>
      <c r="T338">
        <v>30</v>
      </c>
      <c r="U338">
        <v>0.3</v>
      </c>
      <c r="V338" s="1">
        <v>20798</v>
      </c>
      <c r="W338">
        <v>45.91</v>
      </c>
    </row>
    <row r="339" spans="3:23" x14ac:dyDescent="0.3">
      <c r="C339">
        <v>336</v>
      </c>
      <c r="D339">
        <v>306200</v>
      </c>
      <c r="E339" t="s">
        <v>601</v>
      </c>
      <c r="G339" s="1">
        <v>119400</v>
      </c>
      <c r="H339">
        <v>2</v>
      </c>
      <c r="I339" s="1">
        <v>2500</v>
      </c>
      <c r="J339">
        <v>2.14</v>
      </c>
      <c r="K339" s="1">
        <v>6419</v>
      </c>
      <c r="L339">
        <v>759</v>
      </c>
      <c r="M339" s="1">
        <v>118259</v>
      </c>
      <c r="N339" s="1">
        <v>119000</v>
      </c>
      <c r="O339" s="1">
        <v>119700</v>
      </c>
      <c r="P339" s="1">
        <v>117200</v>
      </c>
      <c r="Q339" t="s">
        <v>724</v>
      </c>
      <c r="R339" s="3">
        <v>0.41901620370370374</v>
      </c>
      <c r="S339" s="1">
        <v>119000</v>
      </c>
      <c r="T339">
        <v>400</v>
      </c>
      <c r="U339">
        <v>0.34</v>
      </c>
      <c r="V339" s="1">
        <v>7965</v>
      </c>
      <c r="W339">
        <v>80.59</v>
      </c>
    </row>
    <row r="340" spans="3:23" x14ac:dyDescent="0.3">
      <c r="C340">
        <v>337</v>
      </c>
      <c r="D340">
        <v>84690</v>
      </c>
      <c r="E340" t="s">
        <v>599</v>
      </c>
      <c r="G340" s="1">
        <v>9320</v>
      </c>
      <c r="H340">
        <v>2</v>
      </c>
      <c r="I340">
        <v>70</v>
      </c>
      <c r="J340">
        <v>0.76</v>
      </c>
      <c r="K340" s="1">
        <v>22370</v>
      </c>
      <c r="L340">
        <v>208</v>
      </c>
      <c r="M340" s="1">
        <v>9289</v>
      </c>
      <c r="N340" s="1">
        <v>9500</v>
      </c>
      <c r="O340" s="1">
        <v>9500</v>
      </c>
      <c r="P340" s="1">
        <v>9250</v>
      </c>
      <c r="Q340" t="s">
        <v>724</v>
      </c>
      <c r="R340" s="3">
        <v>0.42105324074074074</v>
      </c>
      <c r="S340" s="1">
        <v>9320</v>
      </c>
      <c r="V340" s="1">
        <v>18935</v>
      </c>
      <c r="W340">
        <v>118.14</v>
      </c>
    </row>
    <row r="341" spans="3:23" x14ac:dyDescent="0.3">
      <c r="C341">
        <v>338</v>
      </c>
      <c r="D341">
        <v>18250</v>
      </c>
      <c r="E341" t="s">
        <v>602</v>
      </c>
      <c r="G341" s="1">
        <v>12720</v>
      </c>
      <c r="H341">
        <v>2</v>
      </c>
      <c r="I341">
        <v>120</v>
      </c>
      <c r="J341">
        <v>0.95</v>
      </c>
      <c r="K341" s="1">
        <v>8114</v>
      </c>
      <c r="L341">
        <v>103</v>
      </c>
      <c r="M341" s="1">
        <v>12689</v>
      </c>
      <c r="N341" s="1">
        <v>12990</v>
      </c>
      <c r="O341" s="1">
        <v>12990</v>
      </c>
      <c r="P341" s="1">
        <v>12550</v>
      </c>
      <c r="Q341" t="s">
        <v>724</v>
      </c>
      <c r="R341" s="3">
        <v>0.42098379629629629</v>
      </c>
      <c r="S341" s="1">
        <v>12840</v>
      </c>
      <c r="T341">
        <v>-120</v>
      </c>
      <c r="U341">
        <v>-0.93</v>
      </c>
      <c r="V341" s="1">
        <v>10255</v>
      </c>
      <c r="W341">
        <v>79.12</v>
      </c>
    </row>
    <row r="342" spans="3:23" x14ac:dyDescent="0.3">
      <c r="C342">
        <v>339</v>
      </c>
      <c r="D342">
        <v>1820</v>
      </c>
      <c r="E342" t="s">
        <v>607</v>
      </c>
      <c r="G342" s="1">
        <v>31550</v>
      </c>
      <c r="H342">
        <v>2</v>
      </c>
      <c r="I342" s="1">
        <v>1150</v>
      </c>
      <c r="J342">
        <v>3.78</v>
      </c>
      <c r="K342" s="1">
        <v>96924</v>
      </c>
      <c r="L342" s="1">
        <v>3082</v>
      </c>
      <c r="M342" s="1">
        <v>31801</v>
      </c>
      <c r="N342" s="1">
        <v>30600</v>
      </c>
      <c r="O342" s="1">
        <v>32750</v>
      </c>
      <c r="P342" s="1">
        <v>30600</v>
      </c>
      <c r="Q342" t="s">
        <v>724</v>
      </c>
      <c r="R342" s="3">
        <v>0.42068287037037039</v>
      </c>
      <c r="S342" s="1">
        <v>31550</v>
      </c>
      <c r="V342" s="1">
        <v>67672</v>
      </c>
      <c r="W342">
        <v>143.22</v>
      </c>
    </row>
    <row r="343" spans="3:23" x14ac:dyDescent="0.3">
      <c r="C343">
        <v>340</v>
      </c>
      <c r="D343">
        <v>138490</v>
      </c>
      <c r="E343" t="s">
        <v>620</v>
      </c>
      <c r="G343" s="1">
        <v>8630</v>
      </c>
      <c r="H343">
        <v>2</v>
      </c>
      <c r="I343">
        <v>360</v>
      </c>
      <c r="J343">
        <v>4.3499999999999996</v>
      </c>
      <c r="K343" s="1">
        <v>28895</v>
      </c>
      <c r="L343">
        <v>245</v>
      </c>
      <c r="M343" s="1">
        <v>8490</v>
      </c>
      <c r="N343" s="1">
        <v>8530</v>
      </c>
      <c r="O343" s="1">
        <v>8640</v>
      </c>
      <c r="P343" s="1">
        <v>8270</v>
      </c>
      <c r="Q343" t="s">
        <v>724</v>
      </c>
      <c r="R343" s="3">
        <v>0.42085648148148147</v>
      </c>
      <c r="S343" s="1">
        <v>8610</v>
      </c>
      <c r="T343">
        <v>20</v>
      </c>
      <c r="U343">
        <v>0.23</v>
      </c>
      <c r="V343" s="1">
        <v>59585</v>
      </c>
      <c r="W343">
        <v>48.49</v>
      </c>
    </row>
    <row r="344" spans="3:23" x14ac:dyDescent="0.3">
      <c r="C344">
        <v>341</v>
      </c>
      <c r="D344">
        <v>3960</v>
      </c>
      <c r="E344" t="s">
        <v>610</v>
      </c>
      <c r="G344" s="1">
        <v>35400</v>
      </c>
      <c r="H344">
        <v>2</v>
      </c>
      <c r="I344">
        <v>50</v>
      </c>
      <c r="J344">
        <v>0.14000000000000001</v>
      </c>
      <c r="K344" s="1">
        <v>1503</v>
      </c>
      <c r="L344">
        <v>53</v>
      </c>
      <c r="M344" s="1">
        <v>35288</v>
      </c>
      <c r="N344" s="1">
        <v>35300</v>
      </c>
      <c r="O344" s="1">
        <v>35500</v>
      </c>
      <c r="P344" s="1">
        <v>35100</v>
      </c>
      <c r="Q344" t="s">
        <v>724</v>
      </c>
      <c r="R344" s="3">
        <v>0.41922453703703705</v>
      </c>
      <c r="S344" s="1">
        <v>35350</v>
      </c>
      <c r="T344">
        <v>50</v>
      </c>
      <c r="U344">
        <v>0.14000000000000001</v>
      </c>
      <c r="V344" s="1">
        <v>2175</v>
      </c>
      <c r="W344">
        <v>69.099999999999994</v>
      </c>
    </row>
    <row r="345" spans="3:23" x14ac:dyDescent="0.3">
      <c r="C345">
        <v>342</v>
      </c>
      <c r="D345">
        <v>194370</v>
      </c>
      <c r="E345" t="s">
        <v>611</v>
      </c>
      <c r="G345" s="1">
        <v>11180</v>
      </c>
      <c r="H345">
        <v>2</v>
      </c>
      <c r="I345">
        <v>180</v>
      </c>
      <c r="J345">
        <v>1.64</v>
      </c>
      <c r="K345" s="1">
        <v>17687</v>
      </c>
      <c r="L345">
        <v>197</v>
      </c>
      <c r="M345" s="1">
        <v>11110</v>
      </c>
      <c r="N345" s="1">
        <v>11000</v>
      </c>
      <c r="O345" s="1">
        <v>11220</v>
      </c>
      <c r="P345" s="1">
        <v>10900</v>
      </c>
      <c r="Q345" t="s">
        <v>724</v>
      </c>
      <c r="R345" s="3">
        <v>0.42054398148148148</v>
      </c>
      <c r="S345" s="1">
        <v>11100</v>
      </c>
      <c r="T345">
        <v>80</v>
      </c>
      <c r="U345">
        <v>0.72</v>
      </c>
      <c r="V345" s="1">
        <v>42617</v>
      </c>
      <c r="W345">
        <v>41.5</v>
      </c>
    </row>
    <row r="346" spans="3:23" x14ac:dyDescent="0.3">
      <c r="C346">
        <v>343</v>
      </c>
      <c r="D346">
        <v>24720</v>
      </c>
      <c r="E346" t="s">
        <v>614</v>
      </c>
      <c r="G346" s="1">
        <v>9430</v>
      </c>
      <c r="H346">
        <v>2</v>
      </c>
      <c r="I346">
        <v>230</v>
      </c>
      <c r="J346">
        <v>2.5</v>
      </c>
      <c r="K346" s="1">
        <v>10531</v>
      </c>
      <c r="L346">
        <v>98</v>
      </c>
      <c r="M346" s="1">
        <v>9342</v>
      </c>
      <c r="N346" s="1">
        <v>9500</v>
      </c>
      <c r="O346" s="1">
        <v>9500</v>
      </c>
      <c r="P346" s="1">
        <v>9240</v>
      </c>
      <c r="Q346" t="s">
        <v>724</v>
      </c>
      <c r="R346" s="3">
        <v>0.4209606481481481</v>
      </c>
      <c r="S346" s="1">
        <v>9400</v>
      </c>
      <c r="T346">
        <v>30</v>
      </c>
      <c r="U346">
        <v>0.32</v>
      </c>
      <c r="V346" s="1">
        <v>35486</v>
      </c>
      <c r="W346">
        <v>29.67</v>
      </c>
    </row>
    <row r="347" spans="3:23" x14ac:dyDescent="0.3">
      <c r="C347">
        <v>344</v>
      </c>
      <c r="D347">
        <v>286940</v>
      </c>
      <c r="E347" t="s">
        <v>605</v>
      </c>
      <c r="G347" s="1">
        <v>21300</v>
      </c>
      <c r="H347">
        <v>5</v>
      </c>
      <c r="I347">
        <v>200</v>
      </c>
      <c r="J347">
        <v>-0.93</v>
      </c>
      <c r="K347" s="1">
        <v>7931</v>
      </c>
      <c r="L347">
        <v>171</v>
      </c>
      <c r="M347" s="1">
        <v>21556</v>
      </c>
      <c r="N347" s="1">
        <v>21550</v>
      </c>
      <c r="O347" s="1">
        <v>22000</v>
      </c>
      <c r="P347" s="1">
        <v>21150</v>
      </c>
      <c r="Q347" t="s">
        <v>724</v>
      </c>
      <c r="R347" s="3">
        <v>0.41968749999999999</v>
      </c>
      <c r="S347" s="1">
        <v>21350</v>
      </c>
      <c r="T347">
        <v>-50</v>
      </c>
      <c r="U347">
        <v>-0.23</v>
      </c>
      <c r="V347" s="1">
        <v>12362</v>
      </c>
      <c r="W347">
        <v>64.150000000000006</v>
      </c>
    </row>
    <row r="348" spans="3:23" x14ac:dyDescent="0.3">
      <c r="C348">
        <v>345</v>
      </c>
      <c r="D348">
        <v>17390</v>
      </c>
      <c r="E348" t="s">
        <v>613</v>
      </c>
      <c r="G348" s="1">
        <v>63800</v>
      </c>
      <c r="H348">
        <v>2</v>
      </c>
      <c r="I348" s="1">
        <v>1400</v>
      </c>
      <c r="J348">
        <v>2.2400000000000002</v>
      </c>
      <c r="K348" s="1">
        <v>10333</v>
      </c>
      <c r="L348">
        <v>660</v>
      </c>
      <c r="M348" s="1">
        <v>63837</v>
      </c>
      <c r="N348" s="1">
        <v>63400</v>
      </c>
      <c r="O348" s="1">
        <v>66400</v>
      </c>
      <c r="P348" s="1">
        <v>62700</v>
      </c>
      <c r="Q348" t="s">
        <v>724</v>
      </c>
      <c r="R348" s="3">
        <v>0.42030092592592588</v>
      </c>
      <c r="S348" s="1">
        <v>63900</v>
      </c>
      <c r="T348">
        <v>-100</v>
      </c>
      <c r="U348">
        <v>-0.16</v>
      </c>
      <c r="V348" s="1">
        <v>8091</v>
      </c>
      <c r="W348">
        <v>127.7</v>
      </c>
    </row>
    <row r="349" spans="3:23" x14ac:dyDescent="0.3">
      <c r="C349">
        <v>346</v>
      </c>
      <c r="D349">
        <v>92790</v>
      </c>
      <c r="E349" t="s">
        <v>619</v>
      </c>
      <c r="G349" s="1">
        <v>11830</v>
      </c>
      <c r="H349">
        <v>5</v>
      </c>
      <c r="I349">
        <v>460</v>
      </c>
      <c r="J349">
        <v>-3.74</v>
      </c>
      <c r="K349" s="1">
        <v>1105796</v>
      </c>
      <c r="L349" s="1">
        <v>13393</v>
      </c>
      <c r="M349" s="1">
        <v>12111</v>
      </c>
      <c r="N349" s="1">
        <v>12380</v>
      </c>
      <c r="O349" s="1">
        <v>12600</v>
      </c>
      <c r="P349" s="1">
        <v>11740</v>
      </c>
      <c r="Q349" t="s">
        <v>724</v>
      </c>
      <c r="R349" s="3">
        <v>0.42101851851851851</v>
      </c>
      <c r="S349" s="1">
        <v>11820</v>
      </c>
      <c r="T349">
        <v>10</v>
      </c>
      <c r="U349">
        <v>0.08</v>
      </c>
      <c r="V349" s="1">
        <v>552849</v>
      </c>
      <c r="W349">
        <v>200.01</v>
      </c>
    </row>
    <row r="350" spans="3:23" x14ac:dyDescent="0.3">
      <c r="C350">
        <v>347</v>
      </c>
      <c r="D350">
        <v>92230</v>
      </c>
      <c r="E350" t="s">
        <v>627</v>
      </c>
      <c r="G350" s="1">
        <v>72700</v>
      </c>
      <c r="H350">
        <v>2</v>
      </c>
      <c r="I350" s="1">
        <v>1200</v>
      </c>
      <c r="J350">
        <v>1.68</v>
      </c>
      <c r="K350">
        <v>414</v>
      </c>
      <c r="L350">
        <v>30</v>
      </c>
      <c r="M350" s="1">
        <v>71609</v>
      </c>
      <c r="N350" s="1">
        <v>71900</v>
      </c>
      <c r="O350" s="1">
        <v>72700</v>
      </c>
      <c r="P350" s="1">
        <v>70900</v>
      </c>
      <c r="Q350" t="s">
        <v>724</v>
      </c>
      <c r="R350" s="3">
        <v>0.41604166666666664</v>
      </c>
      <c r="S350" s="1">
        <v>72000</v>
      </c>
      <c r="T350">
        <v>700</v>
      </c>
      <c r="U350">
        <v>0.97</v>
      </c>
      <c r="V350" s="1">
        <v>1605</v>
      </c>
      <c r="W350">
        <v>25.79</v>
      </c>
    </row>
    <row r="351" spans="3:23" x14ac:dyDescent="0.3">
      <c r="C351">
        <v>348</v>
      </c>
      <c r="D351">
        <v>5090</v>
      </c>
      <c r="E351" t="s">
        <v>635</v>
      </c>
      <c r="G351" s="1">
        <v>21000</v>
      </c>
      <c r="H351">
        <v>2</v>
      </c>
      <c r="I351">
        <v>400</v>
      </c>
      <c r="J351">
        <v>1.94</v>
      </c>
      <c r="K351" s="1">
        <v>3435</v>
      </c>
      <c r="L351">
        <v>72</v>
      </c>
      <c r="M351" s="1">
        <v>20856</v>
      </c>
      <c r="N351" s="1">
        <v>20650</v>
      </c>
      <c r="O351" s="1">
        <v>21050</v>
      </c>
      <c r="P351" s="1">
        <v>20650</v>
      </c>
      <c r="Q351" t="s">
        <v>724</v>
      </c>
      <c r="R351" s="3">
        <v>0.41893518518518519</v>
      </c>
      <c r="S351" s="1">
        <v>21000</v>
      </c>
      <c r="V351" s="1">
        <v>6216</v>
      </c>
      <c r="W351">
        <v>55.26</v>
      </c>
    </row>
    <row r="352" spans="3:23" x14ac:dyDescent="0.3">
      <c r="C352">
        <v>349</v>
      </c>
      <c r="D352">
        <v>2810</v>
      </c>
      <c r="E352" t="s">
        <v>628</v>
      </c>
      <c r="G352" s="1">
        <v>16370</v>
      </c>
      <c r="H352">
        <v>5</v>
      </c>
      <c r="I352">
        <v>360</v>
      </c>
      <c r="J352">
        <v>-2.15</v>
      </c>
      <c r="K352" s="1">
        <v>54319</v>
      </c>
      <c r="L352">
        <v>891</v>
      </c>
      <c r="M352" s="1">
        <v>16396</v>
      </c>
      <c r="N352" s="1">
        <v>16630</v>
      </c>
      <c r="O352" s="1">
        <v>16630</v>
      </c>
      <c r="P352" s="1">
        <v>16270</v>
      </c>
      <c r="Q352" t="s">
        <v>724</v>
      </c>
      <c r="R352" s="3">
        <v>0.42026620370370371</v>
      </c>
      <c r="S352" s="1">
        <v>16380</v>
      </c>
      <c r="T352">
        <v>-10</v>
      </c>
      <c r="U352">
        <v>-0.06</v>
      </c>
      <c r="V352" s="1">
        <v>58410</v>
      </c>
      <c r="W352">
        <v>92.99</v>
      </c>
    </row>
    <row r="353" spans="3:23" x14ac:dyDescent="0.3">
      <c r="C353">
        <v>350</v>
      </c>
      <c r="D353">
        <v>3920</v>
      </c>
      <c r="E353" t="s">
        <v>629</v>
      </c>
      <c r="G353" s="1">
        <v>50200</v>
      </c>
      <c r="H353">
        <v>5</v>
      </c>
      <c r="I353">
        <v>300</v>
      </c>
      <c r="J353">
        <v>-0.59</v>
      </c>
      <c r="K353">
        <v>909</v>
      </c>
      <c r="L353">
        <v>46</v>
      </c>
      <c r="M353" s="1">
        <v>50301</v>
      </c>
      <c r="N353" s="1">
        <v>50500</v>
      </c>
      <c r="O353" s="1">
        <v>50600</v>
      </c>
      <c r="P353" s="1">
        <v>50100</v>
      </c>
      <c r="Q353" t="s">
        <v>724</v>
      </c>
      <c r="R353" s="3">
        <v>0.41539351851851852</v>
      </c>
      <c r="S353" s="1">
        <v>50300</v>
      </c>
      <c r="T353">
        <v>-100</v>
      </c>
      <c r="U353">
        <v>-0.2</v>
      </c>
      <c r="V353" s="1">
        <v>2073</v>
      </c>
      <c r="W353">
        <v>43.84</v>
      </c>
    </row>
    <row r="354" spans="3:23" x14ac:dyDescent="0.3">
      <c r="C354">
        <v>351</v>
      </c>
      <c r="D354">
        <v>33270</v>
      </c>
      <c r="E354" t="s">
        <v>637</v>
      </c>
      <c r="G354" s="1">
        <v>18410</v>
      </c>
      <c r="H354">
        <v>2</v>
      </c>
      <c r="I354">
        <v>260</v>
      </c>
      <c r="J354">
        <v>1.43</v>
      </c>
      <c r="K354" s="1">
        <v>7617</v>
      </c>
      <c r="L354">
        <v>139</v>
      </c>
      <c r="M354" s="1">
        <v>18293</v>
      </c>
      <c r="N354" s="1">
        <v>18160</v>
      </c>
      <c r="O354" s="1">
        <v>18420</v>
      </c>
      <c r="P354" s="1">
        <v>18160</v>
      </c>
      <c r="Q354" t="s">
        <v>724</v>
      </c>
      <c r="R354" s="3">
        <v>0.41989583333333336</v>
      </c>
      <c r="S354" s="1">
        <v>18410</v>
      </c>
      <c r="V354" s="1">
        <v>13911</v>
      </c>
      <c r="W354">
        <v>54.75</v>
      </c>
    </row>
    <row r="355" spans="3:23" x14ac:dyDescent="0.3">
      <c r="C355">
        <v>352</v>
      </c>
      <c r="D355">
        <v>2320</v>
      </c>
      <c r="E355" t="s">
        <v>631</v>
      </c>
      <c r="G355" s="1">
        <v>19590</v>
      </c>
      <c r="H355">
        <v>2</v>
      </c>
      <c r="I355">
        <v>120</v>
      </c>
      <c r="J355">
        <v>0.62</v>
      </c>
      <c r="K355" s="1">
        <v>2428</v>
      </c>
      <c r="L355">
        <v>48</v>
      </c>
      <c r="M355" s="1">
        <v>19612</v>
      </c>
      <c r="N355" s="1">
        <v>19400</v>
      </c>
      <c r="O355" s="1">
        <v>19880</v>
      </c>
      <c r="P355" s="1">
        <v>19400</v>
      </c>
      <c r="Q355" t="s">
        <v>724</v>
      </c>
      <c r="R355" s="3">
        <v>0.42081018518518515</v>
      </c>
      <c r="S355" s="1">
        <v>19590</v>
      </c>
      <c r="V355" s="1">
        <v>11256</v>
      </c>
      <c r="W355">
        <v>21.57</v>
      </c>
    </row>
    <row r="356" spans="3:23" x14ac:dyDescent="0.3">
      <c r="C356">
        <v>353</v>
      </c>
      <c r="D356">
        <v>3200</v>
      </c>
      <c r="E356" t="s">
        <v>630</v>
      </c>
      <c r="G356" s="1">
        <v>12810</v>
      </c>
      <c r="H356">
        <v>5</v>
      </c>
      <c r="I356">
        <v>170</v>
      </c>
      <c r="J356">
        <v>-1.31</v>
      </c>
      <c r="K356" s="1">
        <v>12300</v>
      </c>
      <c r="L356">
        <v>161</v>
      </c>
      <c r="M356" s="1">
        <v>13099</v>
      </c>
      <c r="N356" s="1">
        <v>13090</v>
      </c>
      <c r="O356" s="1">
        <v>13270</v>
      </c>
      <c r="P356" s="1">
        <v>12810</v>
      </c>
      <c r="Q356" t="s">
        <v>724</v>
      </c>
      <c r="R356" s="3">
        <v>0.42089120370370375</v>
      </c>
      <c r="S356" s="1">
        <v>12820</v>
      </c>
      <c r="T356">
        <v>-10</v>
      </c>
      <c r="U356">
        <v>-0.08</v>
      </c>
      <c r="V356" s="1">
        <v>23506</v>
      </c>
      <c r="W356">
        <v>52.32</v>
      </c>
    </row>
    <row r="357" spans="3:23" x14ac:dyDescent="0.3">
      <c r="C357">
        <v>354</v>
      </c>
      <c r="D357">
        <v>9680</v>
      </c>
      <c r="E357" t="s">
        <v>644</v>
      </c>
      <c r="G357" s="1">
        <v>10330</v>
      </c>
      <c r="H357">
        <v>2</v>
      </c>
      <c r="I357">
        <v>100</v>
      </c>
      <c r="J357">
        <v>0.98</v>
      </c>
      <c r="K357" s="1">
        <v>1963</v>
      </c>
      <c r="L357">
        <v>20</v>
      </c>
      <c r="M357" s="1">
        <v>10278</v>
      </c>
      <c r="N357" s="1">
        <v>10270</v>
      </c>
      <c r="O357" s="1">
        <v>10360</v>
      </c>
      <c r="P357" s="1">
        <v>10150</v>
      </c>
      <c r="Q357" t="s">
        <v>724</v>
      </c>
      <c r="R357" s="3">
        <v>0.4208796296296296</v>
      </c>
      <c r="S357" s="1">
        <v>10330</v>
      </c>
      <c r="V357" s="1">
        <v>11882</v>
      </c>
      <c r="W357">
        <v>16.52</v>
      </c>
    </row>
    <row r="358" spans="3:23" x14ac:dyDescent="0.3">
      <c r="C358">
        <v>355</v>
      </c>
      <c r="D358">
        <v>490</v>
      </c>
      <c r="E358" t="s">
        <v>640</v>
      </c>
      <c r="G358" s="1">
        <v>9940</v>
      </c>
      <c r="H358">
        <v>5</v>
      </c>
      <c r="I358">
        <v>120</v>
      </c>
      <c r="J358">
        <v>-1.19</v>
      </c>
      <c r="K358" s="1">
        <v>153405</v>
      </c>
      <c r="L358" s="1">
        <v>1548</v>
      </c>
      <c r="M358" s="1">
        <v>10090</v>
      </c>
      <c r="N358" s="1">
        <v>10180</v>
      </c>
      <c r="O358" s="1">
        <v>10230</v>
      </c>
      <c r="P358" s="1">
        <v>9840</v>
      </c>
      <c r="Q358" t="s">
        <v>724</v>
      </c>
      <c r="R358" s="3">
        <v>0.42091435185185189</v>
      </c>
      <c r="S358" s="1">
        <v>9950</v>
      </c>
      <c r="T358">
        <v>-10</v>
      </c>
      <c r="U358">
        <v>-0.1</v>
      </c>
      <c r="V358" s="1">
        <v>211075</v>
      </c>
      <c r="W358">
        <v>72.67</v>
      </c>
    </row>
    <row r="359" spans="3:23" x14ac:dyDescent="0.3">
      <c r="C359">
        <v>356</v>
      </c>
      <c r="D359">
        <v>11760</v>
      </c>
      <c r="E359" t="s">
        <v>648</v>
      </c>
      <c r="G359" s="1">
        <v>21500</v>
      </c>
      <c r="H359">
        <v>2</v>
      </c>
      <c r="I359">
        <v>50</v>
      </c>
      <c r="J359">
        <v>0.23</v>
      </c>
      <c r="K359" s="1">
        <v>9732</v>
      </c>
      <c r="L359">
        <v>210</v>
      </c>
      <c r="M359" s="1">
        <v>21534</v>
      </c>
      <c r="N359" s="1">
        <v>21650</v>
      </c>
      <c r="O359" s="1">
        <v>21800</v>
      </c>
      <c r="P359" s="1">
        <v>21250</v>
      </c>
      <c r="Q359" t="s">
        <v>724</v>
      </c>
      <c r="R359" s="3">
        <v>0.42016203703703708</v>
      </c>
      <c r="S359" s="1">
        <v>21550</v>
      </c>
      <c r="T359">
        <v>-50</v>
      </c>
      <c r="U359">
        <v>-0.23</v>
      </c>
      <c r="V359" s="1">
        <v>11623</v>
      </c>
      <c r="W359">
        <v>83.73</v>
      </c>
    </row>
    <row r="360" spans="3:23" x14ac:dyDescent="0.3">
      <c r="C360">
        <v>357</v>
      </c>
      <c r="D360">
        <v>7160</v>
      </c>
      <c r="E360" t="s">
        <v>661</v>
      </c>
      <c r="G360" s="1">
        <v>56500</v>
      </c>
      <c r="H360">
        <v>2</v>
      </c>
      <c r="I360" s="1">
        <v>1200</v>
      </c>
      <c r="J360">
        <v>2.17</v>
      </c>
      <c r="K360" s="1">
        <v>2428</v>
      </c>
      <c r="L360">
        <v>136</v>
      </c>
      <c r="M360" s="1">
        <v>56097</v>
      </c>
      <c r="N360" s="1">
        <v>55800</v>
      </c>
      <c r="O360" s="1">
        <v>56900</v>
      </c>
      <c r="P360" s="1">
        <v>54500</v>
      </c>
      <c r="Q360" t="s">
        <v>724</v>
      </c>
      <c r="R360" s="3">
        <v>0.41804398148148153</v>
      </c>
      <c r="S360" s="1">
        <v>56400</v>
      </c>
      <c r="T360">
        <v>100</v>
      </c>
      <c r="U360">
        <v>0.18</v>
      </c>
      <c r="V360" s="1">
        <v>4870</v>
      </c>
      <c r="W360">
        <v>49.85</v>
      </c>
    </row>
    <row r="361" spans="3:23" x14ac:dyDescent="0.3">
      <c r="C361">
        <v>358</v>
      </c>
      <c r="D361">
        <v>3120</v>
      </c>
      <c r="E361" t="s">
        <v>642</v>
      </c>
      <c r="G361" s="1">
        <v>21200</v>
      </c>
      <c r="H361">
        <v>2</v>
      </c>
      <c r="I361">
        <v>300</v>
      </c>
      <c r="J361">
        <v>1.44</v>
      </c>
      <c r="K361" s="1">
        <v>2520</v>
      </c>
      <c r="L361">
        <v>53</v>
      </c>
      <c r="M361" s="1">
        <v>21180</v>
      </c>
      <c r="N361" s="1">
        <v>21950</v>
      </c>
      <c r="O361" s="1">
        <v>21950</v>
      </c>
      <c r="P361" s="1">
        <v>20950</v>
      </c>
      <c r="Q361" t="s">
        <v>724</v>
      </c>
      <c r="R361" s="3">
        <v>0.4175578703703704</v>
      </c>
      <c r="S361" s="1">
        <v>21100</v>
      </c>
      <c r="T361">
        <v>100</v>
      </c>
      <c r="U361">
        <v>0.47</v>
      </c>
      <c r="V361" s="1">
        <v>1648</v>
      </c>
      <c r="W361">
        <v>152.91</v>
      </c>
    </row>
    <row r="362" spans="3:23" x14ac:dyDescent="0.3">
      <c r="C362">
        <v>359</v>
      </c>
      <c r="D362">
        <v>13890</v>
      </c>
      <c r="E362" t="s">
        <v>665</v>
      </c>
      <c r="G362" s="1">
        <v>12350</v>
      </c>
      <c r="H362">
        <v>2</v>
      </c>
      <c r="I362">
        <v>300</v>
      </c>
      <c r="J362">
        <v>2.4900000000000002</v>
      </c>
      <c r="K362" s="1">
        <v>9464</v>
      </c>
      <c r="L362">
        <v>117</v>
      </c>
      <c r="M362" s="1">
        <v>12321</v>
      </c>
      <c r="N362" s="1">
        <v>12060</v>
      </c>
      <c r="O362" s="1">
        <v>12500</v>
      </c>
      <c r="P362" s="1">
        <v>12060</v>
      </c>
      <c r="Q362" t="s">
        <v>724</v>
      </c>
      <c r="R362" s="3">
        <v>0.41804398148148153</v>
      </c>
      <c r="S362" s="1">
        <v>12400</v>
      </c>
      <c r="T362">
        <v>-50</v>
      </c>
      <c r="U362">
        <v>-0.4</v>
      </c>
      <c r="V362" s="1">
        <v>11098</v>
      </c>
      <c r="W362">
        <v>85.27</v>
      </c>
    </row>
    <row r="363" spans="3:23" x14ac:dyDescent="0.3">
      <c r="C363">
        <v>360</v>
      </c>
      <c r="D363">
        <v>320</v>
      </c>
      <c r="E363" t="s">
        <v>666</v>
      </c>
      <c r="G363" s="1">
        <v>20000</v>
      </c>
      <c r="H363">
        <v>5</v>
      </c>
      <c r="I363">
        <v>50</v>
      </c>
      <c r="J363">
        <v>-0.25</v>
      </c>
      <c r="K363" s="1">
        <v>3916</v>
      </c>
      <c r="L363">
        <v>79</v>
      </c>
      <c r="M363" s="1">
        <v>20084</v>
      </c>
      <c r="N363" s="1">
        <v>20450</v>
      </c>
      <c r="O363" s="1">
        <v>20450</v>
      </c>
      <c r="P363" s="1">
        <v>19950</v>
      </c>
      <c r="Q363" t="s">
        <v>724</v>
      </c>
      <c r="R363" s="3">
        <v>0.41886574074074073</v>
      </c>
      <c r="S363" s="1">
        <v>20000</v>
      </c>
      <c r="V363" s="1">
        <v>7277</v>
      </c>
      <c r="W363">
        <v>53.81</v>
      </c>
    </row>
    <row r="364" spans="3:23" x14ac:dyDescent="0.3">
      <c r="C364">
        <v>361</v>
      </c>
      <c r="D364">
        <v>1460</v>
      </c>
      <c r="E364" t="s">
        <v>669</v>
      </c>
      <c r="G364" s="1">
        <v>42000</v>
      </c>
      <c r="H364">
        <v>5</v>
      </c>
      <c r="I364">
        <v>250</v>
      </c>
      <c r="J364">
        <v>-0.59</v>
      </c>
      <c r="K364">
        <v>309</v>
      </c>
      <c r="L364">
        <v>13</v>
      </c>
      <c r="M364" s="1">
        <v>42245</v>
      </c>
      <c r="N364" s="1">
        <v>42250</v>
      </c>
      <c r="O364" s="1">
        <v>43300</v>
      </c>
      <c r="P364" s="1">
        <v>41950</v>
      </c>
      <c r="Q364" t="s">
        <v>724</v>
      </c>
      <c r="R364" s="3">
        <v>0.42026620370370371</v>
      </c>
      <c r="S364" s="1">
        <v>41900</v>
      </c>
      <c r="T364">
        <v>100</v>
      </c>
      <c r="U364">
        <v>0.24</v>
      </c>
      <c r="V364">
        <v>676</v>
      </c>
      <c r="W364">
        <v>45.71</v>
      </c>
    </row>
    <row r="365" spans="3:23" x14ac:dyDescent="0.3">
      <c r="C365">
        <v>362</v>
      </c>
      <c r="D365">
        <v>4360</v>
      </c>
      <c r="E365" t="s">
        <v>671</v>
      </c>
      <c r="G365" s="1">
        <v>13650</v>
      </c>
      <c r="H365">
        <v>5</v>
      </c>
      <c r="I365">
        <v>20</v>
      </c>
      <c r="J365">
        <v>-0.15</v>
      </c>
      <c r="K365" s="1">
        <v>10941</v>
      </c>
      <c r="L365">
        <v>150</v>
      </c>
      <c r="M365" s="1">
        <v>13683</v>
      </c>
      <c r="N365" s="1">
        <v>13660</v>
      </c>
      <c r="O365" s="1">
        <v>13800</v>
      </c>
      <c r="P365" s="1">
        <v>13640</v>
      </c>
      <c r="Q365" t="s">
        <v>724</v>
      </c>
      <c r="R365" s="3">
        <v>0.41670138888888886</v>
      </c>
      <c r="S365" s="1">
        <v>13660</v>
      </c>
      <c r="T365">
        <v>-10</v>
      </c>
      <c r="U365">
        <v>-7.0000000000000007E-2</v>
      </c>
      <c r="V365" s="1">
        <v>10949</v>
      </c>
      <c r="W365">
        <v>99.92</v>
      </c>
    </row>
    <row r="366" spans="3:23" x14ac:dyDescent="0.3">
      <c r="C366">
        <v>363</v>
      </c>
      <c r="D366">
        <v>78520</v>
      </c>
      <c r="E366" t="s">
        <v>682</v>
      </c>
      <c r="G366" s="1">
        <v>10000</v>
      </c>
      <c r="H366">
        <v>2</v>
      </c>
      <c r="I366">
        <v>560</v>
      </c>
      <c r="J366">
        <v>5.93</v>
      </c>
      <c r="K366" s="1">
        <v>86721</v>
      </c>
      <c r="L366">
        <v>854</v>
      </c>
      <c r="M366" s="1">
        <v>9843</v>
      </c>
      <c r="N366" s="1">
        <v>9440</v>
      </c>
      <c r="O366" s="1">
        <v>10090</v>
      </c>
      <c r="P366" s="1">
        <v>9430</v>
      </c>
      <c r="Q366" t="s">
        <v>724</v>
      </c>
      <c r="R366" s="3">
        <v>0.42099537037037038</v>
      </c>
      <c r="S366" s="1">
        <v>9990</v>
      </c>
      <c r="T366">
        <v>10</v>
      </c>
      <c r="U366">
        <v>0.1</v>
      </c>
      <c r="V366" s="1">
        <v>137192</v>
      </c>
      <c r="W366">
        <v>63.21</v>
      </c>
    </row>
    <row r="367" spans="3:23" x14ac:dyDescent="0.3">
      <c r="C367">
        <v>364</v>
      </c>
      <c r="D367">
        <v>108670</v>
      </c>
      <c r="E367" t="s">
        <v>677</v>
      </c>
      <c r="G367" s="1">
        <v>28750</v>
      </c>
      <c r="H367">
        <v>2</v>
      </c>
      <c r="I367">
        <v>400</v>
      </c>
      <c r="J367">
        <v>1.41</v>
      </c>
      <c r="K367" s="1">
        <v>3298</v>
      </c>
      <c r="L367">
        <v>94</v>
      </c>
      <c r="M367" s="1">
        <v>28611</v>
      </c>
      <c r="N367" s="1">
        <v>28400</v>
      </c>
      <c r="O367" s="1">
        <v>28850</v>
      </c>
      <c r="P367" s="1">
        <v>28350</v>
      </c>
      <c r="Q367" t="s">
        <v>724</v>
      </c>
      <c r="R367" s="3">
        <v>0.41850694444444447</v>
      </c>
      <c r="S367" s="1">
        <v>28750</v>
      </c>
      <c r="V367" s="1">
        <v>6170</v>
      </c>
      <c r="W367">
        <v>53.45</v>
      </c>
    </row>
    <row r="368" spans="3:23" x14ac:dyDescent="0.3">
      <c r="C368">
        <v>365</v>
      </c>
      <c r="D368">
        <v>3220</v>
      </c>
      <c r="E368" t="s">
        <v>679</v>
      </c>
      <c r="G368" s="1">
        <v>11320</v>
      </c>
      <c r="H368">
        <v>2</v>
      </c>
      <c r="I368">
        <v>30</v>
      </c>
      <c r="J368">
        <v>0.27</v>
      </c>
      <c r="K368" s="1">
        <v>7566</v>
      </c>
      <c r="L368">
        <v>86</v>
      </c>
      <c r="M368" s="1">
        <v>11331</v>
      </c>
      <c r="N368" s="1">
        <v>11300</v>
      </c>
      <c r="O368" s="1">
        <v>11390</v>
      </c>
      <c r="P368" s="1">
        <v>11290</v>
      </c>
      <c r="Q368" t="s">
        <v>724</v>
      </c>
      <c r="R368" s="3">
        <v>0.41813657407407406</v>
      </c>
      <c r="S368" s="1">
        <v>11370</v>
      </c>
      <c r="T368">
        <v>-50</v>
      </c>
      <c r="U368">
        <v>-0.44</v>
      </c>
      <c r="V368" s="1">
        <v>10077</v>
      </c>
      <c r="W368">
        <v>75.08</v>
      </c>
    </row>
    <row r="369" spans="3:23" x14ac:dyDescent="0.3">
      <c r="C369">
        <v>366</v>
      </c>
      <c r="D369">
        <v>5500</v>
      </c>
      <c r="E369" t="s">
        <v>678</v>
      </c>
      <c r="G369" s="1">
        <v>19030</v>
      </c>
      <c r="H369">
        <v>5</v>
      </c>
      <c r="I369">
        <v>40</v>
      </c>
      <c r="J369">
        <v>-0.21</v>
      </c>
      <c r="K369" s="1">
        <v>3885</v>
      </c>
      <c r="L369">
        <v>74</v>
      </c>
      <c r="M369" s="1">
        <v>18951</v>
      </c>
      <c r="N369" s="1">
        <v>19030</v>
      </c>
      <c r="O369" s="1">
        <v>19100</v>
      </c>
      <c r="P369" s="1">
        <v>18920</v>
      </c>
      <c r="Q369" t="s">
        <v>724</v>
      </c>
      <c r="R369" s="3">
        <v>0.41908564814814814</v>
      </c>
      <c r="S369" s="1">
        <v>19000</v>
      </c>
      <c r="T369">
        <v>30</v>
      </c>
      <c r="U369">
        <v>0.16</v>
      </c>
      <c r="V369" s="1">
        <v>6057</v>
      </c>
      <c r="W369">
        <v>64.14</v>
      </c>
    </row>
    <row r="370" spans="3:23" x14ac:dyDescent="0.3">
      <c r="C370">
        <v>367</v>
      </c>
      <c r="D370">
        <v>35150</v>
      </c>
      <c r="E370" t="s">
        <v>675</v>
      </c>
      <c r="G370" s="1">
        <v>12120</v>
      </c>
      <c r="H370">
        <v>5</v>
      </c>
      <c r="I370">
        <v>130</v>
      </c>
      <c r="J370">
        <v>-1.06</v>
      </c>
      <c r="K370" s="1">
        <v>7505</v>
      </c>
      <c r="L370">
        <v>91</v>
      </c>
      <c r="M370" s="1">
        <v>12165</v>
      </c>
      <c r="N370" s="1">
        <v>12250</v>
      </c>
      <c r="O370" s="1">
        <v>12480</v>
      </c>
      <c r="P370" s="1">
        <v>12090</v>
      </c>
      <c r="Q370" t="s">
        <v>724</v>
      </c>
      <c r="R370" s="3">
        <v>0.4097453703703704</v>
      </c>
      <c r="S370" s="1">
        <v>12130</v>
      </c>
      <c r="T370">
        <v>-10</v>
      </c>
      <c r="U370">
        <v>-0.08</v>
      </c>
      <c r="V370" s="1">
        <v>14356</v>
      </c>
      <c r="W370">
        <v>52.27</v>
      </c>
    </row>
    <row r="371" spans="3:23" x14ac:dyDescent="0.3">
      <c r="C371">
        <v>368</v>
      </c>
      <c r="D371">
        <v>226320</v>
      </c>
      <c r="E371" t="s">
        <v>688</v>
      </c>
      <c r="G371" s="1">
        <v>11250</v>
      </c>
      <c r="H371">
        <v>2</v>
      </c>
      <c r="I371">
        <v>300</v>
      </c>
      <c r="J371">
        <v>2.74</v>
      </c>
      <c r="K371" s="1">
        <v>3793</v>
      </c>
      <c r="L371">
        <v>42</v>
      </c>
      <c r="M371" s="1">
        <v>11079</v>
      </c>
      <c r="N371" s="1">
        <v>10970</v>
      </c>
      <c r="O371" s="1">
        <v>11250</v>
      </c>
      <c r="P371" s="1">
        <v>10970</v>
      </c>
      <c r="Q371" t="s">
        <v>724</v>
      </c>
      <c r="R371" s="3">
        <v>0.42021990740740739</v>
      </c>
      <c r="S371" s="1">
        <v>11240</v>
      </c>
      <c r="T371">
        <v>10</v>
      </c>
      <c r="U371">
        <v>0.09</v>
      </c>
      <c r="V371" s="1">
        <v>6598</v>
      </c>
      <c r="W371">
        <v>57.48</v>
      </c>
    </row>
    <row r="372" spans="3:23" x14ac:dyDescent="0.3">
      <c r="C372">
        <v>369</v>
      </c>
      <c r="D372">
        <v>37710</v>
      </c>
      <c r="E372" t="s">
        <v>685</v>
      </c>
      <c r="G372" s="1">
        <v>31000</v>
      </c>
      <c r="H372">
        <v>2</v>
      </c>
      <c r="I372">
        <v>200</v>
      </c>
      <c r="J372">
        <v>0.65</v>
      </c>
      <c r="K372" s="1">
        <v>1178</v>
      </c>
      <c r="L372">
        <v>37</v>
      </c>
      <c r="M372" s="1">
        <v>30991</v>
      </c>
      <c r="N372" s="1">
        <v>30950</v>
      </c>
      <c r="O372" s="1">
        <v>31100</v>
      </c>
      <c r="P372" s="1">
        <v>30950</v>
      </c>
      <c r="Q372" t="s">
        <v>724</v>
      </c>
      <c r="R372" s="3">
        <v>0.40664351851851849</v>
      </c>
      <c r="S372" s="1">
        <v>31100</v>
      </c>
      <c r="T372">
        <v>-100</v>
      </c>
      <c r="U372">
        <v>-0.32</v>
      </c>
      <c r="V372" s="1">
        <v>2380</v>
      </c>
      <c r="W372">
        <v>49.49</v>
      </c>
    </row>
    <row r="373" spans="3:23" x14ac:dyDescent="0.3">
      <c r="C373">
        <v>370</v>
      </c>
      <c r="D373">
        <v>1130</v>
      </c>
      <c r="E373" t="s">
        <v>692</v>
      </c>
      <c r="G373" s="1">
        <v>142300</v>
      </c>
      <c r="H373">
        <v>2</v>
      </c>
      <c r="I373" s="1">
        <v>1900</v>
      </c>
      <c r="J373">
        <v>1.35</v>
      </c>
      <c r="K373">
        <v>55</v>
      </c>
      <c r="L373">
        <v>8</v>
      </c>
      <c r="M373" s="1">
        <v>142030</v>
      </c>
      <c r="N373" s="1">
        <v>142000</v>
      </c>
      <c r="O373" s="1">
        <v>142300</v>
      </c>
      <c r="P373" s="1">
        <v>141900</v>
      </c>
      <c r="Q373" t="s">
        <v>724</v>
      </c>
      <c r="R373" s="3">
        <v>0.41744212962962962</v>
      </c>
      <c r="S373" s="1">
        <v>142400</v>
      </c>
      <c r="T373">
        <v>-100</v>
      </c>
      <c r="U373">
        <v>-7.0000000000000007E-2</v>
      </c>
      <c r="V373">
        <v>527</v>
      </c>
      <c r="W373">
        <v>10.43</v>
      </c>
    </row>
    <row r="374" spans="3:23" x14ac:dyDescent="0.3">
      <c r="C374">
        <v>371</v>
      </c>
      <c r="D374">
        <v>1630</v>
      </c>
      <c r="E374" t="s">
        <v>693</v>
      </c>
      <c r="G374" s="1">
        <v>47300</v>
      </c>
      <c r="H374">
        <v>2</v>
      </c>
      <c r="I374">
        <v>300</v>
      </c>
      <c r="J374">
        <v>0.64</v>
      </c>
      <c r="K374" s="1">
        <v>1025</v>
      </c>
      <c r="L374">
        <v>48</v>
      </c>
      <c r="M374" s="1">
        <v>47024</v>
      </c>
      <c r="N374" s="1">
        <v>47150</v>
      </c>
      <c r="O374" s="1">
        <v>47450</v>
      </c>
      <c r="P374" s="1">
        <v>46550</v>
      </c>
      <c r="Q374" t="s">
        <v>724</v>
      </c>
      <c r="R374" s="3">
        <v>0.42093749999999996</v>
      </c>
      <c r="S374" s="1">
        <v>47350</v>
      </c>
      <c r="T374">
        <v>-50</v>
      </c>
      <c r="U374">
        <v>-0.11</v>
      </c>
      <c r="V374" s="1">
        <v>3864</v>
      </c>
      <c r="W374">
        <v>26.52</v>
      </c>
    </row>
    <row r="375" spans="3:23" x14ac:dyDescent="0.3">
      <c r="C375">
        <v>372</v>
      </c>
      <c r="D375">
        <v>1750</v>
      </c>
      <c r="E375" t="s">
        <v>694</v>
      </c>
      <c r="G375" s="1">
        <v>18610</v>
      </c>
      <c r="H375">
        <v>2</v>
      </c>
      <c r="I375">
        <v>160</v>
      </c>
      <c r="J375">
        <v>0.87</v>
      </c>
      <c r="K375" s="1">
        <v>8197</v>
      </c>
      <c r="L375">
        <v>153</v>
      </c>
      <c r="M375" s="1">
        <v>18634</v>
      </c>
      <c r="N375" s="1">
        <v>18540</v>
      </c>
      <c r="O375" s="1">
        <v>18850</v>
      </c>
      <c r="P375" s="1">
        <v>18460</v>
      </c>
      <c r="Q375" t="s">
        <v>724</v>
      </c>
      <c r="R375" s="3">
        <v>0.42005787037037035</v>
      </c>
      <c r="S375" s="1">
        <v>18590</v>
      </c>
      <c r="T375">
        <v>20</v>
      </c>
      <c r="U375">
        <v>0.11</v>
      </c>
      <c r="V375" s="1">
        <v>11283</v>
      </c>
      <c r="W375">
        <v>72.64</v>
      </c>
    </row>
    <row r="376" spans="3:23" x14ac:dyDescent="0.3">
      <c r="C376">
        <v>373</v>
      </c>
      <c r="D376">
        <v>84010</v>
      </c>
      <c r="E376" t="s">
        <v>696</v>
      </c>
      <c r="G376" s="1">
        <v>10250</v>
      </c>
      <c r="H376">
        <v>5</v>
      </c>
      <c r="I376">
        <v>270</v>
      </c>
      <c r="J376">
        <v>-2.57</v>
      </c>
      <c r="K376" s="1">
        <v>51445</v>
      </c>
      <c r="L376">
        <v>528</v>
      </c>
      <c r="M376" s="1">
        <v>10256</v>
      </c>
      <c r="N376" s="1">
        <v>10300</v>
      </c>
      <c r="O376" s="1">
        <v>10470</v>
      </c>
      <c r="P376" s="1">
        <v>10180</v>
      </c>
      <c r="Q376" t="s">
        <v>724</v>
      </c>
      <c r="R376" s="3">
        <v>0.41947916666666668</v>
      </c>
      <c r="S376" s="1">
        <v>10250</v>
      </c>
      <c r="V376" s="1">
        <v>27745</v>
      </c>
      <c r="W376">
        <v>185.42</v>
      </c>
    </row>
    <row r="377" spans="3:23" x14ac:dyDescent="0.3">
      <c r="C377">
        <v>374</v>
      </c>
      <c r="D377">
        <v>8490</v>
      </c>
      <c r="E377" t="s">
        <v>698</v>
      </c>
      <c r="G377" s="1">
        <v>20300</v>
      </c>
      <c r="H377">
        <v>2</v>
      </c>
      <c r="I377">
        <v>300</v>
      </c>
      <c r="J377">
        <v>1.5</v>
      </c>
      <c r="K377" s="1">
        <v>1256</v>
      </c>
      <c r="L377">
        <v>25</v>
      </c>
      <c r="M377" s="1">
        <v>20100</v>
      </c>
      <c r="N377" s="1">
        <v>19960</v>
      </c>
      <c r="O377" s="1">
        <v>20350</v>
      </c>
      <c r="P377" s="1">
        <v>19960</v>
      </c>
      <c r="Q377" t="s">
        <v>724</v>
      </c>
      <c r="R377" s="3">
        <v>0.42060185185185189</v>
      </c>
      <c r="S377" s="1">
        <v>20250</v>
      </c>
      <c r="T377">
        <v>50</v>
      </c>
      <c r="U377">
        <v>0.25</v>
      </c>
      <c r="V377" s="1">
        <v>4757</v>
      </c>
      <c r="W377">
        <v>26.4</v>
      </c>
    </row>
    <row r="378" spans="3:23" x14ac:dyDescent="0.3">
      <c r="C378">
        <v>375</v>
      </c>
      <c r="D378">
        <v>4980</v>
      </c>
      <c r="E378" t="s">
        <v>701</v>
      </c>
      <c r="G378" s="1">
        <v>9410</v>
      </c>
      <c r="H378">
        <v>2</v>
      </c>
      <c r="I378">
        <v>150</v>
      </c>
      <c r="J378">
        <v>1.62</v>
      </c>
      <c r="K378" s="1">
        <v>9459</v>
      </c>
      <c r="L378">
        <v>89</v>
      </c>
      <c r="M378" s="1">
        <v>9365</v>
      </c>
      <c r="N378" s="1">
        <v>9530</v>
      </c>
      <c r="O378" s="1">
        <v>9530</v>
      </c>
      <c r="P378" s="1">
        <v>9300</v>
      </c>
      <c r="Q378" t="s">
        <v>724</v>
      </c>
      <c r="R378" s="3">
        <v>0.41767361111111106</v>
      </c>
      <c r="S378" s="1">
        <v>9310</v>
      </c>
      <c r="T378">
        <v>100</v>
      </c>
      <c r="U378">
        <v>1.07</v>
      </c>
      <c r="V378" s="1">
        <v>16086</v>
      </c>
      <c r="W378">
        <v>58.8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거래소</vt:lpstr>
      <vt:lpstr>거래소 코드닥 합계</vt:lpstr>
      <vt:lpstr>text복사 거래소 코스닥 합계</vt:lpstr>
      <vt:lpstr>text복사 거래소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2026-01-21T23:55:35Z</dcterms:created>
  <dcterms:modified xsi:type="dcterms:W3CDTF">2026-01-23T00:03:39Z</dcterms:modified>
</cp:coreProperties>
</file>